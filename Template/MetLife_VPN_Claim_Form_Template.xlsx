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Per Invoice Above Claim Form" sheetId="6" state="visible" r:id="rId6"/>
    <sheet xmlns:r="http://schemas.openxmlformats.org/officeDocument/2006/relationships" name="Per Invoice Below Claim Form" sheetId="7" state="visible" r:id="rId7"/>
  </sheets>
  <definedNames>
    <definedName name="_xlnm._FilterDatabase" localSheetId="3" hidden="1">'Per Line'!$A$1:$AG$3001</definedName>
    <definedName name="_xlnm._FilterDatabase" localSheetId="4" hidden="1">'Per Invoice'!$A$1:$P$801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##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1" fillId="3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3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METLIFE - VPN - CLAIM FORM TEMPLATE</t>
        </is>
      </c>
    </row>
    <row r="3">
      <c r="B3" s="2" t="inlineStr">
        <is>
          <t>Colours: blue header = pasted or typed by you, green header = formula (do not paste over it), grey header = helper, yellow = editable setting.</t>
        </is>
      </c>
    </row>
    <row r="4">
      <c r="B4" s="2" t="inlineStr"/>
    </row>
    <row r="5">
      <c r="B5" s="2" t="inlineStr">
        <is>
          <t>1. In 'Per Line', paste the lines of the sheet from row 2 into the blue columns: A-X, AB-AC, AE-AF.</t>
        </is>
      </c>
    </row>
    <row r="6">
      <c r="B6" s="2" t="inlineStr">
        <is>
          <t xml:space="preserve">   Do NOT paste over the green formula columns: Y-AA, AD (they calculate Discount, Co val, Subtotal and Net from the Total Approved, Rebates % and Copay % you pasted).</t>
        </is>
      </c>
    </row>
    <row r="7">
      <c r="B7" s="2" t="inlineStr">
        <is>
          <t xml:space="preserve">   Paste the columns in the same order as the source sheet. Rebates % and Copay % come from the sheet, so there are no rates to set. If a Rebates % is typed as a fraction below 1 (for example 0.12), the template reads it as a percent (12).</t>
        </is>
      </c>
    </row>
    <row r="8">
      <c r="B8" s="2" t="inlineStr">
        <is>
          <t>2. 'Per Invoice' fills itself: one row per So, in the order the orders first appear in 'Per Line'. Type Invoice, ERX, Card in the blue columns.</t>
        </is>
      </c>
    </row>
    <row r="9">
      <c r="B9" s="2" t="inlineStr">
        <is>
          <t>3. Segments (Above Claim Form / Below Claim Form) are decided by the Lot number. The Lot to segment table is in 'Settings' (yellow cells): add any new Lot there.</t>
        </is>
      </c>
    </row>
    <row r="10">
      <c r="B10" s="2" t="inlineStr">
        <is>
          <t xml:space="preserve">   The tabs 'Per Invoice Above Claim Form' and 'Per Invoice Below Claim Form' fill themselves from 'Per Invoice', and 'Summary' shows the count and totals per segment.</t>
        </is>
      </c>
    </row>
    <row r="11">
      <c r="B11" s="2" t="inlineStr">
        <is>
          <t>4. Open 'Settings': STATUS must say OK. If it says CHECK, a total in 'Per Line' differs from 'Per Invoice', there are more orders than the template has room for, or a Lot is missing from the segment table.</t>
        </is>
      </c>
    </row>
    <row r="12">
      <c r="B12" s="2" t="inlineStr"/>
    </row>
    <row r="13">
      <c r="B13" s="2" t="inlineStr">
        <is>
          <t>To start a new month: clear the blue cells in 'Per Line' (row 2 down) and the blue cells in 'Per Invoice', then paste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6"/>
  <sheetViews>
    <sheetView workbookViewId="0">
      <selection activeCell="A1" sqref="A1"/>
    </sheetView>
  </sheetViews>
  <sheetFormatPr baseColWidth="8" defaultRowHeight="15"/>
  <cols>
    <col width="3" customWidth="1" min="1" max="1"/>
    <col width="58" customWidth="1" min="2" max="2"/>
    <col width="24" customWidth="1" min="3" max="3"/>
    <col width="70" customWidth="1" min="4" max="4"/>
  </cols>
  <sheetData>
    <row r="1">
      <c r="B1" s="1" t="inlineStr">
        <is>
          <t>METLIFE - VPN - CLAIM FORM - SETTINGS</t>
        </is>
      </c>
    </row>
    <row r="3">
      <c r="B3" t="inlineStr">
        <is>
          <t>Insurance company</t>
        </is>
      </c>
      <c r="C3" t="inlineStr">
        <is>
          <t>Metlife</t>
        </is>
      </c>
      <c r="D3" t="inlineStr">
        <is>
          <t>Rebates % and Copay % are typed on every line of the export, so there are no rates to set here.</t>
        </is>
      </c>
    </row>
    <row r="4">
      <c r="B4" t="inlineStr">
        <is>
          <t>Type</t>
        </is>
      </c>
      <c r="C4" t="inlineStr">
        <is>
          <t>VPN - Claim Form</t>
        </is>
      </c>
    </row>
    <row r="5">
      <c r="B5" t="inlineStr">
        <is>
          <t>Month (as in the source sheet)</t>
        </is>
      </c>
      <c r="C5" t="inlineStr">
        <is>
          <t>August 2026</t>
        </is>
      </c>
    </row>
    <row r="9">
      <c r="B9" s="3" t="inlineStr">
        <is>
          <t>Reconciliation (Per Line vs Per Invoice)</t>
        </is>
      </c>
    </row>
    <row r="10">
      <c r="B10" t="inlineStr">
        <is>
          <t>Lines loaded</t>
        </is>
      </c>
      <c r="C10" s="4">
        <f>COUNTA('Per Line'!$D$2:$D$3001)</f>
        <v/>
      </c>
    </row>
    <row r="11">
      <c r="B11" t="inlineStr">
        <is>
          <t>Invoices (unique So)</t>
        </is>
      </c>
      <c r="C11" s="4">
        <f>MAX('Per Line'!$AG$2:$AG$3001)</f>
        <v/>
      </c>
    </row>
    <row r="12">
      <c r="B12" t="inlineStr">
        <is>
          <t>Invoices shown in Per Invoice</t>
        </is>
      </c>
      <c r="C12" s="4">
        <f>COUNTIF('Per Invoice'!$C$2:$C$801,"?*")+COUNT('Per Invoice'!$C$2:$C$801)</f>
        <v/>
      </c>
    </row>
    <row r="13">
      <c r="B13" t="inlineStr">
        <is>
          <t>Total Approved - Per Line</t>
        </is>
      </c>
      <c r="C13" s="5">
        <f>SUM('Per Line'!$X$2:$X$3001)</f>
        <v/>
      </c>
    </row>
    <row r="14">
      <c r="B14" t="inlineStr">
        <is>
          <t>Total Approved - Per Invoice</t>
        </is>
      </c>
      <c r="C14" s="5">
        <f>SUM('Per Invoice'!$I$2:$I$801)</f>
        <v/>
      </c>
    </row>
    <row r="15">
      <c r="B15" t="inlineStr">
        <is>
          <t>Discount - Per Line</t>
        </is>
      </c>
      <c r="C15" s="5">
        <f>SUM('Per Line'!$Y$2:$Y$3001)</f>
        <v/>
      </c>
    </row>
    <row r="16">
      <c r="B16" t="inlineStr">
        <is>
          <t>Discount - Per Invoice</t>
        </is>
      </c>
      <c r="C16" s="5">
        <f>SUM('Per Invoice'!$J$2:$J$801)</f>
        <v/>
      </c>
    </row>
    <row r="17">
      <c r="B17" t="inlineStr">
        <is>
          <t>Co val - Per Line</t>
        </is>
      </c>
      <c r="C17" s="5">
        <f>SUM('Per Line'!$Z$2:$Z$3001)</f>
        <v/>
      </c>
    </row>
    <row r="18">
      <c r="B18" t="inlineStr">
        <is>
          <t>Co val - Per Invoice</t>
        </is>
      </c>
      <c r="C18" s="5">
        <f>SUM('Per Invoice'!$K$2:$K$801)</f>
        <v/>
      </c>
    </row>
    <row r="19">
      <c r="B19" t="inlineStr">
        <is>
          <t>Net - Per Line</t>
        </is>
      </c>
      <c r="C19" s="5">
        <f>SUM('Per Line'!$AD$2:$AD$3001)</f>
        <v/>
      </c>
    </row>
    <row r="20">
      <c r="B20" t="inlineStr">
        <is>
          <t>Net - Per Invoice</t>
        </is>
      </c>
      <c r="C20" s="5">
        <f>SUM('Per Invoice'!$M$2:$M$801)</f>
        <v/>
      </c>
    </row>
    <row r="21">
      <c r="B21" t="inlineStr">
        <is>
          <t>Orders that do not fit in Per Invoice (must be 0)</t>
        </is>
      </c>
      <c r="C21">
        <f>MAX(0,C11-800)</f>
        <v/>
      </c>
    </row>
    <row r="22">
      <c r="B22" t="inlineStr">
        <is>
          <t>Orders whose Lot is not in the segment table below (must be 0)</t>
        </is>
      </c>
      <c r="C22">
        <f>COUNTIF('Per Invoice'!$B$2:$B$801,"Unassigned")</f>
        <v/>
      </c>
    </row>
    <row r="23">
      <c r="B23" s="3" t="inlineStr">
        <is>
          <t>STATUS</t>
        </is>
      </c>
      <c r="C23" s="3">
        <f>IF(C10=0,"No data loaded",IF(AND(C21=0,C12=C11,ABS(C13-C14)&lt;0.01,ABS(C15-C16)&lt;0.01,ABS(C17-C18)&lt;0.01,ABS(C19-C20)&lt;0.01,C22=0),"OK","CHECK"))</f>
        <v/>
      </c>
      <c r="D23" t="inlineStr">
        <is>
          <t>Per Line has room for 3000 lines and Per Invoice for 800 invoices.</t>
        </is>
      </c>
    </row>
    <row r="25">
      <c r="B25" s="3" t="inlineStr">
        <is>
          <t>Segment table: which Lot belongs to which segment</t>
        </is>
      </c>
    </row>
    <row r="26">
      <c r="B26" s="3" t="inlineStr">
        <is>
          <t>Lot number</t>
        </is>
      </c>
      <c r="C26" s="3" t="inlineStr">
        <is>
          <t>Segment</t>
        </is>
      </c>
      <c r="D26" t="inlineStr">
        <is>
          <t>Add a new Lot here when it appears in Per Line. Segment must be spelled exactly: Above Claim Form / Below Claim Form</t>
        </is>
      </c>
    </row>
    <row r="27">
      <c r="B27" s="6" t="n">
        <v>26158332</v>
      </c>
      <c r="C27" s="6" t="inlineStr">
        <is>
          <t>Above Claim Form</t>
        </is>
      </c>
    </row>
    <row r="28">
      <c r="B28" s="6" t="n">
        <v>26158333</v>
      </c>
      <c r="C28" s="6" t="inlineStr">
        <is>
          <t>Below Claim Form</t>
        </is>
      </c>
    </row>
    <row r="29">
      <c r="B29" s="6" t="n"/>
      <c r="C29" s="6" t="n"/>
    </row>
    <row r="30">
      <c r="B30" s="6" t="n"/>
      <c r="C30" s="6" t="n"/>
    </row>
    <row r="31">
      <c r="B31" s="6" t="n"/>
      <c r="C31" s="6" t="n"/>
    </row>
    <row r="32">
      <c r="B32" s="6" t="n"/>
      <c r="C32" s="6" t="n"/>
    </row>
    <row r="33">
      <c r="B33" s="6" t="n"/>
      <c r="C33" s="6" t="n"/>
    </row>
    <row r="34">
      <c r="B34" s="6" t="n"/>
      <c r="C34" s="6" t="n"/>
    </row>
    <row r="35">
      <c r="B35" s="6" t="n"/>
      <c r="C35" s="6" t="n"/>
    </row>
    <row r="36">
      <c r="B36" s="6" t="n"/>
      <c r="C3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7" t="inlineStr">
        <is>
          <t>Segment</t>
        </is>
      </c>
      <c r="B1" s="7" t="inlineStr">
        <is>
          <t>Count of So</t>
        </is>
      </c>
      <c r="C1" s="7" t="inlineStr">
        <is>
          <t>Sum of Total Approved</t>
        </is>
      </c>
      <c r="D1" s="7" t="inlineStr">
        <is>
          <t>Sum of dis</t>
        </is>
      </c>
      <c r="E1" s="7" t="inlineStr">
        <is>
          <t>Sum of Paid Amount</t>
        </is>
      </c>
      <c r="F1" s="7" t="inlineStr">
        <is>
          <t>Sum of Subtotal</t>
        </is>
      </c>
      <c r="G1" s="7" t="inlineStr">
        <is>
          <t>Sum of Net Amt</t>
        </is>
      </c>
    </row>
    <row r="2">
      <c r="A2" t="inlineStr">
        <is>
          <t>Above Claim Form</t>
        </is>
      </c>
      <c r="B2">
        <f>COUNTIF('Per Invoice'!$B$2:$B$801,A2)</f>
        <v/>
      </c>
      <c r="C2" s="5">
        <f>SUMIFS('Per Invoice'!$I$2:$I$801,'Per Invoice'!$B$2:$B$801,$A2)</f>
        <v/>
      </c>
      <c r="D2" s="5">
        <f>SUMIFS('Per Invoice'!$J$2:$J$801,'Per Invoice'!$B$2:$B$801,$A2)</f>
        <v/>
      </c>
      <c r="E2" s="5">
        <f>SUMIFS('Per Invoice'!$K$2:$K$801,'Per Invoice'!$B$2:$B$801,$A2)</f>
        <v/>
      </c>
      <c r="F2" s="5">
        <f>SUMIFS('Per Invoice'!$L$2:$L$801,'Per Invoice'!$B$2:$B$801,$A2)</f>
        <v/>
      </c>
      <c r="G2" s="5">
        <f>SUMIFS('Per Invoice'!$M$2:$M$801,'Per Invoice'!$B$2:$B$801,$A2)</f>
        <v/>
      </c>
    </row>
    <row r="3">
      <c r="A3" t="inlineStr">
        <is>
          <t>Below Claim Form</t>
        </is>
      </c>
      <c r="B3">
        <f>COUNTIF('Per Invoice'!$B$2:$B$801,A3)</f>
        <v/>
      </c>
      <c r="C3" s="5">
        <f>SUMIFS('Per Invoice'!$I$2:$I$801,'Per Invoice'!$B$2:$B$801,$A3)</f>
        <v/>
      </c>
      <c r="D3" s="5">
        <f>SUMIFS('Per Invoice'!$J$2:$J$801,'Per Invoice'!$B$2:$B$801,$A3)</f>
        <v/>
      </c>
      <c r="E3" s="5">
        <f>SUMIFS('Per Invoice'!$K$2:$K$801,'Per Invoice'!$B$2:$B$801,$A3)</f>
        <v/>
      </c>
      <c r="F3" s="5">
        <f>SUMIFS('Per Invoice'!$L$2:$L$801,'Per Invoice'!$B$2:$B$801,$A3)</f>
        <v/>
      </c>
      <c r="G3" s="5">
        <f>SUMIFS('Per Invoice'!$M$2:$M$801,'Per Invoice'!$B$2:$B$801,$A3)</f>
        <v/>
      </c>
    </row>
    <row r="4">
      <c r="A4" t="inlineStr">
        <is>
          <t>Other / Unassigned</t>
        </is>
      </c>
      <c r="B4">
        <f>B5-SUM(B2:B3)</f>
        <v/>
      </c>
      <c r="C4" s="5">
        <f>C5-SUM(C2:C3)</f>
        <v/>
      </c>
      <c r="D4" s="5">
        <f>D5-SUM(D2:D3)</f>
        <v/>
      </c>
      <c r="E4" s="5">
        <f>E5-SUM(E2:E3)</f>
        <v/>
      </c>
      <c r="F4" s="5">
        <f>F5-SUM(F2:F3)</f>
        <v/>
      </c>
      <c r="G4" s="5">
        <f>G5-SUM(G2:G3)</f>
        <v/>
      </c>
    </row>
    <row r="5">
      <c r="A5" s="3" t="inlineStr">
        <is>
          <t>Grand Total</t>
        </is>
      </c>
      <c r="B5" s="3">
        <f>COUNTIF('Per Invoice'!$C$2:$C$801,"?*")</f>
        <v/>
      </c>
      <c r="C5" s="8">
        <f>SUM('Per Invoice'!$I$2:$I$801)</f>
        <v/>
      </c>
      <c r="D5" s="8">
        <f>SUM('Per Invoice'!$J$2:$J$801)</f>
        <v/>
      </c>
      <c r="E5" s="8">
        <f>SUM('Per Invoice'!$K$2:$K$801)</f>
        <v/>
      </c>
      <c r="F5" s="8">
        <f>SUM('Per Invoice'!$L$2:$L$801)</f>
        <v/>
      </c>
      <c r="G5" s="8">
        <f>SUM('Per Invoice'!$M$2:$M$801)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AG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0" customWidth="1" min="9" max="9"/>
    <col width="14" customWidth="1" min="10" max="10"/>
    <col width="30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4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2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20" customWidth="1" min="31" max="31"/>
    <col width="14" customWidth="1" min="32" max="32"/>
    <col width="14" customWidth="1" min="33" max="33"/>
  </cols>
  <sheetData>
    <row r="1" ht="32" customHeight="1">
      <c r="A1" s="9" t="inlineStr">
        <is>
          <t>Lot</t>
        </is>
      </c>
      <c r="B1" s="9" t="inlineStr">
        <is>
          <t>Glob Med Ref</t>
        </is>
      </c>
      <c r="C1" s="9" t="inlineStr">
        <is>
          <t>SSNBR</t>
        </is>
      </c>
      <c r="D1" s="9" t="inlineStr">
        <is>
          <t>So</t>
        </is>
      </c>
      <c r="E1" s="9" t="inlineStr">
        <is>
          <t>Status</t>
        </is>
      </c>
      <c r="F1" s="9" t="inlineStr">
        <is>
          <t>Dependent code</t>
        </is>
      </c>
      <c r="G1" s="9" t="inlineStr">
        <is>
          <t>Individual Number</t>
        </is>
      </c>
      <c r="H1" s="9" t="inlineStr">
        <is>
          <t>Provider code</t>
        </is>
      </c>
      <c r="I1" s="9" t="inlineStr">
        <is>
          <t>Provider Name</t>
        </is>
      </c>
      <c r="J1" s="9" t="inlineStr">
        <is>
          <t>real Provider Code</t>
        </is>
      </c>
      <c r="K1" s="9" t="inlineStr">
        <is>
          <t>real Provider Name</t>
        </is>
      </c>
      <c r="L1" s="9" t="inlineStr">
        <is>
          <t>Concat</t>
        </is>
      </c>
      <c r="M1" s="9" t="inlineStr">
        <is>
          <t>DIAG 1(ICD9)</t>
        </is>
      </c>
      <c r="N1" s="9" t="inlineStr">
        <is>
          <t>HZB ID</t>
        </is>
      </c>
      <c r="O1" s="9" t="inlineStr">
        <is>
          <t>Item code</t>
        </is>
      </c>
      <c r="P1" s="9" t="inlineStr">
        <is>
          <t>Globemed Item Code</t>
        </is>
      </c>
      <c r="Q1" s="9" t="inlineStr">
        <is>
          <t>Item description</t>
        </is>
      </c>
      <c r="R1" s="9" t="inlineStr">
        <is>
          <t>Comment1</t>
        </is>
      </c>
      <c r="S1" s="9" t="inlineStr">
        <is>
          <t>Comment2</t>
        </is>
      </c>
      <c r="T1" s="9" t="inlineStr">
        <is>
          <t>Alternative</t>
        </is>
      </c>
      <c r="U1" s="9" t="inlineStr">
        <is>
          <t>Unit Type Dispensed</t>
        </is>
      </c>
      <c r="V1" s="9" t="inlineStr">
        <is>
          <t>Svc Date</t>
        </is>
      </c>
      <c r="W1" s="9" t="inlineStr">
        <is>
          <t>Qty Approved</t>
        </is>
      </c>
      <c r="X1" s="9" t="inlineStr">
        <is>
          <t>Total Approved</t>
        </is>
      </c>
      <c r="Y1" s="7" t="inlineStr">
        <is>
          <t>dis</t>
        </is>
      </c>
      <c r="Z1" s="7" t="inlineStr">
        <is>
          <t>Paid Amount</t>
        </is>
      </c>
      <c r="AA1" s="7" t="inlineStr">
        <is>
          <t>Subtotal</t>
        </is>
      </c>
      <c r="AB1" s="9" t="inlineStr">
        <is>
          <t>Co%</t>
        </is>
      </c>
      <c r="AC1" s="9" t="inlineStr">
        <is>
          <t>Rebates</t>
        </is>
      </c>
      <c r="AD1" s="7" t="inlineStr">
        <is>
          <t>Net Amt</t>
        </is>
      </c>
      <c r="AE1" s="9" t="inlineStr">
        <is>
          <t>Group No.</t>
        </is>
      </c>
      <c r="AF1" s="9" t="inlineStr">
        <is>
          <t>Certificate No.</t>
        </is>
      </c>
      <c r="AG1" s="10" t="inlineStr">
        <is>
          <t>Order Seq (helper)</t>
        </is>
      </c>
    </row>
    <row r="2">
      <c r="Y2" s="5">
        <f>IF(D2="","",X2*IF(AND(ISNUMBER(AC2),AC2&gt;0,AC2&lt;1),AC2*100,AC2)/100)</f>
        <v/>
      </c>
      <c r="Z2" s="5">
        <f>IF(D2="","",AB2*AA2/100)</f>
        <v/>
      </c>
      <c r="AA2" s="5">
        <f>IF(D2="","",X2-Y2)</f>
        <v/>
      </c>
      <c r="AD2" s="5">
        <f>IF(D2="","",AA2-Z2)</f>
        <v/>
      </c>
      <c r="AG2">
        <f>IF(D2="","",N(AG1)+IF(MATCH(D2,$D$2:$D$3001,0)=ROW()-1,1,0))</f>
        <v/>
      </c>
    </row>
    <row r="3">
      <c r="Y3" s="5">
        <f>IF(D3="","",X3*IF(AND(ISNUMBER(AC3),AC3&gt;0,AC3&lt;1),AC3*100,AC3)/100)</f>
        <v/>
      </c>
      <c r="Z3" s="5">
        <f>IF(D3="","",AB3*AA3/100)</f>
        <v/>
      </c>
      <c r="AA3" s="5">
        <f>IF(D3="","",X3-Y3)</f>
        <v/>
      </c>
      <c r="AD3" s="5">
        <f>IF(D3="","",AA3-Z3)</f>
        <v/>
      </c>
      <c r="AG3">
        <f>IF(D3="","",N(AG2)+IF(MATCH(D3,$D$2:$D$3001,0)=ROW()-1,1,0))</f>
        <v/>
      </c>
    </row>
    <row r="4">
      <c r="Y4" s="5">
        <f>IF(D4="","",X4*IF(AND(ISNUMBER(AC4),AC4&gt;0,AC4&lt;1),AC4*100,AC4)/100)</f>
        <v/>
      </c>
      <c r="Z4" s="5">
        <f>IF(D4="","",AB4*AA4/100)</f>
        <v/>
      </c>
      <c r="AA4" s="5">
        <f>IF(D4="","",X4-Y4)</f>
        <v/>
      </c>
      <c r="AD4" s="5">
        <f>IF(D4="","",AA4-Z4)</f>
        <v/>
      </c>
      <c r="AG4">
        <f>IF(D4="","",N(AG3)+IF(MATCH(D4,$D$2:$D$3001,0)=ROW()-1,1,0))</f>
        <v/>
      </c>
    </row>
    <row r="5">
      <c r="Y5" s="5">
        <f>IF(D5="","",X5*IF(AND(ISNUMBER(AC5),AC5&gt;0,AC5&lt;1),AC5*100,AC5)/100)</f>
        <v/>
      </c>
      <c r="Z5" s="5">
        <f>IF(D5="","",AB5*AA5/100)</f>
        <v/>
      </c>
      <c r="AA5" s="5">
        <f>IF(D5="","",X5-Y5)</f>
        <v/>
      </c>
      <c r="AD5" s="5">
        <f>IF(D5="","",AA5-Z5)</f>
        <v/>
      </c>
      <c r="AG5">
        <f>IF(D5="","",N(AG4)+IF(MATCH(D5,$D$2:$D$3001,0)=ROW()-1,1,0))</f>
        <v/>
      </c>
    </row>
    <row r="6">
      <c r="Y6" s="5">
        <f>IF(D6="","",X6*IF(AND(ISNUMBER(AC6),AC6&gt;0,AC6&lt;1),AC6*100,AC6)/100)</f>
        <v/>
      </c>
      <c r="Z6" s="5">
        <f>IF(D6="","",AB6*AA6/100)</f>
        <v/>
      </c>
      <c r="AA6" s="5">
        <f>IF(D6="","",X6-Y6)</f>
        <v/>
      </c>
      <c r="AD6" s="5">
        <f>IF(D6="","",AA6-Z6)</f>
        <v/>
      </c>
      <c r="AG6">
        <f>IF(D6="","",N(AG5)+IF(MATCH(D6,$D$2:$D$3001,0)=ROW()-1,1,0))</f>
        <v/>
      </c>
    </row>
    <row r="7">
      <c r="Y7" s="5">
        <f>IF(D7="","",X7*IF(AND(ISNUMBER(AC7),AC7&gt;0,AC7&lt;1),AC7*100,AC7)/100)</f>
        <v/>
      </c>
      <c r="Z7" s="5">
        <f>IF(D7="","",AB7*AA7/100)</f>
        <v/>
      </c>
      <c r="AA7" s="5">
        <f>IF(D7="","",X7-Y7)</f>
        <v/>
      </c>
      <c r="AD7" s="5">
        <f>IF(D7="","",AA7-Z7)</f>
        <v/>
      </c>
      <c r="AG7">
        <f>IF(D7="","",N(AG6)+IF(MATCH(D7,$D$2:$D$3001,0)=ROW()-1,1,0))</f>
        <v/>
      </c>
    </row>
    <row r="8">
      <c r="Y8" s="5">
        <f>IF(D8="","",X8*IF(AND(ISNUMBER(AC8),AC8&gt;0,AC8&lt;1),AC8*100,AC8)/100)</f>
        <v/>
      </c>
      <c r="Z8" s="5">
        <f>IF(D8="","",AB8*AA8/100)</f>
        <v/>
      </c>
      <c r="AA8" s="5">
        <f>IF(D8="","",X8-Y8)</f>
        <v/>
      </c>
      <c r="AD8" s="5">
        <f>IF(D8="","",AA8-Z8)</f>
        <v/>
      </c>
      <c r="AG8">
        <f>IF(D8="","",N(AG7)+IF(MATCH(D8,$D$2:$D$3001,0)=ROW()-1,1,0))</f>
        <v/>
      </c>
    </row>
    <row r="9">
      <c r="Y9" s="5">
        <f>IF(D9="","",X9*IF(AND(ISNUMBER(AC9),AC9&gt;0,AC9&lt;1),AC9*100,AC9)/100)</f>
        <v/>
      </c>
      <c r="Z9" s="5">
        <f>IF(D9="","",AB9*AA9/100)</f>
        <v/>
      </c>
      <c r="AA9" s="5">
        <f>IF(D9="","",X9-Y9)</f>
        <v/>
      </c>
      <c r="AD9" s="5">
        <f>IF(D9="","",AA9-Z9)</f>
        <v/>
      </c>
      <c r="AG9">
        <f>IF(D9="","",N(AG8)+IF(MATCH(D9,$D$2:$D$3001,0)=ROW()-1,1,0))</f>
        <v/>
      </c>
    </row>
    <row r="10">
      <c r="Y10" s="5">
        <f>IF(D10="","",X10*IF(AND(ISNUMBER(AC10),AC10&gt;0,AC10&lt;1),AC10*100,AC10)/100)</f>
        <v/>
      </c>
      <c r="Z10" s="5">
        <f>IF(D10="","",AB10*AA10/100)</f>
        <v/>
      </c>
      <c r="AA10" s="5">
        <f>IF(D10="","",X10-Y10)</f>
        <v/>
      </c>
      <c r="AD10" s="5">
        <f>IF(D10="","",AA10-Z10)</f>
        <v/>
      </c>
      <c r="AG10">
        <f>IF(D10="","",N(AG9)+IF(MATCH(D10,$D$2:$D$3001,0)=ROW()-1,1,0))</f>
        <v/>
      </c>
    </row>
    <row r="11">
      <c r="Y11" s="5">
        <f>IF(D11="","",X11*IF(AND(ISNUMBER(AC11),AC11&gt;0,AC11&lt;1),AC11*100,AC11)/100)</f>
        <v/>
      </c>
      <c r="Z11" s="5">
        <f>IF(D11="","",AB11*AA11/100)</f>
        <v/>
      </c>
      <c r="AA11" s="5">
        <f>IF(D11="","",X11-Y11)</f>
        <v/>
      </c>
      <c r="AD11" s="5">
        <f>IF(D11="","",AA11-Z11)</f>
        <v/>
      </c>
      <c r="AG11">
        <f>IF(D11="","",N(AG10)+IF(MATCH(D11,$D$2:$D$3001,0)=ROW()-1,1,0))</f>
        <v/>
      </c>
    </row>
    <row r="12">
      <c r="Y12" s="5">
        <f>IF(D12="","",X12*IF(AND(ISNUMBER(AC12),AC12&gt;0,AC12&lt;1),AC12*100,AC12)/100)</f>
        <v/>
      </c>
      <c r="Z12" s="5">
        <f>IF(D12="","",AB12*AA12/100)</f>
        <v/>
      </c>
      <c r="AA12" s="5">
        <f>IF(D12="","",X12-Y12)</f>
        <v/>
      </c>
      <c r="AD12" s="5">
        <f>IF(D12="","",AA12-Z12)</f>
        <v/>
      </c>
      <c r="AG12">
        <f>IF(D12="","",N(AG11)+IF(MATCH(D12,$D$2:$D$3001,0)=ROW()-1,1,0))</f>
        <v/>
      </c>
    </row>
    <row r="13">
      <c r="Y13" s="5">
        <f>IF(D13="","",X13*IF(AND(ISNUMBER(AC13),AC13&gt;0,AC13&lt;1),AC13*100,AC13)/100)</f>
        <v/>
      </c>
      <c r="Z13" s="5">
        <f>IF(D13="","",AB13*AA13/100)</f>
        <v/>
      </c>
      <c r="AA13" s="5">
        <f>IF(D13="","",X13-Y13)</f>
        <v/>
      </c>
      <c r="AD13" s="5">
        <f>IF(D13="","",AA13-Z13)</f>
        <v/>
      </c>
      <c r="AG13">
        <f>IF(D13="","",N(AG12)+IF(MATCH(D13,$D$2:$D$3001,0)=ROW()-1,1,0))</f>
        <v/>
      </c>
    </row>
    <row r="14">
      <c r="Y14" s="5">
        <f>IF(D14="","",X14*IF(AND(ISNUMBER(AC14),AC14&gt;0,AC14&lt;1),AC14*100,AC14)/100)</f>
        <v/>
      </c>
      <c r="Z14" s="5">
        <f>IF(D14="","",AB14*AA14/100)</f>
        <v/>
      </c>
      <c r="AA14" s="5">
        <f>IF(D14="","",X14-Y14)</f>
        <v/>
      </c>
      <c r="AD14" s="5">
        <f>IF(D14="","",AA14-Z14)</f>
        <v/>
      </c>
      <c r="AG14">
        <f>IF(D14="","",N(AG13)+IF(MATCH(D14,$D$2:$D$3001,0)=ROW()-1,1,0))</f>
        <v/>
      </c>
    </row>
    <row r="15">
      <c r="Y15" s="5">
        <f>IF(D15="","",X15*IF(AND(ISNUMBER(AC15),AC15&gt;0,AC15&lt;1),AC15*100,AC15)/100)</f>
        <v/>
      </c>
      <c r="Z15" s="5">
        <f>IF(D15="","",AB15*AA15/100)</f>
        <v/>
      </c>
      <c r="AA15" s="5">
        <f>IF(D15="","",X15-Y15)</f>
        <v/>
      </c>
      <c r="AD15" s="5">
        <f>IF(D15="","",AA15-Z15)</f>
        <v/>
      </c>
      <c r="AG15">
        <f>IF(D15="","",N(AG14)+IF(MATCH(D15,$D$2:$D$3001,0)=ROW()-1,1,0))</f>
        <v/>
      </c>
    </row>
    <row r="16">
      <c r="Y16" s="5">
        <f>IF(D16="","",X16*IF(AND(ISNUMBER(AC16),AC16&gt;0,AC16&lt;1),AC16*100,AC16)/100)</f>
        <v/>
      </c>
      <c r="Z16" s="5">
        <f>IF(D16="","",AB16*AA16/100)</f>
        <v/>
      </c>
      <c r="AA16" s="5">
        <f>IF(D16="","",X16-Y16)</f>
        <v/>
      </c>
      <c r="AD16" s="5">
        <f>IF(D16="","",AA16-Z16)</f>
        <v/>
      </c>
      <c r="AG16">
        <f>IF(D16="","",N(AG15)+IF(MATCH(D16,$D$2:$D$3001,0)=ROW()-1,1,0))</f>
        <v/>
      </c>
    </row>
    <row r="17">
      <c r="Y17" s="5">
        <f>IF(D17="","",X17*IF(AND(ISNUMBER(AC17),AC17&gt;0,AC17&lt;1),AC17*100,AC17)/100)</f>
        <v/>
      </c>
      <c r="Z17" s="5">
        <f>IF(D17="","",AB17*AA17/100)</f>
        <v/>
      </c>
      <c r="AA17" s="5">
        <f>IF(D17="","",X17-Y17)</f>
        <v/>
      </c>
      <c r="AD17" s="5">
        <f>IF(D17="","",AA17-Z17)</f>
        <v/>
      </c>
      <c r="AG17">
        <f>IF(D17="","",N(AG16)+IF(MATCH(D17,$D$2:$D$3001,0)=ROW()-1,1,0))</f>
        <v/>
      </c>
    </row>
    <row r="18">
      <c r="Y18" s="5">
        <f>IF(D18="","",X18*IF(AND(ISNUMBER(AC18),AC18&gt;0,AC18&lt;1),AC18*100,AC18)/100)</f>
        <v/>
      </c>
      <c r="Z18" s="5">
        <f>IF(D18="","",AB18*AA18/100)</f>
        <v/>
      </c>
      <c r="AA18" s="5">
        <f>IF(D18="","",X18-Y18)</f>
        <v/>
      </c>
      <c r="AD18" s="5">
        <f>IF(D18="","",AA18-Z18)</f>
        <v/>
      </c>
      <c r="AG18">
        <f>IF(D18="","",N(AG17)+IF(MATCH(D18,$D$2:$D$3001,0)=ROW()-1,1,0))</f>
        <v/>
      </c>
    </row>
    <row r="19">
      <c r="Y19" s="5">
        <f>IF(D19="","",X19*IF(AND(ISNUMBER(AC19),AC19&gt;0,AC19&lt;1),AC19*100,AC19)/100)</f>
        <v/>
      </c>
      <c r="Z19" s="5">
        <f>IF(D19="","",AB19*AA19/100)</f>
        <v/>
      </c>
      <c r="AA19" s="5">
        <f>IF(D19="","",X19-Y19)</f>
        <v/>
      </c>
      <c r="AD19" s="5">
        <f>IF(D19="","",AA19-Z19)</f>
        <v/>
      </c>
      <c r="AG19">
        <f>IF(D19="","",N(AG18)+IF(MATCH(D19,$D$2:$D$3001,0)=ROW()-1,1,0))</f>
        <v/>
      </c>
    </row>
    <row r="20">
      <c r="Y20" s="5">
        <f>IF(D20="","",X20*IF(AND(ISNUMBER(AC20),AC20&gt;0,AC20&lt;1),AC20*100,AC20)/100)</f>
        <v/>
      </c>
      <c r="Z20" s="5">
        <f>IF(D20="","",AB20*AA20/100)</f>
        <v/>
      </c>
      <c r="AA20" s="5">
        <f>IF(D20="","",X20-Y20)</f>
        <v/>
      </c>
      <c r="AD20" s="5">
        <f>IF(D20="","",AA20-Z20)</f>
        <v/>
      </c>
      <c r="AG20">
        <f>IF(D20="","",N(AG19)+IF(MATCH(D20,$D$2:$D$3001,0)=ROW()-1,1,0))</f>
        <v/>
      </c>
    </row>
    <row r="21">
      <c r="Y21" s="5">
        <f>IF(D21="","",X21*IF(AND(ISNUMBER(AC21),AC21&gt;0,AC21&lt;1),AC21*100,AC21)/100)</f>
        <v/>
      </c>
      <c r="Z21" s="5">
        <f>IF(D21="","",AB21*AA21/100)</f>
        <v/>
      </c>
      <c r="AA21" s="5">
        <f>IF(D21="","",X21-Y21)</f>
        <v/>
      </c>
      <c r="AD21" s="5">
        <f>IF(D21="","",AA21-Z21)</f>
        <v/>
      </c>
      <c r="AG21">
        <f>IF(D21="","",N(AG20)+IF(MATCH(D21,$D$2:$D$3001,0)=ROW()-1,1,0))</f>
        <v/>
      </c>
    </row>
    <row r="22">
      <c r="Y22" s="5">
        <f>IF(D22="","",X22*IF(AND(ISNUMBER(AC22),AC22&gt;0,AC22&lt;1),AC22*100,AC22)/100)</f>
        <v/>
      </c>
      <c r="Z22" s="5">
        <f>IF(D22="","",AB22*AA22/100)</f>
        <v/>
      </c>
      <c r="AA22" s="5">
        <f>IF(D22="","",X22-Y22)</f>
        <v/>
      </c>
      <c r="AD22" s="5">
        <f>IF(D22="","",AA22-Z22)</f>
        <v/>
      </c>
      <c r="AG22">
        <f>IF(D22="","",N(AG21)+IF(MATCH(D22,$D$2:$D$3001,0)=ROW()-1,1,0))</f>
        <v/>
      </c>
    </row>
    <row r="23">
      <c r="Y23" s="5">
        <f>IF(D23="","",X23*IF(AND(ISNUMBER(AC23),AC23&gt;0,AC23&lt;1),AC23*100,AC23)/100)</f>
        <v/>
      </c>
      <c r="Z23" s="5">
        <f>IF(D23="","",AB23*AA23/100)</f>
        <v/>
      </c>
      <c r="AA23" s="5">
        <f>IF(D23="","",X23-Y23)</f>
        <v/>
      </c>
      <c r="AD23" s="5">
        <f>IF(D23="","",AA23-Z23)</f>
        <v/>
      </c>
      <c r="AG23">
        <f>IF(D23="","",N(AG22)+IF(MATCH(D23,$D$2:$D$3001,0)=ROW()-1,1,0))</f>
        <v/>
      </c>
    </row>
    <row r="24">
      <c r="Y24" s="5">
        <f>IF(D24="","",X24*IF(AND(ISNUMBER(AC24),AC24&gt;0,AC24&lt;1),AC24*100,AC24)/100)</f>
        <v/>
      </c>
      <c r="Z24" s="5">
        <f>IF(D24="","",AB24*AA24/100)</f>
        <v/>
      </c>
      <c r="AA24" s="5">
        <f>IF(D24="","",X24-Y24)</f>
        <v/>
      </c>
      <c r="AD24" s="5">
        <f>IF(D24="","",AA24-Z24)</f>
        <v/>
      </c>
      <c r="AG24">
        <f>IF(D24="","",N(AG23)+IF(MATCH(D24,$D$2:$D$3001,0)=ROW()-1,1,0))</f>
        <v/>
      </c>
    </row>
    <row r="25">
      <c r="Y25" s="5">
        <f>IF(D25="","",X25*IF(AND(ISNUMBER(AC25),AC25&gt;0,AC25&lt;1),AC25*100,AC25)/100)</f>
        <v/>
      </c>
      <c r="Z25" s="5">
        <f>IF(D25="","",AB25*AA25/100)</f>
        <v/>
      </c>
      <c r="AA25" s="5">
        <f>IF(D25="","",X25-Y25)</f>
        <v/>
      </c>
      <c r="AD25" s="5">
        <f>IF(D25="","",AA25-Z25)</f>
        <v/>
      </c>
      <c r="AG25">
        <f>IF(D25="","",N(AG24)+IF(MATCH(D25,$D$2:$D$3001,0)=ROW()-1,1,0))</f>
        <v/>
      </c>
    </row>
    <row r="26">
      <c r="Y26" s="5">
        <f>IF(D26="","",X26*IF(AND(ISNUMBER(AC26),AC26&gt;0,AC26&lt;1),AC26*100,AC26)/100)</f>
        <v/>
      </c>
      <c r="Z26" s="5">
        <f>IF(D26="","",AB26*AA26/100)</f>
        <v/>
      </c>
      <c r="AA26" s="5">
        <f>IF(D26="","",X26-Y26)</f>
        <v/>
      </c>
      <c r="AD26" s="5">
        <f>IF(D26="","",AA26-Z26)</f>
        <v/>
      </c>
      <c r="AG26">
        <f>IF(D26="","",N(AG25)+IF(MATCH(D26,$D$2:$D$3001,0)=ROW()-1,1,0))</f>
        <v/>
      </c>
    </row>
    <row r="27">
      <c r="Y27" s="5">
        <f>IF(D27="","",X27*IF(AND(ISNUMBER(AC27),AC27&gt;0,AC27&lt;1),AC27*100,AC27)/100)</f>
        <v/>
      </c>
      <c r="Z27" s="5">
        <f>IF(D27="","",AB27*AA27/100)</f>
        <v/>
      </c>
      <c r="AA27" s="5">
        <f>IF(D27="","",X27-Y27)</f>
        <v/>
      </c>
      <c r="AD27" s="5">
        <f>IF(D27="","",AA27-Z27)</f>
        <v/>
      </c>
      <c r="AG27">
        <f>IF(D27="","",N(AG26)+IF(MATCH(D27,$D$2:$D$3001,0)=ROW()-1,1,0))</f>
        <v/>
      </c>
    </row>
    <row r="28">
      <c r="Y28" s="5">
        <f>IF(D28="","",X28*IF(AND(ISNUMBER(AC28),AC28&gt;0,AC28&lt;1),AC28*100,AC28)/100)</f>
        <v/>
      </c>
      <c r="Z28" s="5">
        <f>IF(D28="","",AB28*AA28/100)</f>
        <v/>
      </c>
      <c r="AA28" s="5">
        <f>IF(D28="","",X28-Y28)</f>
        <v/>
      </c>
      <c r="AD28" s="5">
        <f>IF(D28="","",AA28-Z28)</f>
        <v/>
      </c>
      <c r="AG28">
        <f>IF(D28="","",N(AG27)+IF(MATCH(D28,$D$2:$D$3001,0)=ROW()-1,1,0))</f>
        <v/>
      </c>
    </row>
    <row r="29">
      <c r="Y29" s="5">
        <f>IF(D29="","",X29*IF(AND(ISNUMBER(AC29),AC29&gt;0,AC29&lt;1),AC29*100,AC29)/100)</f>
        <v/>
      </c>
      <c r="Z29" s="5">
        <f>IF(D29="","",AB29*AA29/100)</f>
        <v/>
      </c>
      <c r="AA29" s="5">
        <f>IF(D29="","",X29-Y29)</f>
        <v/>
      </c>
      <c r="AD29" s="5">
        <f>IF(D29="","",AA29-Z29)</f>
        <v/>
      </c>
      <c r="AG29">
        <f>IF(D29="","",N(AG28)+IF(MATCH(D29,$D$2:$D$3001,0)=ROW()-1,1,0))</f>
        <v/>
      </c>
    </row>
    <row r="30">
      <c r="Y30" s="5">
        <f>IF(D30="","",X30*IF(AND(ISNUMBER(AC30),AC30&gt;0,AC30&lt;1),AC30*100,AC30)/100)</f>
        <v/>
      </c>
      <c r="Z30" s="5">
        <f>IF(D30="","",AB30*AA30/100)</f>
        <v/>
      </c>
      <c r="AA30" s="5">
        <f>IF(D30="","",X30-Y30)</f>
        <v/>
      </c>
      <c r="AD30" s="5">
        <f>IF(D30="","",AA30-Z30)</f>
        <v/>
      </c>
      <c r="AG30">
        <f>IF(D30="","",N(AG29)+IF(MATCH(D30,$D$2:$D$3001,0)=ROW()-1,1,0))</f>
        <v/>
      </c>
    </row>
    <row r="31">
      <c r="Y31" s="5">
        <f>IF(D31="","",X31*IF(AND(ISNUMBER(AC31),AC31&gt;0,AC31&lt;1),AC31*100,AC31)/100)</f>
        <v/>
      </c>
      <c r="Z31" s="5">
        <f>IF(D31="","",AB31*AA31/100)</f>
        <v/>
      </c>
      <c r="AA31" s="5">
        <f>IF(D31="","",X31-Y31)</f>
        <v/>
      </c>
      <c r="AD31" s="5">
        <f>IF(D31="","",AA31-Z31)</f>
        <v/>
      </c>
      <c r="AG31">
        <f>IF(D31="","",N(AG30)+IF(MATCH(D31,$D$2:$D$3001,0)=ROW()-1,1,0))</f>
        <v/>
      </c>
    </row>
    <row r="32">
      <c r="Y32" s="5">
        <f>IF(D32="","",X32*IF(AND(ISNUMBER(AC32),AC32&gt;0,AC32&lt;1),AC32*100,AC32)/100)</f>
        <v/>
      </c>
      <c r="Z32" s="5">
        <f>IF(D32="","",AB32*AA32/100)</f>
        <v/>
      </c>
      <c r="AA32" s="5">
        <f>IF(D32="","",X32-Y32)</f>
        <v/>
      </c>
      <c r="AD32" s="5">
        <f>IF(D32="","",AA32-Z32)</f>
        <v/>
      </c>
      <c r="AG32">
        <f>IF(D32="","",N(AG31)+IF(MATCH(D32,$D$2:$D$3001,0)=ROW()-1,1,0))</f>
        <v/>
      </c>
    </row>
    <row r="33">
      <c r="Y33" s="5">
        <f>IF(D33="","",X33*IF(AND(ISNUMBER(AC33),AC33&gt;0,AC33&lt;1),AC33*100,AC33)/100)</f>
        <v/>
      </c>
      <c r="Z33" s="5">
        <f>IF(D33="","",AB33*AA33/100)</f>
        <v/>
      </c>
      <c r="AA33" s="5">
        <f>IF(D33="","",X33-Y33)</f>
        <v/>
      </c>
      <c r="AD33" s="5">
        <f>IF(D33="","",AA33-Z33)</f>
        <v/>
      </c>
      <c r="AG33">
        <f>IF(D33="","",N(AG32)+IF(MATCH(D33,$D$2:$D$3001,0)=ROW()-1,1,0))</f>
        <v/>
      </c>
    </row>
    <row r="34">
      <c r="Y34" s="5">
        <f>IF(D34="","",X34*IF(AND(ISNUMBER(AC34),AC34&gt;0,AC34&lt;1),AC34*100,AC34)/100)</f>
        <v/>
      </c>
      <c r="Z34" s="5">
        <f>IF(D34="","",AB34*AA34/100)</f>
        <v/>
      </c>
      <c r="AA34" s="5">
        <f>IF(D34="","",X34-Y34)</f>
        <v/>
      </c>
      <c r="AD34" s="5">
        <f>IF(D34="","",AA34-Z34)</f>
        <v/>
      </c>
      <c r="AG34">
        <f>IF(D34="","",N(AG33)+IF(MATCH(D34,$D$2:$D$3001,0)=ROW()-1,1,0))</f>
        <v/>
      </c>
    </row>
    <row r="35">
      <c r="Y35" s="5">
        <f>IF(D35="","",X35*IF(AND(ISNUMBER(AC35),AC35&gt;0,AC35&lt;1),AC35*100,AC35)/100)</f>
        <v/>
      </c>
      <c r="Z35" s="5">
        <f>IF(D35="","",AB35*AA35/100)</f>
        <v/>
      </c>
      <c r="AA35" s="5">
        <f>IF(D35="","",X35-Y35)</f>
        <v/>
      </c>
      <c r="AD35" s="5">
        <f>IF(D35="","",AA35-Z35)</f>
        <v/>
      </c>
      <c r="AG35">
        <f>IF(D35="","",N(AG34)+IF(MATCH(D35,$D$2:$D$3001,0)=ROW()-1,1,0))</f>
        <v/>
      </c>
    </row>
    <row r="36">
      <c r="Y36" s="5">
        <f>IF(D36="","",X36*IF(AND(ISNUMBER(AC36),AC36&gt;0,AC36&lt;1),AC36*100,AC36)/100)</f>
        <v/>
      </c>
      <c r="Z36" s="5">
        <f>IF(D36="","",AB36*AA36/100)</f>
        <v/>
      </c>
      <c r="AA36" s="5">
        <f>IF(D36="","",X36-Y36)</f>
        <v/>
      </c>
      <c r="AD36" s="5">
        <f>IF(D36="","",AA36-Z36)</f>
        <v/>
      </c>
      <c r="AG36">
        <f>IF(D36="","",N(AG35)+IF(MATCH(D36,$D$2:$D$3001,0)=ROW()-1,1,0))</f>
        <v/>
      </c>
    </row>
    <row r="37">
      <c r="Y37" s="5">
        <f>IF(D37="","",X37*IF(AND(ISNUMBER(AC37),AC37&gt;0,AC37&lt;1),AC37*100,AC37)/100)</f>
        <v/>
      </c>
      <c r="Z37" s="5">
        <f>IF(D37="","",AB37*AA37/100)</f>
        <v/>
      </c>
      <c r="AA37" s="5">
        <f>IF(D37="","",X37-Y37)</f>
        <v/>
      </c>
      <c r="AD37" s="5">
        <f>IF(D37="","",AA37-Z37)</f>
        <v/>
      </c>
      <c r="AG37">
        <f>IF(D37="","",N(AG36)+IF(MATCH(D37,$D$2:$D$3001,0)=ROW()-1,1,0))</f>
        <v/>
      </c>
    </row>
    <row r="38">
      <c r="Y38" s="5">
        <f>IF(D38="","",X38*IF(AND(ISNUMBER(AC38),AC38&gt;0,AC38&lt;1),AC38*100,AC38)/100)</f>
        <v/>
      </c>
      <c r="Z38" s="5">
        <f>IF(D38="","",AB38*AA38/100)</f>
        <v/>
      </c>
      <c r="AA38" s="5">
        <f>IF(D38="","",X38-Y38)</f>
        <v/>
      </c>
      <c r="AD38" s="5">
        <f>IF(D38="","",AA38-Z38)</f>
        <v/>
      </c>
      <c r="AG38">
        <f>IF(D38="","",N(AG37)+IF(MATCH(D38,$D$2:$D$3001,0)=ROW()-1,1,0))</f>
        <v/>
      </c>
    </row>
    <row r="39">
      <c r="Y39" s="5">
        <f>IF(D39="","",X39*IF(AND(ISNUMBER(AC39),AC39&gt;0,AC39&lt;1),AC39*100,AC39)/100)</f>
        <v/>
      </c>
      <c r="Z39" s="5">
        <f>IF(D39="","",AB39*AA39/100)</f>
        <v/>
      </c>
      <c r="AA39" s="5">
        <f>IF(D39="","",X39-Y39)</f>
        <v/>
      </c>
      <c r="AD39" s="5">
        <f>IF(D39="","",AA39-Z39)</f>
        <v/>
      </c>
      <c r="AG39">
        <f>IF(D39="","",N(AG38)+IF(MATCH(D39,$D$2:$D$3001,0)=ROW()-1,1,0))</f>
        <v/>
      </c>
    </row>
    <row r="40">
      <c r="Y40" s="5">
        <f>IF(D40="","",X40*IF(AND(ISNUMBER(AC40),AC40&gt;0,AC40&lt;1),AC40*100,AC40)/100)</f>
        <v/>
      </c>
      <c r="Z40" s="5">
        <f>IF(D40="","",AB40*AA40/100)</f>
        <v/>
      </c>
      <c r="AA40" s="5">
        <f>IF(D40="","",X40-Y40)</f>
        <v/>
      </c>
      <c r="AD40" s="5">
        <f>IF(D40="","",AA40-Z40)</f>
        <v/>
      </c>
      <c r="AG40">
        <f>IF(D40="","",N(AG39)+IF(MATCH(D40,$D$2:$D$3001,0)=ROW()-1,1,0))</f>
        <v/>
      </c>
    </row>
    <row r="41">
      <c r="Y41" s="5">
        <f>IF(D41="","",X41*IF(AND(ISNUMBER(AC41),AC41&gt;0,AC41&lt;1),AC41*100,AC41)/100)</f>
        <v/>
      </c>
      <c r="Z41" s="5">
        <f>IF(D41="","",AB41*AA41/100)</f>
        <v/>
      </c>
      <c r="AA41" s="5">
        <f>IF(D41="","",X41-Y41)</f>
        <v/>
      </c>
      <c r="AD41" s="5">
        <f>IF(D41="","",AA41-Z41)</f>
        <v/>
      </c>
      <c r="AG41">
        <f>IF(D41="","",N(AG40)+IF(MATCH(D41,$D$2:$D$3001,0)=ROW()-1,1,0))</f>
        <v/>
      </c>
    </row>
    <row r="42">
      <c r="Y42" s="5">
        <f>IF(D42="","",X42*IF(AND(ISNUMBER(AC42),AC42&gt;0,AC42&lt;1),AC42*100,AC42)/100)</f>
        <v/>
      </c>
      <c r="Z42" s="5">
        <f>IF(D42="","",AB42*AA42/100)</f>
        <v/>
      </c>
      <c r="AA42" s="5">
        <f>IF(D42="","",X42-Y42)</f>
        <v/>
      </c>
      <c r="AD42" s="5">
        <f>IF(D42="","",AA42-Z42)</f>
        <v/>
      </c>
      <c r="AG42">
        <f>IF(D42="","",N(AG41)+IF(MATCH(D42,$D$2:$D$3001,0)=ROW()-1,1,0))</f>
        <v/>
      </c>
    </row>
    <row r="43">
      <c r="Y43" s="5">
        <f>IF(D43="","",X43*IF(AND(ISNUMBER(AC43),AC43&gt;0,AC43&lt;1),AC43*100,AC43)/100)</f>
        <v/>
      </c>
      <c r="Z43" s="5">
        <f>IF(D43="","",AB43*AA43/100)</f>
        <v/>
      </c>
      <c r="AA43" s="5">
        <f>IF(D43="","",X43-Y43)</f>
        <v/>
      </c>
      <c r="AD43" s="5">
        <f>IF(D43="","",AA43-Z43)</f>
        <v/>
      </c>
      <c r="AG43">
        <f>IF(D43="","",N(AG42)+IF(MATCH(D43,$D$2:$D$3001,0)=ROW()-1,1,0))</f>
        <v/>
      </c>
    </row>
    <row r="44">
      <c r="Y44" s="5">
        <f>IF(D44="","",X44*IF(AND(ISNUMBER(AC44),AC44&gt;0,AC44&lt;1),AC44*100,AC44)/100)</f>
        <v/>
      </c>
      <c r="Z44" s="5">
        <f>IF(D44="","",AB44*AA44/100)</f>
        <v/>
      </c>
      <c r="AA44" s="5">
        <f>IF(D44="","",X44-Y44)</f>
        <v/>
      </c>
      <c r="AD44" s="5">
        <f>IF(D44="","",AA44-Z44)</f>
        <v/>
      </c>
      <c r="AG44">
        <f>IF(D44="","",N(AG43)+IF(MATCH(D44,$D$2:$D$3001,0)=ROW()-1,1,0))</f>
        <v/>
      </c>
    </row>
    <row r="45">
      <c r="Y45" s="5">
        <f>IF(D45="","",X45*IF(AND(ISNUMBER(AC45),AC45&gt;0,AC45&lt;1),AC45*100,AC45)/100)</f>
        <v/>
      </c>
      <c r="Z45" s="5">
        <f>IF(D45="","",AB45*AA45/100)</f>
        <v/>
      </c>
      <c r="AA45" s="5">
        <f>IF(D45="","",X45-Y45)</f>
        <v/>
      </c>
      <c r="AD45" s="5">
        <f>IF(D45="","",AA45-Z45)</f>
        <v/>
      </c>
      <c r="AG45">
        <f>IF(D45="","",N(AG44)+IF(MATCH(D45,$D$2:$D$3001,0)=ROW()-1,1,0))</f>
        <v/>
      </c>
    </row>
    <row r="46">
      <c r="Y46" s="5">
        <f>IF(D46="","",X46*IF(AND(ISNUMBER(AC46),AC46&gt;0,AC46&lt;1),AC46*100,AC46)/100)</f>
        <v/>
      </c>
      <c r="Z46" s="5">
        <f>IF(D46="","",AB46*AA46/100)</f>
        <v/>
      </c>
      <c r="AA46" s="5">
        <f>IF(D46="","",X46-Y46)</f>
        <v/>
      </c>
      <c r="AD46" s="5">
        <f>IF(D46="","",AA46-Z46)</f>
        <v/>
      </c>
      <c r="AG46">
        <f>IF(D46="","",N(AG45)+IF(MATCH(D46,$D$2:$D$3001,0)=ROW()-1,1,0))</f>
        <v/>
      </c>
    </row>
    <row r="47">
      <c r="Y47" s="5">
        <f>IF(D47="","",X47*IF(AND(ISNUMBER(AC47),AC47&gt;0,AC47&lt;1),AC47*100,AC47)/100)</f>
        <v/>
      </c>
      <c r="Z47" s="5">
        <f>IF(D47="","",AB47*AA47/100)</f>
        <v/>
      </c>
      <c r="AA47" s="5">
        <f>IF(D47="","",X47-Y47)</f>
        <v/>
      </c>
      <c r="AD47" s="5">
        <f>IF(D47="","",AA47-Z47)</f>
        <v/>
      </c>
      <c r="AG47">
        <f>IF(D47="","",N(AG46)+IF(MATCH(D47,$D$2:$D$3001,0)=ROW()-1,1,0))</f>
        <v/>
      </c>
    </row>
    <row r="48">
      <c r="Y48" s="5">
        <f>IF(D48="","",X48*IF(AND(ISNUMBER(AC48),AC48&gt;0,AC48&lt;1),AC48*100,AC48)/100)</f>
        <v/>
      </c>
      <c r="Z48" s="5">
        <f>IF(D48="","",AB48*AA48/100)</f>
        <v/>
      </c>
      <c r="AA48" s="5">
        <f>IF(D48="","",X48-Y48)</f>
        <v/>
      </c>
      <c r="AD48" s="5">
        <f>IF(D48="","",AA48-Z48)</f>
        <v/>
      </c>
      <c r="AG48">
        <f>IF(D48="","",N(AG47)+IF(MATCH(D48,$D$2:$D$3001,0)=ROW()-1,1,0))</f>
        <v/>
      </c>
    </row>
    <row r="49">
      <c r="Y49" s="5">
        <f>IF(D49="","",X49*IF(AND(ISNUMBER(AC49),AC49&gt;0,AC49&lt;1),AC49*100,AC49)/100)</f>
        <v/>
      </c>
      <c r="Z49" s="5">
        <f>IF(D49="","",AB49*AA49/100)</f>
        <v/>
      </c>
      <c r="AA49" s="5">
        <f>IF(D49="","",X49-Y49)</f>
        <v/>
      </c>
      <c r="AD49" s="5">
        <f>IF(D49="","",AA49-Z49)</f>
        <v/>
      </c>
      <c r="AG49">
        <f>IF(D49="","",N(AG48)+IF(MATCH(D49,$D$2:$D$3001,0)=ROW()-1,1,0))</f>
        <v/>
      </c>
    </row>
    <row r="50">
      <c r="Y50" s="5">
        <f>IF(D50="","",X50*IF(AND(ISNUMBER(AC50),AC50&gt;0,AC50&lt;1),AC50*100,AC50)/100)</f>
        <v/>
      </c>
      <c r="Z50" s="5">
        <f>IF(D50="","",AB50*AA50/100)</f>
        <v/>
      </c>
      <c r="AA50" s="5">
        <f>IF(D50="","",X50-Y50)</f>
        <v/>
      </c>
      <c r="AD50" s="5">
        <f>IF(D50="","",AA50-Z50)</f>
        <v/>
      </c>
      <c r="AG50">
        <f>IF(D50="","",N(AG49)+IF(MATCH(D50,$D$2:$D$3001,0)=ROW()-1,1,0))</f>
        <v/>
      </c>
    </row>
    <row r="51">
      <c r="Y51" s="5">
        <f>IF(D51="","",X51*IF(AND(ISNUMBER(AC51),AC51&gt;0,AC51&lt;1),AC51*100,AC51)/100)</f>
        <v/>
      </c>
      <c r="Z51" s="5">
        <f>IF(D51="","",AB51*AA51/100)</f>
        <v/>
      </c>
      <c r="AA51" s="5">
        <f>IF(D51="","",X51-Y51)</f>
        <v/>
      </c>
      <c r="AD51" s="5">
        <f>IF(D51="","",AA51-Z51)</f>
        <v/>
      </c>
      <c r="AG51">
        <f>IF(D51="","",N(AG50)+IF(MATCH(D51,$D$2:$D$3001,0)=ROW()-1,1,0))</f>
        <v/>
      </c>
    </row>
    <row r="52">
      <c r="Y52" s="5">
        <f>IF(D52="","",X52*IF(AND(ISNUMBER(AC52),AC52&gt;0,AC52&lt;1),AC52*100,AC52)/100)</f>
        <v/>
      </c>
      <c r="Z52" s="5">
        <f>IF(D52="","",AB52*AA52/100)</f>
        <v/>
      </c>
      <c r="AA52" s="5">
        <f>IF(D52="","",X52-Y52)</f>
        <v/>
      </c>
      <c r="AD52" s="5">
        <f>IF(D52="","",AA52-Z52)</f>
        <v/>
      </c>
      <c r="AG52">
        <f>IF(D52="","",N(AG51)+IF(MATCH(D52,$D$2:$D$3001,0)=ROW()-1,1,0))</f>
        <v/>
      </c>
    </row>
    <row r="53">
      <c r="Y53" s="5">
        <f>IF(D53="","",X53*IF(AND(ISNUMBER(AC53),AC53&gt;0,AC53&lt;1),AC53*100,AC53)/100)</f>
        <v/>
      </c>
      <c r="Z53" s="5">
        <f>IF(D53="","",AB53*AA53/100)</f>
        <v/>
      </c>
      <c r="AA53" s="5">
        <f>IF(D53="","",X53-Y53)</f>
        <v/>
      </c>
      <c r="AD53" s="5">
        <f>IF(D53="","",AA53-Z53)</f>
        <v/>
      </c>
      <c r="AG53">
        <f>IF(D53="","",N(AG52)+IF(MATCH(D53,$D$2:$D$3001,0)=ROW()-1,1,0))</f>
        <v/>
      </c>
    </row>
    <row r="54">
      <c r="Y54" s="5">
        <f>IF(D54="","",X54*IF(AND(ISNUMBER(AC54),AC54&gt;0,AC54&lt;1),AC54*100,AC54)/100)</f>
        <v/>
      </c>
      <c r="Z54" s="5">
        <f>IF(D54="","",AB54*AA54/100)</f>
        <v/>
      </c>
      <c r="AA54" s="5">
        <f>IF(D54="","",X54-Y54)</f>
        <v/>
      </c>
      <c r="AD54" s="5">
        <f>IF(D54="","",AA54-Z54)</f>
        <v/>
      </c>
      <c r="AG54">
        <f>IF(D54="","",N(AG53)+IF(MATCH(D54,$D$2:$D$3001,0)=ROW()-1,1,0))</f>
        <v/>
      </c>
    </row>
    <row r="55">
      <c r="Y55" s="5">
        <f>IF(D55="","",X55*IF(AND(ISNUMBER(AC55),AC55&gt;0,AC55&lt;1),AC55*100,AC55)/100)</f>
        <v/>
      </c>
      <c r="Z55" s="5">
        <f>IF(D55="","",AB55*AA55/100)</f>
        <v/>
      </c>
      <c r="AA55" s="5">
        <f>IF(D55="","",X55-Y55)</f>
        <v/>
      </c>
      <c r="AD55" s="5">
        <f>IF(D55="","",AA55-Z55)</f>
        <v/>
      </c>
      <c r="AG55">
        <f>IF(D55="","",N(AG54)+IF(MATCH(D55,$D$2:$D$3001,0)=ROW()-1,1,0))</f>
        <v/>
      </c>
    </row>
    <row r="56">
      <c r="Y56" s="5">
        <f>IF(D56="","",X56*IF(AND(ISNUMBER(AC56),AC56&gt;0,AC56&lt;1),AC56*100,AC56)/100)</f>
        <v/>
      </c>
      <c r="Z56" s="5">
        <f>IF(D56="","",AB56*AA56/100)</f>
        <v/>
      </c>
      <c r="AA56" s="5">
        <f>IF(D56="","",X56-Y56)</f>
        <v/>
      </c>
      <c r="AD56" s="5">
        <f>IF(D56="","",AA56-Z56)</f>
        <v/>
      </c>
      <c r="AG56">
        <f>IF(D56="","",N(AG55)+IF(MATCH(D56,$D$2:$D$3001,0)=ROW()-1,1,0))</f>
        <v/>
      </c>
    </row>
    <row r="57">
      <c r="Y57" s="5">
        <f>IF(D57="","",X57*IF(AND(ISNUMBER(AC57),AC57&gt;0,AC57&lt;1),AC57*100,AC57)/100)</f>
        <v/>
      </c>
      <c r="Z57" s="5">
        <f>IF(D57="","",AB57*AA57/100)</f>
        <v/>
      </c>
      <c r="AA57" s="5">
        <f>IF(D57="","",X57-Y57)</f>
        <v/>
      </c>
      <c r="AD57" s="5">
        <f>IF(D57="","",AA57-Z57)</f>
        <v/>
      </c>
      <c r="AG57">
        <f>IF(D57="","",N(AG56)+IF(MATCH(D57,$D$2:$D$3001,0)=ROW()-1,1,0))</f>
        <v/>
      </c>
    </row>
    <row r="58">
      <c r="Y58" s="5">
        <f>IF(D58="","",X58*IF(AND(ISNUMBER(AC58),AC58&gt;0,AC58&lt;1),AC58*100,AC58)/100)</f>
        <v/>
      </c>
      <c r="Z58" s="5">
        <f>IF(D58="","",AB58*AA58/100)</f>
        <v/>
      </c>
      <c r="AA58" s="5">
        <f>IF(D58="","",X58-Y58)</f>
        <v/>
      </c>
      <c r="AD58" s="5">
        <f>IF(D58="","",AA58-Z58)</f>
        <v/>
      </c>
      <c r="AG58">
        <f>IF(D58="","",N(AG57)+IF(MATCH(D58,$D$2:$D$3001,0)=ROW()-1,1,0))</f>
        <v/>
      </c>
    </row>
    <row r="59">
      <c r="Y59" s="5">
        <f>IF(D59="","",X59*IF(AND(ISNUMBER(AC59),AC59&gt;0,AC59&lt;1),AC59*100,AC59)/100)</f>
        <v/>
      </c>
      <c r="Z59" s="5">
        <f>IF(D59="","",AB59*AA59/100)</f>
        <v/>
      </c>
      <c r="AA59" s="5">
        <f>IF(D59="","",X59-Y59)</f>
        <v/>
      </c>
      <c r="AD59" s="5">
        <f>IF(D59="","",AA59-Z59)</f>
        <v/>
      </c>
      <c r="AG59">
        <f>IF(D59="","",N(AG58)+IF(MATCH(D59,$D$2:$D$3001,0)=ROW()-1,1,0))</f>
        <v/>
      </c>
    </row>
    <row r="60">
      <c r="Y60" s="5">
        <f>IF(D60="","",X60*IF(AND(ISNUMBER(AC60),AC60&gt;0,AC60&lt;1),AC60*100,AC60)/100)</f>
        <v/>
      </c>
      <c r="Z60" s="5">
        <f>IF(D60="","",AB60*AA60/100)</f>
        <v/>
      </c>
      <c r="AA60" s="5">
        <f>IF(D60="","",X60-Y60)</f>
        <v/>
      </c>
      <c r="AD60" s="5">
        <f>IF(D60="","",AA60-Z60)</f>
        <v/>
      </c>
      <c r="AG60">
        <f>IF(D60="","",N(AG59)+IF(MATCH(D60,$D$2:$D$3001,0)=ROW()-1,1,0))</f>
        <v/>
      </c>
    </row>
    <row r="61">
      <c r="Y61" s="5">
        <f>IF(D61="","",X61*IF(AND(ISNUMBER(AC61),AC61&gt;0,AC61&lt;1),AC61*100,AC61)/100)</f>
        <v/>
      </c>
      <c r="Z61" s="5">
        <f>IF(D61="","",AB61*AA61/100)</f>
        <v/>
      </c>
      <c r="AA61" s="5">
        <f>IF(D61="","",X61-Y61)</f>
        <v/>
      </c>
      <c r="AD61" s="5">
        <f>IF(D61="","",AA61-Z61)</f>
        <v/>
      </c>
      <c r="AG61">
        <f>IF(D61="","",N(AG60)+IF(MATCH(D61,$D$2:$D$3001,0)=ROW()-1,1,0))</f>
        <v/>
      </c>
    </row>
    <row r="62">
      <c r="Y62" s="5">
        <f>IF(D62="","",X62*IF(AND(ISNUMBER(AC62),AC62&gt;0,AC62&lt;1),AC62*100,AC62)/100)</f>
        <v/>
      </c>
      <c r="Z62" s="5">
        <f>IF(D62="","",AB62*AA62/100)</f>
        <v/>
      </c>
      <c r="AA62" s="5">
        <f>IF(D62="","",X62-Y62)</f>
        <v/>
      </c>
      <c r="AD62" s="5">
        <f>IF(D62="","",AA62-Z62)</f>
        <v/>
      </c>
      <c r="AG62">
        <f>IF(D62="","",N(AG61)+IF(MATCH(D62,$D$2:$D$3001,0)=ROW()-1,1,0))</f>
        <v/>
      </c>
    </row>
    <row r="63">
      <c r="Y63" s="5">
        <f>IF(D63="","",X63*IF(AND(ISNUMBER(AC63),AC63&gt;0,AC63&lt;1),AC63*100,AC63)/100)</f>
        <v/>
      </c>
      <c r="Z63" s="5">
        <f>IF(D63="","",AB63*AA63/100)</f>
        <v/>
      </c>
      <c r="AA63" s="5">
        <f>IF(D63="","",X63-Y63)</f>
        <v/>
      </c>
      <c r="AD63" s="5">
        <f>IF(D63="","",AA63-Z63)</f>
        <v/>
      </c>
      <c r="AG63">
        <f>IF(D63="","",N(AG62)+IF(MATCH(D63,$D$2:$D$3001,0)=ROW()-1,1,0))</f>
        <v/>
      </c>
    </row>
    <row r="64">
      <c r="Y64" s="5">
        <f>IF(D64="","",X64*IF(AND(ISNUMBER(AC64),AC64&gt;0,AC64&lt;1),AC64*100,AC64)/100)</f>
        <v/>
      </c>
      <c r="Z64" s="5">
        <f>IF(D64="","",AB64*AA64/100)</f>
        <v/>
      </c>
      <c r="AA64" s="5">
        <f>IF(D64="","",X64-Y64)</f>
        <v/>
      </c>
      <c r="AD64" s="5">
        <f>IF(D64="","",AA64-Z64)</f>
        <v/>
      </c>
      <c r="AG64">
        <f>IF(D64="","",N(AG63)+IF(MATCH(D64,$D$2:$D$3001,0)=ROW()-1,1,0))</f>
        <v/>
      </c>
    </row>
    <row r="65">
      <c r="Y65" s="5">
        <f>IF(D65="","",X65*IF(AND(ISNUMBER(AC65),AC65&gt;0,AC65&lt;1),AC65*100,AC65)/100)</f>
        <v/>
      </c>
      <c r="Z65" s="5">
        <f>IF(D65="","",AB65*AA65/100)</f>
        <v/>
      </c>
      <c r="AA65" s="5">
        <f>IF(D65="","",X65-Y65)</f>
        <v/>
      </c>
      <c r="AD65" s="5">
        <f>IF(D65="","",AA65-Z65)</f>
        <v/>
      </c>
      <c r="AG65">
        <f>IF(D65="","",N(AG64)+IF(MATCH(D65,$D$2:$D$3001,0)=ROW()-1,1,0))</f>
        <v/>
      </c>
    </row>
    <row r="66">
      <c r="Y66" s="5">
        <f>IF(D66="","",X66*IF(AND(ISNUMBER(AC66),AC66&gt;0,AC66&lt;1),AC66*100,AC66)/100)</f>
        <v/>
      </c>
      <c r="Z66" s="5">
        <f>IF(D66="","",AB66*AA66/100)</f>
        <v/>
      </c>
      <c r="AA66" s="5">
        <f>IF(D66="","",X66-Y66)</f>
        <v/>
      </c>
      <c r="AD66" s="5">
        <f>IF(D66="","",AA66-Z66)</f>
        <v/>
      </c>
      <c r="AG66">
        <f>IF(D66="","",N(AG65)+IF(MATCH(D66,$D$2:$D$3001,0)=ROW()-1,1,0))</f>
        <v/>
      </c>
    </row>
    <row r="67">
      <c r="Y67" s="5">
        <f>IF(D67="","",X67*IF(AND(ISNUMBER(AC67),AC67&gt;0,AC67&lt;1),AC67*100,AC67)/100)</f>
        <v/>
      </c>
      <c r="Z67" s="5">
        <f>IF(D67="","",AB67*AA67/100)</f>
        <v/>
      </c>
      <c r="AA67" s="5">
        <f>IF(D67="","",X67-Y67)</f>
        <v/>
      </c>
      <c r="AD67" s="5">
        <f>IF(D67="","",AA67-Z67)</f>
        <v/>
      </c>
      <c r="AG67">
        <f>IF(D67="","",N(AG66)+IF(MATCH(D67,$D$2:$D$3001,0)=ROW()-1,1,0))</f>
        <v/>
      </c>
    </row>
    <row r="68">
      <c r="Y68" s="5">
        <f>IF(D68="","",X68*IF(AND(ISNUMBER(AC68),AC68&gt;0,AC68&lt;1),AC68*100,AC68)/100)</f>
        <v/>
      </c>
      <c r="Z68" s="5">
        <f>IF(D68="","",AB68*AA68/100)</f>
        <v/>
      </c>
      <c r="AA68" s="5">
        <f>IF(D68="","",X68-Y68)</f>
        <v/>
      </c>
      <c r="AD68" s="5">
        <f>IF(D68="","",AA68-Z68)</f>
        <v/>
      </c>
      <c r="AG68">
        <f>IF(D68="","",N(AG67)+IF(MATCH(D68,$D$2:$D$3001,0)=ROW()-1,1,0))</f>
        <v/>
      </c>
    </row>
    <row r="69">
      <c r="Y69" s="5">
        <f>IF(D69="","",X69*IF(AND(ISNUMBER(AC69),AC69&gt;0,AC69&lt;1),AC69*100,AC69)/100)</f>
        <v/>
      </c>
      <c r="Z69" s="5">
        <f>IF(D69="","",AB69*AA69/100)</f>
        <v/>
      </c>
      <c r="AA69" s="5">
        <f>IF(D69="","",X69-Y69)</f>
        <v/>
      </c>
      <c r="AD69" s="5">
        <f>IF(D69="","",AA69-Z69)</f>
        <v/>
      </c>
      <c r="AG69">
        <f>IF(D69="","",N(AG68)+IF(MATCH(D69,$D$2:$D$3001,0)=ROW()-1,1,0))</f>
        <v/>
      </c>
    </row>
    <row r="70">
      <c r="Y70" s="5">
        <f>IF(D70="","",X70*IF(AND(ISNUMBER(AC70),AC70&gt;0,AC70&lt;1),AC70*100,AC70)/100)</f>
        <v/>
      </c>
      <c r="Z70" s="5">
        <f>IF(D70="","",AB70*AA70/100)</f>
        <v/>
      </c>
      <c r="AA70" s="5">
        <f>IF(D70="","",X70-Y70)</f>
        <v/>
      </c>
      <c r="AD70" s="5">
        <f>IF(D70="","",AA70-Z70)</f>
        <v/>
      </c>
      <c r="AG70">
        <f>IF(D70="","",N(AG69)+IF(MATCH(D70,$D$2:$D$3001,0)=ROW()-1,1,0))</f>
        <v/>
      </c>
    </row>
    <row r="71">
      <c r="Y71" s="5">
        <f>IF(D71="","",X71*IF(AND(ISNUMBER(AC71),AC71&gt;0,AC71&lt;1),AC71*100,AC71)/100)</f>
        <v/>
      </c>
      <c r="Z71" s="5">
        <f>IF(D71="","",AB71*AA71/100)</f>
        <v/>
      </c>
      <c r="AA71" s="5">
        <f>IF(D71="","",X71-Y71)</f>
        <v/>
      </c>
      <c r="AD71" s="5">
        <f>IF(D71="","",AA71-Z71)</f>
        <v/>
      </c>
      <c r="AG71">
        <f>IF(D71="","",N(AG70)+IF(MATCH(D71,$D$2:$D$3001,0)=ROW()-1,1,0))</f>
        <v/>
      </c>
    </row>
    <row r="72">
      <c r="Y72" s="5">
        <f>IF(D72="","",X72*IF(AND(ISNUMBER(AC72),AC72&gt;0,AC72&lt;1),AC72*100,AC72)/100)</f>
        <v/>
      </c>
      <c r="Z72" s="5">
        <f>IF(D72="","",AB72*AA72/100)</f>
        <v/>
      </c>
      <c r="AA72" s="5">
        <f>IF(D72="","",X72-Y72)</f>
        <v/>
      </c>
      <c r="AD72" s="5">
        <f>IF(D72="","",AA72-Z72)</f>
        <v/>
      </c>
      <c r="AG72">
        <f>IF(D72="","",N(AG71)+IF(MATCH(D72,$D$2:$D$3001,0)=ROW()-1,1,0))</f>
        <v/>
      </c>
    </row>
    <row r="73">
      <c r="Y73" s="5">
        <f>IF(D73="","",X73*IF(AND(ISNUMBER(AC73),AC73&gt;0,AC73&lt;1),AC73*100,AC73)/100)</f>
        <v/>
      </c>
      <c r="Z73" s="5">
        <f>IF(D73="","",AB73*AA73/100)</f>
        <v/>
      </c>
      <c r="AA73" s="5">
        <f>IF(D73="","",X73-Y73)</f>
        <v/>
      </c>
      <c r="AD73" s="5">
        <f>IF(D73="","",AA73-Z73)</f>
        <v/>
      </c>
      <c r="AG73">
        <f>IF(D73="","",N(AG72)+IF(MATCH(D73,$D$2:$D$3001,0)=ROW()-1,1,0))</f>
        <v/>
      </c>
    </row>
    <row r="74">
      <c r="Y74" s="5">
        <f>IF(D74="","",X74*IF(AND(ISNUMBER(AC74),AC74&gt;0,AC74&lt;1),AC74*100,AC74)/100)</f>
        <v/>
      </c>
      <c r="Z74" s="5">
        <f>IF(D74="","",AB74*AA74/100)</f>
        <v/>
      </c>
      <c r="AA74" s="5">
        <f>IF(D74="","",X74-Y74)</f>
        <v/>
      </c>
      <c r="AD74" s="5">
        <f>IF(D74="","",AA74-Z74)</f>
        <v/>
      </c>
      <c r="AG74">
        <f>IF(D74="","",N(AG73)+IF(MATCH(D74,$D$2:$D$3001,0)=ROW()-1,1,0))</f>
        <v/>
      </c>
    </row>
    <row r="75">
      <c r="Y75" s="5">
        <f>IF(D75="","",X75*IF(AND(ISNUMBER(AC75),AC75&gt;0,AC75&lt;1),AC75*100,AC75)/100)</f>
        <v/>
      </c>
      <c r="Z75" s="5">
        <f>IF(D75="","",AB75*AA75/100)</f>
        <v/>
      </c>
      <c r="AA75" s="5">
        <f>IF(D75="","",X75-Y75)</f>
        <v/>
      </c>
      <c r="AD75" s="5">
        <f>IF(D75="","",AA75-Z75)</f>
        <v/>
      </c>
      <c r="AG75">
        <f>IF(D75="","",N(AG74)+IF(MATCH(D75,$D$2:$D$3001,0)=ROW()-1,1,0))</f>
        <v/>
      </c>
    </row>
    <row r="76">
      <c r="Y76" s="5">
        <f>IF(D76="","",X76*IF(AND(ISNUMBER(AC76),AC76&gt;0,AC76&lt;1),AC76*100,AC76)/100)</f>
        <v/>
      </c>
      <c r="Z76" s="5">
        <f>IF(D76="","",AB76*AA76/100)</f>
        <v/>
      </c>
      <c r="AA76" s="5">
        <f>IF(D76="","",X76-Y76)</f>
        <v/>
      </c>
      <c r="AD76" s="5">
        <f>IF(D76="","",AA76-Z76)</f>
        <v/>
      </c>
      <c r="AG76">
        <f>IF(D76="","",N(AG75)+IF(MATCH(D76,$D$2:$D$3001,0)=ROW()-1,1,0))</f>
        <v/>
      </c>
    </row>
    <row r="77">
      <c r="Y77" s="5">
        <f>IF(D77="","",X77*IF(AND(ISNUMBER(AC77),AC77&gt;0,AC77&lt;1),AC77*100,AC77)/100)</f>
        <v/>
      </c>
      <c r="Z77" s="5">
        <f>IF(D77="","",AB77*AA77/100)</f>
        <v/>
      </c>
      <c r="AA77" s="5">
        <f>IF(D77="","",X77-Y77)</f>
        <v/>
      </c>
      <c r="AD77" s="5">
        <f>IF(D77="","",AA77-Z77)</f>
        <v/>
      </c>
      <c r="AG77">
        <f>IF(D77="","",N(AG76)+IF(MATCH(D77,$D$2:$D$3001,0)=ROW()-1,1,0))</f>
        <v/>
      </c>
    </row>
    <row r="78">
      <c r="Y78" s="5">
        <f>IF(D78="","",X78*IF(AND(ISNUMBER(AC78),AC78&gt;0,AC78&lt;1),AC78*100,AC78)/100)</f>
        <v/>
      </c>
      <c r="Z78" s="5">
        <f>IF(D78="","",AB78*AA78/100)</f>
        <v/>
      </c>
      <c r="AA78" s="5">
        <f>IF(D78="","",X78-Y78)</f>
        <v/>
      </c>
      <c r="AD78" s="5">
        <f>IF(D78="","",AA78-Z78)</f>
        <v/>
      </c>
      <c r="AG78">
        <f>IF(D78="","",N(AG77)+IF(MATCH(D78,$D$2:$D$3001,0)=ROW()-1,1,0))</f>
        <v/>
      </c>
    </row>
    <row r="79">
      <c r="Y79" s="5">
        <f>IF(D79="","",X79*IF(AND(ISNUMBER(AC79),AC79&gt;0,AC79&lt;1),AC79*100,AC79)/100)</f>
        <v/>
      </c>
      <c r="Z79" s="5">
        <f>IF(D79="","",AB79*AA79/100)</f>
        <v/>
      </c>
      <c r="AA79" s="5">
        <f>IF(D79="","",X79-Y79)</f>
        <v/>
      </c>
      <c r="AD79" s="5">
        <f>IF(D79="","",AA79-Z79)</f>
        <v/>
      </c>
      <c r="AG79">
        <f>IF(D79="","",N(AG78)+IF(MATCH(D79,$D$2:$D$3001,0)=ROW()-1,1,0))</f>
        <v/>
      </c>
    </row>
    <row r="80">
      <c r="Y80" s="5">
        <f>IF(D80="","",X80*IF(AND(ISNUMBER(AC80),AC80&gt;0,AC80&lt;1),AC80*100,AC80)/100)</f>
        <v/>
      </c>
      <c r="Z80" s="5">
        <f>IF(D80="","",AB80*AA80/100)</f>
        <v/>
      </c>
      <c r="AA80" s="5">
        <f>IF(D80="","",X80-Y80)</f>
        <v/>
      </c>
      <c r="AD80" s="5">
        <f>IF(D80="","",AA80-Z80)</f>
        <v/>
      </c>
      <c r="AG80">
        <f>IF(D80="","",N(AG79)+IF(MATCH(D80,$D$2:$D$3001,0)=ROW()-1,1,0))</f>
        <v/>
      </c>
    </row>
    <row r="81">
      <c r="Y81" s="5">
        <f>IF(D81="","",X81*IF(AND(ISNUMBER(AC81),AC81&gt;0,AC81&lt;1),AC81*100,AC81)/100)</f>
        <v/>
      </c>
      <c r="Z81" s="5">
        <f>IF(D81="","",AB81*AA81/100)</f>
        <v/>
      </c>
      <c r="AA81" s="5">
        <f>IF(D81="","",X81-Y81)</f>
        <v/>
      </c>
      <c r="AD81" s="5">
        <f>IF(D81="","",AA81-Z81)</f>
        <v/>
      </c>
      <c r="AG81">
        <f>IF(D81="","",N(AG80)+IF(MATCH(D81,$D$2:$D$3001,0)=ROW()-1,1,0))</f>
        <v/>
      </c>
    </row>
    <row r="82">
      <c r="Y82" s="5">
        <f>IF(D82="","",X82*IF(AND(ISNUMBER(AC82),AC82&gt;0,AC82&lt;1),AC82*100,AC82)/100)</f>
        <v/>
      </c>
      <c r="Z82" s="5">
        <f>IF(D82="","",AB82*AA82/100)</f>
        <v/>
      </c>
      <c r="AA82" s="5">
        <f>IF(D82="","",X82-Y82)</f>
        <v/>
      </c>
      <c r="AD82" s="5">
        <f>IF(D82="","",AA82-Z82)</f>
        <v/>
      </c>
      <c r="AG82">
        <f>IF(D82="","",N(AG81)+IF(MATCH(D82,$D$2:$D$3001,0)=ROW()-1,1,0))</f>
        <v/>
      </c>
    </row>
    <row r="83">
      <c r="Y83" s="5">
        <f>IF(D83="","",X83*IF(AND(ISNUMBER(AC83),AC83&gt;0,AC83&lt;1),AC83*100,AC83)/100)</f>
        <v/>
      </c>
      <c r="Z83" s="5">
        <f>IF(D83="","",AB83*AA83/100)</f>
        <v/>
      </c>
      <c r="AA83" s="5">
        <f>IF(D83="","",X83-Y83)</f>
        <v/>
      </c>
      <c r="AD83" s="5">
        <f>IF(D83="","",AA83-Z83)</f>
        <v/>
      </c>
      <c r="AG83">
        <f>IF(D83="","",N(AG82)+IF(MATCH(D83,$D$2:$D$3001,0)=ROW()-1,1,0))</f>
        <v/>
      </c>
    </row>
    <row r="84">
      <c r="Y84" s="5">
        <f>IF(D84="","",X84*IF(AND(ISNUMBER(AC84),AC84&gt;0,AC84&lt;1),AC84*100,AC84)/100)</f>
        <v/>
      </c>
      <c r="Z84" s="5">
        <f>IF(D84="","",AB84*AA84/100)</f>
        <v/>
      </c>
      <c r="AA84" s="5">
        <f>IF(D84="","",X84-Y84)</f>
        <v/>
      </c>
      <c r="AD84" s="5">
        <f>IF(D84="","",AA84-Z84)</f>
        <v/>
      </c>
      <c r="AG84">
        <f>IF(D84="","",N(AG83)+IF(MATCH(D84,$D$2:$D$3001,0)=ROW()-1,1,0))</f>
        <v/>
      </c>
    </row>
    <row r="85">
      <c r="Y85" s="5">
        <f>IF(D85="","",X85*IF(AND(ISNUMBER(AC85),AC85&gt;0,AC85&lt;1),AC85*100,AC85)/100)</f>
        <v/>
      </c>
      <c r="Z85" s="5">
        <f>IF(D85="","",AB85*AA85/100)</f>
        <v/>
      </c>
      <c r="AA85" s="5">
        <f>IF(D85="","",X85-Y85)</f>
        <v/>
      </c>
      <c r="AD85" s="5">
        <f>IF(D85="","",AA85-Z85)</f>
        <v/>
      </c>
      <c r="AG85">
        <f>IF(D85="","",N(AG84)+IF(MATCH(D85,$D$2:$D$3001,0)=ROW()-1,1,0))</f>
        <v/>
      </c>
    </row>
    <row r="86">
      <c r="Y86" s="5">
        <f>IF(D86="","",X86*IF(AND(ISNUMBER(AC86),AC86&gt;0,AC86&lt;1),AC86*100,AC86)/100)</f>
        <v/>
      </c>
      <c r="Z86" s="5">
        <f>IF(D86="","",AB86*AA86/100)</f>
        <v/>
      </c>
      <c r="AA86" s="5">
        <f>IF(D86="","",X86-Y86)</f>
        <v/>
      </c>
      <c r="AD86" s="5">
        <f>IF(D86="","",AA86-Z86)</f>
        <v/>
      </c>
      <c r="AG86">
        <f>IF(D86="","",N(AG85)+IF(MATCH(D86,$D$2:$D$3001,0)=ROW()-1,1,0))</f>
        <v/>
      </c>
    </row>
    <row r="87">
      <c r="Y87" s="5">
        <f>IF(D87="","",X87*IF(AND(ISNUMBER(AC87),AC87&gt;0,AC87&lt;1),AC87*100,AC87)/100)</f>
        <v/>
      </c>
      <c r="Z87" s="5">
        <f>IF(D87="","",AB87*AA87/100)</f>
        <v/>
      </c>
      <c r="AA87" s="5">
        <f>IF(D87="","",X87-Y87)</f>
        <v/>
      </c>
      <c r="AD87" s="5">
        <f>IF(D87="","",AA87-Z87)</f>
        <v/>
      </c>
      <c r="AG87">
        <f>IF(D87="","",N(AG86)+IF(MATCH(D87,$D$2:$D$3001,0)=ROW()-1,1,0))</f>
        <v/>
      </c>
    </row>
    <row r="88">
      <c r="Y88" s="5">
        <f>IF(D88="","",X88*IF(AND(ISNUMBER(AC88),AC88&gt;0,AC88&lt;1),AC88*100,AC88)/100)</f>
        <v/>
      </c>
      <c r="Z88" s="5">
        <f>IF(D88="","",AB88*AA88/100)</f>
        <v/>
      </c>
      <c r="AA88" s="5">
        <f>IF(D88="","",X88-Y88)</f>
        <v/>
      </c>
      <c r="AD88" s="5">
        <f>IF(D88="","",AA88-Z88)</f>
        <v/>
      </c>
      <c r="AG88">
        <f>IF(D88="","",N(AG87)+IF(MATCH(D88,$D$2:$D$3001,0)=ROW()-1,1,0))</f>
        <v/>
      </c>
    </row>
    <row r="89">
      <c r="Y89" s="5">
        <f>IF(D89="","",X89*IF(AND(ISNUMBER(AC89),AC89&gt;0,AC89&lt;1),AC89*100,AC89)/100)</f>
        <v/>
      </c>
      <c r="Z89" s="5">
        <f>IF(D89="","",AB89*AA89/100)</f>
        <v/>
      </c>
      <c r="AA89" s="5">
        <f>IF(D89="","",X89-Y89)</f>
        <v/>
      </c>
      <c r="AD89" s="5">
        <f>IF(D89="","",AA89-Z89)</f>
        <v/>
      </c>
      <c r="AG89">
        <f>IF(D89="","",N(AG88)+IF(MATCH(D89,$D$2:$D$3001,0)=ROW()-1,1,0))</f>
        <v/>
      </c>
    </row>
    <row r="90">
      <c r="Y90" s="5">
        <f>IF(D90="","",X90*IF(AND(ISNUMBER(AC90),AC90&gt;0,AC90&lt;1),AC90*100,AC90)/100)</f>
        <v/>
      </c>
      <c r="Z90" s="5">
        <f>IF(D90="","",AB90*AA90/100)</f>
        <v/>
      </c>
      <c r="AA90" s="5">
        <f>IF(D90="","",X90-Y90)</f>
        <v/>
      </c>
      <c r="AD90" s="5">
        <f>IF(D90="","",AA90-Z90)</f>
        <v/>
      </c>
      <c r="AG90">
        <f>IF(D90="","",N(AG89)+IF(MATCH(D90,$D$2:$D$3001,0)=ROW()-1,1,0))</f>
        <v/>
      </c>
    </row>
    <row r="91">
      <c r="Y91" s="5">
        <f>IF(D91="","",X91*IF(AND(ISNUMBER(AC91),AC91&gt;0,AC91&lt;1),AC91*100,AC91)/100)</f>
        <v/>
      </c>
      <c r="Z91" s="5">
        <f>IF(D91="","",AB91*AA91/100)</f>
        <v/>
      </c>
      <c r="AA91" s="5">
        <f>IF(D91="","",X91-Y91)</f>
        <v/>
      </c>
      <c r="AD91" s="5">
        <f>IF(D91="","",AA91-Z91)</f>
        <v/>
      </c>
      <c r="AG91">
        <f>IF(D91="","",N(AG90)+IF(MATCH(D91,$D$2:$D$3001,0)=ROW()-1,1,0))</f>
        <v/>
      </c>
    </row>
    <row r="92">
      <c r="Y92" s="5">
        <f>IF(D92="","",X92*IF(AND(ISNUMBER(AC92),AC92&gt;0,AC92&lt;1),AC92*100,AC92)/100)</f>
        <v/>
      </c>
      <c r="Z92" s="5">
        <f>IF(D92="","",AB92*AA92/100)</f>
        <v/>
      </c>
      <c r="AA92" s="5">
        <f>IF(D92="","",X92-Y92)</f>
        <v/>
      </c>
      <c r="AD92" s="5">
        <f>IF(D92="","",AA92-Z92)</f>
        <v/>
      </c>
      <c r="AG92">
        <f>IF(D92="","",N(AG91)+IF(MATCH(D92,$D$2:$D$3001,0)=ROW()-1,1,0))</f>
        <v/>
      </c>
    </row>
    <row r="93">
      <c r="Y93" s="5">
        <f>IF(D93="","",X93*IF(AND(ISNUMBER(AC93),AC93&gt;0,AC93&lt;1),AC93*100,AC93)/100)</f>
        <v/>
      </c>
      <c r="Z93" s="5">
        <f>IF(D93="","",AB93*AA93/100)</f>
        <v/>
      </c>
      <c r="AA93" s="5">
        <f>IF(D93="","",X93-Y93)</f>
        <v/>
      </c>
      <c r="AD93" s="5">
        <f>IF(D93="","",AA93-Z93)</f>
        <v/>
      </c>
      <c r="AG93">
        <f>IF(D93="","",N(AG92)+IF(MATCH(D93,$D$2:$D$3001,0)=ROW()-1,1,0))</f>
        <v/>
      </c>
    </row>
    <row r="94">
      <c r="Y94" s="5">
        <f>IF(D94="","",X94*IF(AND(ISNUMBER(AC94),AC94&gt;0,AC94&lt;1),AC94*100,AC94)/100)</f>
        <v/>
      </c>
      <c r="Z94" s="5">
        <f>IF(D94="","",AB94*AA94/100)</f>
        <v/>
      </c>
      <c r="AA94" s="5">
        <f>IF(D94="","",X94-Y94)</f>
        <v/>
      </c>
      <c r="AD94" s="5">
        <f>IF(D94="","",AA94-Z94)</f>
        <v/>
      </c>
      <c r="AG94">
        <f>IF(D94="","",N(AG93)+IF(MATCH(D94,$D$2:$D$3001,0)=ROW()-1,1,0))</f>
        <v/>
      </c>
    </row>
    <row r="95">
      <c r="Y95" s="5">
        <f>IF(D95="","",X95*IF(AND(ISNUMBER(AC95),AC95&gt;0,AC95&lt;1),AC95*100,AC95)/100)</f>
        <v/>
      </c>
      <c r="Z95" s="5">
        <f>IF(D95="","",AB95*AA95/100)</f>
        <v/>
      </c>
      <c r="AA95" s="5">
        <f>IF(D95="","",X95-Y95)</f>
        <v/>
      </c>
      <c r="AD95" s="5">
        <f>IF(D95="","",AA95-Z95)</f>
        <v/>
      </c>
      <c r="AG95">
        <f>IF(D95="","",N(AG94)+IF(MATCH(D95,$D$2:$D$3001,0)=ROW()-1,1,0))</f>
        <v/>
      </c>
    </row>
    <row r="96">
      <c r="Y96" s="5">
        <f>IF(D96="","",X96*IF(AND(ISNUMBER(AC96),AC96&gt;0,AC96&lt;1),AC96*100,AC96)/100)</f>
        <v/>
      </c>
      <c r="Z96" s="5">
        <f>IF(D96="","",AB96*AA96/100)</f>
        <v/>
      </c>
      <c r="AA96" s="5">
        <f>IF(D96="","",X96-Y96)</f>
        <v/>
      </c>
      <c r="AD96" s="5">
        <f>IF(D96="","",AA96-Z96)</f>
        <v/>
      </c>
      <c r="AG96">
        <f>IF(D96="","",N(AG95)+IF(MATCH(D96,$D$2:$D$3001,0)=ROW()-1,1,0))</f>
        <v/>
      </c>
    </row>
    <row r="97">
      <c r="Y97" s="5">
        <f>IF(D97="","",X97*IF(AND(ISNUMBER(AC97),AC97&gt;0,AC97&lt;1),AC97*100,AC97)/100)</f>
        <v/>
      </c>
      <c r="Z97" s="5">
        <f>IF(D97="","",AB97*AA97/100)</f>
        <v/>
      </c>
      <c r="AA97" s="5">
        <f>IF(D97="","",X97-Y97)</f>
        <v/>
      </c>
      <c r="AD97" s="5">
        <f>IF(D97="","",AA97-Z97)</f>
        <v/>
      </c>
      <c r="AG97">
        <f>IF(D97="","",N(AG96)+IF(MATCH(D97,$D$2:$D$3001,0)=ROW()-1,1,0))</f>
        <v/>
      </c>
    </row>
    <row r="98">
      <c r="Y98" s="5">
        <f>IF(D98="","",X98*IF(AND(ISNUMBER(AC98),AC98&gt;0,AC98&lt;1),AC98*100,AC98)/100)</f>
        <v/>
      </c>
      <c r="Z98" s="5">
        <f>IF(D98="","",AB98*AA98/100)</f>
        <v/>
      </c>
      <c r="AA98" s="5">
        <f>IF(D98="","",X98-Y98)</f>
        <v/>
      </c>
      <c r="AD98" s="5">
        <f>IF(D98="","",AA98-Z98)</f>
        <v/>
      </c>
      <c r="AG98">
        <f>IF(D98="","",N(AG97)+IF(MATCH(D98,$D$2:$D$3001,0)=ROW()-1,1,0))</f>
        <v/>
      </c>
    </row>
    <row r="99">
      <c r="Y99" s="5">
        <f>IF(D99="","",X99*IF(AND(ISNUMBER(AC99),AC99&gt;0,AC99&lt;1),AC99*100,AC99)/100)</f>
        <v/>
      </c>
      <c r="Z99" s="5">
        <f>IF(D99="","",AB99*AA99/100)</f>
        <v/>
      </c>
      <c r="AA99" s="5">
        <f>IF(D99="","",X99-Y99)</f>
        <v/>
      </c>
      <c r="AD99" s="5">
        <f>IF(D99="","",AA99-Z99)</f>
        <v/>
      </c>
      <c r="AG99">
        <f>IF(D99="","",N(AG98)+IF(MATCH(D99,$D$2:$D$3001,0)=ROW()-1,1,0))</f>
        <v/>
      </c>
    </row>
    <row r="100">
      <c r="Y100" s="5">
        <f>IF(D100="","",X100*IF(AND(ISNUMBER(AC100),AC100&gt;0,AC100&lt;1),AC100*100,AC100)/100)</f>
        <v/>
      </c>
      <c r="Z100" s="5">
        <f>IF(D100="","",AB100*AA100/100)</f>
        <v/>
      </c>
      <c r="AA100" s="5">
        <f>IF(D100="","",X100-Y100)</f>
        <v/>
      </c>
      <c r="AD100" s="5">
        <f>IF(D100="","",AA100-Z100)</f>
        <v/>
      </c>
      <c r="AG100">
        <f>IF(D100="","",N(AG99)+IF(MATCH(D100,$D$2:$D$3001,0)=ROW()-1,1,0))</f>
        <v/>
      </c>
    </row>
    <row r="101">
      <c r="Y101" s="5">
        <f>IF(D101="","",X101*IF(AND(ISNUMBER(AC101),AC101&gt;0,AC101&lt;1),AC101*100,AC101)/100)</f>
        <v/>
      </c>
      <c r="Z101" s="5">
        <f>IF(D101="","",AB101*AA101/100)</f>
        <v/>
      </c>
      <c r="AA101" s="5">
        <f>IF(D101="","",X101-Y101)</f>
        <v/>
      </c>
      <c r="AD101" s="5">
        <f>IF(D101="","",AA101-Z101)</f>
        <v/>
      </c>
      <c r="AG101">
        <f>IF(D101="","",N(AG100)+IF(MATCH(D101,$D$2:$D$3001,0)=ROW()-1,1,0))</f>
        <v/>
      </c>
    </row>
    <row r="102">
      <c r="Y102" s="5">
        <f>IF(D102="","",X102*IF(AND(ISNUMBER(AC102),AC102&gt;0,AC102&lt;1),AC102*100,AC102)/100)</f>
        <v/>
      </c>
      <c r="Z102" s="5">
        <f>IF(D102="","",AB102*AA102/100)</f>
        <v/>
      </c>
      <c r="AA102" s="5">
        <f>IF(D102="","",X102-Y102)</f>
        <v/>
      </c>
      <c r="AD102" s="5">
        <f>IF(D102="","",AA102-Z102)</f>
        <v/>
      </c>
      <c r="AG102">
        <f>IF(D102="","",N(AG101)+IF(MATCH(D102,$D$2:$D$3001,0)=ROW()-1,1,0))</f>
        <v/>
      </c>
    </row>
    <row r="103">
      <c r="Y103" s="5">
        <f>IF(D103="","",X103*IF(AND(ISNUMBER(AC103),AC103&gt;0,AC103&lt;1),AC103*100,AC103)/100)</f>
        <v/>
      </c>
      <c r="Z103" s="5">
        <f>IF(D103="","",AB103*AA103/100)</f>
        <v/>
      </c>
      <c r="AA103" s="5">
        <f>IF(D103="","",X103-Y103)</f>
        <v/>
      </c>
      <c r="AD103" s="5">
        <f>IF(D103="","",AA103-Z103)</f>
        <v/>
      </c>
      <c r="AG103">
        <f>IF(D103="","",N(AG102)+IF(MATCH(D103,$D$2:$D$3001,0)=ROW()-1,1,0))</f>
        <v/>
      </c>
    </row>
    <row r="104">
      <c r="Y104" s="5">
        <f>IF(D104="","",X104*IF(AND(ISNUMBER(AC104),AC104&gt;0,AC104&lt;1),AC104*100,AC104)/100)</f>
        <v/>
      </c>
      <c r="Z104" s="5">
        <f>IF(D104="","",AB104*AA104/100)</f>
        <v/>
      </c>
      <c r="AA104" s="5">
        <f>IF(D104="","",X104-Y104)</f>
        <v/>
      </c>
      <c r="AD104" s="5">
        <f>IF(D104="","",AA104-Z104)</f>
        <v/>
      </c>
      <c r="AG104">
        <f>IF(D104="","",N(AG103)+IF(MATCH(D104,$D$2:$D$3001,0)=ROW()-1,1,0))</f>
        <v/>
      </c>
    </row>
    <row r="105">
      <c r="Y105" s="5">
        <f>IF(D105="","",X105*IF(AND(ISNUMBER(AC105),AC105&gt;0,AC105&lt;1),AC105*100,AC105)/100)</f>
        <v/>
      </c>
      <c r="Z105" s="5">
        <f>IF(D105="","",AB105*AA105/100)</f>
        <v/>
      </c>
      <c r="AA105" s="5">
        <f>IF(D105="","",X105-Y105)</f>
        <v/>
      </c>
      <c r="AD105" s="5">
        <f>IF(D105="","",AA105-Z105)</f>
        <v/>
      </c>
      <c r="AG105">
        <f>IF(D105="","",N(AG104)+IF(MATCH(D105,$D$2:$D$3001,0)=ROW()-1,1,0))</f>
        <v/>
      </c>
    </row>
    <row r="106">
      <c r="Y106" s="5">
        <f>IF(D106="","",X106*IF(AND(ISNUMBER(AC106),AC106&gt;0,AC106&lt;1),AC106*100,AC106)/100)</f>
        <v/>
      </c>
      <c r="Z106" s="5">
        <f>IF(D106="","",AB106*AA106/100)</f>
        <v/>
      </c>
      <c r="AA106" s="5">
        <f>IF(D106="","",X106-Y106)</f>
        <v/>
      </c>
      <c r="AD106" s="5">
        <f>IF(D106="","",AA106-Z106)</f>
        <v/>
      </c>
      <c r="AG106">
        <f>IF(D106="","",N(AG105)+IF(MATCH(D106,$D$2:$D$3001,0)=ROW()-1,1,0))</f>
        <v/>
      </c>
    </row>
    <row r="107">
      <c r="Y107" s="5">
        <f>IF(D107="","",X107*IF(AND(ISNUMBER(AC107),AC107&gt;0,AC107&lt;1),AC107*100,AC107)/100)</f>
        <v/>
      </c>
      <c r="Z107" s="5">
        <f>IF(D107="","",AB107*AA107/100)</f>
        <v/>
      </c>
      <c r="AA107" s="5">
        <f>IF(D107="","",X107-Y107)</f>
        <v/>
      </c>
      <c r="AD107" s="5">
        <f>IF(D107="","",AA107-Z107)</f>
        <v/>
      </c>
      <c r="AG107">
        <f>IF(D107="","",N(AG106)+IF(MATCH(D107,$D$2:$D$3001,0)=ROW()-1,1,0))</f>
        <v/>
      </c>
    </row>
    <row r="108">
      <c r="Y108" s="5">
        <f>IF(D108="","",X108*IF(AND(ISNUMBER(AC108),AC108&gt;0,AC108&lt;1),AC108*100,AC108)/100)</f>
        <v/>
      </c>
      <c r="Z108" s="5">
        <f>IF(D108="","",AB108*AA108/100)</f>
        <v/>
      </c>
      <c r="AA108" s="5">
        <f>IF(D108="","",X108-Y108)</f>
        <v/>
      </c>
      <c r="AD108" s="5">
        <f>IF(D108="","",AA108-Z108)</f>
        <v/>
      </c>
      <c r="AG108">
        <f>IF(D108="","",N(AG107)+IF(MATCH(D108,$D$2:$D$3001,0)=ROW()-1,1,0))</f>
        <v/>
      </c>
    </row>
    <row r="109">
      <c r="Y109" s="5">
        <f>IF(D109="","",X109*IF(AND(ISNUMBER(AC109),AC109&gt;0,AC109&lt;1),AC109*100,AC109)/100)</f>
        <v/>
      </c>
      <c r="Z109" s="5">
        <f>IF(D109="","",AB109*AA109/100)</f>
        <v/>
      </c>
      <c r="AA109" s="5">
        <f>IF(D109="","",X109-Y109)</f>
        <v/>
      </c>
      <c r="AD109" s="5">
        <f>IF(D109="","",AA109-Z109)</f>
        <v/>
      </c>
      <c r="AG109">
        <f>IF(D109="","",N(AG108)+IF(MATCH(D109,$D$2:$D$3001,0)=ROW()-1,1,0))</f>
        <v/>
      </c>
    </row>
    <row r="110">
      <c r="Y110" s="5">
        <f>IF(D110="","",X110*IF(AND(ISNUMBER(AC110),AC110&gt;0,AC110&lt;1),AC110*100,AC110)/100)</f>
        <v/>
      </c>
      <c r="Z110" s="5">
        <f>IF(D110="","",AB110*AA110/100)</f>
        <v/>
      </c>
      <c r="AA110" s="5">
        <f>IF(D110="","",X110-Y110)</f>
        <v/>
      </c>
      <c r="AD110" s="5">
        <f>IF(D110="","",AA110-Z110)</f>
        <v/>
      </c>
      <c r="AG110">
        <f>IF(D110="","",N(AG109)+IF(MATCH(D110,$D$2:$D$3001,0)=ROW()-1,1,0))</f>
        <v/>
      </c>
    </row>
    <row r="111">
      <c r="Y111" s="5">
        <f>IF(D111="","",X111*IF(AND(ISNUMBER(AC111),AC111&gt;0,AC111&lt;1),AC111*100,AC111)/100)</f>
        <v/>
      </c>
      <c r="Z111" s="5">
        <f>IF(D111="","",AB111*AA111/100)</f>
        <v/>
      </c>
      <c r="AA111" s="5">
        <f>IF(D111="","",X111-Y111)</f>
        <v/>
      </c>
      <c r="AD111" s="5">
        <f>IF(D111="","",AA111-Z111)</f>
        <v/>
      </c>
      <c r="AG111">
        <f>IF(D111="","",N(AG110)+IF(MATCH(D111,$D$2:$D$3001,0)=ROW()-1,1,0))</f>
        <v/>
      </c>
    </row>
    <row r="112">
      <c r="Y112" s="5">
        <f>IF(D112="","",X112*IF(AND(ISNUMBER(AC112),AC112&gt;0,AC112&lt;1),AC112*100,AC112)/100)</f>
        <v/>
      </c>
      <c r="Z112" s="5">
        <f>IF(D112="","",AB112*AA112/100)</f>
        <v/>
      </c>
      <c r="AA112" s="5">
        <f>IF(D112="","",X112-Y112)</f>
        <v/>
      </c>
      <c r="AD112" s="5">
        <f>IF(D112="","",AA112-Z112)</f>
        <v/>
      </c>
      <c r="AG112">
        <f>IF(D112="","",N(AG111)+IF(MATCH(D112,$D$2:$D$3001,0)=ROW()-1,1,0))</f>
        <v/>
      </c>
    </row>
    <row r="113">
      <c r="Y113" s="5">
        <f>IF(D113="","",X113*IF(AND(ISNUMBER(AC113),AC113&gt;0,AC113&lt;1),AC113*100,AC113)/100)</f>
        <v/>
      </c>
      <c r="Z113" s="5">
        <f>IF(D113="","",AB113*AA113/100)</f>
        <v/>
      </c>
      <c r="AA113" s="5">
        <f>IF(D113="","",X113-Y113)</f>
        <v/>
      </c>
      <c r="AD113" s="5">
        <f>IF(D113="","",AA113-Z113)</f>
        <v/>
      </c>
      <c r="AG113">
        <f>IF(D113="","",N(AG112)+IF(MATCH(D113,$D$2:$D$3001,0)=ROW()-1,1,0))</f>
        <v/>
      </c>
    </row>
    <row r="114">
      <c r="Y114" s="5">
        <f>IF(D114="","",X114*IF(AND(ISNUMBER(AC114),AC114&gt;0,AC114&lt;1),AC114*100,AC114)/100)</f>
        <v/>
      </c>
      <c r="Z114" s="5">
        <f>IF(D114="","",AB114*AA114/100)</f>
        <v/>
      </c>
      <c r="AA114" s="5">
        <f>IF(D114="","",X114-Y114)</f>
        <v/>
      </c>
      <c r="AD114" s="5">
        <f>IF(D114="","",AA114-Z114)</f>
        <v/>
      </c>
      <c r="AG114">
        <f>IF(D114="","",N(AG113)+IF(MATCH(D114,$D$2:$D$3001,0)=ROW()-1,1,0))</f>
        <v/>
      </c>
    </row>
    <row r="115">
      <c r="Y115" s="5">
        <f>IF(D115="","",X115*IF(AND(ISNUMBER(AC115),AC115&gt;0,AC115&lt;1),AC115*100,AC115)/100)</f>
        <v/>
      </c>
      <c r="Z115" s="5">
        <f>IF(D115="","",AB115*AA115/100)</f>
        <v/>
      </c>
      <c r="AA115" s="5">
        <f>IF(D115="","",X115-Y115)</f>
        <v/>
      </c>
      <c r="AD115" s="5">
        <f>IF(D115="","",AA115-Z115)</f>
        <v/>
      </c>
      <c r="AG115">
        <f>IF(D115="","",N(AG114)+IF(MATCH(D115,$D$2:$D$3001,0)=ROW()-1,1,0))</f>
        <v/>
      </c>
    </row>
    <row r="116">
      <c r="Y116" s="5">
        <f>IF(D116="","",X116*IF(AND(ISNUMBER(AC116),AC116&gt;0,AC116&lt;1),AC116*100,AC116)/100)</f>
        <v/>
      </c>
      <c r="Z116" s="5">
        <f>IF(D116="","",AB116*AA116/100)</f>
        <v/>
      </c>
      <c r="AA116" s="5">
        <f>IF(D116="","",X116-Y116)</f>
        <v/>
      </c>
      <c r="AD116" s="5">
        <f>IF(D116="","",AA116-Z116)</f>
        <v/>
      </c>
      <c r="AG116">
        <f>IF(D116="","",N(AG115)+IF(MATCH(D116,$D$2:$D$3001,0)=ROW()-1,1,0))</f>
        <v/>
      </c>
    </row>
    <row r="117">
      <c r="Y117" s="5">
        <f>IF(D117="","",X117*IF(AND(ISNUMBER(AC117),AC117&gt;0,AC117&lt;1),AC117*100,AC117)/100)</f>
        <v/>
      </c>
      <c r="Z117" s="5">
        <f>IF(D117="","",AB117*AA117/100)</f>
        <v/>
      </c>
      <c r="AA117" s="5">
        <f>IF(D117="","",X117-Y117)</f>
        <v/>
      </c>
      <c r="AD117" s="5">
        <f>IF(D117="","",AA117-Z117)</f>
        <v/>
      </c>
      <c r="AG117">
        <f>IF(D117="","",N(AG116)+IF(MATCH(D117,$D$2:$D$3001,0)=ROW()-1,1,0))</f>
        <v/>
      </c>
    </row>
    <row r="118">
      <c r="Y118" s="5">
        <f>IF(D118="","",X118*IF(AND(ISNUMBER(AC118),AC118&gt;0,AC118&lt;1),AC118*100,AC118)/100)</f>
        <v/>
      </c>
      <c r="Z118" s="5">
        <f>IF(D118="","",AB118*AA118/100)</f>
        <v/>
      </c>
      <c r="AA118" s="5">
        <f>IF(D118="","",X118-Y118)</f>
        <v/>
      </c>
      <c r="AD118" s="5">
        <f>IF(D118="","",AA118-Z118)</f>
        <v/>
      </c>
      <c r="AG118">
        <f>IF(D118="","",N(AG117)+IF(MATCH(D118,$D$2:$D$3001,0)=ROW()-1,1,0))</f>
        <v/>
      </c>
    </row>
    <row r="119">
      <c r="Y119" s="5">
        <f>IF(D119="","",X119*IF(AND(ISNUMBER(AC119),AC119&gt;0,AC119&lt;1),AC119*100,AC119)/100)</f>
        <v/>
      </c>
      <c r="Z119" s="5">
        <f>IF(D119="","",AB119*AA119/100)</f>
        <v/>
      </c>
      <c r="AA119" s="5">
        <f>IF(D119="","",X119-Y119)</f>
        <v/>
      </c>
      <c r="AD119" s="5">
        <f>IF(D119="","",AA119-Z119)</f>
        <v/>
      </c>
      <c r="AG119">
        <f>IF(D119="","",N(AG118)+IF(MATCH(D119,$D$2:$D$3001,0)=ROW()-1,1,0))</f>
        <v/>
      </c>
    </row>
    <row r="120">
      <c r="Y120" s="5">
        <f>IF(D120="","",X120*IF(AND(ISNUMBER(AC120),AC120&gt;0,AC120&lt;1),AC120*100,AC120)/100)</f>
        <v/>
      </c>
      <c r="Z120" s="5">
        <f>IF(D120="","",AB120*AA120/100)</f>
        <v/>
      </c>
      <c r="AA120" s="5">
        <f>IF(D120="","",X120-Y120)</f>
        <v/>
      </c>
      <c r="AD120" s="5">
        <f>IF(D120="","",AA120-Z120)</f>
        <v/>
      </c>
      <c r="AG120">
        <f>IF(D120="","",N(AG119)+IF(MATCH(D120,$D$2:$D$3001,0)=ROW()-1,1,0))</f>
        <v/>
      </c>
    </row>
    <row r="121">
      <c r="Y121" s="5">
        <f>IF(D121="","",X121*IF(AND(ISNUMBER(AC121),AC121&gt;0,AC121&lt;1),AC121*100,AC121)/100)</f>
        <v/>
      </c>
      <c r="Z121" s="5">
        <f>IF(D121="","",AB121*AA121/100)</f>
        <v/>
      </c>
      <c r="AA121" s="5">
        <f>IF(D121="","",X121-Y121)</f>
        <v/>
      </c>
      <c r="AD121" s="5">
        <f>IF(D121="","",AA121-Z121)</f>
        <v/>
      </c>
      <c r="AG121">
        <f>IF(D121="","",N(AG120)+IF(MATCH(D121,$D$2:$D$3001,0)=ROW()-1,1,0))</f>
        <v/>
      </c>
    </row>
    <row r="122">
      <c r="Y122" s="5">
        <f>IF(D122="","",X122*IF(AND(ISNUMBER(AC122),AC122&gt;0,AC122&lt;1),AC122*100,AC122)/100)</f>
        <v/>
      </c>
      <c r="Z122" s="5">
        <f>IF(D122="","",AB122*AA122/100)</f>
        <v/>
      </c>
      <c r="AA122" s="5">
        <f>IF(D122="","",X122-Y122)</f>
        <v/>
      </c>
      <c r="AD122" s="5">
        <f>IF(D122="","",AA122-Z122)</f>
        <v/>
      </c>
      <c r="AG122">
        <f>IF(D122="","",N(AG121)+IF(MATCH(D122,$D$2:$D$3001,0)=ROW()-1,1,0))</f>
        <v/>
      </c>
    </row>
    <row r="123">
      <c r="Y123" s="5">
        <f>IF(D123="","",X123*IF(AND(ISNUMBER(AC123),AC123&gt;0,AC123&lt;1),AC123*100,AC123)/100)</f>
        <v/>
      </c>
      <c r="Z123" s="5">
        <f>IF(D123="","",AB123*AA123/100)</f>
        <v/>
      </c>
      <c r="AA123" s="5">
        <f>IF(D123="","",X123-Y123)</f>
        <v/>
      </c>
      <c r="AD123" s="5">
        <f>IF(D123="","",AA123-Z123)</f>
        <v/>
      </c>
      <c r="AG123">
        <f>IF(D123="","",N(AG122)+IF(MATCH(D123,$D$2:$D$3001,0)=ROW()-1,1,0))</f>
        <v/>
      </c>
    </row>
    <row r="124">
      <c r="Y124" s="5">
        <f>IF(D124="","",X124*IF(AND(ISNUMBER(AC124),AC124&gt;0,AC124&lt;1),AC124*100,AC124)/100)</f>
        <v/>
      </c>
      <c r="Z124" s="5">
        <f>IF(D124="","",AB124*AA124/100)</f>
        <v/>
      </c>
      <c r="AA124" s="5">
        <f>IF(D124="","",X124-Y124)</f>
        <v/>
      </c>
      <c r="AD124" s="5">
        <f>IF(D124="","",AA124-Z124)</f>
        <v/>
      </c>
      <c r="AG124">
        <f>IF(D124="","",N(AG123)+IF(MATCH(D124,$D$2:$D$3001,0)=ROW()-1,1,0))</f>
        <v/>
      </c>
    </row>
    <row r="125">
      <c r="Y125" s="5">
        <f>IF(D125="","",X125*IF(AND(ISNUMBER(AC125),AC125&gt;0,AC125&lt;1),AC125*100,AC125)/100)</f>
        <v/>
      </c>
      <c r="Z125" s="5">
        <f>IF(D125="","",AB125*AA125/100)</f>
        <v/>
      </c>
      <c r="AA125" s="5">
        <f>IF(D125="","",X125-Y125)</f>
        <v/>
      </c>
      <c r="AD125" s="5">
        <f>IF(D125="","",AA125-Z125)</f>
        <v/>
      </c>
      <c r="AG125">
        <f>IF(D125="","",N(AG124)+IF(MATCH(D125,$D$2:$D$3001,0)=ROW()-1,1,0))</f>
        <v/>
      </c>
    </row>
    <row r="126">
      <c r="Y126" s="5">
        <f>IF(D126="","",X126*IF(AND(ISNUMBER(AC126),AC126&gt;0,AC126&lt;1),AC126*100,AC126)/100)</f>
        <v/>
      </c>
      <c r="Z126" s="5">
        <f>IF(D126="","",AB126*AA126/100)</f>
        <v/>
      </c>
      <c r="AA126" s="5">
        <f>IF(D126="","",X126-Y126)</f>
        <v/>
      </c>
      <c r="AD126" s="5">
        <f>IF(D126="","",AA126-Z126)</f>
        <v/>
      </c>
      <c r="AG126">
        <f>IF(D126="","",N(AG125)+IF(MATCH(D126,$D$2:$D$3001,0)=ROW()-1,1,0))</f>
        <v/>
      </c>
    </row>
    <row r="127">
      <c r="Y127" s="5">
        <f>IF(D127="","",X127*IF(AND(ISNUMBER(AC127),AC127&gt;0,AC127&lt;1),AC127*100,AC127)/100)</f>
        <v/>
      </c>
      <c r="Z127" s="5">
        <f>IF(D127="","",AB127*AA127/100)</f>
        <v/>
      </c>
      <c r="AA127" s="5">
        <f>IF(D127="","",X127-Y127)</f>
        <v/>
      </c>
      <c r="AD127" s="5">
        <f>IF(D127="","",AA127-Z127)</f>
        <v/>
      </c>
      <c r="AG127">
        <f>IF(D127="","",N(AG126)+IF(MATCH(D127,$D$2:$D$3001,0)=ROW()-1,1,0))</f>
        <v/>
      </c>
    </row>
    <row r="128">
      <c r="Y128" s="5">
        <f>IF(D128="","",X128*IF(AND(ISNUMBER(AC128),AC128&gt;0,AC128&lt;1),AC128*100,AC128)/100)</f>
        <v/>
      </c>
      <c r="Z128" s="5">
        <f>IF(D128="","",AB128*AA128/100)</f>
        <v/>
      </c>
      <c r="AA128" s="5">
        <f>IF(D128="","",X128-Y128)</f>
        <v/>
      </c>
      <c r="AD128" s="5">
        <f>IF(D128="","",AA128-Z128)</f>
        <v/>
      </c>
      <c r="AG128">
        <f>IF(D128="","",N(AG127)+IF(MATCH(D128,$D$2:$D$3001,0)=ROW()-1,1,0))</f>
        <v/>
      </c>
    </row>
    <row r="129">
      <c r="Y129" s="5">
        <f>IF(D129="","",X129*IF(AND(ISNUMBER(AC129),AC129&gt;0,AC129&lt;1),AC129*100,AC129)/100)</f>
        <v/>
      </c>
      <c r="Z129" s="5">
        <f>IF(D129="","",AB129*AA129/100)</f>
        <v/>
      </c>
      <c r="AA129" s="5">
        <f>IF(D129="","",X129-Y129)</f>
        <v/>
      </c>
      <c r="AD129" s="5">
        <f>IF(D129="","",AA129-Z129)</f>
        <v/>
      </c>
      <c r="AG129">
        <f>IF(D129="","",N(AG128)+IF(MATCH(D129,$D$2:$D$3001,0)=ROW()-1,1,0))</f>
        <v/>
      </c>
    </row>
    <row r="130">
      <c r="Y130" s="5">
        <f>IF(D130="","",X130*IF(AND(ISNUMBER(AC130),AC130&gt;0,AC130&lt;1),AC130*100,AC130)/100)</f>
        <v/>
      </c>
      <c r="Z130" s="5">
        <f>IF(D130="","",AB130*AA130/100)</f>
        <v/>
      </c>
      <c r="AA130" s="5">
        <f>IF(D130="","",X130-Y130)</f>
        <v/>
      </c>
      <c r="AD130" s="5">
        <f>IF(D130="","",AA130-Z130)</f>
        <v/>
      </c>
      <c r="AG130">
        <f>IF(D130="","",N(AG129)+IF(MATCH(D130,$D$2:$D$3001,0)=ROW()-1,1,0))</f>
        <v/>
      </c>
    </row>
    <row r="131">
      <c r="Y131" s="5">
        <f>IF(D131="","",X131*IF(AND(ISNUMBER(AC131),AC131&gt;0,AC131&lt;1),AC131*100,AC131)/100)</f>
        <v/>
      </c>
      <c r="Z131" s="5">
        <f>IF(D131="","",AB131*AA131/100)</f>
        <v/>
      </c>
      <c r="AA131" s="5">
        <f>IF(D131="","",X131-Y131)</f>
        <v/>
      </c>
      <c r="AD131" s="5">
        <f>IF(D131="","",AA131-Z131)</f>
        <v/>
      </c>
      <c r="AG131">
        <f>IF(D131="","",N(AG130)+IF(MATCH(D131,$D$2:$D$3001,0)=ROW()-1,1,0))</f>
        <v/>
      </c>
    </row>
    <row r="132">
      <c r="Y132" s="5">
        <f>IF(D132="","",X132*IF(AND(ISNUMBER(AC132),AC132&gt;0,AC132&lt;1),AC132*100,AC132)/100)</f>
        <v/>
      </c>
      <c r="Z132" s="5">
        <f>IF(D132="","",AB132*AA132/100)</f>
        <v/>
      </c>
      <c r="AA132" s="5">
        <f>IF(D132="","",X132-Y132)</f>
        <v/>
      </c>
      <c r="AD132" s="5">
        <f>IF(D132="","",AA132-Z132)</f>
        <v/>
      </c>
      <c r="AG132">
        <f>IF(D132="","",N(AG131)+IF(MATCH(D132,$D$2:$D$3001,0)=ROW()-1,1,0))</f>
        <v/>
      </c>
    </row>
    <row r="133">
      <c r="Y133" s="5">
        <f>IF(D133="","",X133*IF(AND(ISNUMBER(AC133),AC133&gt;0,AC133&lt;1),AC133*100,AC133)/100)</f>
        <v/>
      </c>
      <c r="Z133" s="5">
        <f>IF(D133="","",AB133*AA133/100)</f>
        <v/>
      </c>
      <c r="AA133" s="5">
        <f>IF(D133="","",X133-Y133)</f>
        <v/>
      </c>
      <c r="AD133" s="5">
        <f>IF(D133="","",AA133-Z133)</f>
        <v/>
      </c>
      <c r="AG133">
        <f>IF(D133="","",N(AG132)+IF(MATCH(D133,$D$2:$D$3001,0)=ROW()-1,1,0))</f>
        <v/>
      </c>
    </row>
    <row r="134">
      <c r="Y134" s="5">
        <f>IF(D134="","",X134*IF(AND(ISNUMBER(AC134),AC134&gt;0,AC134&lt;1),AC134*100,AC134)/100)</f>
        <v/>
      </c>
      <c r="Z134" s="5">
        <f>IF(D134="","",AB134*AA134/100)</f>
        <v/>
      </c>
      <c r="AA134" s="5">
        <f>IF(D134="","",X134-Y134)</f>
        <v/>
      </c>
      <c r="AD134" s="5">
        <f>IF(D134="","",AA134-Z134)</f>
        <v/>
      </c>
      <c r="AG134">
        <f>IF(D134="","",N(AG133)+IF(MATCH(D134,$D$2:$D$3001,0)=ROW()-1,1,0))</f>
        <v/>
      </c>
    </row>
    <row r="135">
      <c r="Y135" s="5">
        <f>IF(D135="","",X135*IF(AND(ISNUMBER(AC135),AC135&gt;0,AC135&lt;1),AC135*100,AC135)/100)</f>
        <v/>
      </c>
      <c r="Z135" s="5">
        <f>IF(D135="","",AB135*AA135/100)</f>
        <v/>
      </c>
      <c r="AA135" s="5">
        <f>IF(D135="","",X135-Y135)</f>
        <v/>
      </c>
      <c r="AD135" s="5">
        <f>IF(D135="","",AA135-Z135)</f>
        <v/>
      </c>
      <c r="AG135">
        <f>IF(D135="","",N(AG134)+IF(MATCH(D135,$D$2:$D$3001,0)=ROW()-1,1,0))</f>
        <v/>
      </c>
    </row>
    <row r="136">
      <c r="Y136" s="5">
        <f>IF(D136="","",X136*IF(AND(ISNUMBER(AC136),AC136&gt;0,AC136&lt;1),AC136*100,AC136)/100)</f>
        <v/>
      </c>
      <c r="Z136" s="5">
        <f>IF(D136="","",AB136*AA136/100)</f>
        <v/>
      </c>
      <c r="AA136" s="5">
        <f>IF(D136="","",X136-Y136)</f>
        <v/>
      </c>
      <c r="AD136" s="5">
        <f>IF(D136="","",AA136-Z136)</f>
        <v/>
      </c>
      <c r="AG136">
        <f>IF(D136="","",N(AG135)+IF(MATCH(D136,$D$2:$D$3001,0)=ROW()-1,1,0))</f>
        <v/>
      </c>
    </row>
    <row r="137">
      <c r="Y137" s="5">
        <f>IF(D137="","",X137*IF(AND(ISNUMBER(AC137),AC137&gt;0,AC137&lt;1),AC137*100,AC137)/100)</f>
        <v/>
      </c>
      <c r="Z137" s="5">
        <f>IF(D137="","",AB137*AA137/100)</f>
        <v/>
      </c>
      <c r="AA137" s="5">
        <f>IF(D137="","",X137-Y137)</f>
        <v/>
      </c>
      <c r="AD137" s="5">
        <f>IF(D137="","",AA137-Z137)</f>
        <v/>
      </c>
      <c r="AG137">
        <f>IF(D137="","",N(AG136)+IF(MATCH(D137,$D$2:$D$3001,0)=ROW()-1,1,0))</f>
        <v/>
      </c>
    </row>
    <row r="138">
      <c r="Y138" s="5">
        <f>IF(D138="","",X138*IF(AND(ISNUMBER(AC138),AC138&gt;0,AC138&lt;1),AC138*100,AC138)/100)</f>
        <v/>
      </c>
      <c r="Z138" s="5">
        <f>IF(D138="","",AB138*AA138/100)</f>
        <v/>
      </c>
      <c r="AA138" s="5">
        <f>IF(D138="","",X138-Y138)</f>
        <v/>
      </c>
      <c r="AD138" s="5">
        <f>IF(D138="","",AA138-Z138)</f>
        <v/>
      </c>
      <c r="AG138">
        <f>IF(D138="","",N(AG137)+IF(MATCH(D138,$D$2:$D$3001,0)=ROW()-1,1,0))</f>
        <v/>
      </c>
    </row>
    <row r="139">
      <c r="Y139" s="5">
        <f>IF(D139="","",X139*IF(AND(ISNUMBER(AC139),AC139&gt;0,AC139&lt;1),AC139*100,AC139)/100)</f>
        <v/>
      </c>
      <c r="Z139" s="5">
        <f>IF(D139="","",AB139*AA139/100)</f>
        <v/>
      </c>
      <c r="AA139" s="5">
        <f>IF(D139="","",X139-Y139)</f>
        <v/>
      </c>
      <c r="AD139" s="5">
        <f>IF(D139="","",AA139-Z139)</f>
        <v/>
      </c>
      <c r="AG139">
        <f>IF(D139="","",N(AG138)+IF(MATCH(D139,$D$2:$D$3001,0)=ROW()-1,1,0))</f>
        <v/>
      </c>
    </row>
    <row r="140">
      <c r="Y140" s="5">
        <f>IF(D140="","",X140*IF(AND(ISNUMBER(AC140),AC140&gt;0,AC140&lt;1),AC140*100,AC140)/100)</f>
        <v/>
      </c>
      <c r="Z140" s="5">
        <f>IF(D140="","",AB140*AA140/100)</f>
        <v/>
      </c>
      <c r="AA140" s="5">
        <f>IF(D140="","",X140-Y140)</f>
        <v/>
      </c>
      <c r="AD140" s="5">
        <f>IF(D140="","",AA140-Z140)</f>
        <v/>
      </c>
      <c r="AG140">
        <f>IF(D140="","",N(AG139)+IF(MATCH(D140,$D$2:$D$3001,0)=ROW()-1,1,0))</f>
        <v/>
      </c>
    </row>
    <row r="141">
      <c r="Y141" s="5">
        <f>IF(D141="","",X141*IF(AND(ISNUMBER(AC141),AC141&gt;0,AC141&lt;1),AC141*100,AC141)/100)</f>
        <v/>
      </c>
      <c r="Z141" s="5">
        <f>IF(D141="","",AB141*AA141/100)</f>
        <v/>
      </c>
      <c r="AA141" s="5">
        <f>IF(D141="","",X141-Y141)</f>
        <v/>
      </c>
      <c r="AD141" s="5">
        <f>IF(D141="","",AA141-Z141)</f>
        <v/>
      </c>
      <c r="AG141">
        <f>IF(D141="","",N(AG140)+IF(MATCH(D141,$D$2:$D$3001,0)=ROW()-1,1,0))</f>
        <v/>
      </c>
    </row>
    <row r="142">
      <c r="Y142" s="5">
        <f>IF(D142="","",X142*IF(AND(ISNUMBER(AC142),AC142&gt;0,AC142&lt;1),AC142*100,AC142)/100)</f>
        <v/>
      </c>
      <c r="Z142" s="5">
        <f>IF(D142="","",AB142*AA142/100)</f>
        <v/>
      </c>
      <c r="AA142" s="5">
        <f>IF(D142="","",X142-Y142)</f>
        <v/>
      </c>
      <c r="AD142" s="5">
        <f>IF(D142="","",AA142-Z142)</f>
        <v/>
      </c>
      <c r="AG142">
        <f>IF(D142="","",N(AG141)+IF(MATCH(D142,$D$2:$D$3001,0)=ROW()-1,1,0))</f>
        <v/>
      </c>
    </row>
    <row r="143">
      <c r="Y143" s="5">
        <f>IF(D143="","",X143*IF(AND(ISNUMBER(AC143),AC143&gt;0,AC143&lt;1),AC143*100,AC143)/100)</f>
        <v/>
      </c>
      <c r="Z143" s="5">
        <f>IF(D143="","",AB143*AA143/100)</f>
        <v/>
      </c>
      <c r="AA143" s="5">
        <f>IF(D143="","",X143-Y143)</f>
        <v/>
      </c>
      <c r="AD143" s="5">
        <f>IF(D143="","",AA143-Z143)</f>
        <v/>
      </c>
      <c r="AG143">
        <f>IF(D143="","",N(AG142)+IF(MATCH(D143,$D$2:$D$3001,0)=ROW()-1,1,0))</f>
        <v/>
      </c>
    </row>
    <row r="144">
      <c r="Y144" s="5">
        <f>IF(D144="","",X144*IF(AND(ISNUMBER(AC144),AC144&gt;0,AC144&lt;1),AC144*100,AC144)/100)</f>
        <v/>
      </c>
      <c r="Z144" s="5">
        <f>IF(D144="","",AB144*AA144/100)</f>
        <v/>
      </c>
      <c r="AA144" s="5">
        <f>IF(D144="","",X144-Y144)</f>
        <v/>
      </c>
      <c r="AD144" s="5">
        <f>IF(D144="","",AA144-Z144)</f>
        <v/>
      </c>
      <c r="AG144">
        <f>IF(D144="","",N(AG143)+IF(MATCH(D144,$D$2:$D$3001,0)=ROW()-1,1,0))</f>
        <v/>
      </c>
    </row>
    <row r="145">
      <c r="Y145" s="5">
        <f>IF(D145="","",X145*IF(AND(ISNUMBER(AC145),AC145&gt;0,AC145&lt;1),AC145*100,AC145)/100)</f>
        <v/>
      </c>
      <c r="Z145" s="5">
        <f>IF(D145="","",AB145*AA145/100)</f>
        <v/>
      </c>
      <c r="AA145" s="5">
        <f>IF(D145="","",X145-Y145)</f>
        <v/>
      </c>
      <c r="AD145" s="5">
        <f>IF(D145="","",AA145-Z145)</f>
        <v/>
      </c>
      <c r="AG145">
        <f>IF(D145="","",N(AG144)+IF(MATCH(D145,$D$2:$D$3001,0)=ROW()-1,1,0))</f>
        <v/>
      </c>
    </row>
    <row r="146">
      <c r="Y146" s="5">
        <f>IF(D146="","",X146*IF(AND(ISNUMBER(AC146),AC146&gt;0,AC146&lt;1),AC146*100,AC146)/100)</f>
        <v/>
      </c>
      <c r="Z146" s="5">
        <f>IF(D146="","",AB146*AA146/100)</f>
        <v/>
      </c>
      <c r="AA146" s="5">
        <f>IF(D146="","",X146-Y146)</f>
        <v/>
      </c>
      <c r="AD146" s="5">
        <f>IF(D146="","",AA146-Z146)</f>
        <v/>
      </c>
      <c r="AG146">
        <f>IF(D146="","",N(AG145)+IF(MATCH(D146,$D$2:$D$3001,0)=ROW()-1,1,0))</f>
        <v/>
      </c>
    </row>
    <row r="147">
      <c r="Y147" s="5">
        <f>IF(D147="","",X147*IF(AND(ISNUMBER(AC147),AC147&gt;0,AC147&lt;1),AC147*100,AC147)/100)</f>
        <v/>
      </c>
      <c r="Z147" s="5">
        <f>IF(D147="","",AB147*AA147/100)</f>
        <v/>
      </c>
      <c r="AA147" s="5">
        <f>IF(D147="","",X147-Y147)</f>
        <v/>
      </c>
      <c r="AD147" s="5">
        <f>IF(D147="","",AA147-Z147)</f>
        <v/>
      </c>
      <c r="AG147">
        <f>IF(D147="","",N(AG146)+IF(MATCH(D147,$D$2:$D$3001,0)=ROW()-1,1,0))</f>
        <v/>
      </c>
    </row>
    <row r="148">
      <c r="Y148" s="5">
        <f>IF(D148="","",X148*IF(AND(ISNUMBER(AC148),AC148&gt;0,AC148&lt;1),AC148*100,AC148)/100)</f>
        <v/>
      </c>
      <c r="Z148" s="5">
        <f>IF(D148="","",AB148*AA148/100)</f>
        <v/>
      </c>
      <c r="AA148" s="5">
        <f>IF(D148="","",X148-Y148)</f>
        <v/>
      </c>
      <c r="AD148" s="5">
        <f>IF(D148="","",AA148-Z148)</f>
        <v/>
      </c>
      <c r="AG148">
        <f>IF(D148="","",N(AG147)+IF(MATCH(D148,$D$2:$D$3001,0)=ROW()-1,1,0))</f>
        <v/>
      </c>
    </row>
    <row r="149">
      <c r="Y149" s="5">
        <f>IF(D149="","",X149*IF(AND(ISNUMBER(AC149),AC149&gt;0,AC149&lt;1),AC149*100,AC149)/100)</f>
        <v/>
      </c>
      <c r="Z149" s="5">
        <f>IF(D149="","",AB149*AA149/100)</f>
        <v/>
      </c>
      <c r="AA149" s="5">
        <f>IF(D149="","",X149-Y149)</f>
        <v/>
      </c>
      <c r="AD149" s="5">
        <f>IF(D149="","",AA149-Z149)</f>
        <v/>
      </c>
      <c r="AG149">
        <f>IF(D149="","",N(AG148)+IF(MATCH(D149,$D$2:$D$3001,0)=ROW()-1,1,0))</f>
        <v/>
      </c>
    </row>
    <row r="150">
      <c r="Y150" s="5">
        <f>IF(D150="","",X150*IF(AND(ISNUMBER(AC150),AC150&gt;0,AC150&lt;1),AC150*100,AC150)/100)</f>
        <v/>
      </c>
      <c r="Z150" s="5">
        <f>IF(D150="","",AB150*AA150/100)</f>
        <v/>
      </c>
      <c r="AA150" s="5">
        <f>IF(D150="","",X150-Y150)</f>
        <v/>
      </c>
      <c r="AD150" s="5">
        <f>IF(D150="","",AA150-Z150)</f>
        <v/>
      </c>
      <c r="AG150">
        <f>IF(D150="","",N(AG149)+IF(MATCH(D150,$D$2:$D$3001,0)=ROW()-1,1,0))</f>
        <v/>
      </c>
    </row>
    <row r="151">
      <c r="Y151" s="5">
        <f>IF(D151="","",X151*IF(AND(ISNUMBER(AC151),AC151&gt;0,AC151&lt;1),AC151*100,AC151)/100)</f>
        <v/>
      </c>
      <c r="Z151" s="5">
        <f>IF(D151="","",AB151*AA151/100)</f>
        <v/>
      </c>
      <c r="AA151" s="5">
        <f>IF(D151="","",X151-Y151)</f>
        <v/>
      </c>
      <c r="AD151" s="5">
        <f>IF(D151="","",AA151-Z151)</f>
        <v/>
      </c>
      <c r="AG151">
        <f>IF(D151="","",N(AG150)+IF(MATCH(D151,$D$2:$D$3001,0)=ROW()-1,1,0))</f>
        <v/>
      </c>
    </row>
    <row r="152">
      <c r="Y152" s="5">
        <f>IF(D152="","",X152*IF(AND(ISNUMBER(AC152),AC152&gt;0,AC152&lt;1),AC152*100,AC152)/100)</f>
        <v/>
      </c>
      <c r="Z152" s="5">
        <f>IF(D152="","",AB152*AA152/100)</f>
        <v/>
      </c>
      <c r="AA152" s="5">
        <f>IF(D152="","",X152-Y152)</f>
        <v/>
      </c>
      <c r="AD152" s="5">
        <f>IF(D152="","",AA152-Z152)</f>
        <v/>
      </c>
      <c r="AG152">
        <f>IF(D152="","",N(AG151)+IF(MATCH(D152,$D$2:$D$3001,0)=ROW()-1,1,0))</f>
        <v/>
      </c>
    </row>
    <row r="153">
      <c r="Y153" s="5">
        <f>IF(D153="","",X153*IF(AND(ISNUMBER(AC153),AC153&gt;0,AC153&lt;1),AC153*100,AC153)/100)</f>
        <v/>
      </c>
      <c r="Z153" s="5">
        <f>IF(D153="","",AB153*AA153/100)</f>
        <v/>
      </c>
      <c r="AA153" s="5">
        <f>IF(D153="","",X153-Y153)</f>
        <v/>
      </c>
      <c r="AD153" s="5">
        <f>IF(D153="","",AA153-Z153)</f>
        <v/>
      </c>
      <c r="AG153">
        <f>IF(D153="","",N(AG152)+IF(MATCH(D153,$D$2:$D$3001,0)=ROW()-1,1,0))</f>
        <v/>
      </c>
    </row>
    <row r="154">
      <c r="Y154" s="5">
        <f>IF(D154="","",X154*IF(AND(ISNUMBER(AC154),AC154&gt;0,AC154&lt;1),AC154*100,AC154)/100)</f>
        <v/>
      </c>
      <c r="Z154" s="5">
        <f>IF(D154="","",AB154*AA154/100)</f>
        <v/>
      </c>
      <c r="AA154" s="5">
        <f>IF(D154="","",X154-Y154)</f>
        <v/>
      </c>
      <c r="AD154" s="5">
        <f>IF(D154="","",AA154-Z154)</f>
        <v/>
      </c>
      <c r="AG154">
        <f>IF(D154="","",N(AG153)+IF(MATCH(D154,$D$2:$D$3001,0)=ROW()-1,1,0))</f>
        <v/>
      </c>
    </row>
    <row r="155">
      <c r="Y155" s="5">
        <f>IF(D155="","",X155*IF(AND(ISNUMBER(AC155),AC155&gt;0,AC155&lt;1),AC155*100,AC155)/100)</f>
        <v/>
      </c>
      <c r="Z155" s="5">
        <f>IF(D155="","",AB155*AA155/100)</f>
        <v/>
      </c>
      <c r="AA155" s="5">
        <f>IF(D155="","",X155-Y155)</f>
        <v/>
      </c>
      <c r="AD155" s="5">
        <f>IF(D155="","",AA155-Z155)</f>
        <v/>
      </c>
      <c r="AG155">
        <f>IF(D155="","",N(AG154)+IF(MATCH(D155,$D$2:$D$3001,0)=ROW()-1,1,0))</f>
        <v/>
      </c>
    </row>
    <row r="156">
      <c r="Y156" s="5">
        <f>IF(D156="","",X156*IF(AND(ISNUMBER(AC156),AC156&gt;0,AC156&lt;1),AC156*100,AC156)/100)</f>
        <v/>
      </c>
      <c r="Z156" s="5">
        <f>IF(D156="","",AB156*AA156/100)</f>
        <v/>
      </c>
      <c r="AA156" s="5">
        <f>IF(D156="","",X156-Y156)</f>
        <v/>
      </c>
      <c r="AD156" s="5">
        <f>IF(D156="","",AA156-Z156)</f>
        <v/>
      </c>
      <c r="AG156">
        <f>IF(D156="","",N(AG155)+IF(MATCH(D156,$D$2:$D$3001,0)=ROW()-1,1,0))</f>
        <v/>
      </c>
    </row>
    <row r="157">
      <c r="Y157" s="5">
        <f>IF(D157="","",X157*IF(AND(ISNUMBER(AC157),AC157&gt;0,AC157&lt;1),AC157*100,AC157)/100)</f>
        <v/>
      </c>
      <c r="Z157" s="5">
        <f>IF(D157="","",AB157*AA157/100)</f>
        <v/>
      </c>
      <c r="AA157" s="5">
        <f>IF(D157="","",X157-Y157)</f>
        <v/>
      </c>
      <c r="AD157" s="5">
        <f>IF(D157="","",AA157-Z157)</f>
        <v/>
      </c>
      <c r="AG157">
        <f>IF(D157="","",N(AG156)+IF(MATCH(D157,$D$2:$D$3001,0)=ROW()-1,1,0))</f>
        <v/>
      </c>
    </row>
    <row r="158">
      <c r="Y158" s="5">
        <f>IF(D158="","",X158*IF(AND(ISNUMBER(AC158),AC158&gt;0,AC158&lt;1),AC158*100,AC158)/100)</f>
        <v/>
      </c>
      <c r="Z158" s="5">
        <f>IF(D158="","",AB158*AA158/100)</f>
        <v/>
      </c>
      <c r="AA158" s="5">
        <f>IF(D158="","",X158-Y158)</f>
        <v/>
      </c>
      <c r="AD158" s="5">
        <f>IF(D158="","",AA158-Z158)</f>
        <v/>
      </c>
      <c r="AG158">
        <f>IF(D158="","",N(AG157)+IF(MATCH(D158,$D$2:$D$3001,0)=ROW()-1,1,0))</f>
        <v/>
      </c>
    </row>
    <row r="159">
      <c r="Y159" s="5">
        <f>IF(D159="","",X159*IF(AND(ISNUMBER(AC159),AC159&gt;0,AC159&lt;1),AC159*100,AC159)/100)</f>
        <v/>
      </c>
      <c r="Z159" s="5">
        <f>IF(D159="","",AB159*AA159/100)</f>
        <v/>
      </c>
      <c r="AA159" s="5">
        <f>IF(D159="","",X159-Y159)</f>
        <v/>
      </c>
      <c r="AD159" s="5">
        <f>IF(D159="","",AA159-Z159)</f>
        <v/>
      </c>
      <c r="AG159">
        <f>IF(D159="","",N(AG158)+IF(MATCH(D159,$D$2:$D$3001,0)=ROW()-1,1,0))</f>
        <v/>
      </c>
    </row>
    <row r="160">
      <c r="Y160" s="5">
        <f>IF(D160="","",X160*IF(AND(ISNUMBER(AC160),AC160&gt;0,AC160&lt;1),AC160*100,AC160)/100)</f>
        <v/>
      </c>
      <c r="Z160" s="5">
        <f>IF(D160="","",AB160*AA160/100)</f>
        <v/>
      </c>
      <c r="AA160" s="5">
        <f>IF(D160="","",X160-Y160)</f>
        <v/>
      </c>
      <c r="AD160" s="5">
        <f>IF(D160="","",AA160-Z160)</f>
        <v/>
      </c>
      <c r="AG160">
        <f>IF(D160="","",N(AG159)+IF(MATCH(D160,$D$2:$D$3001,0)=ROW()-1,1,0))</f>
        <v/>
      </c>
    </row>
    <row r="161">
      <c r="Y161" s="5">
        <f>IF(D161="","",X161*IF(AND(ISNUMBER(AC161),AC161&gt;0,AC161&lt;1),AC161*100,AC161)/100)</f>
        <v/>
      </c>
      <c r="Z161" s="5">
        <f>IF(D161="","",AB161*AA161/100)</f>
        <v/>
      </c>
      <c r="AA161" s="5">
        <f>IF(D161="","",X161-Y161)</f>
        <v/>
      </c>
      <c r="AD161" s="5">
        <f>IF(D161="","",AA161-Z161)</f>
        <v/>
      </c>
      <c r="AG161">
        <f>IF(D161="","",N(AG160)+IF(MATCH(D161,$D$2:$D$3001,0)=ROW()-1,1,0))</f>
        <v/>
      </c>
    </row>
    <row r="162">
      <c r="Y162" s="5">
        <f>IF(D162="","",X162*IF(AND(ISNUMBER(AC162),AC162&gt;0,AC162&lt;1),AC162*100,AC162)/100)</f>
        <v/>
      </c>
      <c r="Z162" s="5">
        <f>IF(D162="","",AB162*AA162/100)</f>
        <v/>
      </c>
      <c r="AA162" s="5">
        <f>IF(D162="","",X162-Y162)</f>
        <v/>
      </c>
      <c r="AD162" s="5">
        <f>IF(D162="","",AA162-Z162)</f>
        <v/>
      </c>
      <c r="AG162">
        <f>IF(D162="","",N(AG161)+IF(MATCH(D162,$D$2:$D$3001,0)=ROW()-1,1,0))</f>
        <v/>
      </c>
    </row>
    <row r="163">
      <c r="Y163" s="5">
        <f>IF(D163="","",X163*IF(AND(ISNUMBER(AC163),AC163&gt;0,AC163&lt;1),AC163*100,AC163)/100)</f>
        <v/>
      </c>
      <c r="Z163" s="5">
        <f>IF(D163="","",AB163*AA163/100)</f>
        <v/>
      </c>
      <c r="AA163" s="5">
        <f>IF(D163="","",X163-Y163)</f>
        <v/>
      </c>
      <c r="AD163" s="5">
        <f>IF(D163="","",AA163-Z163)</f>
        <v/>
      </c>
      <c r="AG163">
        <f>IF(D163="","",N(AG162)+IF(MATCH(D163,$D$2:$D$3001,0)=ROW()-1,1,0))</f>
        <v/>
      </c>
    </row>
    <row r="164">
      <c r="Y164" s="5">
        <f>IF(D164="","",X164*IF(AND(ISNUMBER(AC164),AC164&gt;0,AC164&lt;1),AC164*100,AC164)/100)</f>
        <v/>
      </c>
      <c r="Z164" s="5">
        <f>IF(D164="","",AB164*AA164/100)</f>
        <v/>
      </c>
      <c r="AA164" s="5">
        <f>IF(D164="","",X164-Y164)</f>
        <v/>
      </c>
      <c r="AD164" s="5">
        <f>IF(D164="","",AA164-Z164)</f>
        <v/>
      </c>
      <c r="AG164">
        <f>IF(D164="","",N(AG163)+IF(MATCH(D164,$D$2:$D$3001,0)=ROW()-1,1,0))</f>
        <v/>
      </c>
    </row>
    <row r="165">
      <c r="Y165" s="5">
        <f>IF(D165="","",X165*IF(AND(ISNUMBER(AC165),AC165&gt;0,AC165&lt;1),AC165*100,AC165)/100)</f>
        <v/>
      </c>
      <c r="Z165" s="5">
        <f>IF(D165="","",AB165*AA165/100)</f>
        <v/>
      </c>
      <c r="AA165" s="5">
        <f>IF(D165="","",X165-Y165)</f>
        <v/>
      </c>
      <c r="AD165" s="5">
        <f>IF(D165="","",AA165-Z165)</f>
        <v/>
      </c>
      <c r="AG165">
        <f>IF(D165="","",N(AG164)+IF(MATCH(D165,$D$2:$D$3001,0)=ROW()-1,1,0))</f>
        <v/>
      </c>
    </row>
    <row r="166">
      <c r="Y166" s="5">
        <f>IF(D166="","",X166*IF(AND(ISNUMBER(AC166),AC166&gt;0,AC166&lt;1),AC166*100,AC166)/100)</f>
        <v/>
      </c>
      <c r="Z166" s="5">
        <f>IF(D166="","",AB166*AA166/100)</f>
        <v/>
      </c>
      <c r="AA166" s="5">
        <f>IF(D166="","",X166-Y166)</f>
        <v/>
      </c>
      <c r="AD166" s="5">
        <f>IF(D166="","",AA166-Z166)</f>
        <v/>
      </c>
      <c r="AG166">
        <f>IF(D166="","",N(AG165)+IF(MATCH(D166,$D$2:$D$3001,0)=ROW()-1,1,0))</f>
        <v/>
      </c>
    </row>
    <row r="167">
      <c r="Y167" s="5">
        <f>IF(D167="","",X167*IF(AND(ISNUMBER(AC167),AC167&gt;0,AC167&lt;1),AC167*100,AC167)/100)</f>
        <v/>
      </c>
      <c r="Z167" s="5">
        <f>IF(D167="","",AB167*AA167/100)</f>
        <v/>
      </c>
      <c r="AA167" s="5">
        <f>IF(D167="","",X167-Y167)</f>
        <v/>
      </c>
      <c r="AD167" s="5">
        <f>IF(D167="","",AA167-Z167)</f>
        <v/>
      </c>
      <c r="AG167">
        <f>IF(D167="","",N(AG166)+IF(MATCH(D167,$D$2:$D$3001,0)=ROW()-1,1,0))</f>
        <v/>
      </c>
    </row>
    <row r="168">
      <c r="Y168" s="5">
        <f>IF(D168="","",X168*IF(AND(ISNUMBER(AC168),AC168&gt;0,AC168&lt;1),AC168*100,AC168)/100)</f>
        <v/>
      </c>
      <c r="Z168" s="5">
        <f>IF(D168="","",AB168*AA168/100)</f>
        <v/>
      </c>
      <c r="AA168" s="5">
        <f>IF(D168="","",X168-Y168)</f>
        <v/>
      </c>
      <c r="AD168" s="5">
        <f>IF(D168="","",AA168-Z168)</f>
        <v/>
      </c>
      <c r="AG168">
        <f>IF(D168="","",N(AG167)+IF(MATCH(D168,$D$2:$D$3001,0)=ROW()-1,1,0))</f>
        <v/>
      </c>
    </row>
    <row r="169">
      <c r="Y169" s="5">
        <f>IF(D169="","",X169*IF(AND(ISNUMBER(AC169),AC169&gt;0,AC169&lt;1),AC169*100,AC169)/100)</f>
        <v/>
      </c>
      <c r="Z169" s="5">
        <f>IF(D169="","",AB169*AA169/100)</f>
        <v/>
      </c>
      <c r="AA169" s="5">
        <f>IF(D169="","",X169-Y169)</f>
        <v/>
      </c>
      <c r="AD169" s="5">
        <f>IF(D169="","",AA169-Z169)</f>
        <v/>
      </c>
      <c r="AG169">
        <f>IF(D169="","",N(AG168)+IF(MATCH(D169,$D$2:$D$3001,0)=ROW()-1,1,0))</f>
        <v/>
      </c>
    </row>
    <row r="170">
      <c r="Y170" s="5">
        <f>IF(D170="","",X170*IF(AND(ISNUMBER(AC170),AC170&gt;0,AC170&lt;1),AC170*100,AC170)/100)</f>
        <v/>
      </c>
      <c r="Z170" s="5">
        <f>IF(D170="","",AB170*AA170/100)</f>
        <v/>
      </c>
      <c r="AA170" s="5">
        <f>IF(D170="","",X170-Y170)</f>
        <v/>
      </c>
      <c r="AD170" s="5">
        <f>IF(D170="","",AA170-Z170)</f>
        <v/>
      </c>
      <c r="AG170">
        <f>IF(D170="","",N(AG169)+IF(MATCH(D170,$D$2:$D$3001,0)=ROW()-1,1,0))</f>
        <v/>
      </c>
    </row>
    <row r="171">
      <c r="Y171" s="5">
        <f>IF(D171="","",X171*IF(AND(ISNUMBER(AC171),AC171&gt;0,AC171&lt;1),AC171*100,AC171)/100)</f>
        <v/>
      </c>
      <c r="Z171" s="5">
        <f>IF(D171="","",AB171*AA171/100)</f>
        <v/>
      </c>
      <c r="AA171" s="5">
        <f>IF(D171="","",X171-Y171)</f>
        <v/>
      </c>
      <c r="AD171" s="5">
        <f>IF(D171="","",AA171-Z171)</f>
        <v/>
      </c>
      <c r="AG171">
        <f>IF(D171="","",N(AG170)+IF(MATCH(D171,$D$2:$D$3001,0)=ROW()-1,1,0))</f>
        <v/>
      </c>
    </row>
    <row r="172">
      <c r="Y172" s="5">
        <f>IF(D172="","",X172*IF(AND(ISNUMBER(AC172),AC172&gt;0,AC172&lt;1),AC172*100,AC172)/100)</f>
        <v/>
      </c>
      <c r="Z172" s="5">
        <f>IF(D172="","",AB172*AA172/100)</f>
        <v/>
      </c>
      <c r="AA172" s="5">
        <f>IF(D172="","",X172-Y172)</f>
        <v/>
      </c>
      <c r="AD172" s="5">
        <f>IF(D172="","",AA172-Z172)</f>
        <v/>
      </c>
      <c r="AG172">
        <f>IF(D172="","",N(AG171)+IF(MATCH(D172,$D$2:$D$3001,0)=ROW()-1,1,0))</f>
        <v/>
      </c>
    </row>
    <row r="173">
      <c r="Y173" s="5">
        <f>IF(D173="","",X173*IF(AND(ISNUMBER(AC173),AC173&gt;0,AC173&lt;1),AC173*100,AC173)/100)</f>
        <v/>
      </c>
      <c r="Z173" s="5">
        <f>IF(D173="","",AB173*AA173/100)</f>
        <v/>
      </c>
      <c r="AA173" s="5">
        <f>IF(D173="","",X173-Y173)</f>
        <v/>
      </c>
      <c r="AD173" s="5">
        <f>IF(D173="","",AA173-Z173)</f>
        <v/>
      </c>
      <c r="AG173">
        <f>IF(D173="","",N(AG172)+IF(MATCH(D173,$D$2:$D$3001,0)=ROW()-1,1,0))</f>
        <v/>
      </c>
    </row>
    <row r="174">
      <c r="Y174" s="5">
        <f>IF(D174="","",X174*IF(AND(ISNUMBER(AC174),AC174&gt;0,AC174&lt;1),AC174*100,AC174)/100)</f>
        <v/>
      </c>
      <c r="Z174" s="5">
        <f>IF(D174="","",AB174*AA174/100)</f>
        <v/>
      </c>
      <c r="AA174" s="5">
        <f>IF(D174="","",X174-Y174)</f>
        <v/>
      </c>
      <c r="AD174" s="5">
        <f>IF(D174="","",AA174-Z174)</f>
        <v/>
      </c>
      <c r="AG174">
        <f>IF(D174="","",N(AG173)+IF(MATCH(D174,$D$2:$D$3001,0)=ROW()-1,1,0))</f>
        <v/>
      </c>
    </row>
    <row r="175">
      <c r="Y175" s="5">
        <f>IF(D175="","",X175*IF(AND(ISNUMBER(AC175),AC175&gt;0,AC175&lt;1),AC175*100,AC175)/100)</f>
        <v/>
      </c>
      <c r="Z175" s="5">
        <f>IF(D175="","",AB175*AA175/100)</f>
        <v/>
      </c>
      <c r="AA175" s="5">
        <f>IF(D175="","",X175-Y175)</f>
        <v/>
      </c>
      <c r="AD175" s="5">
        <f>IF(D175="","",AA175-Z175)</f>
        <v/>
      </c>
      <c r="AG175">
        <f>IF(D175="","",N(AG174)+IF(MATCH(D175,$D$2:$D$3001,0)=ROW()-1,1,0))</f>
        <v/>
      </c>
    </row>
    <row r="176">
      <c r="Y176" s="5">
        <f>IF(D176="","",X176*IF(AND(ISNUMBER(AC176),AC176&gt;0,AC176&lt;1),AC176*100,AC176)/100)</f>
        <v/>
      </c>
      <c r="Z176" s="5">
        <f>IF(D176="","",AB176*AA176/100)</f>
        <v/>
      </c>
      <c r="AA176" s="5">
        <f>IF(D176="","",X176-Y176)</f>
        <v/>
      </c>
      <c r="AD176" s="5">
        <f>IF(D176="","",AA176-Z176)</f>
        <v/>
      </c>
      <c r="AG176">
        <f>IF(D176="","",N(AG175)+IF(MATCH(D176,$D$2:$D$3001,0)=ROW()-1,1,0))</f>
        <v/>
      </c>
    </row>
    <row r="177">
      <c r="Y177" s="5">
        <f>IF(D177="","",X177*IF(AND(ISNUMBER(AC177),AC177&gt;0,AC177&lt;1),AC177*100,AC177)/100)</f>
        <v/>
      </c>
      <c r="Z177" s="5">
        <f>IF(D177="","",AB177*AA177/100)</f>
        <v/>
      </c>
      <c r="AA177" s="5">
        <f>IF(D177="","",X177-Y177)</f>
        <v/>
      </c>
      <c r="AD177" s="5">
        <f>IF(D177="","",AA177-Z177)</f>
        <v/>
      </c>
      <c r="AG177">
        <f>IF(D177="","",N(AG176)+IF(MATCH(D177,$D$2:$D$3001,0)=ROW()-1,1,0))</f>
        <v/>
      </c>
    </row>
    <row r="178">
      <c r="Y178" s="5">
        <f>IF(D178="","",X178*IF(AND(ISNUMBER(AC178),AC178&gt;0,AC178&lt;1),AC178*100,AC178)/100)</f>
        <v/>
      </c>
      <c r="Z178" s="5">
        <f>IF(D178="","",AB178*AA178/100)</f>
        <v/>
      </c>
      <c r="AA178" s="5">
        <f>IF(D178="","",X178-Y178)</f>
        <v/>
      </c>
      <c r="AD178" s="5">
        <f>IF(D178="","",AA178-Z178)</f>
        <v/>
      </c>
      <c r="AG178">
        <f>IF(D178="","",N(AG177)+IF(MATCH(D178,$D$2:$D$3001,0)=ROW()-1,1,0))</f>
        <v/>
      </c>
    </row>
    <row r="179">
      <c r="Y179" s="5">
        <f>IF(D179="","",X179*IF(AND(ISNUMBER(AC179),AC179&gt;0,AC179&lt;1),AC179*100,AC179)/100)</f>
        <v/>
      </c>
      <c r="Z179" s="5">
        <f>IF(D179="","",AB179*AA179/100)</f>
        <v/>
      </c>
      <c r="AA179" s="5">
        <f>IF(D179="","",X179-Y179)</f>
        <v/>
      </c>
      <c r="AD179" s="5">
        <f>IF(D179="","",AA179-Z179)</f>
        <v/>
      </c>
      <c r="AG179">
        <f>IF(D179="","",N(AG178)+IF(MATCH(D179,$D$2:$D$3001,0)=ROW()-1,1,0))</f>
        <v/>
      </c>
    </row>
    <row r="180">
      <c r="Y180" s="5">
        <f>IF(D180="","",X180*IF(AND(ISNUMBER(AC180),AC180&gt;0,AC180&lt;1),AC180*100,AC180)/100)</f>
        <v/>
      </c>
      <c r="Z180" s="5">
        <f>IF(D180="","",AB180*AA180/100)</f>
        <v/>
      </c>
      <c r="AA180" s="5">
        <f>IF(D180="","",X180-Y180)</f>
        <v/>
      </c>
      <c r="AD180" s="5">
        <f>IF(D180="","",AA180-Z180)</f>
        <v/>
      </c>
      <c r="AG180">
        <f>IF(D180="","",N(AG179)+IF(MATCH(D180,$D$2:$D$3001,0)=ROW()-1,1,0))</f>
        <v/>
      </c>
    </row>
    <row r="181">
      <c r="Y181" s="5">
        <f>IF(D181="","",X181*IF(AND(ISNUMBER(AC181),AC181&gt;0,AC181&lt;1),AC181*100,AC181)/100)</f>
        <v/>
      </c>
      <c r="Z181" s="5">
        <f>IF(D181="","",AB181*AA181/100)</f>
        <v/>
      </c>
      <c r="AA181" s="5">
        <f>IF(D181="","",X181-Y181)</f>
        <v/>
      </c>
      <c r="AD181" s="5">
        <f>IF(D181="","",AA181-Z181)</f>
        <v/>
      </c>
      <c r="AG181">
        <f>IF(D181="","",N(AG180)+IF(MATCH(D181,$D$2:$D$3001,0)=ROW()-1,1,0))</f>
        <v/>
      </c>
    </row>
    <row r="182">
      <c r="Y182" s="5">
        <f>IF(D182="","",X182*IF(AND(ISNUMBER(AC182),AC182&gt;0,AC182&lt;1),AC182*100,AC182)/100)</f>
        <v/>
      </c>
      <c r="Z182" s="5">
        <f>IF(D182="","",AB182*AA182/100)</f>
        <v/>
      </c>
      <c r="AA182" s="5">
        <f>IF(D182="","",X182-Y182)</f>
        <v/>
      </c>
      <c r="AD182" s="5">
        <f>IF(D182="","",AA182-Z182)</f>
        <v/>
      </c>
      <c r="AG182">
        <f>IF(D182="","",N(AG181)+IF(MATCH(D182,$D$2:$D$3001,0)=ROW()-1,1,0))</f>
        <v/>
      </c>
    </row>
    <row r="183">
      <c r="Y183" s="5">
        <f>IF(D183="","",X183*IF(AND(ISNUMBER(AC183),AC183&gt;0,AC183&lt;1),AC183*100,AC183)/100)</f>
        <v/>
      </c>
      <c r="Z183" s="5">
        <f>IF(D183="","",AB183*AA183/100)</f>
        <v/>
      </c>
      <c r="AA183" s="5">
        <f>IF(D183="","",X183-Y183)</f>
        <v/>
      </c>
      <c r="AD183" s="5">
        <f>IF(D183="","",AA183-Z183)</f>
        <v/>
      </c>
      <c r="AG183">
        <f>IF(D183="","",N(AG182)+IF(MATCH(D183,$D$2:$D$3001,0)=ROW()-1,1,0))</f>
        <v/>
      </c>
    </row>
    <row r="184">
      <c r="Y184" s="5">
        <f>IF(D184="","",X184*IF(AND(ISNUMBER(AC184),AC184&gt;0,AC184&lt;1),AC184*100,AC184)/100)</f>
        <v/>
      </c>
      <c r="Z184" s="5">
        <f>IF(D184="","",AB184*AA184/100)</f>
        <v/>
      </c>
      <c r="AA184" s="5">
        <f>IF(D184="","",X184-Y184)</f>
        <v/>
      </c>
      <c r="AD184" s="5">
        <f>IF(D184="","",AA184-Z184)</f>
        <v/>
      </c>
      <c r="AG184">
        <f>IF(D184="","",N(AG183)+IF(MATCH(D184,$D$2:$D$3001,0)=ROW()-1,1,0))</f>
        <v/>
      </c>
    </row>
    <row r="185">
      <c r="Y185" s="5">
        <f>IF(D185="","",X185*IF(AND(ISNUMBER(AC185),AC185&gt;0,AC185&lt;1),AC185*100,AC185)/100)</f>
        <v/>
      </c>
      <c r="Z185" s="5">
        <f>IF(D185="","",AB185*AA185/100)</f>
        <v/>
      </c>
      <c r="AA185" s="5">
        <f>IF(D185="","",X185-Y185)</f>
        <v/>
      </c>
      <c r="AD185" s="5">
        <f>IF(D185="","",AA185-Z185)</f>
        <v/>
      </c>
      <c r="AG185">
        <f>IF(D185="","",N(AG184)+IF(MATCH(D185,$D$2:$D$3001,0)=ROW()-1,1,0))</f>
        <v/>
      </c>
    </row>
    <row r="186">
      <c r="Y186" s="5">
        <f>IF(D186="","",X186*IF(AND(ISNUMBER(AC186),AC186&gt;0,AC186&lt;1),AC186*100,AC186)/100)</f>
        <v/>
      </c>
      <c r="Z186" s="5">
        <f>IF(D186="","",AB186*AA186/100)</f>
        <v/>
      </c>
      <c r="AA186" s="5">
        <f>IF(D186="","",X186-Y186)</f>
        <v/>
      </c>
      <c r="AD186" s="5">
        <f>IF(D186="","",AA186-Z186)</f>
        <v/>
      </c>
      <c r="AG186">
        <f>IF(D186="","",N(AG185)+IF(MATCH(D186,$D$2:$D$3001,0)=ROW()-1,1,0))</f>
        <v/>
      </c>
    </row>
    <row r="187">
      <c r="Y187" s="5">
        <f>IF(D187="","",X187*IF(AND(ISNUMBER(AC187),AC187&gt;0,AC187&lt;1),AC187*100,AC187)/100)</f>
        <v/>
      </c>
      <c r="Z187" s="5">
        <f>IF(D187="","",AB187*AA187/100)</f>
        <v/>
      </c>
      <c r="AA187" s="5">
        <f>IF(D187="","",X187-Y187)</f>
        <v/>
      </c>
      <c r="AD187" s="5">
        <f>IF(D187="","",AA187-Z187)</f>
        <v/>
      </c>
      <c r="AG187">
        <f>IF(D187="","",N(AG186)+IF(MATCH(D187,$D$2:$D$3001,0)=ROW()-1,1,0))</f>
        <v/>
      </c>
    </row>
    <row r="188">
      <c r="Y188" s="5">
        <f>IF(D188="","",X188*IF(AND(ISNUMBER(AC188),AC188&gt;0,AC188&lt;1),AC188*100,AC188)/100)</f>
        <v/>
      </c>
      <c r="Z188" s="5">
        <f>IF(D188="","",AB188*AA188/100)</f>
        <v/>
      </c>
      <c r="AA188" s="5">
        <f>IF(D188="","",X188-Y188)</f>
        <v/>
      </c>
      <c r="AD188" s="5">
        <f>IF(D188="","",AA188-Z188)</f>
        <v/>
      </c>
      <c r="AG188">
        <f>IF(D188="","",N(AG187)+IF(MATCH(D188,$D$2:$D$3001,0)=ROW()-1,1,0))</f>
        <v/>
      </c>
    </row>
    <row r="189">
      <c r="Y189" s="5">
        <f>IF(D189="","",X189*IF(AND(ISNUMBER(AC189),AC189&gt;0,AC189&lt;1),AC189*100,AC189)/100)</f>
        <v/>
      </c>
      <c r="Z189" s="5">
        <f>IF(D189="","",AB189*AA189/100)</f>
        <v/>
      </c>
      <c r="AA189" s="5">
        <f>IF(D189="","",X189-Y189)</f>
        <v/>
      </c>
      <c r="AD189" s="5">
        <f>IF(D189="","",AA189-Z189)</f>
        <v/>
      </c>
      <c r="AG189">
        <f>IF(D189="","",N(AG188)+IF(MATCH(D189,$D$2:$D$3001,0)=ROW()-1,1,0))</f>
        <v/>
      </c>
    </row>
    <row r="190">
      <c r="Y190" s="5">
        <f>IF(D190="","",X190*IF(AND(ISNUMBER(AC190),AC190&gt;0,AC190&lt;1),AC190*100,AC190)/100)</f>
        <v/>
      </c>
      <c r="Z190" s="5">
        <f>IF(D190="","",AB190*AA190/100)</f>
        <v/>
      </c>
      <c r="AA190" s="5">
        <f>IF(D190="","",X190-Y190)</f>
        <v/>
      </c>
      <c r="AD190" s="5">
        <f>IF(D190="","",AA190-Z190)</f>
        <v/>
      </c>
      <c r="AG190">
        <f>IF(D190="","",N(AG189)+IF(MATCH(D190,$D$2:$D$3001,0)=ROW()-1,1,0))</f>
        <v/>
      </c>
    </row>
    <row r="191">
      <c r="Y191" s="5">
        <f>IF(D191="","",X191*IF(AND(ISNUMBER(AC191),AC191&gt;0,AC191&lt;1),AC191*100,AC191)/100)</f>
        <v/>
      </c>
      <c r="Z191" s="5">
        <f>IF(D191="","",AB191*AA191/100)</f>
        <v/>
      </c>
      <c r="AA191" s="5">
        <f>IF(D191="","",X191-Y191)</f>
        <v/>
      </c>
      <c r="AD191" s="5">
        <f>IF(D191="","",AA191-Z191)</f>
        <v/>
      </c>
      <c r="AG191">
        <f>IF(D191="","",N(AG190)+IF(MATCH(D191,$D$2:$D$3001,0)=ROW()-1,1,0))</f>
        <v/>
      </c>
    </row>
    <row r="192">
      <c r="Y192" s="5">
        <f>IF(D192="","",X192*IF(AND(ISNUMBER(AC192),AC192&gt;0,AC192&lt;1),AC192*100,AC192)/100)</f>
        <v/>
      </c>
      <c r="Z192" s="5">
        <f>IF(D192="","",AB192*AA192/100)</f>
        <v/>
      </c>
      <c r="AA192" s="5">
        <f>IF(D192="","",X192-Y192)</f>
        <v/>
      </c>
      <c r="AD192" s="5">
        <f>IF(D192="","",AA192-Z192)</f>
        <v/>
      </c>
      <c r="AG192">
        <f>IF(D192="","",N(AG191)+IF(MATCH(D192,$D$2:$D$3001,0)=ROW()-1,1,0))</f>
        <v/>
      </c>
    </row>
    <row r="193">
      <c r="Y193" s="5">
        <f>IF(D193="","",X193*IF(AND(ISNUMBER(AC193),AC193&gt;0,AC193&lt;1),AC193*100,AC193)/100)</f>
        <v/>
      </c>
      <c r="Z193" s="5">
        <f>IF(D193="","",AB193*AA193/100)</f>
        <v/>
      </c>
      <c r="AA193" s="5">
        <f>IF(D193="","",X193-Y193)</f>
        <v/>
      </c>
      <c r="AD193" s="5">
        <f>IF(D193="","",AA193-Z193)</f>
        <v/>
      </c>
      <c r="AG193">
        <f>IF(D193="","",N(AG192)+IF(MATCH(D193,$D$2:$D$3001,0)=ROW()-1,1,0))</f>
        <v/>
      </c>
    </row>
    <row r="194">
      <c r="Y194" s="5">
        <f>IF(D194="","",X194*IF(AND(ISNUMBER(AC194),AC194&gt;0,AC194&lt;1),AC194*100,AC194)/100)</f>
        <v/>
      </c>
      <c r="Z194" s="5">
        <f>IF(D194="","",AB194*AA194/100)</f>
        <v/>
      </c>
      <c r="AA194" s="5">
        <f>IF(D194="","",X194-Y194)</f>
        <v/>
      </c>
      <c r="AD194" s="5">
        <f>IF(D194="","",AA194-Z194)</f>
        <v/>
      </c>
      <c r="AG194">
        <f>IF(D194="","",N(AG193)+IF(MATCH(D194,$D$2:$D$3001,0)=ROW()-1,1,0))</f>
        <v/>
      </c>
    </row>
    <row r="195">
      <c r="Y195" s="5">
        <f>IF(D195="","",X195*IF(AND(ISNUMBER(AC195),AC195&gt;0,AC195&lt;1),AC195*100,AC195)/100)</f>
        <v/>
      </c>
      <c r="Z195" s="5">
        <f>IF(D195="","",AB195*AA195/100)</f>
        <v/>
      </c>
      <c r="AA195" s="5">
        <f>IF(D195="","",X195-Y195)</f>
        <v/>
      </c>
      <c r="AD195" s="5">
        <f>IF(D195="","",AA195-Z195)</f>
        <v/>
      </c>
      <c r="AG195">
        <f>IF(D195="","",N(AG194)+IF(MATCH(D195,$D$2:$D$3001,0)=ROW()-1,1,0))</f>
        <v/>
      </c>
    </row>
    <row r="196">
      <c r="Y196" s="5">
        <f>IF(D196="","",X196*IF(AND(ISNUMBER(AC196),AC196&gt;0,AC196&lt;1),AC196*100,AC196)/100)</f>
        <v/>
      </c>
      <c r="Z196" s="5">
        <f>IF(D196="","",AB196*AA196/100)</f>
        <v/>
      </c>
      <c r="AA196" s="5">
        <f>IF(D196="","",X196-Y196)</f>
        <v/>
      </c>
      <c r="AD196" s="5">
        <f>IF(D196="","",AA196-Z196)</f>
        <v/>
      </c>
      <c r="AG196">
        <f>IF(D196="","",N(AG195)+IF(MATCH(D196,$D$2:$D$3001,0)=ROW()-1,1,0))</f>
        <v/>
      </c>
    </row>
    <row r="197">
      <c r="Y197" s="5">
        <f>IF(D197="","",X197*IF(AND(ISNUMBER(AC197),AC197&gt;0,AC197&lt;1),AC197*100,AC197)/100)</f>
        <v/>
      </c>
      <c r="Z197" s="5">
        <f>IF(D197="","",AB197*AA197/100)</f>
        <v/>
      </c>
      <c r="AA197" s="5">
        <f>IF(D197="","",X197-Y197)</f>
        <v/>
      </c>
      <c r="AD197" s="5">
        <f>IF(D197="","",AA197-Z197)</f>
        <v/>
      </c>
      <c r="AG197">
        <f>IF(D197="","",N(AG196)+IF(MATCH(D197,$D$2:$D$3001,0)=ROW()-1,1,0))</f>
        <v/>
      </c>
    </row>
    <row r="198">
      <c r="Y198" s="5">
        <f>IF(D198="","",X198*IF(AND(ISNUMBER(AC198),AC198&gt;0,AC198&lt;1),AC198*100,AC198)/100)</f>
        <v/>
      </c>
      <c r="Z198" s="5">
        <f>IF(D198="","",AB198*AA198/100)</f>
        <v/>
      </c>
      <c r="AA198" s="5">
        <f>IF(D198="","",X198-Y198)</f>
        <v/>
      </c>
      <c r="AD198" s="5">
        <f>IF(D198="","",AA198-Z198)</f>
        <v/>
      </c>
      <c r="AG198">
        <f>IF(D198="","",N(AG197)+IF(MATCH(D198,$D$2:$D$3001,0)=ROW()-1,1,0))</f>
        <v/>
      </c>
    </row>
    <row r="199">
      <c r="Y199" s="5">
        <f>IF(D199="","",X199*IF(AND(ISNUMBER(AC199),AC199&gt;0,AC199&lt;1),AC199*100,AC199)/100)</f>
        <v/>
      </c>
      <c r="Z199" s="5">
        <f>IF(D199="","",AB199*AA199/100)</f>
        <v/>
      </c>
      <c r="AA199" s="5">
        <f>IF(D199="","",X199-Y199)</f>
        <v/>
      </c>
      <c r="AD199" s="5">
        <f>IF(D199="","",AA199-Z199)</f>
        <v/>
      </c>
      <c r="AG199">
        <f>IF(D199="","",N(AG198)+IF(MATCH(D199,$D$2:$D$3001,0)=ROW()-1,1,0))</f>
        <v/>
      </c>
    </row>
    <row r="200">
      <c r="Y200" s="5">
        <f>IF(D200="","",X200*IF(AND(ISNUMBER(AC200),AC200&gt;0,AC200&lt;1),AC200*100,AC200)/100)</f>
        <v/>
      </c>
      <c r="Z200" s="5">
        <f>IF(D200="","",AB200*AA200/100)</f>
        <v/>
      </c>
      <c r="AA200" s="5">
        <f>IF(D200="","",X200-Y200)</f>
        <v/>
      </c>
      <c r="AD200" s="5">
        <f>IF(D200="","",AA200-Z200)</f>
        <v/>
      </c>
      <c r="AG200">
        <f>IF(D200="","",N(AG199)+IF(MATCH(D200,$D$2:$D$3001,0)=ROW()-1,1,0))</f>
        <v/>
      </c>
    </row>
    <row r="201">
      <c r="Y201" s="5">
        <f>IF(D201="","",X201*IF(AND(ISNUMBER(AC201),AC201&gt;0,AC201&lt;1),AC201*100,AC201)/100)</f>
        <v/>
      </c>
      <c r="Z201" s="5">
        <f>IF(D201="","",AB201*AA201/100)</f>
        <v/>
      </c>
      <c r="AA201" s="5">
        <f>IF(D201="","",X201-Y201)</f>
        <v/>
      </c>
      <c r="AD201" s="5">
        <f>IF(D201="","",AA201-Z201)</f>
        <v/>
      </c>
      <c r="AG201">
        <f>IF(D201="","",N(AG200)+IF(MATCH(D201,$D$2:$D$3001,0)=ROW()-1,1,0))</f>
        <v/>
      </c>
    </row>
    <row r="202">
      <c r="Y202" s="5">
        <f>IF(D202="","",X202*IF(AND(ISNUMBER(AC202),AC202&gt;0,AC202&lt;1),AC202*100,AC202)/100)</f>
        <v/>
      </c>
      <c r="Z202" s="5">
        <f>IF(D202="","",AB202*AA202/100)</f>
        <v/>
      </c>
      <c r="AA202" s="5">
        <f>IF(D202="","",X202-Y202)</f>
        <v/>
      </c>
      <c r="AD202" s="5">
        <f>IF(D202="","",AA202-Z202)</f>
        <v/>
      </c>
      <c r="AG202">
        <f>IF(D202="","",N(AG201)+IF(MATCH(D202,$D$2:$D$3001,0)=ROW()-1,1,0))</f>
        <v/>
      </c>
    </row>
    <row r="203">
      <c r="Y203" s="5">
        <f>IF(D203="","",X203*IF(AND(ISNUMBER(AC203),AC203&gt;0,AC203&lt;1),AC203*100,AC203)/100)</f>
        <v/>
      </c>
      <c r="Z203" s="5">
        <f>IF(D203="","",AB203*AA203/100)</f>
        <v/>
      </c>
      <c r="AA203" s="5">
        <f>IF(D203="","",X203-Y203)</f>
        <v/>
      </c>
      <c r="AD203" s="5">
        <f>IF(D203="","",AA203-Z203)</f>
        <v/>
      </c>
      <c r="AG203">
        <f>IF(D203="","",N(AG202)+IF(MATCH(D203,$D$2:$D$3001,0)=ROW()-1,1,0))</f>
        <v/>
      </c>
    </row>
    <row r="204">
      <c r="Y204" s="5">
        <f>IF(D204="","",X204*IF(AND(ISNUMBER(AC204),AC204&gt;0,AC204&lt;1),AC204*100,AC204)/100)</f>
        <v/>
      </c>
      <c r="Z204" s="5">
        <f>IF(D204="","",AB204*AA204/100)</f>
        <v/>
      </c>
      <c r="AA204" s="5">
        <f>IF(D204="","",X204-Y204)</f>
        <v/>
      </c>
      <c r="AD204" s="5">
        <f>IF(D204="","",AA204-Z204)</f>
        <v/>
      </c>
      <c r="AG204">
        <f>IF(D204="","",N(AG203)+IF(MATCH(D204,$D$2:$D$3001,0)=ROW()-1,1,0))</f>
        <v/>
      </c>
    </row>
    <row r="205">
      <c r="Y205" s="5">
        <f>IF(D205="","",X205*IF(AND(ISNUMBER(AC205),AC205&gt;0,AC205&lt;1),AC205*100,AC205)/100)</f>
        <v/>
      </c>
      <c r="Z205" s="5">
        <f>IF(D205="","",AB205*AA205/100)</f>
        <v/>
      </c>
      <c r="AA205" s="5">
        <f>IF(D205="","",X205-Y205)</f>
        <v/>
      </c>
      <c r="AD205" s="5">
        <f>IF(D205="","",AA205-Z205)</f>
        <v/>
      </c>
      <c r="AG205">
        <f>IF(D205="","",N(AG204)+IF(MATCH(D205,$D$2:$D$3001,0)=ROW()-1,1,0))</f>
        <v/>
      </c>
    </row>
    <row r="206">
      <c r="Y206" s="5">
        <f>IF(D206="","",X206*IF(AND(ISNUMBER(AC206),AC206&gt;0,AC206&lt;1),AC206*100,AC206)/100)</f>
        <v/>
      </c>
      <c r="Z206" s="5">
        <f>IF(D206="","",AB206*AA206/100)</f>
        <v/>
      </c>
      <c r="AA206" s="5">
        <f>IF(D206="","",X206-Y206)</f>
        <v/>
      </c>
      <c r="AD206" s="5">
        <f>IF(D206="","",AA206-Z206)</f>
        <v/>
      </c>
      <c r="AG206">
        <f>IF(D206="","",N(AG205)+IF(MATCH(D206,$D$2:$D$3001,0)=ROW()-1,1,0))</f>
        <v/>
      </c>
    </row>
    <row r="207">
      <c r="Y207" s="5">
        <f>IF(D207="","",X207*IF(AND(ISNUMBER(AC207),AC207&gt;0,AC207&lt;1),AC207*100,AC207)/100)</f>
        <v/>
      </c>
      <c r="Z207" s="5">
        <f>IF(D207="","",AB207*AA207/100)</f>
        <v/>
      </c>
      <c r="AA207" s="5">
        <f>IF(D207="","",X207-Y207)</f>
        <v/>
      </c>
      <c r="AD207" s="5">
        <f>IF(D207="","",AA207-Z207)</f>
        <v/>
      </c>
      <c r="AG207">
        <f>IF(D207="","",N(AG206)+IF(MATCH(D207,$D$2:$D$3001,0)=ROW()-1,1,0))</f>
        <v/>
      </c>
    </row>
    <row r="208">
      <c r="Y208" s="5">
        <f>IF(D208="","",X208*IF(AND(ISNUMBER(AC208),AC208&gt;0,AC208&lt;1),AC208*100,AC208)/100)</f>
        <v/>
      </c>
      <c r="Z208" s="5">
        <f>IF(D208="","",AB208*AA208/100)</f>
        <v/>
      </c>
      <c r="AA208" s="5">
        <f>IF(D208="","",X208-Y208)</f>
        <v/>
      </c>
      <c r="AD208" s="5">
        <f>IF(D208="","",AA208-Z208)</f>
        <v/>
      </c>
      <c r="AG208">
        <f>IF(D208="","",N(AG207)+IF(MATCH(D208,$D$2:$D$3001,0)=ROW()-1,1,0))</f>
        <v/>
      </c>
    </row>
    <row r="209">
      <c r="Y209" s="5">
        <f>IF(D209="","",X209*IF(AND(ISNUMBER(AC209),AC209&gt;0,AC209&lt;1),AC209*100,AC209)/100)</f>
        <v/>
      </c>
      <c r="Z209" s="5">
        <f>IF(D209="","",AB209*AA209/100)</f>
        <v/>
      </c>
      <c r="AA209" s="5">
        <f>IF(D209="","",X209-Y209)</f>
        <v/>
      </c>
      <c r="AD209" s="5">
        <f>IF(D209="","",AA209-Z209)</f>
        <v/>
      </c>
      <c r="AG209">
        <f>IF(D209="","",N(AG208)+IF(MATCH(D209,$D$2:$D$3001,0)=ROW()-1,1,0))</f>
        <v/>
      </c>
    </row>
    <row r="210">
      <c r="Y210" s="5">
        <f>IF(D210="","",X210*IF(AND(ISNUMBER(AC210),AC210&gt;0,AC210&lt;1),AC210*100,AC210)/100)</f>
        <v/>
      </c>
      <c r="Z210" s="5">
        <f>IF(D210="","",AB210*AA210/100)</f>
        <v/>
      </c>
      <c r="AA210" s="5">
        <f>IF(D210="","",X210-Y210)</f>
        <v/>
      </c>
      <c r="AD210" s="5">
        <f>IF(D210="","",AA210-Z210)</f>
        <v/>
      </c>
      <c r="AG210">
        <f>IF(D210="","",N(AG209)+IF(MATCH(D210,$D$2:$D$3001,0)=ROW()-1,1,0))</f>
        <v/>
      </c>
    </row>
    <row r="211">
      <c r="Y211" s="5">
        <f>IF(D211="","",X211*IF(AND(ISNUMBER(AC211),AC211&gt;0,AC211&lt;1),AC211*100,AC211)/100)</f>
        <v/>
      </c>
      <c r="Z211" s="5">
        <f>IF(D211="","",AB211*AA211/100)</f>
        <v/>
      </c>
      <c r="AA211" s="5">
        <f>IF(D211="","",X211-Y211)</f>
        <v/>
      </c>
      <c r="AD211" s="5">
        <f>IF(D211="","",AA211-Z211)</f>
        <v/>
      </c>
      <c r="AG211">
        <f>IF(D211="","",N(AG210)+IF(MATCH(D211,$D$2:$D$3001,0)=ROW()-1,1,0))</f>
        <v/>
      </c>
    </row>
    <row r="212">
      <c r="Y212" s="5">
        <f>IF(D212="","",X212*IF(AND(ISNUMBER(AC212),AC212&gt;0,AC212&lt;1),AC212*100,AC212)/100)</f>
        <v/>
      </c>
      <c r="Z212" s="5">
        <f>IF(D212="","",AB212*AA212/100)</f>
        <v/>
      </c>
      <c r="AA212" s="5">
        <f>IF(D212="","",X212-Y212)</f>
        <v/>
      </c>
      <c r="AD212" s="5">
        <f>IF(D212="","",AA212-Z212)</f>
        <v/>
      </c>
      <c r="AG212">
        <f>IF(D212="","",N(AG211)+IF(MATCH(D212,$D$2:$D$3001,0)=ROW()-1,1,0))</f>
        <v/>
      </c>
    </row>
    <row r="213">
      <c r="Y213" s="5">
        <f>IF(D213="","",X213*IF(AND(ISNUMBER(AC213),AC213&gt;0,AC213&lt;1),AC213*100,AC213)/100)</f>
        <v/>
      </c>
      <c r="Z213" s="5">
        <f>IF(D213="","",AB213*AA213/100)</f>
        <v/>
      </c>
      <c r="AA213" s="5">
        <f>IF(D213="","",X213-Y213)</f>
        <v/>
      </c>
      <c r="AD213" s="5">
        <f>IF(D213="","",AA213-Z213)</f>
        <v/>
      </c>
      <c r="AG213">
        <f>IF(D213="","",N(AG212)+IF(MATCH(D213,$D$2:$D$3001,0)=ROW()-1,1,0))</f>
        <v/>
      </c>
    </row>
    <row r="214">
      <c r="Y214" s="5">
        <f>IF(D214="","",X214*IF(AND(ISNUMBER(AC214),AC214&gt;0,AC214&lt;1),AC214*100,AC214)/100)</f>
        <v/>
      </c>
      <c r="Z214" s="5">
        <f>IF(D214="","",AB214*AA214/100)</f>
        <v/>
      </c>
      <c r="AA214" s="5">
        <f>IF(D214="","",X214-Y214)</f>
        <v/>
      </c>
      <c r="AD214" s="5">
        <f>IF(D214="","",AA214-Z214)</f>
        <v/>
      </c>
      <c r="AG214">
        <f>IF(D214="","",N(AG213)+IF(MATCH(D214,$D$2:$D$3001,0)=ROW()-1,1,0))</f>
        <v/>
      </c>
    </row>
    <row r="215">
      <c r="Y215" s="5">
        <f>IF(D215="","",X215*IF(AND(ISNUMBER(AC215),AC215&gt;0,AC215&lt;1),AC215*100,AC215)/100)</f>
        <v/>
      </c>
      <c r="Z215" s="5">
        <f>IF(D215="","",AB215*AA215/100)</f>
        <v/>
      </c>
      <c r="AA215" s="5">
        <f>IF(D215="","",X215-Y215)</f>
        <v/>
      </c>
      <c r="AD215" s="5">
        <f>IF(D215="","",AA215-Z215)</f>
        <v/>
      </c>
      <c r="AG215">
        <f>IF(D215="","",N(AG214)+IF(MATCH(D215,$D$2:$D$3001,0)=ROW()-1,1,0))</f>
        <v/>
      </c>
    </row>
    <row r="216">
      <c r="Y216" s="5">
        <f>IF(D216="","",X216*IF(AND(ISNUMBER(AC216),AC216&gt;0,AC216&lt;1),AC216*100,AC216)/100)</f>
        <v/>
      </c>
      <c r="Z216" s="5">
        <f>IF(D216="","",AB216*AA216/100)</f>
        <v/>
      </c>
      <c r="AA216" s="5">
        <f>IF(D216="","",X216-Y216)</f>
        <v/>
      </c>
      <c r="AD216" s="5">
        <f>IF(D216="","",AA216-Z216)</f>
        <v/>
      </c>
      <c r="AG216">
        <f>IF(D216="","",N(AG215)+IF(MATCH(D216,$D$2:$D$3001,0)=ROW()-1,1,0))</f>
        <v/>
      </c>
    </row>
    <row r="217">
      <c r="Y217" s="5">
        <f>IF(D217="","",X217*IF(AND(ISNUMBER(AC217),AC217&gt;0,AC217&lt;1),AC217*100,AC217)/100)</f>
        <v/>
      </c>
      <c r="Z217" s="5">
        <f>IF(D217="","",AB217*AA217/100)</f>
        <v/>
      </c>
      <c r="AA217" s="5">
        <f>IF(D217="","",X217-Y217)</f>
        <v/>
      </c>
      <c r="AD217" s="5">
        <f>IF(D217="","",AA217-Z217)</f>
        <v/>
      </c>
      <c r="AG217">
        <f>IF(D217="","",N(AG216)+IF(MATCH(D217,$D$2:$D$3001,0)=ROW()-1,1,0))</f>
        <v/>
      </c>
    </row>
    <row r="218">
      <c r="Y218" s="5">
        <f>IF(D218="","",X218*IF(AND(ISNUMBER(AC218),AC218&gt;0,AC218&lt;1),AC218*100,AC218)/100)</f>
        <v/>
      </c>
      <c r="Z218" s="5">
        <f>IF(D218="","",AB218*AA218/100)</f>
        <v/>
      </c>
      <c r="AA218" s="5">
        <f>IF(D218="","",X218-Y218)</f>
        <v/>
      </c>
      <c r="AD218" s="5">
        <f>IF(D218="","",AA218-Z218)</f>
        <v/>
      </c>
      <c r="AG218">
        <f>IF(D218="","",N(AG217)+IF(MATCH(D218,$D$2:$D$3001,0)=ROW()-1,1,0))</f>
        <v/>
      </c>
    </row>
    <row r="219">
      <c r="Y219" s="5">
        <f>IF(D219="","",X219*IF(AND(ISNUMBER(AC219),AC219&gt;0,AC219&lt;1),AC219*100,AC219)/100)</f>
        <v/>
      </c>
      <c r="Z219" s="5">
        <f>IF(D219="","",AB219*AA219/100)</f>
        <v/>
      </c>
      <c r="AA219" s="5">
        <f>IF(D219="","",X219-Y219)</f>
        <v/>
      </c>
      <c r="AD219" s="5">
        <f>IF(D219="","",AA219-Z219)</f>
        <v/>
      </c>
      <c r="AG219">
        <f>IF(D219="","",N(AG218)+IF(MATCH(D219,$D$2:$D$3001,0)=ROW()-1,1,0))</f>
        <v/>
      </c>
    </row>
    <row r="220">
      <c r="Y220" s="5">
        <f>IF(D220="","",X220*IF(AND(ISNUMBER(AC220),AC220&gt;0,AC220&lt;1),AC220*100,AC220)/100)</f>
        <v/>
      </c>
      <c r="Z220" s="5">
        <f>IF(D220="","",AB220*AA220/100)</f>
        <v/>
      </c>
      <c r="AA220" s="5">
        <f>IF(D220="","",X220-Y220)</f>
        <v/>
      </c>
      <c r="AD220" s="5">
        <f>IF(D220="","",AA220-Z220)</f>
        <v/>
      </c>
      <c r="AG220">
        <f>IF(D220="","",N(AG219)+IF(MATCH(D220,$D$2:$D$3001,0)=ROW()-1,1,0))</f>
        <v/>
      </c>
    </row>
    <row r="221">
      <c r="Y221" s="5">
        <f>IF(D221="","",X221*IF(AND(ISNUMBER(AC221),AC221&gt;0,AC221&lt;1),AC221*100,AC221)/100)</f>
        <v/>
      </c>
      <c r="Z221" s="5">
        <f>IF(D221="","",AB221*AA221/100)</f>
        <v/>
      </c>
      <c r="AA221" s="5">
        <f>IF(D221="","",X221-Y221)</f>
        <v/>
      </c>
      <c r="AD221" s="5">
        <f>IF(D221="","",AA221-Z221)</f>
        <v/>
      </c>
      <c r="AG221">
        <f>IF(D221="","",N(AG220)+IF(MATCH(D221,$D$2:$D$3001,0)=ROW()-1,1,0))</f>
        <v/>
      </c>
    </row>
    <row r="222">
      <c r="Y222" s="5">
        <f>IF(D222="","",X222*IF(AND(ISNUMBER(AC222),AC222&gt;0,AC222&lt;1),AC222*100,AC222)/100)</f>
        <v/>
      </c>
      <c r="Z222" s="5">
        <f>IF(D222="","",AB222*AA222/100)</f>
        <v/>
      </c>
      <c r="AA222" s="5">
        <f>IF(D222="","",X222-Y222)</f>
        <v/>
      </c>
      <c r="AD222" s="5">
        <f>IF(D222="","",AA222-Z222)</f>
        <v/>
      </c>
      <c r="AG222">
        <f>IF(D222="","",N(AG221)+IF(MATCH(D222,$D$2:$D$3001,0)=ROW()-1,1,0))</f>
        <v/>
      </c>
    </row>
    <row r="223">
      <c r="Y223" s="5">
        <f>IF(D223="","",X223*IF(AND(ISNUMBER(AC223),AC223&gt;0,AC223&lt;1),AC223*100,AC223)/100)</f>
        <v/>
      </c>
      <c r="Z223" s="5">
        <f>IF(D223="","",AB223*AA223/100)</f>
        <v/>
      </c>
      <c r="AA223" s="5">
        <f>IF(D223="","",X223-Y223)</f>
        <v/>
      </c>
      <c r="AD223" s="5">
        <f>IF(D223="","",AA223-Z223)</f>
        <v/>
      </c>
      <c r="AG223">
        <f>IF(D223="","",N(AG222)+IF(MATCH(D223,$D$2:$D$3001,0)=ROW()-1,1,0))</f>
        <v/>
      </c>
    </row>
    <row r="224">
      <c r="Y224" s="5">
        <f>IF(D224="","",X224*IF(AND(ISNUMBER(AC224),AC224&gt;0,AC224&lt;1),AC224*100,AC224)/100)</f>
        <v/>
      </c>
      <c r="Z224" s="5">
        <f>IF(D224="","",AB224*AA224/100)</f>
        <v/>
      </c>
      <c r="AA224" s="5">
        <f>IF(D224="","",X224-Y224)</f>
        <v/>
      </c>
      <c r="AD224" s="5">
        <f>IF(D224="","",AA224-Z224)</f>
        <v/>
      </c>
      <c r="AG224">
        <f>IF(D224="","",N(AG223)+IF(MATCH(D224,$D$2:$D$3001,0)=ROW()-1,1,0))</f>
        <v/>
      </c>
    </row>
    <row r="225">
      <c r="Y225" s="5">
        <f>IF(D225="","",X225*IF(AND(ISNUMBER(AC225),AC225&gt;0,AC225&lt;1),AC225*100,AC225)/100)</f>
        <v/>
      </c>
      <c r="Z225" s="5">
        <f>IF(D225="","",AB225*AA225/100)</f>
        <v/>
      </c>
      <c r="AA225" s="5">
        <f>IF(D225="","",X225-Y225)</f>
        <v/>
      </c>
      <c r="AD225" s="5">
        <f>IF(D225="","",AA225-Z225)</f>
        <v/>
      </c>
      <c r="AG225">
        <f>IF(D225="","",N(AG224)+IF(MATCH(D225,$D$2:$D$3001,0)=ROW()-1,1,0))</f>
        <v/>
      </c>
    </row>
    <row r="226">
      <c r="Y226" s="5">
        <f>IF(D226="","",X226*IF(AND(ISNUMBER(AC226),AC226&gt;0,AC226&lt;1),AC226*100,AC226)/100)</f>
        <v/>
      </c>
      <c r="Z226" s="5">
        <f>IF(D226="","",AB226*AA226/100)</f>
        <v/>
      </c>
      <c r="AA226" s="5">
        <f>IF(D226="","",X226-Y226)</f>
        <v/>
      </c>
      <c r="AD226" s="5">
        <f>IF(D226="","",AA226-Z226)</f>
        <v/>
      </c>
      <c r="AG226">
        <f>IF(D226="","",N(AG225)+IF(MATCH(D226,$D$2:$D$3001,0)=ROW()-1,1,0))</f>
        <v/>
      </c>
    </row>
    <row r="227">
      <c r="Y227" s="5">
        <f>IF(D227="","",X227*IF(AND(ISNUMBER(AC227),AC227&gt;0,AC227&lt;1),AC227*100,AC227)/100)</f>
        <v/>
      </c>
      <c r="Z227" s="5">
        <f>IF(D227="","",AB227*AA227/100)</f>
        <v/>
      </c>
      <c r="AA227" s="5">
        <f>IF(D227="","",X227-Y227)</f>
        <v/>
      </c>
      <c r="AD227" s="5">
        <f>IF(D227="","",AA227-Z227)</f>
        <v/>
      </c>
      <c r="AG227">
        <f>IF(D227="","",N(AG226)+IF(MATCH(D227,$D$2:$D$3001,0)=ROW()-1,1,0))</f>
        <v/>
      </c>
    </row>
    <row r="228">
      <c r="Y228" s="5">
        <f>IF(D228="","",X228*IF(AND(ISNUMBER(AC228),AC228&gt;0,AC228&lt;1),AC228*100,AC228)/100)</f>
        <v/>
      </c>
      <c r="Z228" s="5">
        <f>IF(D228="","",AB228*AA228/100)</f>
        <v/>
      </c>
      <c r="AA228" s="5">
        <f>IF(D228="","",X228-Y228)</f>
        <v/>
      </c>
      <c r="AD228" s="5">
        <f>IF(D228="","",AA228-Z228)</f>
        <v/>
      </c>
      <c r="AG228">
        <f>IF(D228="","",N(AG227)+IF(MATCH(D228,$D$2:$D$3001,0)=ROW()-1,1,0))</f>
        <v/>
      </c>
    </row>
    <row r="229">
      <c r="Y229" s="5">
        <f>IF(D229="","",X229*IF(AND(ISNUMBER(AC229),AC229&gt;0,AC229&lt;1),AC229*100,AC229)/100)</f>
        <v/>
      </c>
      <c r="Z229" s="5">
        <f>IF(D229="","",AB229*AA229/100)</f>
        <v/>
      </c>
      <c r="AA229" s="5">
        <f>IF(D229="","",X229-Y229)</f>
        <v/>
      </c>
      <c r="AD229" s="5">
        <f>IF(D229="","",AA229-Z229)</f>
        <v/>
      </c>
      <c r="AG229">
        <f>IF(D229="","",N(AG228)+IF(MATCH(D229,$D$2:$D$3001,0)=ROW()-1,1,0))</f>
        <v/>
      </c>
    </row>
    <row r="230">
      <c r="Y230" s="5">
        <f>IF(D230="","",X230*IF(AND(ISNUMBER(AC230),AC230&gt;0,AC230&lt;1),AC230*100,AC230)/100)</f>
        <v/>
      </c>
      <c r="Z230" s="5">
        <f>IF(D230="","",AB230*AA230/100)</f>
        <v/>
      </c>
      <c r="AA230" s="5">
        <f>IF(D230="","",X230-Y230)</f>
        <v/>
      </c>
      <c r="AD230" s="5">
        <f>IF(D230="","",AA230-Z230)</f>
        <v/>
      </c>
      <c r="AG230">
        <f>IF(D230="","",N(AG229)+IF(MATCH(D230,$D$2:$D$3001,0)=ROW()-1,1,0))</f>
        <v/>
      </c>
    </row>
    <row r="231">
      <c r="Y231" s="5">
        <f>IF(D231="","",X231*IF(AND(ISNUMBER(AC231),AC231&gt;0,AC231&lt;1),AC231*100,AC231)/100)</f>
        <v/>
      </c>
      <c r="Z231" s="5">
        <f>IF(D231="","",AB231*AA231/100)</f>
        <v/>
      </c>
      <c r="AA231" s="5">
        <f>IF(D231="","",X231-Y231)</f>
        <v/>
      </c>
      <c r="AD231" s="5">
        <f>IF(D231="","",AA231-Z231)</f>
        <v/>
      </c>
      <c r="AG231">
        <f>IF(D231="","",N(AG230)+IF(MATCH(D231,$D$2:$D$3001,0)=ROW()-1,1,0))</f>
        <v/>
      </c>
    </row>
    <row r="232">
      <c r="Y232" s="5">
        <f>IF(D232="","",X232*IF(AND(ISNUMBER(AC232),AC232&gt;0,AC232&lt;1),AC232*100,AC232)/100)</f>
        <v/>
      </c>
      <c r="Z232" s="5">
        <f>IF(D232="","",AB232*AA232/100)</f>
        <v/>
      </c>
      <c r="AA232" s="5">
        <f>IF(D232="","",X232-Y232)</f>
        <v/>
      </c>
      <c r="AD232" s="5">
        <f>IF(D232="","",AA232-Z232)</f>
        <v/>
      </c>
      <c r="AG232">
        <f>IF(D232="","",N(AG231)+IF(MATCH(D232,$D$2:$D$3001,0)=ROW()-1,1,0))</f>
        <v/>
      </c>
    </row>
    <row r="233">
      <c r="Y233" s="5">
        <f>IF(D233="","",X233*IF(AND(ISNUMBER(AC233),AC233&gt;0,AC233&lt;1),AC233*100,AC233)/100)</f>
        <v/>
      </c>
      <c r="Z233" s="5">
        <f>IF(D233="","",AB233*AA233/100)</f>
        <v/>
      </c>
      <c r="AA233" s="5">
        <f>IF(D233="","",X233-Y233)</f>
        <v/>
      </c>
      <c r="AD233" s="5">
        <f>IF(D233="","",AA233-Z233)</f>
        <v/>
      </c>
      <c r="AG233">
        <f>IF(D233="","",N(AG232)+IF(MATCH(D233,$D$2:$D$3001,0)=ROW()-1,1,0))</f>
        <v/>
      </c>
    </row>
    <row r="234">
      <c r="Y234" s="5">
        <f>IF(D234="","",X234*IF(AND(ISNUMBER(AC234),AC234&gt;0,AC234&lt;1),AC234*100,AC234)/100)</f>
        <v/>
      </c>
      <c r="Z234" s="5">
        <f>IF(D234="","",AB234*AA234/100)</f>
        <v/>
      </c>
      <c r="AA234" s="5">
        <f>IF(D234="","",X234-Y234)</f>
        <v/>
      </c>
      <c r="AD234" s="5">
        <f>IF(D234="","",AA234-Z234)</f>
        <v/>
      </c>
      <c r="AG234">
        <f>IF(D234="","",N(AG233)+IF(MATCH(D234,$D$2:$D$3001,0)=ROW()-1,1,0))</f>
        <v/>
      </c>
    </row>
    <row r="235">
      <c r="Y235" s="5">
        <f>IF(D235="","",X235*IF(AND(ISNUMBER(AC235),AC235&gt;0,AC235&lt;1),AC235*100,AC235)/100)</f>
        <v/>
      </c>
      <c r="Z235" s="5">
        <f>IF(D235="","",AB235*AA235/100)</f>
        <v/>
      </c>
      <c r="AA235" s="5">
        <f>IF(D235="","",X235-Y235)</f>
        <v/>
      </c>
      <c r="AD235" s="5">
        <f>IF(D235="","",AA235-Z235)</f>
        <v/>
      </c>
      <c r="AG235">
        <f>IF(D235="","",N(AG234)+IF(MATCH(D235,$D$2:$D$3001,0)=ROW()-1,1,0))</f>
        <v/>
      </c>
    </row>
    <row r="236">
      <c r="Y236" s="5">
        <f>IF(D236="","",X236*IF(AND(ISNUMBER(AC236),AC236&gt;0,AC236&lt;1),AC236*100,AC236)/100)</f>
        <v/>
      </c>
      <c r="Z236" s="5">
        <f>IF(D236="","",AB236*AA236/100)</f>
        <v/>
      </c>
      <c r="AA236" s="5">
        <f>IF(D236="","",X236-Y236)</f>
        <v/>
      </c>
      <c r="AD236" s="5">
        <f>IF(D236="","",AA236-Z236)</f>
        <v/>
      </c>
      <c r="AG236">
        <f>IF(D236="","",N(AG235)+IF(MATCH(D236,$D$2:$D$3001,0)=ROW()-1,1,0))</f>
        <v/>
      </c>
    </row>
    <row r="237">
      <c r="Y237" s="5">
        <f>IF(D237="","",X237*IF(AND(ISNUMBER(AC237),AC237&gt;0,AC237&lt;1),AC237*100,AC237)/100)</f>
        <v/>
      </c>
      <c r="Z237" s="5">
        <f>IF(D237="","",AB237*AA237/100)</f>
        <v/>
      </c>
      <c r="AA237" s="5">
        <f>IF(D237="","",X237-Y237)</f>
        <v/>
      </c>
      <c r="AD237" s="5">
        <f>IF(D237="","",AA237-Z237)</f>
        <v/>
      </c>
      <c r="AG237">
        <f>IF(D237="","",N(AG236)+IF(MATCH(D237,$D$2:$D$3001,0)=ROW()-1,1,0))</f>
        <v/>
      </c>
    </row>
    <row r="238">
      <c r="Y238" s="5">
        <f>IF(D238="","",X238*IF(AND(ISNUMBER(AC238),AC238&gt;0,AC238&lt;1),AC238*100,AC238)/100)</f>
        <v/>
      </c>
      <c r="Z238" s="5">
        <f>IF(D238="","",AB238*AA238/100)</f>
        <v/>
      </c>
      <c r="AA238" s="5">
        <f>IF(D238="","",X238-Y238)</f>
        <v/>
      </c>
      <c r="AD238" s="5">
        <f>IF(D238="","",AA238-Z238)</f>
        <v/>
      </c>
      <c r="AG238">
        <f>IF(D238="","",N(AG237)+IF(MATCH(D238,$D$2:$D$3001,0)=ROW()-1,1,0))</f>
        <v/>
      </c>
    </row>
    <row r="239">
      <c r="Y239" s="5">
        <f>IF(D239="","",X239*IF(AND(ISNUMBER(AC239),AC239&gt;0,AC239&lt;1),AC239*100,AC239)/100)</f>
        <v/>
      </c>
      <c r="Z239" s="5">
        <f>IF(D239="","",AB239*AA239/100)</f>
        <v/>
      </c>
      <c r="AA239" s="5">
        <f>IF(D239="","",X239-Y239)</f>
        <v/>
      </c>
      <c r="AD239" s="5">
        <f>IF(D239="","",AA239-Z239)</f>
        <v/>
      </c>
      <c r="AG239">
        <f>IF(D239="","",N(AG238)+IF(MATCH(D239,$D$2:$D$3001,0)=ROW()-1,1,0))</f>
        <v/>
      </c>
    </row>
    <row r="240">
      <c r="Y240" s="5">
        <f>IF(D240="","",X240*IF(AND(ISNUMBER(AC240),AC240&gt;0,AC240&lt;1),AC240*100,AC240)/100)</f>
        <v/>
      </c>
      <c r="Z240" s="5">
        <f>IF(D240="","",AB240*AA240/100)</f>
        <v/>
      </c>
      <c r="AA240" s="5">
        <f>IF(D240="","",X240-Y240)</f>
        <v/>
      </c>
      <c r="AD240" s="5">
        <f>IF(D240="","",AA240-Z240)</f>
        <v/>
      </c>
      <c r="AG240">
        <f>IF(D240="","",N(AG239)+IF(MATCH(D240,$D$2:$D$3001,0)=ROW()-1,1,0))</f>
        <v/>
      </c>
    </row>
    <row r="241">
      <c r="Y241" s="5">
        <f>IF(D241="","",X241*IF(AND(ISNUMBER(AC241),AC241&gt;0,AC241&lt;1),AC241*100,AC241)/100)</f>
        <v/>
      </c>
      <c r="Z241" s="5">
        <f>IF(D241="","",AB241*AA241/100)</f>
        <v/>
      </c>
      <c r="AA241" s="5">
        <f>IF(D241="","",X241-Y241)</f>
        <v/>
      </c>
      <c r="AD241" s="5">
        <f>IF(D241="","",AA241-Z241)</f>
        <v/>
      </c>
      <c r="AG241">
        <f>IF(D241="","",N(AG240)+IF(MATCH(D241,$D$2:$D$3001,0)=ROW()-1,1,0))</f>
        <v/>
      </c>
    </row>
    <row r="242">
      <c r="Y242" s="5">
        <f>IF(D242="","",X242*IF(AND(ISNUMBER(AC242),AC242&gt;0,AC242&lt;1),AC242*100,AC242)/100)</f>
        <v/>
      </c>
      <c r="Z242" s="5">
        <f>IF(D242="","",AB242*AA242/100)</f>
        <v/>
      </c>
      <c r="AA242" s="5">
        <f>IF(D242="","",X242-Y242)</f>
        <v/>
      </c>
      <c r="AD242" s="5">
        <f>IF(D242="","",AA242-Z242)</f>
        <v/>
      </c>
      <c r="AG242">
        <f>IF(D242="","",N(AG241)+IF(MATCH(D242,$D$2:$D$3001,0)=ROW()-1,1,0))</f>
        <v/>
      </c>
    </row>
    <row r="243">
      <c r="Y243" s="5">
        <f>IF(D243="","",X243*IF(AND(ISNUMBER(AC243),AC243&gt;0,AC243&lt;1),AC243*100,AC243)/100)</f>
        <v/>
      </c>
      <c r="Z243" s="5">
        <f>IF(D243="","",AB243*AA243/100)</f>
        <v/>
      </c>
      <c r="AA243" s="5">
        <f>IF(D243="","",X243-Y243)</f>
        <v/>
      </c>
      <c r="AD243" s="5">
        <f>IF(D243="","",AA243-Z243)</f>
        <v/>
      </c>
      <c r="AG243">
        <f>IF(D243="","",N(AG242)+IF(MATCH(D243,$D$2:$D$3001,0)=ROW()-1,1,0))</f>
        <v/>
      </c>
    </row>
    <row r="244">
      <c r="Y244" s="5">
        <f>IF(D244="","",X244*IF(AND(ISNUMBER(AC244),AC244&gt;0,AC244&lt;1),AC244*100,AC244)/100)</f>
        <v/>
      </c>
      <c r="Z244" s="5">
        <f>IF(D244="","",AB244*AA244/100)</f>
        <v/>
      </c>
      <c r="AA244" s="5">
        <f>IF(D244="","",X244-Y244)</f>
        <v/>
      </c>
      <c r="AD244" s="5">
        <f>IF(D244="","",AA244-Z244)</f>
        <v/>
      </c>
      <c r="AG244">
        <f>IF(D244="","",N(AG243)+IF(MATCH(D244,$D$2:$D$3001,0)=ROW()-1,1,0))</f>
        <v/>
      </c>
    </row>
    <row r="245">
      <c r="Y245" s="5">
        <f>IF(D245="","",X245*IF(AND(ISNUMBER(AC245),AC245&gt;0,AC245&lt;1),AC245*100,AC245)/100)</f>
        <v/>
      </c>
      <c r="Z245" s="5">
        <f>IF(D245="","",AB245*AA245/100)</f>
        <v/>
      </c>
      <c r="AA245" s="5">
        <f>IF(D245="","",X245-Y245)</f>
        <v/>
      </c>
      <c r="AD245" s="5">
        <f>IF(D245="","",AA245-Z245)</f>
        <v/>
      </c>
      <c r="AG245">
        <f>IF(D245="","",N(AG244)+IF(MATCH(D245,$D$2:$D$3001,0)=ROW()-1,1,0))</f>
        <v/>
      </c>
    </row>
    <row r="246">
      <c r="Y246" s="5">
        <f>IF(D246="","",X246*IF(AND(ISNUMBER(AC246),AC246&gt;0,AC246&lt;1),AC246*100,AC246)/100)</f>
        <v/>
      </c>
      <c r="Z246" s="5">
        <f>IF(D246="","",AB246*AA246/100)</f>
        <v/>
      </c>
      <c r="AA246" s="5">
        <f>IF(D246="","",X246-Y246)</f>
        <v/>
      </c>
      <c r="AD246" s="5">
        <f>IF(D246="","",AA246-Z246)</f>
        <v/>
      </c>
      <c r="AG246">
        <f>IF(D246="","",N(AG245)+IF(MATCH(D246,$D$2:$D$3001,0)=ROW()-1,1,0))</f>
        <v/>
      </c>
    </row>
    <row r="247">
      <c r="Y247" s="5">
        <f>IF(D247="","",X247*IF(AND(ISNUMBER(AC247),AC247&gt;0,AC247&lt;1),AC247*100,AC247)/100)</f>
        <v/>
      </c>
      <c r="Z247" s="5">
        <f>IF(D247="","",AB247*AA247/100)</f>
        <v/>
      </c>
      <c r="AA247" s="5">
        <f>IF(D247="","",X247-Y247)</f>
        <v/>
      </c>
      <c r="AD247" s="5">
        <f>IF(D247="","",AA247-Z247)</f>
        <v/>
      </c>
      <c r="AG247">
        <f>IF(D247="","",N(AG246)+IF(MATCH(D247,$D$2:$D$3001,0)=ROW()-1,1,0))</f>
        <v/>
      </c>
    </row>
    <row r="248">
      <c r="Y248" s="5">
        <f>IF(D248="","",X248*IF(AND(ISNUMBER(AC248),AC248&gt;0,AC248&lt;1),AC248*100,AC248)/100)</f>
        <v/>
      </c>
      <c r="Z248" s="5">
        <f>IF(D248="","",AB248*AA248/100)</f>
        <v/>
      </c>
      <c r="AA248" s="5">
        <f>IF(D248="","",X248-Y248)</f>
        <v/>
      </c>
      <c r="AD248" s="5">
        <f>IF(D248="","",AA248-Z248)</f>
        <v/>
      </c>
      <c r="AG248">
        <f>IF(D248="","",N(AG247)+IF(MATCH(D248,$D$2:$D$3001,0)=ROW()-1,1,0))</f>
        <v/>
      </c>
    </row>
    <row r="249">
      <c r="Y249" s="5">
        <f>IF(D249="","",X249*IF(AND(ISNUMBER(AC249),AC249&gt;0,AC249&lt;1),AC249*100,AC249)/100)</f>
        <v/>
      </c>
      <c r="Z249" s="5">
        <f>IF(D249="","",AB249*AA249/100)</f>
        <v/>
      </c>
      <c r="AA249" s="5">
        <f>IF(D249="","",X249-Y249)</f>
        <v/>
      </c>
      <c r="AD249" s="5">
        <f>IF(D249="","",AA249-Z249)</f>
        <v/>
      </c>
      <c r="AG249">
        <f>IF(D249="","",N(AG248)+IF(MATCH(D249,$D$2:$D$3001,0)=ROW()-1,1,0))</f>
        <v/>
      </c>
    </row>
    <row r="250">
      <c r="Y250" s="5">
        <f>IF(D250="","",X250*IF(AND(ISNUMBER(AC250),AC250&gt;0,AC250&lt;1),AC250*100,AC250)/100)</f>
        <v/>
      </c>
      <c r="Z250" s="5">
        <f>IF(D250="","",AB250*AA250/100)</f>
        <v/>
      </c>
      <c r="AA250" s="5">
        <f>IF(D250="","",X250-Y250)</f>
        <v/>
      </c>
      <c r="AD250" s="5">
        <f>IF(D250="","",AA250-Z250)</f>
        <v/>
      </c>
      <c r="AG250">
        <f>IF(D250="","",N(AG249)+IF(MATCH(D250,$D$2:$D$3001,0)=ROW()-1,1,0))</f>
        <v/>
      </c>
    </row>
    <row r="251">
      <c r="Y251" s="5">
        <f>IF(D251="","",X251*IF(AND(ISNUMBER(AC251),AC251&gt;0,AC251&lt;1),AC251*100,AC251)/100)</f>
        <v/>
      </c>
      <c r="Z251" s="5">
        <f>IF(D251="","",AB251*AA251/100)</f>
        <v/>
      </c>
      <c r="AA251" s="5">
        <f>IF(D251="","",X251-Y251)</f>
        <v/>
      </c>
      <c r="AD251" s="5">
        <f>IF(D251="","",AA251-Z251)</f>
        <v/>
      </c>
      <c r="AG251">
        <f>IF(D251="","",N(AG250)+IF(MATCH(D251,$D$2:$D$3001,0)=ROW()-1,1,0))</f>
        <v/>
      </c>
    </row>
    <row r="252">
      <c r="Y252" s="5">
        <f>IF(D252="","",X252*IF(AND(ISNUMBER(AC252),AC252&gt;0,AC252&lt;1),AC252*100,AC252)/100)</f>
        <v/>
      </c>
      <c r="Z252" s="5">
        <f>IF(D252="","",AB252*AA252/100)</f>
        <v/>
      </c>
      <c r="AA252" s="5">
        <f>IF(D252="","",X252-Y252)</f>
        <v/>
      </c>
      <c r="AD252" s="5">
        <f>IF(D252="","",AA252-Z252)</f>
        <v/>
      </c>
      <c r="AG252">
        <f>IF(D252="","",N(AG251)+IF(MATCH(D252,$D$2:$D$3001,0)=ROW()-1,1,0))</f>
        <v/>
      </c>
    </row>
    <row r="253">
      <c r="Y253" s="5">
        <f>IF(D253="","",X253*IF(AND(ISNUMBER(AC253),AC253&gt;0,AC253&lt;1),AC253*100,AC253)/100)</f>
        <v/>
      </c>
      <c r="Z253" s="5">
        <f>IF(D253="","",AB253*AA253/100)</f>
        <v/>
      </c>
      <c r="AA253" s="5">
        <f>IF(D253="","",X253-Y253)</f>
        <v/>
      </c>
      <c r="AD253" s="5">
        <f>IF(D253="","",AA253-Z253)</f>
        <v/>
      </c>
      <c r="AG253">
        <f>IF(D253="","",N(AG252)+IF(MATCH(D253,$D$2:$D$3001,0)=ROW()-1,1,0))</f>
        <v/>
      </c>
    </row>
    <row r="254">
      <c r="Y254" s="5">
        <f>IF(D254="","",X254*IF(AND(ISNUMBER(AC254),AC254&gt;0,AC254&lt;1),AC254*100,AC254)/100)</f>
        <v/>
      </c>
      <c r="Z254" s="5">
        <f>IF(D254="","",AB254*AA254/100)</f>
        <v/>
      </c>
      <c r="AA254" s="5">
        <f>IF(D254="","",X254-Y254)</f>
        <v/>
      </c>
      <c r="AD254" s="5">
        <f>IF(D254="","",AA254-Z254)</f>
        <v/>
      </c>
      <c r="AG254">
        <f>IF(D254="","",N(AG253)+IF(MATCH(D254,$D$2:$D$3001,0)=ROW()-1,1,0))</f>
        <v/>
      </c>
    </row>
    <row r="255">
      <c r="Y255" s="5">
        <f>IF(D255="","",X255*IF(AND(ISNUMBER(AC255),AC255&gt;0,AC255&lt;1),AC255*100,AC255)/100)</f>
        <v/>
      </c>
      <c r="Z255" s="5">
        <f>IF(D255="","",AB255*AA255/100)</f>
        <v/>
      </c>
      <c r="AA255" s="5">
        <f>IF(D255="","",X255-Y255)</f>
        <v/>
      </c>
      <c r="AD255" s="5">
        <f>IF(D255="","",AA255-Z255)</f>
        <v/>
      </c>
      <c r="AG255">
        <f>IF(D255="","",N(AG254)+IF(MATCH(D255,$D$2:$D$3001,0)=ROW()-1,1,0))</f>
        <v/>
      </c>
    </row>
    <row r="256">
      <c r="Y256" s="5">
        <f>IF(D256="","",X256*IF(AND(ISNUMBER(AC256),AC256&gt;0,AC256&lt;1),AC256*100,AC256)/100)</f>
        <v/>
      </c>
      <c r="Z256" s="5">
        <f>IF(D256="","",AB256*AA256/100)</f>
        <v/>
      </c>
      <c r="AA256" s="5">
        <f>IF(D256="","",X256-Y256)</f>
        <v/>
      </c>
      <c r="AD256" s="5">
        <f>IF(D256="","",AA256-Z256)</f>
        <v/>
      </c>
      <c r="AG256">
        <f>IF(D256="","",N(AG255)+IF(MATCH(D256,$D$2:$D$3001,0)=ROW()-1,1,0))</f>
        <v/>
      </c>
    </row>
    <row r="257">
      <c r="Y257" s="5">
        <f>IF(D257="","",X257*IF(AND(ISNUMBER(AC257),AC257&gt;0,AC257&lt;1),AC257*100,AC257)/100)</f>
        <v/>
      </c>
      <c r="Z257" s="5">
        <f>IF(D257="","",AB257*AA257/100)</f>
        <v/>
      </c>
      <c r="AA257" s="5">
        <f>IF(D257="","",X257-Y257)</f>
        <v/>
      </c>
      <c r="AD257" s="5">
        <f>IF(D257="","",AA257-Z257)</f>
        <v/>
      </c>
      <c r="AG257">
        <f>IF(D257="","",N(AG256)+IF(MATCH(D257,$D$2:$D$3001,0)=ROW()-1,1,0))</f>
        <v/>
      </c>
    </row>
    <row r="258">
      <c r="Y258" s="5">
        <f>IF(D258="","",X258*IF(AND(ISNUMBER(AC258),AC258&gt;0,AC258&lt;1),AC258*100,AC258)/100)</f>
        <v/>
      </c>
      <c r="Z258" s="5">
        <f>IF(D258="","",AB258*AA258/100)</f>
        <v/>
      </c>
      <c r="AA258" s="5">
        <f>IF(D258="","",X258-Y258)</f>
        <v/>
      </c>
      <c r="AD258" s="5">
        <f>IF(D258="","",AA258-Z258)</f>
        <v/>
      </c>
      <c r="AG258">
        <f>IF(D258="","",N(AG257)+IF(MATCH(D258,$D$2:$D$3001,0)=ROW()-1,1,0))</f>
        <v/>
      </c>
    </row>
    <row r="259">
      <c r="Y259" s="5">
        <f>IF(D259="","",X259*IF(AND(ISNUMBER(AC259),AC259&gt;0,AC259&lt;1),AC259*100,AC259)/100)</f>
        <v/>
      </c>
      <c r="Z259" s="5">
        <f>IF(D259="","",AB259*AA259/100)</f>
        <v/>
      </c>
      <c r="AA259" s="5">
        <f>IF(D259="","",X259-Y259)</f>
        <v/>
      </c>
      <c r="AD259" s="5">
        <f>IF(D259="","",AA259-Z259)</f>
        <v/>
      </c>
      <c r="AG259">
        <f>IF(D259="","",N(AG258)+IF(MATCH(D259,$D$2:$D$3001,0)=ROW()-1,1,0))</f>
        <v/>
      </c>
    </row>
    <row r="260">
      <c r="Y260" s="5">
        <f>IF(D260="","",X260*IF(AND(ISNUMBER(AC260),AC260&gt;0,AC260&lt;1),AC260*100,AC260)/100)</f>
        <v/>
      </c>
      <c r="Z260" s="5">
        <f>IF(D260="","",AB260*AA260/100)</f>
        <v/>
      </c>
      <c r="AA260" s="5">
        <f>IF(D260="","",X260-Y260)</f>
        <v/>
      </c>
      <c r="AD260" s="5">
        <f>IF(D260="","",AA260-Z260)</f>
        <v/>
      </c>
      <c r="AG260">
        <f>IF(D260="","",N(AG259)+IF(MATCH(D260,$D$2:$D$3001,0)=ROW()-1,1,0))</f>
        <v/>
      </c>
    </row>
    <row r="261">
      <c r="Y261" s="5">
        <f>IF(D261="","",X261*IF(AND(ISNUMBER(AC261),AC261&gt;0,AC261&lt;1),AC261*100,AC261)/100)</f>
        <v/>
      </c>
      <c r="Z261" s="5">
        <f>IF(D261="","",AB261*AA261/100)</f>
        <v/>
      </c>
      <c r="AA261" s="5">
        <f>IF(D261="","",X261-Y261)</f>
        <v/>
      </c>
      <c r="AD261" s="5">
        <f>IF(D261="","",AA261-Z261)</f>
        <v/>
      </c>
      <c r="AG261">
        <f>IF(D261="","",N(AG260)+IF(MATCH(D261,$D$2:$D$3001,0)=ROW()-1,1,0))</f>
        <v/>
      </c>
    </row>
    <row r="262">
      <c r="Y262" s="5">
        <f>IF(D262="","",X262*IF(AND(ISNUMBER(AC262),AC262&gt;0,AC262&lt;1),AC262*100,AC262)/100)</f>
        <v/>
      </c>
      <c r="Z262" s="5">
        <f>IF(D262="","",AB262*AA262/100)</f>
        <v/>
      </c>
      <c r="AA262" s="5">
        <f>IF(D262="","",X262-Y262)</f>
        <v/>
      </c>
      <c r="AD262" s="5">
        <f>IF(D262="","",AA262-Z262)</f>
        <v/>
      </c>
      <c r="AG262">
        <f>IF(D262="","",N(AG261)+IF(MATCH(D262,$D$2:$D$3001,0)=ROW()-1,1,0))</f>
        <v/>
      </c>
    </row>
    <row r="263">
      <c r="Y263" s="5">
        <f>IF(D263="","",X263*IF(AND(ISNUMBER(AC263),AC263&gt;0,AC263&lt;1),AC263*100,AC263)/100)</f>
        <v/>
      </c>
      <c r="Z263" s="5">
        <f>IF(D263="","",AB263*AA263/100)</f>
        <v/>
      </c>
      <c r="AA263" s="5">
        <f>IF(D263="","",X263-Y263)</f>
        <v/>
      </c>
      <c r="AD263" s="5">
        <f>IF(D263="","",AA263-Z263)</f>
        <v/>
      </c>
      <c r="AG263">
        <f>IF(D263="","",N(AG262)+IF(MATCH(D263,$D$2:$D$3001,0)=ROW()-1,1,0))</f>
        <v/>
      </c>
    </row>
    <row r="264">
      <c r="Y264" s="5">
        <f>IF(D264="","",X264*IF(AND(ISNUMBER(AC264),AC264&gt;0,AC264&lt;1),AC264*100,AC264)/100)</f>
        <v/>
      </c>
      <c r="Z264" s="5">
        <f>IF(D264="","",AB264*AA264/100)</f>
        <v/>
      </c>
      <c r="AA264" s="5">
        <f>IF(D264="","",X264-Y264)</f>
        <v/>
      </c>
      <c r="AD264" s="5">
        <f>IF(D264="","",AA264-Z264)</f>
        <v/>
      </c>
      <c r="AG264">
        <f>IF(D264="","",N(AG263)+IF(MATCH(D264,$D$2:$D$3001,0)=ROW()-1,1,0))</f>
        <v/>
      </c>
    </row>
    <row r="265">
      <c r="Y265" s="5">
        <f>IF(D265="","",X265*IF(AND(ISNUMBER(AC265),AC265&gt;0,AC265&lt;1),AC265*100,AC265)/100)</f>
        <v/>
      </c>
      <c r="Z265" s="5">
        <f>IF(D265="","",AB265*AA265/100)</f>
        <v/>
      </c>
      <c r="AA265" s="5">
        <f>IF(D265="","",X265-Y265)</f>
        <v/>
      </c>
      <c r="AD265" s="5">
        <f>IF(D265="","",AA265-Z265)</f>
        <v/>
      </c>
      <c r="AG265">
        <f>IF(D265="","",N(AG264)+IF(MATCH(D265,$D$2:$D$3001,0)=ROW()-1,1,0))</f>
        <v/>
      </c>
    </row>
    <row r="266">
      <c r="Y266" s="5">
        <f>IF(D266="","",X266*IF(AND(ISNUMBER(AC266),AC266&gt;0,AC266&lt;1),AC266*100,AC266)/100)</f>
        <v/>
      </c>
      <c r="Z266" s="5">
        <f>IF(D266="","",AB266*AA266/100)</f>
        <v/>
      </c>
      <c r="AA266" s="5">
        <f>IF(D266="","",X266-Y266)</f>
        <v/>
      </c>
      <c r="AD266" s="5">
        <f>IF(D266="","",AA266-Z266)</f>
        <v/>
      </c>
      <c r="AG266">
        <f>IF(D266="","",N(AG265)+IF(MATCH(D266,$D$2:$D$3001,0)=ROW()-1,1,0))</f>
        <v/>
      </c>
    </row>
    <row r="267">
      <c r="Y267" s="5">
        <f>IF(D267="","",X267*IF(AND(ISNUMBER(AC267),AC267&gt;0,AC267&lt;1),AC267*100,AC267)/100)</f>
        <v/>
      </c>
      <c r="Z267" s="5">
        <f>IF(D267="","",AB267*AA267/100)</f>
        <v/>
      </c>
      <c r="AA267" s="5">
        <f>IF(D267="","",X267-Y267)</f>
        <v/>
      </c>
      <c r="AD267" s="5">
        <f>IF(D267="","",AA267-Z267)</f>
        <v/>
      </c>
      <c r="AG267">
        <f>IF(D267="","",N(AG266)+IF(MATCH(D267,$D$2:$D$3001,0)=ROW()-1,1,0))</f>
        <v/>
      </c>
    </row>
    <row r="268">
      <c r="Y268" s="5">
        <f>IF(D268="","",X268*IF(AND(ISNUMBER(AC268),AC268&gt;0,AC268&lt;1),AC268*100,AC268)/100)</f>
        <v/>
      </c>
      <c r="Z268" s="5">
        <f>IF(D268="","",AB268*AA268/100)</f>
        <v/>
      </c>
      <c r="AA268" s="5">
        <f>IF(D268="","",X268-Y268)</f>
        <v/>
      </c>
      <c r="AD268" s="5">
        <f>IF(D268="","",AA268-Z268)</f>
        <v/>
      </c>
      <c r="AG268">
        <f>IF(D268="","",N(AG267)+IF(MATCH(D268,$D$2:$D$3001,0)=ROW()-1,1,0))</f>
        <v/>
      </c>
    </row>
    <row r="269">
      <c r="Y269" s="5">
        <f>IF(D269="","",X269*IF(AND(ISNUMBER(AC269),AC269&gt;0,AC269&lt;1),AC269*100,AC269)/100)</f>
        <v/>
      </c>
      <c r="Z269" s="5">
        <f>IF(D269="","",AB269*AA269/100)</f>
        <v/>
      </c>
      <c r="AA269" s="5">
        <f>IF(D269="","",X269-Y269)</f>
        <v/>
      </c>
      <c r="AD269" s="5">
        <f>IF(D269="","",AA269-Z269)</f>
        <v/>
      </c>
      <c r="AG269">
        <f>IF(D269="","",N(AG268)+IF(MATCH(D269,$D$2:$D$3001,0)=ROW()-1,1,0))</f>
        <v/>
      </c>
    </row>
    <row r="270">
      <c r="Y270" s="5">
        <f>IF(D270="","",X270*IF(AND(ISNUMBER(AC270),AC270&gt;0,AC270&lt;1),AC270*100,AC270)/100)</f>
        <v/>
      </c>
      <c r="Z270" s="5">
        <f>IF(D270="","",AB270*AA270/100)</f>
        <v/>
      </c>
      <c r="AA270" s="5">
        <f>IF(D270="","",X270-Y270)</f>
        <v/>
      </c>
      <c r="AD270" s="5">
        <f>IF(D270="","",AA270-Z270)</f>
        <v/>
      </c>
      <c r="AG270">
        <f>IF(D270="","",N(AG269)+IF(MATCH(D270,$D$2:$D$3001,0)=ROW()-1,1,0))</f>
        <v/>
      </c>
    </row>
    <row r="271">
      <c r="Y271" s="5">
        <f>IF(D271="","",X271*IF(AND(ISNUMBER(AC271),AC271&gt;0,AC271&lt;1),AC271*100,AC271)/100)</f>
        <v/>
      </c>
      <c r="Z271" s="5">
        <f>IF(D271="","",AB271*AA271/100)</f>
        <v/>
      </c>
      <c r="AA271" s="5">
        <f>IF(D271="","",X271-Y271)</f>
        <v/>
      </c>
      <c r="AD271" s="5">
        <f>IF(D271="","",AA271-Z271)</f>
        <v/>
      </c>
      <c r="AG271">
        <f>IF(D271="","",N(AG270)+IF(MATCH(D271,$D$2:$D$3001,0)=ROW()-1,1,0))</f>
        <v/>
      </c>
    </row>
    <row r="272">
      <c r="Y272" s="5">
        <f>IF(D272="","",X272*IF(AND(ISNUMBER(AC272),AC272&gt;0,AC272&lt;1),AC272*100,AC272)/100)</f>
        <v/>
      </c>
      <c r="Z272" s="5">
        <f>IF(D272="","",AB272*AA272/100)</f>
        <v/>
      </c>
      <c r="AA272" s="5">
        <f>IF(D272="","",X272-Y272)</f>
        <v/>
      </c>
      <c r="AD272" s="5">
        <f>IF(D272="","",AA272-Z272)</f>
        <v/>
      </c>
      <c r="AG272">
        <f>IF(D272="","",N(AG271)+IF(MATCH(D272,$D$2:$D$3001,0)=ROW()-1,1,0))</f>
        <v/>
      </c>
    </row>
    <row r="273">
      <c r="Y273" s="5">
        <f>IF(D273="","",X273*IF(AND(ISNUMBER(AC273),AC273&gt;0,AC273&lt;1),AC273*100,AC273)/100)</f>
        <v/>
      </c>
      <c r="Z273" s="5">
        <f>IF(D273="","",AB273*AA273/100)</f>
        <v/>
      </c>
      <c r="AA273" s="5">
        <f>IF(D273="","",X273-Y273)</f>
        <v/>
      </c>
      <c r="AD273" s="5">
        <f>IF(D273="","",AA273-Z273)</f>
        <v/>
      </c>
      <c r="AG273">
        <f>IF(D273="","",N(AG272)+IF(MATCH(D273,$D$2:$D$3001,0)=ROW()-1,1,0))</f>
        <v/>
      </c>
    </row>
    <row r="274">
      <c r="Y274" s="5">
        <f>IF(D274="","",X274*IF(AND(ISNUMBER(AC274),AC274&gt;0,AC274&lt;1),AC274*100,AC274)/100)</f>
        <v/>
      </c>
      <c r="Z274" s="5">
        <f>IF(D274="","",AB274*AA274/100)</f>
        <v/>
      </c>
      <c r="AA274" s="5">
        <f>IF(D274="","",X274-Y274)</f>
        <v/>
      </c>
      <c r="AD274" s="5">
        <f>IF(D274="","",AA274-Z274)</f>
        <v/>
      </c>
      <c r="AG274">
        <f>IF(D274="","",N(AG273)+IF(MATCH(D274,$D$2:$D$3001,0)=ROW()-1,1,0))</f>
        <v/>
      </c>
    </row>
    <row r="275">
      <c r="Y275" s="5">
        <f>IF(D275="","",X275*IF(AND(ISNUMBER(AC275),AC275&gt;0,AC275&lt;1),AC275*100,AC275)/100)</f>
        <v/>
      </c>
      <c r="Z275" s="5">
        <f>IF(D275="","",AB275*AA275/100)</f>
        <v/>
      </c>
      <c r="AA275" s="5">
        <f>IF(D275="","",X275-Y275)</f>
        <v/>
      </c>
      <c r="AD275" s="5">
        <f>IF(D275="","",AA275-Z275)</f>
        <v/>
      </c>
      <c r="AG275">
        <f>IF(D275="","",N(AG274)+IF(MATCH(D275,$D$2:$D$3001,0)=ROW()-1,1,0))</f>
        <v/>
      </c>
    </row>
    <row r="276">
      <c r="Y276" s="5">
        <f>IF(D276="","",X276*IF(AND(ISNUMBER(AC276),AC276&gt;0,AC276&lt;1),AC276*100,AC276)/100)</f>
        <v/>
      </c>
      <c r="Z276" s="5">
        <f>IF(D276="","",AB276*AA276/100)</f>
        <v/>
      </c>
      <c r="AA276" s="5">
        <f>IF(D276="","",X276-Y276)</f>
        <v/>
      </c>
      <c r="AD276" s="5">
        <f>IF(D276="","",AA276-Z276)</f>
        <v/>
      </c>
      <c r="AG276">
        <f>IF(D276="","",N(AG275)+IF(MATCH(D276,$D$2:$D$3001,0)=ROW()-1,1,0))</f>
        <v/>
      </c>
    </row>
    <row r="277">
      <c r="Y277" s="5">
        <f>IF(D277="","",X277*IF(AND(ISNUMBER(AC277),AC277&gt;0,AC277&lt;1),AC277*100,AC277)/100)</f>
        <v/>
      </c>
      <c r="Z277" s="5">
        <f>IF(D277="","",AB277*AA277/100)</f>
        <v/>
      </c>
      <c r="AA277" s="5">
        <f>IF(D277="","",X277-Y277)</f>
        <v/>
      </c>
      <c r="AD277" s="5">
        <f>IF(D277="","",AA277-Z277)</f>
        <v/>
      </c>
      <c r="AG277">
        <f>IF(D277="","",N(AG276)+IF(MATCH(D277,$D$2:$D$3001,0)=ROW()-1,1,0))</f>
        <v/>
      </c>
    </row>
    <row r="278">
      <c r="Y278" s="5">
        <f>IF(D278="","",X278*IF(AND(ISNUMBER(AC278),AC278&gt;0,AC278&lt;1),AC278*100,AC278)/100)</f>
        <v/>
      </c>
      <c r="Z278" s="5">
        <f>IF(D278="","",AB278*AA278/100)</f>
        <v/>
      </c>
      <c r="AA278" s="5">
        <f>IF(D278="","",X278-Y278)</f>
        <v/>
      </c>
      <c r="AD278" s="5">
        <f>IF(D278="","",AA278-Z278)</f>
        <v/>
      </c>
      <c r="AG278">
        <f>IF(D278="","",N(AG277)+IF(MATCH(D278,$D$2:$D$3001,0)=ROW()-1,1,0))</f>
        <v/>
      </c>
    </row>
    <row r="279">
      <c r="Y279" s="5">
        <f>IF(D279="","",X279*IF(AND(ISNUMBER(AC279),AC279&gt;0,AC279&lt;1),AC279*100,AC279)/100)</f>
        <v/>
      </c>
      <c r="Z279" s="5">
        <f>IF(D279="","",AB279*AA279/100)</f>
        <v/>
      </c>
      <c r="AA279" s="5">
        <f>IF(D279="","",X279-Y279)</f>
        <v/>
      </c>
      <c r="AD279" s="5">
        <f>IF(D279="","",AA279-Z279)</f>
        <v/>
      </c>
      <c r="AG279">
        <f>IF(D279="","",N(AG278)+IF(MATCH(D279,$D$2:$D$3001,0)=ROW()-1,1,0))</f>
        <v/>
      </c>
    </row>
    <row r="280">
      <c r="Y280" s="5">
        <f>IF(D280="","",X280*IF(AND(ISNUMBER(AC280),AC280&gt;0,AC280&lt;1),AC280*100,AC280)/100)</f>
        <v/>
      </c>
      <c r="Z280" s="5">
        <f>IF(D280="","",AB280*AA280/100)</f>
        <v/>
      </c>
      <c r="AA280" s="5">
        <f>IF(D280="","",X280-Y280)</f>
        <v/>
      </c>
      <c r="AD280" s="5">
        <f>IF(D280="","",AA280-Z280)</f>
        <v/>
      </c>
      <c r="AG280">
        <f>IF(D280="","",N(AG279)+IF(MATCH(D280,$D$2:$D$3001,0)=ROW()-1,1,0))</f>
        <v/>
      </c>
    </row>
    <row r="281">
      <c r="Y281" s="5">
        <f>IF(D281="","",X281*IF(AND(ISNUMBER(AC281),AC281&gt;0,AC281&lt;1),AC281*100,AC281)/100)</f>
        <v/>
      </c>
      <c r="Z281" s="5">
        <f>IF(D281="","",AB281*AA281/100)</f>
        <v/>
      </c>
      <c r="AA281" s="5">
        <f>IF(D281="","",X281-Y281)</f>
        <v/>
      </c>
      <c r="AD281" s="5">
        <f>IF(D281="","",AA281-Z281)</f>
        <v/>
      </c>
      <c r="AG281">
        <f>IF(D281="","",N(AG280)+IF(MATCH(D281,$D$2:$D$3001,0)=ROW()-1,1,0))</f>
        <v/>
      </c>
    </row>
    <row r="282">
      <c r="Y282" s="5">
        <f>IF(D282="","",X282*IF(AND(ISNUMBER(AC282),AC282&gt;0,AC282&lt;1),AC282*100,AC282)/100)</f>
        <v/>
      </c>
      <c r="Z282" s="5">
        <f>IF(D282="","",AB282*AA282/100)</f>
        <v/>
      </c>
      <c r="AA282" s="5">
        <f>IF(D282="","",X282-Y282)</f>
        <v/>
      </c>
      <c r="AD282" s="5">
        <f>IF(D282="","",AA282-Z282)</f>
        <v/>
      </c>
      <c r="AG282">
        <f>IF(D282="","",N(AG281)+IF(MATCH(D282,$D$2:$D$3001,0)=ROW()-1,1,0))</f>
        <v/>
      </c>
    </row>
    <row r="283">
      <c r="Y283" s="5">
        <f>IF(D283="","",X283*IF(AND(ISNUMBER(AC283),AC283&gt;0,AC283&lt;1),AC283*100,AC283)/100)</f>
        <v/>
      </c>
      <c r="Z283" s="5">
        <f>IF(D283="","",AB283*AA283/100)</f>
        <v/>
      </c>
      <c r="AA283" s="5">
        <f>IF(D283="","",X283-Y283)</f>
        <v/>
      </c>
      <c r="AD283" s="5">
        <f>IF(D283="","",AA283-Z283)</f>
        <v/>
      </c>
      <c r="AG283">
        <f>IF(D283="","",N(AG282)+IF(MATCH(D283,$D$2:$D$3001,0)=ROW()-1,1,0))</f>
        <v/>
      </c>
    </row>
    <row r="284">
      <c r="Y284" s="5">
        <f>IF(D284="","",X284*IF(AND(ISNUMBER(AC284),AC284&gt;0,AC284&lt;1),AC284*100,AC284)/100)</f>
        <v/>
      </c>
      <c r="Z284" s="5">
        <f>IF(D284="","",AB284*AA284/100)</f>
        <v/>
      </c>
      <c r="AA284" s="5">
        <f>IF(D284="","",X284-Y284)</f>
        <v/>
      </c>
      <c r="AD284" s="5">
        <f>IF(D284="","",AA284-Z284)</f>
        <v/>
      </c>
      <c r="AG284">
        <f>IF(D284="","",N(AG283)+IF(MATCH(D284,$D$2:$D$3001,0)=ROW()-1,1,0))</f>
        <v/>
      </c>
    </row>
    <row r="285">
      <c r="Y285" s="5">
        <f>IF(D285="","",X285*IF(AND(ISNUMBER(AC285),AC285&gt;0,AC285&lt;1),AC285*100,AC285)/100)</f>
        <v/>
      </c>
      <c r="Z285" s="5">
        <f>IF(D285="","",AB285*AA285/100)</f>
        <v/>
      </c>
      <c r="AA285" s="5">
        <f>IF(D285="","",X285-Y285)</f>
        <v/>
      </c>
      <c r="AD285" s="5">
        <f>IF(D285="","",AA285-Z285)</f>
        <v/>
      </c>
      <c r="AG285">
        <f>IF(D285="","",N(AG284)+IF(MATCH(D285,$D$2:$D$3001,0)=ROW()-1,1,0))</f>
        <v/>
      </c>
    </row>
    <row r="286">
      <c r="Y286" s="5">
        <f>IF(D286="","",X286*IF(AND(ISNUMBER(AC286),AC286&gt;0,AC286&lt;1),AC286*100,AC286)/100)</f>
        <v/>
      </c>
      <c r="Z286" s="5">
        <f>IF(D286="","",AB286*AA286/100)</f>
        <v/>
      </c>
      <c r="AA286" s="5">
        <f>IF(D286="","",X286-Y286)</f>
        <v/>
      </c>
      <c r="AD286" s="5">
        <f>IF(D286="","",AA286-Z286)</f>
        <v/>
      </c>
      <c r="AG286">
        <f>IF(D286="","",N(AG285)+IF(MATCH(D286,$D$2:$D$3001,0)=ROW()-1,1,0))</f>
        <v/>
      </c>
    </row>
    <row r="287">
      <c r="Y287" s="5">
        <f>IF(D287="","",X287*IF(AND(ISNUMBER(AC287),AC287&gt;0,AC287&lt;1),AC287*100,AC287)/100)</f>
        <v/>
      </c>
      <c r="Z287" s="5">
        <f>IF(D287="","",AB287*AA287/100)</f>
        <v/>
      </c>
      <c r="AA287" s="5">
        <f>IF(D287="","",X287-Y287)</f>
        <v/>
      </c>
      <c r="AD287" s="5">
        <f>IF(D287="","",AA287-Z287)</f>
        <v/>
      </c>
      <c r="AG287">
        <f>IF(D287="","",N(AG286)+IF(MATCH(D287,$D$2:$D$3001,0)=ROW()-1,1,0))</f>
        <v/>
      </c>
    </row>
    <row r="288">
      <c r="Y288" s="5">
        <f>IF(D288="","",X288*IF(AND(ISNUMBER(AC288),AC288&gt;0,AC288&lt;1),AC288*100,AC288)/100)</f>
        <v/>
      </c>
      <c r="Z288" s="5">
        <f>IF(D288="","",AB288*AA288/100)</f>
        <v/>
      </c>
      <c r="AA288" s="5">
        <f>IF(D288="","",X288-Y288)</f>
        <v/>
      </c>
      <c r="AD288" s="5">
        <f>IF(D288="","",AA288-Z288)</f>
        <v/>
      </c>
      <c r="AG288">
        <f>IF(D288="","",N(AG287)+IF(MATCH(D288,$D$2:$D$3001,0)=ROW()-1,1,0))</f>
        <v/>
      </c>
    </row>
    <row r="289">
      <c r="Y289" s="5">
        <f>IF(D289="","",X289*IF(AND(ISNUMBER(AC289),AC289&gt;0,AC289&lt;1),AC289*100,AC289)/100)</f>
        <v/>
      </c>
      <c r="Z289" s="5">
        <f>IF(D289="","",AB289*AA289/100)</f>
        <v/>
      </c>
      <c r="AA289" s="5">
        <f>IF(D289="","",X289-Y289)</f>
        <v/>
      </c>
      <c r="AD289" s="5">
        <f>IF(D289="","",AA289-Z289)</f>
        <v/>
      </c>
      <c r="AG289">
        <f>IF(D289="","",N(AG288)+IF(MATCH(D289,$D$2:$D$3001,0)=ROW()-1,1,0))</f>
        <v/>
      </c>
    </row>
    <row r="290">
      <c r="Y290" s="5">
        <f>IF(D290="","",X290*IF(AND(ISNUMBER(AC290),AC290&gt;0,AC290&lt;1),AC290*100,AC290)/100)</f>
        <v/>
      </c>
      <c r="Z290" s="5">
        <f>IF(D290="","",AB290*AA290/100)</f>
        <v/>
      </c>
      <c r="AA290" s="5">
        <f>IF(D290="","",X290-Y290)</f>
        <v/>
      </c>
      <c r="AD290" s="5">
        <f>IF(D290="","",AA290-Z290)</f>
        <v/>
      </c>
      <c r="AG290">
        <f>IF(D290="","",N(AG289)+IF(MATCH(D290,$D$2:$D$3001,0)=ROW()-1,1,0))</f>
        <v/>
      </c>
    </row>
    <row r="291">
      <c r="Y291" s="5">
        <f>IF(D291="","",X291*IF(AND(ISNUMBER(AC291),AC291&gt;0,AC291&lt;1),AC291*100,AC291)/100)</f>
        <v/>
      </c>
      <c r="Z291" s="5">
        <f>IF(D291="","",AB291*AA291/100)</f>
        <v/>
      </c>
      <c r="AA291" s="5">
        <f>IF(D291="","",X291-Y291)</f>
        <v/>
      </c>
      <c r="AD291" s="5">
        <f>IF(D291="","",AA291-Z291)</f>
        <v/>
      </c>
      <c r="AG291">
        <f>IF(D291="","",N(AG290)+IF(MATCH(D291,$D$2:$D$3001,0)=ROW()-1,1,0))</f>
        <v/>
      </c>
    </row>
    <row r="292">
      <c r="Y292" s="5">
        <f>IF(D292="","",X292*IF(AND(ISNUMBER(AC292),AC292&gt;0,AC292&lt;1),AC292*100,AC292)/100)</f>
        <v/>
      </c>
      <c r="Z292" s="5">
        <f>IF(D292="","",AB292*AA292/100)</f>
        <v/>
      </c>
      <c r="AA292" s="5">
        <f>IF(D292="","",X292-Y292)</f>
        <v/>
      </c>
      <c r="AD292" s="5">
        <f>IF(D292="","",AA292-Z292)</f>
        <v/>
      </c>
      <c r="AG292">
        <f>IF(D292="","",N(AG291)+IF(MATCH(D292,$D$2:$D$3001,0)=ROW()-1,1,0))</f>
        <v/>
      </c>
    </row>
    <row r="293">
      <c r="Y293" s="5">
        <f>IF(D293="","",X293*IF(AND(ISNUMBER(AC293),AC293&gt;0,AC293&lt;1),AC293*100,AC293)/100)</f>
        <v/>
      </c>
      <c r="Z293" s="5">
        <f>IF(D293="","",AB293*AA293/100)</f>
        <v/>
      </c>
      <c r="AA293" s="5">
        <f>IF(D293="","",X293-Y293)</f>
        <v/>
      </c>
      <c r="AD293" s="5">
        <f>IF(D293="","",AA293-Z293)</f>
        <v/>
      </c>
      <c r="AG293">
        <f>IF(D293="","",N(AG292)+IF(MATCH(D293,$D$2:$D$3001,0)=ROW()-1,1,0))</f>
        <v/>
      </c>
    </row>
    <row r="294">
      <c r="Y294" s="5">
        <f>IF(D294="","",X294*IF(AND(ISNUMBER(AC294),AC294&gt;0,AC294&lt;1),AC294*100,AC294)/100)</f>
        <v/>
      </c>
      <c r="Z294" s="5">
        <f>IF(D294="","",AB294*AA294/100)</f>
        <v/>
      </c>
      <c r="AA294" s="5">
        <f>IF(D294="","",X294-Y294)</f>
        <v/>
      </c>
      <c r="AD294" s="5">
        <f>IF(D294="","",AA294-Z294)</f>
        <v/>
      </c>
      <c r="AG294">
        <f>IF(D294="","",N(AG293)+IF(MATCH(D294,$D$2:$D$3001,0)=ROW()-1,1,0))</f>
        <v/>
      </c>
    </row>
    <row r="295">
      <c r="Y295" s="5">
        <f>IF(D295="","",X295*IF(AND(ISNUMBER(AC295),AC295&gt;0,AC295&lt;1),AC295*100,AC295)/100)</f>
        <v/>
      </c>
      <c r="Z295" s="5">
        <f>IF(D295="","",AB295*AA295/100)</f>
        <v/>
      </c>
      <c r="AA295" s="5">
        <f>IF(D295="","",X295-Y295)</f>
        <v/>
      </c>
      <c r="AD295" s="5">
        <f>IF(D295="","",AA295-Z295)</f>
        <v/>
      </c>
      <c r="AG295">
        <f>IF(D295="","",N(AG294)+IF(MATCH(D295,$D$2:$D$3001,0)=ROW()-1,1,0))</f>
        <v/>
      </c>
    </row>
    <row r="296">
      <c r="Y296" s="5">
        <f>IF(D296="","",X296*IF(AND(ISNUMBER(AC296),AC296&gt;0,AC296&lt;1),AC296*100,AC296)/100)</f>
        <v/>
      </c>
      <c r="Z296" s="5">
        <f>IF(D296="","",AB296*AA296/100)</f>
        <v/>
      </c>
      <c r="AA296" s="5">
        <f>IF(D296="","",X296-Y296)</f>
        <v/>
      </c>
      <c r="AD296" s="5">
        <f>IF(D296="","",AA296-Z296)</f>
        <v/>
      </c>
      <c r="AG296">
        <f>IF(D296="","",N(AG295)+IF(MATCH(D296,$D$2:$D$3001,0)=ROW()-1,1,0))</f>
        <v/>
      </c>
    </row>
    <row r="297">
      <c r="Y297" s="5">
        <f>IF(D297="","",X297*IF(AND(ISNUMBER(AC297),AC297&gt;0,AC297&lt;1),AC297*100,AC297)/100)</f>
        <v/>
      </c>
      <c r="Z297" s="5">
        <f>IF(D297="","",AB297*AA297/100)</f>
        <v/>
      </c>
      <c r="AA297" s="5">
        <f>IF(D297="","",X297-Y297)</f>
        <v/>
      </c>
      <c r="AD297" s="5">
        <f>IF(D297="","",AA297-Z297)</f>
        <v/>
      </c>
      <c r="AG297">
        <f>IF(D297="","",N(AG296)+IF(MATCH(D297,$D$2:$D$3001,0)=ROW()-1,1,0))</f>
        <v/>
      </c>
    </row>
    <row r="298">
      <c r="Y298" s="5">
        <f>IF(D298="","",X298*IF(AND(ISNUMBER(AC298),AC298&gt;0,AC298&lt;1),AC298*100,AC298)/100)</f>
        <v/>
      </c>
      <c r="Z298" s="5">
        <f>IF(D298="","",AB298*AA298/100)</f>
        <v/>
      </c>
      <c r="AA298" s="5">
        <f>IF(D298="","",X298-Y298)</f>
        <v/>
      </c>
      <c r="AD298" s="5">
        <f>IF(D298="","",AA298-Z298)</f>
        <v/>
      </c>
      <c r="AG298">
        <f>IF(D298="","",N(AG297)+IF(MATCH(D298,$D$2:$D$3001,0)=ROW()-1,1,0))</f>
        <v/>
      </c>
    </row>
    <row r="299">
      <c r="Y299" s="5">
        <f>IF(D299="","",X299*IF(AND(ISNUMBER(AC299),AC299&gt;0,AC299&lt;1),AC299*100,AC299)/100)</f>
        <v/>
      </c>
      <c r="Z299" s="5">
        <f>IF(D299="","",AB299*AA299/100)</f>
        <v/>
      </c>
      <c r="AA299" s="5">
        <f>IF(D299="","",X299-Y299)</f>
        <v/>
      </c>
      <c r="AD299" s="5">
        <f>IF(D299="","",AA299-Z299)</f>
        <v/>
      </c>
      <c r="AG299">
        <f>IF(D299="","",N(AG298)+IF(MATCH(D299,$D$2:$D$3001,0)=ROW()-1,1,0))</f>
        <v/>
      </c>
    </row>
    <row r="300">
      <c r="Y300" s="5">
        <f>IF(D300="","",X300*IF(AND(ISNUMBER(AC300),AC300&gt;0,AC300&lt;1),AC300*100,AC300)/100)</f>
        <v/>
      </c>
      <c r="Z300" s="5">
        <f>IF(D300="","",AB300*AA300/100)</f>
        <v/>
      </c>
      <c r="AA300" s="5">
        <f>IF(D300="","",X300-Y300)</f>
        <v/>
      </c>
      <c r="AD300" s="5">
        <f>IF(D300="","",AA300-Z300)</f>
        <v/>
      </c>
      <c r="AG300">
        <f>IF(D300="","",N(AG299)+IF(MATCH(D300,$D$2:$D$3001,0)=ROW()-1,1,0))</f>
        <v/>
      </c>
    </row>
    <row r="301">
      <c r="Y301" s="5">
        <f>IF(D301="","",X301*IF(AND(ISNUMBER(AC301),AC301&gt;0,AC301&lt;1),AC301*100,AC301)/100)</f>
        <v/>
      </c>
      <c r="Z301" s="5">
        <f>IF(D301="","",AB301*AA301/100)</f>
        <v/>
      </c>
      <c r="AA301" s="5">
        <f>IF(D301="","",X301-Y301)</f>
        <v/>
      </c>
      <c r="AD301" s="5">
        <f>IF(D301="","",AA301-Z301)</f>
        <v/>
      </c>
      <c r="AG301">
        <f>IF(D301="","",N(AG300)+IF(MATCH(D301,$D$2:$D$3001,0)=ROW()-1,1,0))</f>
        <v/>
      </c>
    </row>
    <row r="302">
      <c r="Y302" s="5">
        <f>IF(D302="","",X302*IF(AND(ISNUMBER(AC302),AC302&gt;0,AC302&lt;1),AC302*100,AC302)/100)</f>
        <v/>
      </c>
      <c r="Z302" s="5">
        <f>IF(D302="","",AB302*AA302/100)</f>
        <v/>
      </c>
      <c r="AA302" s="5">
        <f>IF(D302="","",X302-Y302)</f>
        <v/>
      </c>
      <c r="AD302" s="5">
        <f>IF(D302="","",AA302-Z302)</f>
        <v/>
      </c>
      <c r="AG302">
        <f>IF(D302="","",N(AG301)+IF(MATCH(D302,$D$2:$D$3001,0)=ROW()-1,1,0))</f>
        <v/>
      </c>
    </row>
    <row r="303">
      <c r="Y303" s="5">
        <f>IF(D303="","",X303*IF(AND(ISNUMBER(AC303),AC303&gt;0,AC303&lt;1),AC303*100,AC303)/100)</f>
        <v/>
      </c>
      <c r="Z303" s="5">
        <f>IF(D303="","",AB303*AA303/100)</f>
        <v/>
      </c>
      <c r="AA303" s="5">
        <f>IF(D303="","",X303-Y303)</f>
        <v/>
      </c>
      <c r="AD303" s="5">
        <f>IF(D303="","",AA303-Z303)</f>
        <v/>
      </c>
      <c r="AG303">
        <f>IF(D303="","",N(AG302)+IF(MATCH(D303,$D$2:$D$3001,0)=ROW()-1,1,0))</f>
        <v/>
      </c>
    </row>
    <row r="304">
      <c r="Y304" s="5">
        <f>IF(D304="","",X304*IF(AND(ISNUMBER(AC304),AC304&gt;0,AC304&lt;1),AC304*100,AC304)/100)</f>
        <v/>
      </c>
      <c r="Z304" s="5">
        <f>IF(D304="","",AB304*AA304/100)</f>
        <v/>
      </c>
      <c r="AA304" s="5">
        <f>IF(D304="","",X304-Y304)</f>
        <v/>
      </c>
      <c r="AD304" s="5">
        <f>IF(D304="","",AA304-Z304)</f>
        <v/>
      </c>
      <c r="AG304">
        <f>IF(D304="","",N(AG303)+IF(MATCH(D304,$D$2:$D$3001,0)=ROW()-1,1,0))</f>
        <v/>
      </c>
    </row>
    <row r="305">
      <c r="Y305" s="5">
        <f>IF(D305="","",X305*IF(AND(ISNUMBER(AC305),AC305&gt;0,AC305&lt;1),AC305*100,AC305)/100)</f>
        <v/>
      </c>
      <c r="Z305" s="5">
        <f>IF(D305="","",AB305*AA305/100)</f>
        <v/>
      </c>
      <c r="AA305" s="5">
        <f>IF(D305="","",X305-Y305)</f>
        <v/>
      </c>
      <c r="AD305" s="5">
        <f>IF(D305="","",AA305-Z305)</f>
        <v/>
      </c>
      <c r="AG305">
        <f>IF(D305="","",N(AG304)+IF(MATCH(D305,$D$2:$D$3001,0)=ROW()-1,1,0))</f>
        <v/>
      </c>
    </row>
    <row r="306">
      <c r="Y306" s="5">
        <f>IF(D306="","",X306*IF(AND(ISNUMBER(AC306),AC306&gt;0,AC306&lt;1),AC306*100,AC306)/100)</f>
        <v/>
      </c>
      <c r="Z306" s="5">
        <f>IF(D306="","",AB306*AA306/100)</f>
        <v/>
      </c>
      <c r="AA306" s="5">
        <f>IF(D306="","",X306-Y306)</f>
        <v/>
      </c>
      <c r="AD306" s="5">
        <f>IF(D306="","",AA306-Z306)</f>
        <v/>
      </c>
      <c r="AG306">
        <f>IF(D306="","",N(AG305)+IF(MATCH(D306,$D$2:$D$3001,0)=ROW()-1,1,0))</f>
        <v/>
      </c>
    </row>
    <row r="307">
      <c r="Y307" s="5">
        <f>IF(D307="","",X307*IF(AND(ISNUMBER(AC307),AC307&gt;0,AC307&lt;1),AC307*100,AC307)/100)</f>
        <v/>
      </c>
      <c r="Z307" s="5">
        <f>IF(D307="","",AB307*AA307/100)</f>
        <v/>
      </c>
      <c r="AA307" s="5">
        <f>IF(D307="","",X307-Y307)</f>
        <v/>
      </c>
      <c r="AD307" s="5">
        <f>IF(D307="","",AA307-Z307)</f>
        <v/>
      </c>
      <c r="AG307">
        <f>IF(D307="","",N(AG306)+IF(MATCH(D307,$D$2:$D$3001,0)=ROW()-1,1,0))</f>
        <v/>
      </c>
    </row>
    <row r="308">
      <c r="Y308" s="5">
        <f>IF(D308="","",X308*IF(AND(ISNUMBER(AC308),AC308&gt;0,AC308&lt;1),AC308*100,AC308)/100)</f>
        <v/>
      </c>
      <c r="Z308" s="5">
        <f>IF(D308="","",AB308*AA308/100)</f>
        <v/>
      </c>
      <c r="AA308" s="5">
        <f>IF(D308="","",X308-Y308)</f>
        <v/>
      </c>
      <c r="AD308" s="5">
        <f>IF(D308="","",AA308-Z308)</f>
        <v/>
      </c>
      <c r="AG308">
        <f>IF(D308="","",N(AG307)+IF(MATCH(D308,$D$2:$D$3001,0)=ROW()-1,1,0))</f>
        <v/>
      </c>
    </row>
    <row r="309">
      <c r="Y309" s="5">
        <f>IF(D309="","",X309*IF(AND(ISNUMBER(AC309),AC309&gt;0,AC309&lt;1),AC309*100,AC309)/100)</f>
        <v/>
      </c>
      <c r="Z309" s="5">
        <f>IF(D309="","",AB309*AA309/100)</f>
        <v/>
      </c>
      <c r="AA309" s="5">
        <f>IF(D309="","",X309-Y309)</f>
        <v/>
      </c>
      <c r="AD309" s="5">
        <f>IF(D309="","",AA309-Z309)</f>
        <v/>
      </c>
      <c r="AG309">
        <f>IF(D309="","",N(AG308)+IF(MATCH(D309,$D$2:$D$3001,0)=ROW()-1,1,0))</f>
        <v/>
      </c>
    </row>
    <row r="310">
      <c r="Y310" s="5">
        <f>IF(D310="","",X310*IF(AND(ISNUMBER(AC310),AC310&gt;0,AC310&lt;1),AC310*100,AC310)/100)</f>
        <v/>
      </c>
      <c r="Z310" s="5">
        <f>IF(D310="","",AB310*AA310/100)</f>
        <v/>
      </c>
      <c r="AA310" s="5">
        <f>IF(D310="","",X310-Y310)</f>
        <v/>
      </c>
      <c r="AD310" s="5">
        <f>IF(D310="","",AA310-Z310)</f>
        <v/>
      </c>
      <c r="AG310">
        <f>IF(D310="","",N(AG309)+IF(MATCH(D310,$D$2:$D$3001,0)=ROW()-1,1,0))</f>
        <v/>
      </c>
    </row>
    <row r="311">
      <c r="Y311" s="5">
        <f>IF(D311="","",X311*IF(AND(ISNUMBER(AC311),AC311&gt;0,AC311&lt;1),AC311*100,AC311)/100)</f>
        <v/>
      </c>
      <c r="Z311" s="5">
        <f>IF(D311="","",AB311*AA311/100)</f>
        <v/>
      </c>
      <c r="AA311" s="5">
        <f>IF(D311="","",X311-Y311)</f>
        <v/>
      </c>
      <c r="AD311" s="5">
        <f>IF(D311="","",AA311-Z311)</f>
        <v/>
      </c>
      <c r="AG311">
        <f>IF(D311="","",N(AG310)+IF(MATCH(D311,$D$2:$D$3001,0)=ROW()-1,1,0))</f>
        <v/>
      </c>
    </row>
    <row r="312">
      <c r="Y312" s="5">
        <f>IF(D312="","",X312*IF(AND(ISNUMBER(AC312),AC312&gt;0,AC312&lt;1),AC312*100,AC312)/100)</f>
        <v/>
      </c>
      <c r="Z312" s="5">
        <f>IF(D312="","",AB312*AA312/100)</f>
        <v/>
      </c>
      <c r="AA312" s="5">
        <f>IF(D312="","",X312-Y312)</f>
        <v/>
      </c>
      <c r="AD312" s="5">
        <f>IF(D312="","",AA312-Z312)</f>
        <v/>
      </c>
      <c r="AG312">
        <f>IF(D312="","",N(AG311)+IF(MATCH(D312,$D$2:$D$3001,0)=ROW()-1,1,0))</f>
        <v/>
      </c>
    </row>
    <row r="313">
      <c r="Y313" s="5">
        <f>IF(D313="","",X313*IF(AND(ISNUMBER(AC313),AC313&gt;0,AC313&lt;1),AC313*100,AC313)/100)</f>
        <v/>
      </c>
      <c r="Z313" s="5">
        <f>IF(D313="","",AB313*AA313/100)</f>
        <v/>
      </c>
      <c r="AA313" s="5">
        <f>IF(D313="","",X313-Y313)</f>
        <v/>
      </c>
      <c r="AD313" s="5">
        <f>IF(D313="","",AA313-Z313)</f>
        <v/>
      </c>
      <c r="AG313">
        <f>IF(D313="","",N(AG312)+IF(MATCH(D313,$D$2:$D$3001,0)=ROW()-1,1,0))</f>
        <v/>
      </c>
    </row>
    <row r="314">
      <c r="Y314" s="5">
        <f>IF(D314="","",X314*IF(AND(ISNUMBER(AC314),AC314&gt;0,AC314&lt;1),AC314*100,AC314)/100)</f>
        <v/>
      </c>
      <c r="Z314" s="5">
        <f>IF(D314="","",AB314*AA314/100)</f>
        <v/>
      </c>
      <c r="AA314" s="5">
        <f>IF(D314="","",X314-Y314)</f>
        <v/>
      </c>
      <c r="AD314" s="5">
        <f>IF(D314="","",AA314-Z314)</f>
        <v/>
      </c>
      <c r="AG314">
        <f>IF(D314="","",N(AG313)+IF(MATCH(D314,$D$2:$D$3001,0)=ROW()-1,1,0))</f>
        <v/>
      </c>
    </row>
    <row r="315">
      <c r="Y315" s="5">
        <f>IF(D315="","",X315*IF(AND(ISNUMBER(AC315),AC315&gt;0,AC315&lt;1),AC315*100,AC315)/100)</f>
        <v/>
      </c>
      <c r="Z315" s="5">
        <f>IF(D315="","",AB315*AA315/100)</f>
        <v/>
      </c>
      <c r="AA315" s="5">
        <f>IF(D315="","",X315-Y315)</f>
        <v/>
      </c>
      <c r="AD315" s="5">
        <f>IF(D315="","",AA315-Z315)</f>
        <v/>
      </c>
      <c r="AG315">
        <f>IF(D315="","",N(AG314)+IF(MATCH(D315,$D$2:$D$3001,0)=ROW()-1,1,0))</f>
        <v/>
      </c>
    </row>
    <row r="316">
      <c r="Y316" s="5">
        <f>IF(D316="","",X316*IF(AND(ISNUMBER(AC316),AC316&gt;0,AC316&lt;1),AC316*100,AC316)/100)</f>
        <v/>
      </c>
      <c r="Z316" s="5">
        <f>IF(D316="","",AB316*AA316/100)</f>
        <v/>
      </c>
      <c r="AA316" s="5">
        <f>IF(D316="","",X316-Y316)</f>
        <v/>
      </c>
      <c r="AD316" s="5">
        <f>IF(D316="","",AA316-Z316)</f>
        <v/>
      </c>
      <c r="AG316">
        <f>IF(D316="","",N(AG315)+IF(MATCH(D316,$D$2:$D$3001,0)=ROW()-1,1,0))</f>
        <v/>
      </c>
    </row>
    <row r="317">
      <c r="Y317" s="5">
        <f>IF(D317="","",X317*IF(AND(ISNUMBER(AC317),AC317&gt;0,AC317&lt;1),AC317*100,AC317)/100)</f>
        <v/>
      </c>
      <c r="Z317" s="5">
        <f>IF(D317="","",AB317*AA317/100)</f>
        <v/>
      </c>
      <c r="AA317" s="5">
        <f>IF(D317="","",X317-Y317)</f>
        <v/>
      </c>
      <c r="AD317" s="5">
        <f>IF(D317="","",AA317-Z317)</f>
        <v/>
      </c>
      <c r="AG317">
        <f>IF(D317="","",N(AG316)+IF(MATCH(D317,$D$2:$D$3001,0)=ROW()-1,1,0))</f>
        <v/>
      </c>
    </row>
    <row r="318">
      <c r="Y318" s="5">
        <f>IF(D318="","",X318*IF(AND(ISNUMBER(AC318),AC318&gt;0,AC318&lt;1),AC318*100,AC318)/100)</f>
        <v/>
      </c>
      <c r="Z318" s="5">
        <f>IF(D318="","",AB318*AA318/100)</f>
        <v/>
      </c>
      <c r="AA318" s="5">
        <f>IF(D318="","",X318-Y318)</f>
        <v/>
      </c>
      <c r="AD318" s="5">
        <f>IF(D318="","",AA318-Z318)</f>
        <v/>
      </c>
      <c r="AG318">
        <f>IF(D318="","",N(AG317)+IF(MATCH(D318,$D$2:$D$3001,0)=ROW()-1,1,0))</f>
        <v/>
      </c>
    </row>
    <row r="319">
      <c r="Y319" s="5">
        <f>IF(D319="","",X319*IF(AND(ISNUMBER(AC319),AC319&gt;0,AC319&lt;1),AC319*100,AC319)/100)</f>
        <v/>
      </c>
      <c r="Z319" s="5">
        <f>IF(D319="","",AB319*AA319/100)</f>
        <v/>
      </c>
      <c r="AA319" s="5">
        <f>IF(D319="","",X319-Y319)</f>
        <v/>
      </c>
      <c r="AD319" s="5">
        <f>IF(D319="","",AA319-Z319)</f>
        <v/>
      </c>
      <c r="AG319">
        <f>IF(D319="","",N(AG318)+IF(MATCH(D319,$D$2:$D$3001,0)=ROW()-1,1,0))</f>
        <v/>
      </c>
    </row>
    <row r="320">
      <c r="Y320" s="5">
        <f>IF(D320="","",X320*IF(AND(ISNUMBER(AC320),AC320&gt;0,AC320&lt;1),AC320*100,AC320)/100)</f>
        <v/>
      </c>
      <c r="Z320" s="5">
        <f>IF(D320="","",AB320*AA320/100)</f>
        <v/>
      </c>
      <c r="AA320" s="5">
        <f>IF(D320="","",X320-Y320)</f>
        <v/>
      </c>
      <c r="AD320" s="5">
        <f>IF(D320="","",AA320-Z320)</f>
        <v/>
      </c>
      <c r="AG320">
        <f>IF(D320="","",N(AG319)+IF(MATCH(D320,$D$2:$D$3001,0)=ROW()-1,1,0))</f>
        <v/>
      </c>
    </row>
    <row r="321">
      <c r="Y321" s="5">
        <f>IF(D321="","",X321*IF(AND(ISNUMBER(AC321),AC321&gt;0,AC321&lt;1),AC321*100,AC321)/100)</f>
        <v/>
      </c>
      <c r="Z321" s="5">
        <f>IF(D321="","",AB321*AA321/100)</f>
        <v/>
      </c>
      <c r="AA321" s="5">
        <f>IF(D321="","",X321-Y321)</f>
        <v/>
      </c>
      <c r="AD321" s="5">
        <f>IF(D321="","",AA321-Z321)</f>
        <v/>
      </c>
      <c r="AG321">
        <f>IF(D321="","",N(AG320)+IF(MATCH(D321,$D$2:$D$3001,0)=ROW()-1,1,0))</f>
        <v/>
      </c>
    </row>
    <row r="322">
      <c r="Y322" s="5">
        <f>IF(D322="","",X322*IF(AND(ISNUMBER(AC322),AC322&gt;0,AC322&lt;1),AC322*100,AC322)/100)</f>
        <v/>
      </c>
      <c r="Z322" s="5">
        <f>IF(D322="","",AB322*AA322/100)</f>
        <v/>
      </c>
      <c r="AA322" s="5">
        <f>IF(D322="","",X322-Y322)</f>
        <v/>
      </c>
      <c r="AD322" s="5">
        <f>IF(D322="","",AA322-Z322)</f>
        <v/>
      </c>
      <c r="AG322">
        <f>IF(D322="","",N(AG321)+IF(MATCH(D322,$D$2:$D$3001,0)=ROW()-1,1,0))</f>
        <v/>
      </c>
    </row>
    <row r="323">
      <c r="Y323" s="5">
        <f>IF(D323="","",X323*IF(AND(ISNUMBER(AC323),AC323&gt;0,AC323&lt;1),AC323*100,AC323)/100)</f>
        <v/>
      </c>
      <c r="Z323" s="5">
        <f>IF(D323="","",AB323*AA323/100)</f>
        <v/>
      </c>
      <c r="AA323" s="5">
        <f>IF(D323="","",X323-Y323)</f>
        <v/>
      </c>
      <c r="AD323" s="5">
        <f>IF(D323="","",AA323-Z323)</f>
        <v/>
      </c>
      <c r="AG323">
        <f>IF(D323="","",N(AG322)+IF(MATCH(D323,$D$2:$D$3001,0)=ROW()-1,1,0))</f>
        <v/>
      </c>
    </row>
    <row r="324">
      <c r="Y324" s="5">
        <f>IF(D324="","",X324*IF(AND(ISNUMBER(AC324),AC324&gt;0,AC324&lt;1),AC324*100,AC324)/100)</f>
        <v/>
      </c>
      <c r="Z324" s="5">
        <f>IF(D324="","",AB324*AA324/100)</f>
        <v/>
      </c>
      <c r="AA324" s="5">
        <f>IF(D324="","",X324-Y324)</f>
        <v/>
      </c>
      <c r="AD324" s="5">
        <f>IF(D324="","",AA324-Z324)</f>
        <v/>
      </c>
      <c r="AG324">
        <f>IF(D324="","",N(AG323)+IF(MATCH(D324,$D$2:$D$3001,0)=ROW()-1,1,0))</f>
        <v/>
      </c>
    </row>
    <row r="325">
      <c r="Y325" s="5">
        <f>IF(D325="","",X325*IF(AND(ISNUMBER(AC325),AC325&gt;0,AC325&lt;1),AC325*100,AC325)/100)</f>
        <v/>
      </c>
      <c r="Z325" s="5">
        <f>IF(D325="","",AB325*AA325/100)</f>
        <v/>
      </c>
      <c r="AA325" s="5">
        <f>IF(D325="","",X325-Y325)</f>
        <v/>
      </c>
      <c r="AD325" s="5">
        <f>IF(D325="","",AA325-Z325)</f>
        <v/>
      </c>
      <c r="AG325">
        <f>IF(D325="","",N(AG324)+IF(MATCH(D325,$D$2:$D$3001,0)=ROW()-1,1,0))</f>
        <v/>
      </c>
    </row>
    <row r="326">
      <c r="Y326" s="5">
        <f>IF(D326="","",X326*IF(AND(ISNUMBER(AC326),AC326&gt;0,AC326&lt;1),AC326*100,AC326)/100)</f>
        <v/>
      </c>
      <c r="Z326" s="5">
        <f>IF(D326="","",AB326*AA326/100)</f>
        <v/>
      </c>
      <c r="AA326" s="5">
        <f>IF(D326="","",X326-Y326)</f>
        <v/>
      </c>
      <c r="AD326" s="5">
        <f>IF(D326="","",AA326-Z326)</f>
        <v/>
      </c>
      <c r="AG326">
        <f>IF(D326="","",N(AG325)+IF(MATCH(D326,$D$2:$D$3001,0)=ROW()-1,1,0))</f>
        <v/>
      </c>
    </row>
    <row r="327">
      <c r="Y327" s="5">
        <f>IF(D327="","",X327*IF(AND(ISNUMBER(AC327),AC327&gt;0,AC327&lt;1),AC327*100,AC327)/100)</f>
        <v/>
      </c>
      <c r="Z327" s="5">
        <f>IF(D327="","",AB327*AA327/100)</f>
        <v/>
      </c>
      <c r="AA327" s="5">
        <f>IF(D327="","",X327-Y327)</f>
        <v/>
      </c>
      <c r="AD327" s="5">
        <f>IF(D327="","",AA327-Z327)</f>
        <v/>
      </c>
      <c r="AG327">
        <f>IF(D327="","",N(AG326)+IF(MATCH(D327,$D$2:$D$3001,0)=ROW()-1,1,0))</f>
        <v/>
      </c>
    </row>
    <row r="328">
      <c r="Y328" s="5">
        <f>IF(D328="","",X328*IF(AND(ISNUMBER(AC328),AC328&gt;0,AC328&lt;1),AC328*100,AC328)/100)</f>
        <v/>
      </c>
      <c r="Z328" s="5">
        <f>IF(D328="","",AB328*AA328/100)</f>
        <v/>
      </c>
      <c r="AA328" s="5">
        <f>IF(D328="","",X328-Y328)</f>
        <v/>
      </c>
      <c r="AD328" s="5">
        <f>IF(D328="","",AA328-Z328)</f>
        <v/>
      </c>
      <c r="AG328">
        <f>IF(D328="","",N(AG327)+IF(MATCH(D328,$D$2:$D$3001,0)=ROW()-1,1,0))</f>
        <v/>
      </c>
    </row>
    <row r="329">
      <c r="Y329" s="5">
        <f>IF(D329="","",X329*IF(AND(ISNUMBER(AC329),AC329&gt;0,AC329&lt;1),AC329*100,AC329)/100)</f>
        <v/>
      </c>
      <c r="Z329" s="5">
        <f>IF(D329="","",AB329*AA329/100)</f>
        <v/>
      </c>
      <c r="AA329" s="5">
        <f>IF(D329="","",X329-Y329)</f>
        <v/>
      </c>
      <c r="AD329" s="5">
        <f>IF(D329="","",AA329-Z329)</f>
        <v/>
      </c>
      <c r="AG329">
        <f>IF(D329="","",N(AG328)+IF(MATCH(D329,$D$2:$D$3001,0)=ROW()-1,1,0))</f>
        <v/>
      </c>
    </row>
    <row r="330">
      <c r="Y330" s="5">
        <f>IF(D330="","",X330*IF(AND(ISNUMBER(AC330),AC330&gt;0,AC330&lt;1),AC330*100,AC330)/100)</f>
        <v/>
      </c>
      <c r="Z330" s="5">
        <f>IF(D330="","",AB330*AA330/100)</f>
        <v/>
      </c>
      <c r="AA330" s="5">
        <f>IF(D330="","",X330-Y330)</f>
        <v/>
      </c>
      <c r="AD330" s="5">
        <f>IF(D330="","",AA330-Z330)</f>
        <v/>
      </c>
      <c r="AG330">
        <f>IF(D330="","",N(AG329)+IF(MATCH(D330,$D$2:$D$3001,0)=ROW()-1,1,0))</f>
        <v/>
      </c>
    </row>
    <row r="331">
      <c r="Y331" s="5">
        <f>IF(D331="","",X331*IF(AND(ISNUMBER(AC331),AC331&gt;0,AC331&lt;1),AC331*100,AC331)/100)</f>
        <v/>
      </c>
      <c r="Z331" s="5">
        <f>IF(D331="","",AB331*AA331/100)</f>
        <v/>
      </c>
      <c r="AA331" s="5">
        <f>IF(D331="","",X331-Y331)</f>
        <v/>
      </c>
      <c r="AD331" s="5">
        <f>IF(D331="","",AA331-Z331)</f>
        <v/>
      </c>
      <c r="AG331">
        <f>IF(D331="","",N(AG330)+IF(MATCH(D331,$D$2:$D$3001,0)=ROW()-1,1,0))</f>
        <v/>
      </c>
    </row>
    <row r="332">
      <c r="Y332" s="5">
        <f>IF(D332="","",X332*IF(AND(ISNUMBER(AC332),AC332&gt;0,AC332&lt;1),AC332*100,AC332)/100)</f>
        <v/>
      </c>
      <c r="Z332" s="5">
        <f>IF(D332="","",AB332*AA332/100)</f>
        <v/>
      </c>
      <c r="AA332" s="5">
        <f>IF(D332="","",X332-Y332)</f>
        <v/>
      </c>
      <c r="AD332" s="5">
        <f>IF(D332="","",AA332-Z332)</f>
        <v/>
      </c>
      <c r="AG332">
        <f>IF(D332="","",N(AG331)+IF(MATCH(D332,$D$2:$D$3001,0)=ROW()-1,1,0))</f>
        <v/>
      </c>
    </row>
    <row r="333">
      <c r="Y333" s="5">
        <f>IF(D333="","",X333*IF(AND(ISNUMBER(AC333),AC333&gt;0,AC333&lt;1),AC333*100,AC333)/100)</f>
        <v/>
      </c>
      <c r="Z333" s="5">
        <f>IF(D333="","",AB333*AA333/100)</f>
        <v/>
      </c>
      <c r="AA333" s="5">
        <f>IF(D333="","",X333-Y333)</f>
        <v/>
      </c>
      <c r="AD333" s="5">
        <f>IF(D333="","",AA333-Z333)</f>
        <v/>
      </c>
      <c r="AG333">
        <f>IF(D333="","",N(AG332)+IF(MATCH(D333,$D$2:$D$3001,0)=ROW()-1,1,0))</f>
        <v/>
      </c>
    </row>
    <row r="334">
      <c r="Y334" s="5">
        <f>IF(D334="","",X334*IF(AND(ISNUMBER(AC334),AC334&gt;0,AC334&lt;1),AC334*100,AC334)/100)</f>
        <v/>
      </c>
      <c r="Z334" s="5">
        <f>IF(D334="","",AB334*AA334/100)</f>
        <v/>
      </c>
      <c r="AA334" s="5">
        <f>IF(D334="","",X334-Y334)</f>
        <v/>
      </c>
      <c r="AD334" s="5">
        <f>IF(D334="","",AA334-Z334)</f>
        <v/>
      </c>
      <c r="AG334">
        <f>IF(D334="","",N(AG333)+IF(MATCH(D334,$D$2:$D$3001,0)=ROW()-1,1,0))</f>
        <v/>
      </c>
    </row>
    <row r="335">
      <c r="Y335" s="5">
        <f>IF(D335="","",X335*IF(AND(ISNUMBER(AC335),AC335&gt;0,AC335&lt;1),AC335*100,AC335)/100)</f>
        <v/>
      </c>
      <c r="Z335" s="5">
        <f>IF(D335="","",AB335*AA335/100)</f>
        <v/>
      </c>
      <c r="AA335" s="5">
        <f>IF(D335="","",X335-Y335)</f>
        <v/>
      </c>
      <c r="AD335" s="5">
        <f>IF(D335="","",AA335-Z335)</f>
        <v/>
      </c>
      <c r="AG335">
        <f>IF(D335="","",N(AG334)+IF(MATCH(D335,$D$2:$D$3001,0)=ROW()-1,1,0))</f>
        <v/>
      </c>
    </row>
    <row r="336">
      <c r="Y336" s="5">
        <f>IF(D336="","",X336*IF(AND(ISNUMBER(AC336),AC336&gt;0,AC336&lt;1),AC336*100,AC336)/100)</f>
        <v/>
      </c>
      <c r="Z336" s="5">
        <f>IF(D336="","",AB336*AA336/100)</f>
        <v/>
      </c>
      <c r="AA336" s="5">
        <f>IF(D336="","",X336-Y336)</f>
        <v/>
      </c>
      <c r="AD336" s="5">
        <f>IF(D336="","",AA336-Z336)</f>
        <v/>
      </c>
      <c r="AG336">
        <f>IF(D336="","",N(AG335)+IF(MATCH(D336,$D$2:$D$3001,0)=ROW()-1,1,0))</f>
        <v/>
      </c>
    </row>
    <row r="337">
      <c r="Y337" s="5">
        <f>IF(D337="","",X337*IF(AND(ISNUMBER(AC337),AC337&gt;0,AC337&lt;1),AC337*100,AC337)/100)</f>
        <v/>
      </c>
      <c r="Z337" s="5">
        <f>IF(D337="","",AB337*AA337/100)</f>
        <v/>
      </c>
      <c r="AA337" s="5">
        <f>IF(D337="","",X337-Y337)</f>
        <v/>
      </c>
      <c r="AD337" s="5">
        <f>IF(D337="","",AA337-Z337)</f>
        <v/>
      </c>
      <c r="AG337">
        <f>IF(D337="","",N(AG336)+IF(MATCH(D337,$D$2:$D$3001,0)=ROW()-1,1,0))</f>
        <v/>
      </c>
    </row>
    <row r="338">
      <c r="Y338" s="5">
        <f>IF(D338="","",X338*IF(AND(ISNUMBER(AC338),AC338&gt;0,AC338&lt;1),AC338*100,AC338)/100)</f>
        <v/>
      </c>
      <c r="Z338" s="5">
        <f>IF(D338="","",AB338*AA338/100)</f>
        <v/>
      </c>
      <c r="AA338" s="5">
        <f>IF(D338="","",X338-Y338)</f>
        <v/>
      </c>
      <c r="AD338" s="5">
        <f>IF(D338="","",AA338-Z338)</f>
        <v/>
      </c>
      <c r="AG338">
        <f>IF(D338="","",N(AG337)+IF(MATCH(D338,$D$2:$D$3001,0)=ROW()-1,1,0))</f>
        <v/>
      </c>
    </row>
    <row r="339">
      <c r="Y339" s="5">
        <f>IF(D339="","",X339*IF(AND(ISNUMBER(AC339),AC339&gt;0,AC339&lt;1),AC339*100,AC339)/100)</f>
        <v/>
      </c>
      <c r="Z339" s="5">
        <f>IF(D339="","",AB339*AA339/100)</f>
        <v/>
      </c>
      <c r="AA339" s="5">
        <f>IF(D339="","",X339-Y339)</f>
        <v/>
      </c>
      <c r="AD339" s="5">
        <f>IF(D339="","",AA339-Z339)</f>
        <v/>
      </c>
      <c r="AG339">
        <f>IF(D339="","",N(AG338)+IF(MATCH(D339,$D$2:$D$3001,0)=ROW()-1,1,0))</f>
        <v/>
      </c>
    </row>
    <row r="340">
      <c r="Y340" s="5">
        <f>IF(D340="","",X340*IF(AND(ISNUMBER(AC340),AC340&gt;0,AC340&lt;1),AC340*100,AC340)/100)</f>
        <v/>
      </c>
      <c r="Z340" s="5">
        <f>IF(D340="","",AB340*AA340/100)</f>
        <v/>
      </c>
      <c r="AA340" s="5">
        <f>IF(D340="","",X340-Y340)</f>
        <v/>
      </c>
      <c r="AD340" s="5">
        <f>IF(D340="","",AA340-Z340)</f>
        <v/>
      </c>
      <c r="AG340">
        <f>IF(D340="","",N(AG339)+IF(MATCH(D340,$D$2:$D$3001,0)=ROW()-1,1,0))</f>
        <v/>
      </c>
    </row>
    <row r="341">
      <c r="Y341" s="5">
        <f>IF(D341="","",X341*IF(AND(ISNUMBER(AC341),AC341&gt;0,AC341&lt;1),AC341*100,AC341)/100)</f>
        <v/>
      </c>
      <c r="Z341" s="5">
        <f>IF(D341="","",AB341*AA341/100)</f>
        <v/>
      </c>
      <c r="AA341" s="5">
        <f>IF(D341="","",X341-Y341)</f>
        <v/>
      </c>
      <c r="AD341" s="5">
        <f>IF(D341="","",AA341-Z341)</f>
        <v/>
      </c>
      <c r="AG341">
        <f>IF(D341="","",N(AG340)+IF(MATCH(D341,$D$2:$D$3001,0)=ROW()-1,1,0))</f>
        <v/>
      </c>
    </row>
    <row r="342">
      <c r="Y342" s="5">
        <f>IF(D342="","",X342*IF(AND(ISNUMBER(AC342),AC342&gt;0,AC342&lt;1),AC342*100,AC342)/100)</f>
        <v/>
      </c>
      <c r="Z342" s="5">
        <f>IF(D342="","",AB342*AA342/100)</f>
        <v/>
      </c>
      <c r="AA342" s="5">
        <f>IF(D342="","",X342-Y342)</f>
        <v/>
      </c>
      <c r="AD342" s="5">
        <f>IF(D342="","",AA342-Z342)</f>
        <v/>
      </c>
      <c r="AG342">
        <f>IF(D342="","",N(AG341)+IF(MATCH(D342,$D$2:$D$3001,0)=ROW()-1,1,0))</f>
        <v/>
      </c>
    </row>
    <row r="343">
      <c r="Y343" s="5">
        <f>IF(D343="","",X343*IF(AND(ISNUMBER(AC343),AC343&gt;0,AC343&lt;1),AC343*100,AC343)/100)</f>
        <v/>
      </c>
      <c r="Z343" s="5">
        <f>IF(D343="","",AB343*AA343/100)</f>
        <v/>
      </c>
      <c r="AA343" s="5">
        <f>IF(D343="","",X343-Y343)</f>
        <v/>
      </c>
      <c r="AD343" s="5">
        <f>IF(D343="","",AA343-Z343)</f>
        <v/>
      </c>
      <c r="AG343">
        <f>IF(D343="","",N(AG342)+IF(MATCH(D343,$D$2:$D$3001,0)=ROW()-1,1,0))</f>
        <v/>
      </c>
    </row>
    <row r="344">
      <c r="Y344" s="5">
        <f>IF(D344="","",X344*IF(AND(ISNUMBER(AC344),AC344&gt;0,AC344&lt;1),AC344*100,AC344)/100)</f>
        <v/>
      </c>
      <c r="Z344" s="5">
        <f>IF(D344="","",AB344*AA344/100)</f>
        <v/>
      </c>
      <c r="AA344" s="5">
        <f>IF(D344="","",X344-Y344)</f>
        <v/>
      </c>
      <c r="AD344" s="5">
        <f>IF(D344="","",AA344-Z344)</f>
        <v/>
      </c>
      <c r="AG344">
        <f>IF(D344="","",N(AG343)+IF(MATCH(D344,$D$2:$D$3001,0)=ROW()-1,1,0))</f>
        <v/>
      </c>
    </row>
    <row r="345">
      <c r="Y345" s="5">
        <f>IF(D345="","",X345*IF(AND(ISNUMBER(AC345),AC345&gt;0,AC345&lt;1),AC345*100,AC345)/100)</f>
        <v/>
      </c>
      <c r="Z345" s="5">
        <f>IF(D345="","",AB345*AA345/100)</f>
        <v/>
      </c>
      <c r="AA345" s="5">
        <f>IF(D345="","",X345-Y345)</f>
        <v/>
      </c>
      <c r="AD345" s="5">
        <f>IF(D345="","",AA345-Z345)</f>
        <v/>
      </c>
      <c r="AG345">
        <f>IF(D345="","",N(AG344)+IF(MATCH(D345,$D$2:$D$3001,0)=ROW()-1,1,0))</f>
        <v/>
      </c>
    </row>
    <row r="346">
      <c r="Y346" s="5">
        <f>IF(D346="","",X346*IF(AND(ISNUMBER(AC346),AC346&gt;0,AC346&lt;1),AC346*100,AC346)/100)</f>
        <v/>
      </c>
      <c r="Z346" s="5">
        <f>IF(D346="","",AB346*AA346/100)</f>
        <v/>
      </c>
      <c r="AA346" s="5">
        <f>IF(D346="","",X346-Y346)</f>
        <v/>
      </c>
      <c r="AD346" s="5">
        <f>IF(D346="","",AA346-Z346)</f>
        <v/>
      </c>
      <c r="AG346">
        <f>IF(D346="","",N(AG345)+IF(MATCH(D346,$D$2:$D$3001,0)=ROW()-1,1,0))</f>
        <v/>
      </c>
    </row>
    <row r="347">
      <c r="Y347" s="5">
        <f>IF(D347="","",X347*IF(AND(ISNUMBER(AC347),AC347&gt;0,AC347&lt;1),AC347*100,AC347)/100)</f>
        <v/>
      </c>
      <c r="Z347" s="5">
        <f>IF(D347="","",AB347*AA347/100)</f>
        <v/>
      </c>
      <c r="AA347" s="5">
        <f>IF(D347="","",X347-Y347)</f>
        <v/>
      </c>
      <c r="AD347" s="5">
        <f>IF(D347="","",AA347-Z347)</f>
        <v/>
      </c>
      <c r="AG347">
        <f>IF(D347="","",N(AG346)+IF(MATCH(D347,$D$2:$D$3001,0)=ROW()-1,1,0))</f>
        <v/>
      </c>
    </row>
    <row r="348">
      <c r="Y348" s="5">
        <f>IF(D348="","",X348*IF(AND(ISNUMBER(AC348),AC348&gt;0,AC348&lt;1),AC348*100,AC348)/100)</f>
        <v/>
      </c>
      <c r="Z348" s="5">
        <f>IF(D348="","",AB348*AA348/100)</f>
        <v/>
      </c>
      <c r="AA348" s="5">
        <f>IF(D348="","",X348-Y348)</f>
        <v/>
      </c>
      <c r="AD348" s="5">
        <f>IF(D348="","",AA348-Z348)</f>
        <v/>
      </c>
      <c r="AG348">
        <f>IF(D348="","",N(AG347)+IF(MATCH(D348,$D$2:$D$3001,0)=ROW()-1,1,0))</f>
        <v/>
      </c>
    </row>
    <row r="349">
      <c r="Y349" s="5">
        <f>IF(D349="","",X349*IF(AND(ISNUMBER(AC349),AC349&gt;0,AC349&lt;1),AC349*100,AC349)/100)</f>
        <v/>
      </c>
      <c r="Z349" s="5">
        <f>IF(D349="","",AB349*AA349/100)</f>
        <v/>
      </c>
      <c r="AA349" s="5">
        <f>IF(D349="","",X349-Y349)</f>
        <v/>
      </c>
      <c r="AD349" s="5">
        <f>IF(D349="","",AA349-Z349)</f>
        <v/>
      </c>
      <c r="AG349">
        <f>IF(D349="","",N(AG348)+IF(MATCH(D349,$D$2:$D$3001,0)=ROW()-1,1,0))</f>
        <v/>
      </c>
    </row>
    <row r="350">
      <c r="Y350" s="5">
        <f>IF(D350="","",X350*IF(AND(ISNUMBER(AC350),AC350&gt;0,AC350&lt;1),AC350*100,AC350)/100)</f>
        <v/>
      </c>
      <c r="Z350" s="5">
        <f>IF(D350="","",AB350*AA350/100)</f>
        <v/>
      </c>
      <c r="AA350" s="5">
        <f>IF(D350="","",X350-Y350)</f>
        <v/>
      </c>
      <c r="AD350" s="5">
        <f>IF(D350="","",AA350-Z350)</f>
        <v/>
      </c>
      <c r="AG350">
        <f>IF(D350="","",N(AG349)+IF(MATCH(D350,$D$2:$D$3001,0)=ROW()-1,1,0))</f>
        <v/>
      </c>
    </row>
    <row r="351">
      <c r="Y351" s="5">
        <f>IF(D351="","",X351*IF(AND(ISNUMBER(AC351),AC351&gt;0,AC351&lt;1),AC351*100,AC351)/100)</f>
        <v/>
      </c>
      <c r="Z351" s="5">
        <f>IF(D351="","",AB351*AA351/100)</f>
        <v/>
      </c>
      <c r="AA351" s="5">
        <f>IF(D351="","",X351-Y351)</f>
        <v/>
      </c>
      <c r="AD351" s="5">
        <f>IF(D351="","",AA351-Z351)</f>
        <v/>
      </c>
      <c r="AG351">
        <f>IF(D351="","",N(AG350)+IF(MATCH(D351,$D$2:$D$3001,0)=ROW()-1,1,0))</f>
        <v/>
      </c>
    </row>
    <row r="352">
      <c r="Y352" s="5">
        <f>IF(D352="","",X352*IF(AND(ISNUMBER(AC352),AC352&gt;0,AC352&lt;1),AC352*100,AC352)/100)</f>
        <v/>
      </c>
      <c r="Z352" s="5">
        <f>IF(D352="","",AB352*AA352/100)</f>
        <v/>
      </c>
      <c r="AA352" s="5">
        <f>IF(D352="","",X352-Y352)</f>
        <v/>
      </c>
      <c r="AD352" s="5">
        <f>IF(D352="","",AA352-Z352)</f>
        <v/>
      </c>
      <c r="AG352">
        <f>IF(D352="","",N(AG351)+IF(MATCH(D352,$D$2:$D$3001,0)=ROW()-1,1,0))</f>
        <v/>
      </c>
    </row>
    <row r="353">
      <c r="Y353" s="5">
        <f>IF(D353="","",X353*IF(AND(ISNUMBER(AC353),AC353&gt;0,AC353&lt;1),AC353*100,AC353)/100)</f>
        <v/>
      </c>
      <c r="Z353" s="5">
        <f>IF(D353="","",AB353*AA353/100)</f>
        <v/>
      </c>
      <c r="AA353" s="5">
        <f>IF(D353="","",X353-Y353)</f>
        <v/>
      </c>
      <c r="AD353" s="5">
        <f>IF(D353="","",AA353-Z353)</f>
        <v/>
      </c>
      <c r="AG353">
        <f>IF(D353="","",N(AG352)+IF(MATCH(D353,$D$2:$D$3001,0)=ROW()-1,1,0))</f>
        <v/>
      </c>
    </row>
    <row r="354">
      <c r="Y354" s="5">
        <f>IF(D354="","",X354*IF(AND(ISNUMBER(AC354),AC354&gt;0,AC354&lt;1),AC354*100,AC354)/100)</f>
        <v/>
      </c>
      <c r="Z354" s="5">
        <f>IF(D354="","",AB354*AA354/100)</f>
        <v/>
      </c>
      <c r="AA354" s="5">
        <f>IF(D354="","",X354-Y354)</f>
        <v/>
      </c>
      <c r="AD354" s="5">
        <f>IF(D354="","",AA354-Z354)</f>
        <v/>
      </c>
      <c r="AG354">
        <f>IF(D354="","",N(AG353)+IF(MATCH(D354,$D$2:$D$3001,0)=ROW()-1,1,0))</f>
        <v/>
      </c>
    </row>
    <row r="355">
      <c r="Y355" s="5">
        <f>IF(D355="","",X355*IF(AND(ISNUMBER(AC355),AC355&gt;0,AC355&lt;1),AC355*100,AC355)/100)</f>
        <v/>
      </c>
      <c r="Z355" s="5">
        <f>IF(D355="","",AB355*AA355/100)</f>
        <v/>
      </c>
      <c r="AA355" s="5">
        <f>IF(D355="","",X355-Y355)</f>
        <v/>
      </c>
      <c r="AD355" s="5">
        <f>IF(D355="","",AA355-Z355)</f>
        <v/>
      </c>
      <c r="AG355">
        <f>IF(D355="","",N(AG354)+IF(MATCH(D355,$D$2:$D$3001,0)=ROW()-1,1,0))</f>
        <v/>
      </c>
    </row>
    <row r="356">
      <c r="Y356" s="5">
        <f>IF(D356="","",X356*IF(AND(ISNUMBER(AC356),AC356&gt;0,AC356&lt;1),AC356*100,AC356)/100)</f>
        <v/>
      </c>
      <c r="Z356" s="5">
        <f>IF(D356="","",AB356*AA356/100)</f>
        <v/>
      </c>
      <c r="AA356" s="5">
        <f>IF(D356="","",X356-Y356)</f>
        <v/>
      </c>
      <c r="AD356" s="5">
        <f>IF(D356="","",AA356-Z356)</f>
        <v/>
      </c>
      <c r="AG356">
        <f>IF(D356="","",N(AG355)+IF(MATCH(D356,$D$2:$D$3001,0)=ROW()-1,1,0))</f>
        <v/>
      </c>
    </row>
    <row r="357">
      <c r="Y357" s="5">
        <f>IF(D357="","",X357*IF(AND(ISNUMBER(AC357),AC357&gt;0,AC357&lt;1),AC357*100,AC357)/100)</f>
        <v/>
      </c>
      <c r="Z357" s="5">
        <f>IF(D357="","",AB357*AA357/100)</f>
        <v/>
      </c>
      <c r="AA357" s="5">
        <f>IF(D357="","",X357-Y357)</f>
        <v/>
      </c>
      <c r="AD357" s="5">
        <f>IF(D357="","",AA357-Z357)</f>
        <v/>
      </c>
      <c r="AG357">
        <f>IF(D357="","",N(AG356)+IF(MATCH(D357,$D$2:$D$3001,0)=ROW()-1,1,0))</f>
        <v/>
      </c>
    </row>
    <row r="358">
      <c r="Y358" s="5">
        <f>IF(D358="","",X358*IF(AND(ISNUMBER(AC358),AC358&gt;0,AC358&lt;1),AC358*100,AC358)/100)</f>
        <v/>
      </c>
      <c r="Z358" s="5">
        <f>IF(D358="","",AB358*AA358/100)</f>
        <v/>
      </c>
      <c r="AA358" s="5">
        <f>IF(D358="","",X358-Y358)</f>
        <v/>
      </c>
      <c r="AD358" s="5">
        <f>IF(D358="","",AA358-Z358)</f>
        <v/>
      </c>
      <c r="AG358">
        <f>IF(D358="","",N(AG357)+IF(MATCH(D358,$D$2:$D$3001,0)=ROW()-1,1,0))</f>
        <v/>
      </c>
    </row>
    <row r="359">
      <c r="Y359" s="5">
        <f>IF(D359="","",X359*IF(AND(ISNUMBER(AC359),AC359&gt;0,AC359&lt;1),AC359*100,AC359)/100)</f>
        <v/>
      </c>
      <c r="Z359" s="5">
        <f>IF(D359="","",AB359*AA359/100)</f>
        <v/>
      </c>
      <c r="AA359" s="5">
        <f>IF(D359="","",X359-Y359)</f>
        <v/>
      </c>
      <c r="AD359" s="5">
        <f>IF(D359="","",AA359-Z359)</f>
        <v/>
      </c>
      <c r="AG359">
        <f>IF(D359="","",N(AG358)+IF(MATCH(D359,$D$2:$D$3001,0)=ROW()-1,1,0))</f>
        <v/>
      </c>
    </row>
    <row r="360">
      <c r="Y360" s="5">
        <f>IF(D360="","",X360*IF(AND(ISNUMBER(AC360),AC360&gt;0,AC360&lt;1),AC360*100,AC360)/100)</f>
        <v/>
      </c>
      <c r="Z360" s="5">
        <f>IF(D360="","",AB360*AA360/100)</f>
        <v/>
      </c>
      <c r="AA360" s="5">
        <f>IF(D360="","",X360-Y360)</f>
        <v/>
      </c>
      <c r="AD360" s="5">
        <f>IF(D360="","",AA360-Z360)</f>
        <v/>
      </c>
      <c r="AG360">
        <f>IF(D360="","",N(AG359)+IF(MATCH(D360,$D$2:$D$3001,0)=ROW()-1,1,0))</f>
        <v/>
      </c>
    </row>
    <row r="361">
      <c r="Y361" s="5">
        <f>IF(D361="","",X361*IF(AND(ISNUMBER(AC361),AC361&gt;0,AC361&lt;1),AC361*100,AC361)/100)</f>
        <v/>
      </c>
      <c r="Z361" s="5">
        <f>IF(D361="","",AB361*AA361/100)</f>
        <v/>
      </c>
      <c r="AA361" s="5">
        <f>IF(D361="","",X361-Y361)</f>
        <v/>
      </c>
      <c r="AD361" s="5">
        <f>IF(D361="","",AA361-Z361)</f>
        <v/>
      </c>
      <c r="AG361">
        <f>IF(D361="","",N(AG360)+IF(MATCH(D361,$D$2:$D$3001,0)=ROW()-1,1,0))</f>
        <v/>
      </c>
    </row>
    <row r="362">
      <c r="Y362" s="5">
        <f>IF(D362="","",X362*IF(AND(ISNUMBER(AC362),AC362&gt;0,AC362&lt;1),AC362*100,AC362)/100)</f>
        <v/>
      </c>
      <c r="Z362" s="5">
        <f>IF(D362="","",AB362*AA362/100)</f>
        <v/>
      </c>
      <c r="AA362" s="5">
        <f>IF(D362="","",X362-Y362)</f>
        <v/>
      </c>
      <c r="AD362" s="5">
        <f>IF(D362="","",AA362-Z362)</f>
        <v/>
      </c>
      <c r="AG362">
        <f>IF(D362="","",N(AG361)+IF(MATCH(D362,$D$2:$D$3001,0)=ROW()-1,1,0))</f>
        <v/>
      </c>
    </row>
    <row r="363">
      <c r="Y363" s="5">
        <f>IF(D363="","",X363*IF(AND(ISNUMBER(AC363),AC363&gt;0,AC363&lt;1),AC363*100,AC363)/100)</f>
        <v/>
      </c>
      <c r="Z363" s="5">
        <f>IF(D363="","",AB363*AA363/100)</f>
        <v/>
      </c>
      <c r="AA363" s="5">
        <f>IF(D363="","",X363-Y363)</f>
        <v/>
      </c>
      <c r="AD363" s="5">
        <f>IF(D363="","",AA363-Z363)</f>
        <v/>
      </c>
      <c r="AG363">
        <f>IF(D363="","",N(AG362)+IF(MATCH(D363,$D$2:$D$3001,0)=ROW()-1,1,0))</f>
        <v/>
      </c>
    </row>
    <row r="364">
      <c r="Y364" s="5">
        <f>IF(D364="","",X364*IF(AND(ISNUMBER(AC364),AC364&gt;0,AC364&lt;1),AC364*100,AC364)/100)</f>
        <v/>
      </c>
      <c r="Z364" s="5">
        <f>IF(D364="","",AB364*AA364/100)</f>
        <v/>
      </c>
      <c r="AA364" s="5">
        <f>IF(D364="","",X364-Y364)</f>
        <v/>
      </c>
      <c r="AD364" s="5">
        <f>IF(D364="","",AA364-Z364)</f>
        <v/>
      </c>
      <c r="AG364">
        <f>IF(D364="","",N(AG363)+IF(MATCH(D364,$D$2:$D$3001,0)=ROW()-1,1,0))</f>
        <v/>
      </c>
    </row>
    <row r="365">
      <c r="Y365" s="5">
        <f>IF(D365="","",X365*IF(AND(ISNUMBER(AC365),AC365&gt;0,AC365&lt;1),AC365*100,AC365)/100)</f>
        <v/>
      </c>
      <c r="Z365" s="5">
        <f>IF(D365="","",AB365*AA365/100)</f>
        <v/>
      </c>
      <c r="AA365" s="5">
        <f>IF(D365="","",X365-Y365)</f>
        <v/>
      </c>
      <c r="AD365" s="5">
        <f>IF(D365="","",AA365-Z365)</f>
        <v/>
      </c>
      <c r="AG365">
        <f>IF(D365="","",N(AG364)+IF(MATCH(D365,$D$2:$D$3001,0)=ROW()-1,1,0))</f>
        <v/>
      </c>
    </row>
    <row r="366">
      <c r="Y366" s="5">
        <f>IF(D366="","",X366*IF(AND(ISNUMBER(AC366),AC366&gt;0,AC366&lt;1),AC366*100,AC366)/100)</f>
        <v/>
      </c>
      <c r="Z366" s="5">
        <f>IF(D366="","",AB366*AA366/100)</f>
        <v/>
      </c>
      <c r="AA366" s="5">
        <f>IF(D366="","",X366-Y366)</f>
        <v/>
      </c>
      <c r="AD366" s="5">
        <f>IF(D366="","",AA366-Z366)</f>
        <v/>
      </c>
      <c r="AG366">
        <f>IF(D366="","",N(AG365)+IF(MATCH(D366,$D$2:$D$3001,0)=ROW()-1,1,0))</f>
        <v/>
      </c>
    </row>
    <row r="367">
      <c r="Y367" s="5">
        <f>IF(D367="","",X367*IF(AND(ISNUMBER(AC367),AC367&gt;0,AC367&lt;1),AC367*100,AC367)/100)</f>
        <v/>
      </c>
      <c r="Z367" s="5">
        <f>IF(D367="","",AB367*AA367/100)</f>
        <v/>
      </c>
      <c r="AA367" s="5">
        <f>IF(D367="","",X367-Y367)</f>
        <v/>
      </c>
      <c r="AD367" s="5">
        <f>IF(D367="","",AA367-Z367)</f>
        <v/>
      </c>
      <c r="AG367">
        <f>IF(D367="","",N(AG366)+IF(MATCH(D367,$D$2:$D$3001,0)=ROW()-1,1,0))</f>
        <v/>
      </c>
    </row>
    <row r="368">
      <c r="Y368" s="5">
        <f>IF(D368="","",X368*IF(AND(ISNUMBER(AC368),AC368&gt;0,AC368&lt;1),AC368*100,AC368)/100)</f>
        <v/>
      </c>
      <c r="Z368" s="5">
        <f>IF(D368="","",AB368*AA368/100)</f>
        <v/>
      </c>
      <c r="AA368" s="5">
        <f>IF(D368="","",X368-Y368)</f>
        <v/>
      </c>
      <c r="AD368" s="5">
        <f>IF(D368="","",AA368-Z368)</f>
        <v/>
      </c>
      <c r="AG368">
        <f>IF(D368="","",N(AG367)+IF(MATCH(D368,$D$2:$D$3001,0)=ROW()-1,1,0))</f>
        <v/>
      </c>
    </row>
    <row r="369">
      <c r="Y369" s="5">
        <f>IF(D369="","",X369*IF(AND(ISNUMBER(AC369),AC369&gt;0,AC369&lt;1),AC369*100,AC369)/100)</f>
        <v/>
      </c>
      <c r="Z369" s="5">
        <f>IF(D369="","",AB369*AA369/100)</f>
        <v/>
      </c>
      <c r="AA369" s="5">
        <f>IF(D369="","",X369-Y369)</f>
        <v/>
      </c>
      <c r="AD369" s="5">
        <f>IF(D369="","",AA369-Z369)</f>
        <v/>
      </c>
      <c r="AG369">
        <f>IF(D369="","",N(AG368)+IF(MATCH(D369,$D$2:$D$3001,0)=ROW()-1,1,0))</f>
        <v/>
      </c>
    </row>
    <row r="370">
      <c r="Y370" s="5">
        <f>IF(D370="","",X370*IF(AND(ISNUMBER(AC370),AC370&gt;0,AC370&lt;1),AC370*100,AC370)/100)</f>
        <v/>
      </c>
      <c r="Z370" s="5">
        <f>IF(D370="","",AB370*AA370/100)</f>
        <v/>
      </c>
      <c r="AA370" s="5">
        <f>IF(D370="","",X370-Y370)</f>
        <v/>
      </c>
      <c r="AD370" s="5">
        <f>IF(D370="","",AA370-Z370)</f>
        <v/>
      </c>
      <c r="AG370">
        <f>IF(D370="","",N(AG369)+IF(MATCH(D370,$D$2:$D$3001,0)=ROW()-1,1,0))</f>
        <v/>
      </c>
    </row>
    <row r="371">
      <c r="Y371" s="5">
        <f>IF(D371="","",X371*IF(AND(ISNUMBER(AC371),AC371&gt;0,AC371&lt;1),AC371*100,AC371)/100)</f>
        <v/>
      </c>
      <c r="Z371" s="5">
        <f>IF(D371="","",AB371*AA371/100)</f>
        <v/>
      </c>
      <c r="AA371" s="5">
        <f>IF(D371="","",X371-Y371)</f>
        <v/>
      </c>
      <c r="AD371" s="5">
        <f>IF(D371="","",AA371-Z371)</f>
        <v/>
      </c>
      <c r="AG371">
        <f>IF(D371="","",N(AG370)+IF(MATCH(D371,$D$2:$D$3001,0)=ROW()-1,1,0))</f>
        <v/>
      </c>
    </row>
    <row r="372">
      <c r="Y372" s="5">
        <f>IF(D372="","",X372*IF(AND(ISNUMBER(AC372),AC372&gt;0,AC372&lt;1),AC372*100,AC372)/100)</f>
        <v/>
      </c>
      <c r="Z372" s="5">
        <f>IF(D372="","",AB372*AA372/100)</f>
        <v/>
      </c>
      <c r="AA372" s="5">
        <f>IF(D372="","",X372-Y372)</f>
        <v/>
      </c>
      <c r="AD372" s="5">
        <f>IF(D372="","",AA372-Z372)</f>
        <v/>
      </c>
      <c r="AG372">
        <f>IF(D372="","",N(AG371)+IF(MATCH(D372,$D$2:$D$3001,0)=ROW()-1,1,0))</f>
        <v/>
      </c>
    </row>
    <row r="373">
      <c r="Y373" s="5">
        <f>IF(D373="","",X373*IF(AND(ISNUMBER(AC373),AC373&gt;0,AC373&lt;1),AC373*100,AC373)/100)</f>
        <v/>
      </c>
      <c r="Z373" s="5">
        <f>IF(D373="","",AB373*AA373/100)</f>
        <v/>
      </c>
      <c r="AA373" s="5">
        <f>IF(D373="","",X373-Y373)</f>
        <v/>
      </c>
      <c r="AD373" s="5">
        <f>IF(D373="","",AA373-Z373)</f>
        <v/>
      </c>
      <c r="AG373">
        <f>IF(D373="","",N(AG372)+IF(MATCH(D373,$D$2:$D$3001,0)=ROW()-1,1,0))</f>
        <v/>
      </c>
    </row>
    <row r="374">
      <c r="Y374" s="5">
        <f>IF(D374="","",X374*IF(AND(ISNUMBER(AC374),AC374&gt;0,AC374&lt;1),AC374*100,AC374)/100)</f>
        <v/>
      </c>
      <c r="Z374" s="5">
        <f>IF(D374="","",AB374*AA374/100)</f>
        <v/>
      </c>
      <c r="AA374" s="5">
        <f>IF(D374="","",X374-Y374)</f>
        <v/>
      </c>
      <c r="AD374" s="5">
        <f>IF(D374="","",AA374-Z374)</f>
        <v/>
      </c>
      <c r="AG374">
        <f>IF(D374="","",N(AG373)+IF(MATCH(D374,$D$2:$D$3001,0)=ROW()-1,1,0))</f>
        <v/>
      </c>
    </row>
    <row r="375">
      <c r="Y375" s="5">
        <f>IF(D375="","",X375*IF(AND(ISNUMBER(AC375),AC375&gt;0,AC375&lt;1),AC375*100,AC375)/100)</f>
        <v/>
      </c>
      <c r="Z375" s="5">
        <f>IF(D375="","",AB375*AA375/100)</f>
        <v/>
      </c>
      <c r="AA375" s="5">
        <f>IF(D375="","",X375-Y375)</f>
        <v/>
      </c>
      <c r="AD375" s="5">
        <f>IF(D375="","",AA375-Z375)</f>
        <v/>
      </c>
      <c r="AG375">
        <f>IF(D375="","",N(AG374)+IF(MATCH(D375,$D$2:$D$3001,0)=ROW()-1,1,0))</f>
        <v/>
      </c>
    </row>
    <row r="376">
      <c r="Y376" s="5">
        <f>IF(D376="","",X376*IF(AND(ISNUMBER(AC376),AC376&gt;0,AC376&lt;1),AC376*100,AC376)/100)</f>
        <v/>
      </c>
      <c r="Z376" s="5">
        <f>IF(D376="","",AB376*AA376/100)</f>
        <v/>
      </c>
      <c r="AA376" s="5">
        <f>IF(D376="","",X376-Y376)</f>
        <v/>
      </c>
      <c r="AD376" s="5">
        <f>IF(D376="","",AA376-Z376)</f>
        <v/>
      </c>
      <c r="AG376">
        <f>IF(D376="","",N(AG375)+IF(MATCH(D376,$D$2:$D$3001,0)=ROW()-1,1,0))</f>
        <v/>
      </c>
    </row>
    <row r="377">
      <c r="Y377" s="5">
        <f>IF(D377="","",X377*IF(AND(ISNUMBER(AC377),AC377&gt;0,AC377&lt;1),AC377*100,AC377)/100)</f>
        <v/>
      </c>
      <c r="Z377" s="5">
        <f>IF(D377="","",AB377*AA377/100)</f>
        <v/>
      </c>
      <c r="AA377" s="5">
        <f>IF(D377="","",X377-Y377)</f>
        <v/>
      </c>
      <c r="AD377" s="5">
        <f>IF(D377="","",AA377-Z377)</f>
        <v/>
      </c>
      <c r="AG377">
        <f>IF(D377="","",N(AG376)+IF(MATCH(D377,$D$2:$D$3001,0)=ROW()-1,1,0))</f>
        <v/>
      </c>
    </row>
    <row r="378">
      <c r="Y378" s="5">
        <f>IF(D378="","",X378*IF(AND(ISNUMBER(AC378),AC378&gt;0,AC378&lt;1),AC378*100,AC378)/100)</f>
        <v/>
      </c>
      <c r="Z378" s="5">
        <f>IF(D378="","",AB378*AA378/100)</f>
        <v/>
      </c>
      <c r="AA378" s="5">
        <f>IF(D378="","",X378-Y378)</f>
        <v/>
      </c>
      <c r="AD378" s="5">
        <f>IF(D378="","",AA378-Z378)</f>
        <v/>
      </c>
      <c r="AG378">
        <f>IF(D378="","",N(AG377)+IF(MATCH(D378,$D$2:$D$3001,0)=ROW()-1,1,0))</f>
        <v/>
      </c>
    </row>
    <row r="379">
      <c r="Y379" s="5">
        <f>IF(D379="","",X379*IF(AND(ISNUMBER(AC379),AC379&gt;0,AC379&lt;1),AC379*100,AC379)/100)</f>
        <v/>
      </c>
      <c r="Z379" s="5">
        <f>IF(D379="","",AB379*AA379/100)</f>
        <v/>
      </c>
      <c r="AA379" s="5">
        <f>IF(D379="","",X379-Y379)</f>
        <v/>
      </c>
      <c r="AD379" s="5">
        <f>IF(D379="","",AA379-Z379)</f>
        <v/>
      </c>
      <c r="AG379">
        <f>IF(D379="","",N(AG378)+IF(MATCH(D379,$D$2:$D$3001,0)=ROW()-1,1,0))</f>
        <v/>
      </c>
    </row>
    <row r="380">
      <c r="Y380" s="5">
        <f>IF(D380="","",X380*IF(AND(ISNUMBER(AC380),AC380&gt;0,AC380&lt;1),AC380*100,AC380)/100)</f>
        <v/>
      </c>
      <c r="Z380" s="5">
        <f>IF(D380="","",AB380*AA380/100)</f>
        <v/>
      </c>
      <c r="AA380" s="5">
        <f>IF(D380="","",X380-Y380)</f>
        <v/>
      </c>
      <c r="AD380" s="5">
        <f>IF(D380="","",AA380-Z380)</f>
        <v/>
      </c>
      <c r="AG380">
        <f>IF(D380="","",N(AG379)+IF(MATCH(D380,$D$2:$D$3001,0)=ROW()-1,1,0))</f>
        <v/>
      </c>
    </row>
    <row r="381">
      <c r="Y381" s="5">
        <f>IF(D381="","",X381*IF(AND(ISNUMBER(AC381),AC381&gt;0,AC381&lt;1),AC381*100,AC381)/100)</f>
        <v/>
      </c>
      <c r="Z381" s="5">
        <f>IF(D381="","",AB381*AA381/100)</f>
        <v/>
      </c>
      <c r="AA381" s="5">
        <f>IF(D381="","",X381-Y381)</f>
        <v/>
      </c>
      <c r="AD381" s="5">
        <f>IF(D381="","",AA381-Z381)</f>
        <v/>
      </c>
      <c r="AG381">
        <f>IF(D381="","",N(AG380)+IF(MATCH(D381,$D$2:$D$3001,0)=ROW()-1,1,0))</f>
        <v/>
      </c>
    </row>
    <row r="382">
      <c r="Y382" s="5">
        <f>IF(D382="","",X382*IF(AND(ISNUMBER(AC382),AC382&gt;0,AC382&lt;1),AC382*100,AC382)/100)</f>
        <v/>
      </c>
      <c r="Z382" s="5">
        <f>IF(D382="","",AB382*AA382/100)</f>
        <v/>
      </c>
      <c r="AA382" s="5">
        <f>IF(D382="","",X382-Y382)</f>
        <v/>
      </c>
      <c r="AD382" s="5">
        <f>IF(D382="","",AA382-Z382)</f>
        <v/>
      </c>
      <c r="AG382">
        <f>IF(D382="","",N(AG381)+IF(MATCH(D382,$D$2:$D$3001,0)=ROW()-1,1,0))</f>
        <v/>
      </c>
    </row>
    <row r="383">
      <c r="Y383" s="5">
        <f>IF(D383="","",X383*IF(AND(ISNUMBER(AC383),AC383&gt;0,AC383&lt;1),AC383*100,AC383)/100)</f>
        <v/>
      </c>
      <c r="Z383" s="5">
        <f>IF(D383="","",AB383*AA383/100)</f>
        <v/>
      </c>
      <c r="AA383" s="5">
        <f>IF(D383="","",X383-Y383)</f>
        <v/>
      </c>
      <c r="AD383" s="5">
        <f>IF(D383="","",AA383-Z383)</f>
        <v/>
      </c>
      <c r="AG383">
        <f>IF(D383="","",N(AG382)+IF(MATCH(D383,$D$2:$D$3001,0)=ROW()-1,1,0))</f>
        <v/>
      </c>
    </row>
    <row r="384">
      <c r="Y384" s="5">
        <f>IF(D384="","",X384*IF(AND(ISNUMBER(AC384),AC384&gt;0,AC384&lt;1),AC384*100,AC384)/100)</f>
        <v/>
      </c>
      <c r="Z384" s="5">
        <f>IF(D384="","",AB384*AA384/100)</f>
        <v/>
      </c>
      <c r="AA384" s="5">
        <f>IF(D384="","",X384-Y384)</f>
        <v/>
      </c>
      <c r="AD384" s="5">
        <f>IF(D384="","",AA384-Z384)</f>
        <v/>
      </c>
      <c r="AG384">
        <f>IF(D384="","",N(AG383)+IF(MATCH(D384,$D$2:$D$3001,0)=ROW()-1,1,0))</f>
        <v/>
      </c>
    </row>
    <row r="385">
      <c r="Y385" s="5">
        <f>IF(D385="","",X385*IF(AND(ISNUMBER(AC385),AC385&gt;0,AC385&lt;1),AC385*100,AC385)/100)</f>
        <v/>
      </c>
      <c r="Z385" s="5">
        <f>IF(D385="","",AB385*AA385/100)</f>
        <v/>
      </c>
      <c r="AA385" s="5">
        <f>IF(D385="","",X385-Y385)</f>
        <v/>
      </c>
      <c r="AD385" s="5">
        <f>IF(D385="","",AA385-Z385)</f>
        <v/>
      </c>
      <c r="AG385">
        <f>IF(D385="","",N(AG384)+IF(MATCH(D385,$D$2:$D$3001,0)=ROW()-1,1,0))</f>
        <v/>
      </c>
    </row>
    <row r="386">
      <c r="Y386" s="5">
        <f>IF(D386="","",X386*IF(AND(ISNUMBER(AC386),AC386&gt;0,AC386&lt;1),AC386*100,AC386)/100)</f>
        <v/>
      </c>
      <c r="Z386" s="5">
        <f>IF(D386="","",AB386*AA386/100)</f>
        <v/>
      </c>
      <c r="AA386" s="5">
        <f>IF(D386="","",X386-Y386)</f>
        <v/>
      </c>
      <c r="AD386" s="5">
        <f>IF(D386="","",AA386-Z386)</f>
        <v/>
      </c>
      <c r="AG386">
        <f>IF(D386="","",N(AG385)+IF(MATCH(D386,$D$2:$D$3001,0)=ROW()-1,1,0))</f>
        <v/>
      </c>
    </row>
    <row r="387">
      <c r="Y387" s="5">
        <f>IF(D387="","",X387*IF(AND(ISNUMBER(AC387),AC387&gt;0,AC387&lt;1),AC387*100,AC387)/100)</f>
        <v/>
      </c>
      <c r="Z387" s="5">
        <f>IF(D387="","",AB387*AA387/100)</f>
        <v/>
      </c>
      <c r="AA387" s="5">
        <f>IF(D387="","",X387-Y387)</f>
        <v/>
      </c>
      <c r="AD387" s="5">
        <f>IF(D387="","",AA387-Z387)</f>
        <v/>
      </c>
      <c r="AG387">
        <f>IF(D387="","",N(AG386)+IF(MATCH(D387,$D$2:$D$3001,0)=ROW()-1,1,0))</f>
        <v/>
      </c>
    </row>
    <row r="388">
      <c r="Y388" s="5">
        <f>IF(D388="","",X388*IF(AND(ISNUMBER(AC388),AC388&gt;0,AC388&lt;1),AC388*100,AC388)/100)</f>
        <v/>
      </c>
      <c r="Z388" s="5">
        <f>IF(D388="","",AB388*AA388/100)</f>
        <v/>
      </c>
      <c r="AA388" s="5">
        <f>IF(D388="","",X388-Y388)</f>
        <v/>
      </c>
      <c r="AD388" s="5">
        <f>IF(D388="","",AA388-Z388)</f>
        <v/>
      </c>
      <c r="AG388">
        <f>IF(D388="","",N(AG387)+IF(MATCH(D388,$D$2:$D$3001,0)=ROW()-1,1,0))</f>
        <v/>
      </c>
    </row>
    <row r="389">
      <c r="Y389" s="5">
        <f>IF(D389="","",X389*IF(AND(ISNUMBER(AC389),AC389&gt;0,AC389&lt;1),AC389*100,AC389)/100)</f>
        <v/>
      </c>
      <c r="Z389" s="5">
        <f>IF(D389="","",AB389*AA389/100)</f>
        <v/>
      </c>
      <c r="AA389" s="5">
        <f>IF(D389="","",X389-Y389)</f>
        <v/>
      </c>
      <c r="AD389" s="5">
        <f>IF(D389="","",AA389-Z389)</f>
        <v/>
      </c>
      <c r="AG389">
        <f>IF(D389="","",N(AG388)+IF(MATCH(D389,$D$2:$D$3001,0)=ROW()-1,1,0))</f>
        <v/>
      </c>
    </row>
    <row r="390">
      <c r="Y390" s="5">
        <f>IF(D390="","",X390*IF(AND(ISNUMBER(AC390),AC390&gt;0,AC390&lt;1),AC390*100,AC390)/100)</f>
        <v/>
      </c>
      <c r="Z390" s="5">
        <f>IF(D390="","",AB390*AA390/100)</f>
        <v/>
      </c>
      <c r="AA390" s="5">
        <f>IF(D390="","",X390-Y390)</f>
        <v/>
      </c>
      <c r="AD390" s="5">
        <f>IF(D390="","",AA390-Z390)</f>
        <v/>
      </c>
      <c r="AG390">
        <f>IF(D390="","",N(AG389)+IF(MATCH(D390,$D$2:$D$3001,0)=ROW()-1,1,0))</f>
        <v/>
      </c>
    </row>
    <row r="391">
      <c r="Y391" s="5">
        <f>IF(D391="","",X391*IF(AND(ISNUMBER(AC391),AC391&gt;0,AC391&lt;1),AC391*100,AC391)/100)</f>
        <v/>
      </c>
      <c r="Z391" s="5">
        <f>IF(D391="","",AB391*AA391/100)</f>
        <v/>
      </c>
      <c r="AA391" s="5">
        <f>IF(D391="","",X391-Y391)</f>
        <v/>
      </c>
      <c r="AD391" s="5">
        <f>IF(D391="","",AA391-Z391)</f>
        <v/>
      </c>
      <c r="AG391">
        <f>IF(D391="","",N(AG390)+IF(MATCH(D391,$D$2:$D$3001,0)=ROW()-1,1,0))</f>
        <v/>
      </c>
    </row>
    <row r="392">
      <c r="Y392" s="5">
        <f>IF(D392="","",X392*IF(AND(ISNUMBER(AC392),AC392&gt;0,AC392&lt;1),AC392*100,AC392)/100)</f>
        <v/>
      </c>
      <c r="Z392" s="5">
        <f>IF(D392="","",AB392*AA392/100)</f>
        <v/>
      </c>
      <c r="AA392" s="5">
        <f>IF(D392="","",X392-Y392)</f>
        <v/>
      </c>
      <c r="AD392" s="5">
        <f>IF(D392="","",AA392-Z392)</f>
        <v/>
      </c>
      <c r="AG392">
        <f>IF(D392="","",N(AG391)+IF(MATCH(D392,$D$2:$D$3001,0)=ROW()-1,1,0))</f>
        <v/>
      </c>
    </row>
    <row r="393">
      <c r="Y393" s="5">
        <f>IF(D393="","",X393*IF(AND(ISNUMBER(AC393),AC393&gt;0,AC393&lt;1),AC393*100,AC393)/100)</f>
        <v/>
      </c>
      <c r="Z393" s="5">
        <f>IF(D393="","",AB393*AA393/100)</f>
        <v/>
      </c>
      <c r="AA393" s="5">
        <f>IF(D393="","",X393-Y393)</f>
        <v/>
      </c>
      <c r="AD393" s="5">
        <f>IF(D393="","",AA393-Z393)</f>
        <v/>
      </c>
      <c r="AG393">
        <f>IF(D393="","",N(AG392)+IF(MATCH(D393,$D$2:$D$3001,0)=ROW()-1,1,0))</f>
        <v/>
      </c>
    </row>
    <row r="394">
      <c r="Y394" s="5">
        <f>IF(D394="","",X394*IF(AND(ISNUMBER(AC394),AC394&gt;0,AC394&lt;1),AC394*100,AC394)/100)</f>
        <v/>
      </c>
      <c r="Z394" s="5">
        <f>IF(D394="","",AB394*AA394/100)</f>
        <v/>
      </c>
      <c r="AA394" s="5">
        <f>IF(D394="","",X394-Y394)</f>
        <v/>
      </c>
      <c r="AD394" s="5">
        <f>IF(D394="","",AA394-Z394)</f>
        <v/>
      </c>
      <c r="AG394">
        <f>IF(D394="","",N(AG393)+IF(MATCH(D394,$D$2:$D$3001,0)=ROW()-1,1,0))</f>
        <v/>
      </c>
    </row>
    <row r="395">
      <c r="Y395" s="5">
        <f>IF(D395="","",X395*IF(AND(ISNUMBER(AC395),AC395&gt;0,AC395&lt;1),AC395*100,AC395)/100)</f>
        <v/>
      </c>
      <c r="Z395" s="5">
        <f>IF(D395="","",AB395*AA395/100)</f>
        <v/>
      </c>
      <c r="AA395" s="5">
        <f>IF(D395="","",X395-Y395)</f>
        <v/>
      </c>
      <c r="AD395" s="5">
        <f>IF(D395="","",AA395-Z395)</f>
        <v/>
      </c>
      <c r="AG395">
        <f>IF(D395="","",N(AG394)+IF(MATCH(D395,$D$2:$D$3001,0)=ROW()-1,1,0))</f>
        <v/>
      </c>
    </row>
    <row r="396">
      <c r="Y396" s="5">
        <f>IF(D396="","",X396*IF(AND(ISNUMBER(AC396),AC396&gt;0,AC396&lt;1),AC396*100,AC396)/100)</f>
        <v/>
      </c>
      <c r="Z396" s="5">
        <f>IF(D396="","",AB396*AA396/100)</f>
        <v/>
      </c>
      <c r="AA396" s="5">
        <f>IF(D396="","",X396-Y396)</f>
        <v/>
      </c>
      <c r="AD396" s="5">
        <f>IF(D396="","",AA396-Z396)</f>
        <v/>
      </c>
      <c r="AG396">
        <f>IF(D396="","",N(AG395)+IF(MATCH(D396,$D$2:$D$3001,0)=ROW()-1,1,0))</f>
        <v/>
      </c>
    </row>
    <row r="397">
      <c r="Y397" s="5">
        <f>IF(D397="","",X397*IF(AND(ISNUMBER(AC397),AC397&gt;0,AC397&lt;1),AC397*100,AC397)/100)</f>
        <v/>
      </c>
      <c r="Z397" s="5">
        <f>IF(D397="","",AB397*AA397/100)</f>
        <v/>
      </c>
      <c r="AA397" s="5">
        <f>IF(D397="","",X397-Y397)</f>
        <v/>
      </c>
      <c r="AD397" s="5">
        <f>IF(D397="","",AA397-Z397)</f>
        <v/>
      </c>
      <c r="AG397">
        <f>IF(D397="","",N(AG396)+IF(MATCH(D397,$D$2:$D$3001,0)=ROW()-1,1,0))</f>
        <v/>
      </c>
    </row>
    <row r="398">
      <c r="Y398" s="5">
        <f>IF(D398="","",X398*IF(AND(ISNUMBER(AC398),AC398&gt;0,AC398&lt;1),AC398*100,AC398)/100)</f>
        <v/>
      </c>
      <c r="Z398" s="5">
        <f>IF(D398="","",AB398*AA398/100)</f>
        <v/>
      </c>
      <c r="AA398" s="5">
        <f>IF(D398="","",X398-Y398)</f>
        <v/>
      </c>
      <c r="AD398" s="5">
        <f>IF(D398="","",AA398-Z398)</f>
        <v/>
      </c>
      <c r="AG398">
        <f>IF(D398="","",N(AG397)+IF(MATCH(D398,$D$2:$D$3001,0)=ROW()-1,1,0))</f>
        <v/>
      </c>
    </row>
    <row r="399">
      <c r="Y399" s="5">
        <f>IF(D399="","",X399*IF(AND(ISNUMBER(AC399),AC399&gt;0,AC399&lt;1),AC399*100,AC399)/100)</f>
        <v/>
      </c>
      <c r="Z399" s="5">
        <f>IF(D399="","",AB399*AA399/100)</f>
        <v/>
      </c>
      <c r="AA399" s="5">
        <f>IF(D399="","",X399-Y399)</f>
        <v/>
      </c>
      <c r="AD399" s="5">
        <f>IF(D399="","",AA399-Z399)</f>
        <v/>
      </c>
      <c r="AG399">
        <f>IF(D399="","",N(AG398)+IF(MATCH(D399,$D$2:$D$3001,0)=ROW()-1,1,0))</f>
        <v/>
      </c>
    </row>
    <row r="400">
      <c r="Y400" s="5">
        <f>IF(D400="","",X400*IF(AND(ISNUMBER(AC400),AC400&gt;0,AC400&lt;1),AC400*100,AC400)/100)</f>
        <v/>
      </c>
      <c r="Z400" s="5">
        <f>IF(D400="","",AB400*AA400/100)</f>
        <v/>
      </c>
      <c r="AA400" s="5">
        <f>IF(D400="","",X400-Y400)</f>
        <v/>
      </c>
      <c r="AD400" s="5">
        <f>IF(D400="","",AA400-Z400)</f>
        <v/>
      </c>
      <c r="AG400">
        <f>IF(D400="","",N(AG399)+IF(MATCH(D400,$D$2:$D$3001,0)=ROW()-1,1,0))</f>
        <v/>
      </c>
    </row>
    <row r="401">
      <c r="Y401" s="5">
        <f>IF(D401="","",X401*IF(AND(ISNUMBER(AC401),AC401&gt;0,AC401&lt;1),AC401*100,AC401)/100)</f>
        <v/>
      </c>
      <c r="Z401" s="5">
        <f>IF(D401="","",AB401*AA401/100)</f>
        <v/>
      </c>
      <c r="AA401" s="5">
        <f>IF(D401="","",X401-Y401)</f>
        <v/>
      </c>
      <c r="AD401" s="5">
        <f>IF(D401="","",AA401-Z401)</f>
        <v/>
      </c>
      <c r="AG401">
        <f>IF(D401="","",N(AG400)+IF(MATCH(D401,$D$2:$D$3001,0)=ROW()-1,1,0))</f>
        <v/>
      </c>
    </row>
    <row r="402">
      <c r="Y402" s="5">
        <f>IF(D402="","",X402*IF(AND(ISNUMBER(AC402),AC402&gt;0,AC402&lt;1),AC402*100,AC402)/100)</f>
        <v/>
      </c>
      <c r="Z402" s="5">
        <f>IF(D402="","",AB402*AA402/100)</f>
        <v/>
      </c>
      <c r="AA402" s="5">
        <f>IF(D402="","",X402-Y402)</f>
        <v/>
      </c>
      <c r="AD402" s="5">
        <f>IF(D402="","",AA402-Z402)</f>
        <v/>
      </c>
      <c r="AG402">
        <f>IF(D402="","",N(AG401)+IF(MATCH(D402,$D$2:$D$3001,0)=ROW()-1,1,0))</f>
        <v/>
      </c>
    </row>
    <row r="403">
      <c r="Y403" s="5">
        <f>IF(D403="","",X403*IF(AND(ISNUMBER(AC403),AC403&gt;0,AC403&lt;1),AC403*100,AC403)/100)</f>
        <v/>
      </c>
      <c r="Z403" s="5">
        <f>IF(D403="","",AB403*AA403/100)</f>
        <v/>
      </c>
      <c r="AA403" s="5">
        <f>IF(D403="","",X403-Y403)</f>
        <v/>
      </c>
      <c r="AD403" s="5">
        <f>IF(D403="","",AA403-Z403)</f>
        <v/>
      </c>
      <c r="AG403">
        <f>IF(D403="","",N(AG402)+IF(MATCH(D403,$D$2:$D$3001,0)=ROW()-1,1,0))</f>
        <v/>
      </c>
    </row>
    <row r="404">
      <c r="Y404" s="5">
        <f>IF(D404="","",X404*IF(AND(ISNUMBER(AC404),AC404&gt;0,AC404&lt;1),AC404*100,AC404)/100)</f>
        <v/>
      </c>
      <c r="Z404" s="5">
        <f>IF(D404="","",AB404*AA404/100)</f>
        <v/>
      </c>
      <c r="AA404" s="5">
        <f>IF(D404="","",X404-Y404)</f>
        <v/>
      </c>
      <c r="AD404" s="5">
        <f>IF(D404="","",AA404-Z404)</f>
        <v/>
      </c>
      <c r="AG404">
        <f>IF(D404="","",N(AG403)+IF(MATCH(D404,$D$2:$D$3001,0)=ROW()-1,1,0))</f>
        <v/>
      </c>
    </row>
    <row r="405">
      <c r="Y405" s="5">
        <f>IF(D405="","",X405*IF(AND(ISNUMBER(AC405),AC405&gt;0,AC405&lt;1),AC405*100,AC405)/100)</f>
        <v/>
      </c>
      <c r="Z405" s="5">
        <f>IF(D405="","",AB405*AA405/100)</f>
        <v/>
      </c>
      <c r="AA405" s="5">
        <f>IF(D405="","",X405-Y405)</f>
        <v/>
      </c>
      <c r="AD405" s="5">
        <f>IF(D405="","",AA405-Z405)</f>
        <v/>
      </c>
      <c r="AG405">
        <f>IF(D405="","",N(AG404)+IF(MATCH(D405,$D$2:$D$3001,0)=ROW()-1,1,0))</f>
        <v/>
      </c>
    </row>
    <row r="406">
      <c r="Y406" s="5">
        <f>IF(D406="","",X406*IF(AND(ISNUMBER(AC406),AC406&gt;0,AC406&lt;1),AC406*100,AC406)/100)</f>
        <v/>
      </c>
      <c r="Z406" s="5">
        <f>IF(D406="","",AB406*AA406/100)</f>
        <v/>
      </c>
      <c r="AA406" s="5">
        <f>IF(D406="","",X406-Y406)</f>
        <v/>
      </c>
      <c r="AD406" s="5">
        <f>IF(D406="","",AA406-Z406)</f>
        <v/>
      </c>
      <c r="AG406">
        <f>IF(D406="","",N(AG405)+IF(MATCH(D406,$D$2:$D$3001,0)=ROW()-1,1,0))</f>
        <v/>
      </c>
    </row>
    <row r="407">
      <c r="Y407" s="5">
        <f>IF(D407="","",X407*IF(AND(ISNUMBER(AC407),AC407&gt;0,AC407&lt;1),AC407*100,AC407)/100)</f>
        <v/>
      </c>
      <c r="Z407" s="5">
        <f>IF(D407="","",AB407*AA407/100)</f>
        <v/>
      </c>
      <c r="AA407" s="5">
        <f>IF(D407="","",X407-Y407)</f>
        <v/>
      </c>
      <c r="AD407" s="5">
        <f>IF(D407="","",AA407-Z407)</f>
        <v/>
      </c>
      <c r="AG407">
        <f>IF(D407="","",N(AG406)+IF(MATCH(D407,$D$2:$D$3001,0)=ROW()-1,1,0))</f>
        <v/>
      </c>
    </row>
    <row r="408">
      <c r="Y408" s="5">
        <f>IF(D408="","",X408*IF(AND(ISNUMBER(AC408),AC408&gt;0,AC408&lt;1),AC408*100,AC408)/100)</f>
        <v/>
      </c>
      <c r="Z408" s="5">
        <f>IF(D408="","",AB408*AA408/100)</f>
        <v/>
      </c>
      <c r="AA408" s="5">
        <f>IF(D408="","",X408-Y408)</f>
        <v/>
      </c>
      <c r="AD408" s="5">
        <f>IF(D408="","",AA408-Z408)</f>
        <v/>
      </c>
      <c r="AG408">
        <f>IF(D408="","",N(AG407)+IF(MATCH(D408,$D$2:$D$3001,0)=ROW()-1,1,0))</f>
        <v/>
      </c>
    </row>
    <row r="409">
      <c r="Y409" s="5">
        <f>IF(D409="","",X409*IF(AND(ISNUMBER(AC409),AC409&gt;0,AC409&lt;1),AC409*100,AC409)/100)</f>
        <v/>
      </c>
      <c r="Z409" s="5">
        <f>IF(D409="","",AB409*AA409/100)</f>
        <v/>
      </c>
      <c r="AA409" s="5">
        <f>IF(D409="","",X409-Y409)</f>
        <v/>
      </c>
      <c r="AD409" s="5">
        <f>IF(D409="","",AA409-Z409)</f>
        <v/>
      </c>
      <c r="AG409">
        <f>IF(D409="","",N(AG408)+IF(MATCH(D409,$D$2:$D$3001,0)=ROW()-1,1,0))</f>
        <v/>
      </c>
    </row>
    <row r="410">
      <c r="Y410" s="5">
        <f>IF(D410="","",X410*IF(AND(ISNUMBER(AC410),AC410&gt;0,AC410&lt;1),AC410*100,AC410)/100)</f>
        <v/>
      </c>
      <c r="Z410" s="5">
        <f>IF(D410="","",AB410*AA410/100)</f>
        <v/>
      </c>
      <c r="AA410" s="5">
        <f>IF(D410="","",X410-Y410)</f>
        <v/>
      </c>
      <c r="AD410" s="5">
        <f>IF(D410="","",AA410-Z410)</f>
        <v/>
      </c>
      <c r="AG410">
        <f>IF(D410="","",N(AG409)+IF(MATCH(D410,$D$2:$D$3001,0)=ROW()-1,1,0))</f>
        <v/>
      </c>
    </row>
    <row r="411">
      <c r="Y411" s="5">
        <f>IF(D411="","",X411*IF(AND(ISNUMBER(AC411),AC411&gt;0,AC411&lt;1),AC411*100,AC411)/100)</f>
        <v/>
      </c>
      <c r="Z411" s="5">
        <f>IF(D411="","",AB411*AA411/100)</f>
        <v/>
      </c>
      <c r="AA411" s="5">
        <f>IF(D411="","",X411-Y411)</f>
        <v/>
      </c>
      <c r="AD411" s="5">
        <f>IF(D411="","",AA411-Z411)</f>
        <v/>
      </c>
      <c r="AG411">
        <f>IF(D411="","",N(AG410)+IF(MATCH(D411,$D$2:$D$3001,0)=ROW()-1,1,0))</f>
        <v/>
      </c>
    </row>
    <row r="412">
      <c r="Y412" s="5">
        <f>IF(D412="","",X412*IF(AND(ISNUMBER(AC412),AC412&gt;0,AC412&lt;1),AC412*100,AC412)/100)</f>
        <v/>
      </c>
      <c r="Z412" s="5">
        <f>IF(D412="","",AB412*AA412/100)</f>
        <v/>
      </c>
      <c r="AA412" s="5">
        <f>IF(D412="","",X412-Y412)</f>
        <v/>
      </c>
      <c r="AD412" s="5">
        <f>IF(D412="","",AA412-Z412)</f>
        <v/>
      </c>
      <c r="AG412">
        <f>IF(D412="","",N(AG411)+IF(MATCH(D412,$D$2:$D$3001,0)=ROW()-1,1,0))</f>
        <v/>
      </c>
    </row>
    <row r="413">
      <c r="Y413" s="5">
        <f>IF(D413="","",X413*IF(AND(ISNUMBER(AC413),AC413&gt;0,AC413&lt;1),AC413*100,AC413)/100)</f>
        <v/>
      </c>
      <c r="Z413" s="5">
        <f>IF(D413="","",AB413*AA413/100)</f>
        <v/>
      </c>
      <c r="AA413" s="5">
        <f>IF(D413="","",X413-Y413)</f>
        <v/>
      </c>
      <c r="AD413" s="5">
        <f>IF(D413="","",AA413-Z413)</f>
        <v/>
      </c>
      <c r="AG413">
        <f>IF(D413="","",N(AG412)+IF(MATCH(D413,$D$2:$D$3001,0)=ROW()-1,1,0))</f>
        <v/>
      </c>
    </row>
    <row r="414">
      <c r="Y414" s="5">
        <f>IF(D414="","",X414*IF(AND(ISNUMBER(AC414),AC414&gt;0,AC414&lt;1),AC414*100,AC414)/100)</f>
        <v/>
      </c>
      <c r="Z414" s="5">
        <f>IF(D414="","",AB414*AA414/100)</f>
        <v/>
      </c>
      <c r="AA414" s="5">
        <f>IF(D414="","",X414-Y414)</f>
        <v/>
      </c>
      <c r="AD414" s="5">
        <f>IF(D414="","",AA414-Z414)</f>
        <v/>
      </c>
      <c r="AG414">
        <f>IF(D414="","",N(AG413)+IF(MATCH(D414,$D$2:$D$3001,0)=ROW()-1,1,0))</f>
        <v/>
      </c>
    </row>
    <row r="415">
      <c r="Y415" s="5">
        <f>IF(D415="","",X415*IF(AND(ISNUMBER(AC415),AC415&gt;0,AC415&lt;1),AC415*100,AC415)/100)</f>
        <v/>
      </c>
      <c r="Z415" s="5">
        <f>IF(D415="","",AB415*AA415/100)</f>
        <v/>
      </c>
      <c r="AA415" s="5">
        <f>IF(D415="","",X415-Y415)</f>
        <v/>
      </c>
      <c r="AD415" s="5">
        <f>IF(D415="","",AA415-Z415)</f>
        <v/>
      </c>
      <c r="AG415">
        <f>IF(D415="","",N(AG414)+IF(MATCH(D415,$D$2:$D$3001,0)=ROW()-1,1,0))</f>
        <v/>
      </c>
    </row>
    <row r="416">
      <c r="Y416" s="5">
        <f>IF(D416="","",X416*IF(AND(ISNUMBER(AC416),AC416&gt;0,AC416&lt;1),AC416*100,AC416)/100)</f>
        <v/>
      </c>
      <c r="Z416" s="5">
        <f>IF(D416="","",AB416*AA416/100)</f>
        <v/>
      </c>
      <c r="AA416" s="5">
        <f>IF(D416="","",X416-Y416)</f>
        <v/>
      </c>
      <c r="AD416" s="5">
        <f>IF(D416="","",AA416-Z416)</f>
        <v/>
      </c>
      <c r="AG416">
        <f>IF(D416="","",N(AG415)+IF(MATCH(D416,$D$2:$D$3001,0)=ROW()-1,1,0))</f>
        <v/>
      </c>
    </row>
    <row r="417">
      <c r="Y417" s="5">
        <f>IF(D417="","",X417*IF(AND(ISNUMBER(AC417),AC417&gt;0,AC417&lt;1),AC417*100,AC417)/100)</f>
        <v/>
      </c>
      <c r="Z417" s="5">
        <f>IF(D417="","",AB417*AA417/100)</f>
        <v/>
      </c>
      <c r="AA417" s="5">
        <f>IF(D417="","",X417-Y417)</f>
        <v/>
      </c>
      <c r="AD417" s="5">
        <f>IF(D417="","",AA417-Z417)</f>
        <v/>
      </c>
      <c r="AG417">
        <f>IF(D417="","",N(AG416)+IF(MATCH(D417,$D$2:$D$3001,0)=ROW()-1,1,0))</f>
        <v/>
      </c>
    </row>
    <row r="418">
      <c r="Y418" s="5">
        <f>IF(D418="","",X418*IF(AND(ISNUMBER(AC418),AC418&gt;0,AC418&lt;1),AC418*100,AC418)/100)</f>
        <v/>
      </c>
      <c r="Z418" s="5">
        <f>IF(D418="","",AB418*AA418/100)</f>
        <v/>
      </c>
      <c r="AA418" s="5">
        <f>IF(D418="","",X418-Y418)</f>
        <v/>
      </c>
      <c r="AD418" s="5">
        <f>IF(D418="","",AA418-Z418)</f>
        <v/>
      </c>
      <c r="AG418">
        <f>IF(D418="","",N(AG417)+IF(MATCH(D418,$D$2:$D$3001,0)=ROW()-1,1,0))</f>
        <v/>
      </c>
    </row>
    <row r="419">
      <c r="Y419" s="5">
        <f>IF(D419="","",X419*IF(AND(ISNUMBER(AC419),AC419&gt;0,AC419&lt;1),AC419*100,AC419)/100)</f>
        <v/>
      </c>
      <c r="Z419" s="5">
        <f>IF(D419="","",AB419*AA419/100)</f>
        <v/>
      </c>
      <c r="AA419" s="5">
        <f>IF(D419="","",X419-Y419)</f>
        <v/>
      </c>
      <c r="AD419" s="5">
        <f>IF(D419="","",AA419-Z419)</f>
        <v/>
      </c>
      <c r="AG419">
        <f>IF(D419="","",N(AG418)+IF(MATCH(D419,$D$2:$D$3001,0)=ROW()-1,1,0))</f>
        <v/>
      </c>
    </row>
    <row r="420">
      <c r="Y420" s="5">
        <f>IF(D420="","",X420*IF(AND(ISNUMBER(AC420),AC420&gt;0,AC420&lt;1),AC420*100,AC420)/100)</f>
        <v/>
      </c>
      <c r="Z420" s="5">
        <f>IF(D420="","",AB420*AA420/100)</f>
        <v/>
      </c>
      <c r="AA420" s="5">
        <f>IF(D420="","",X420-Y420)</f>
        <v/>
      </c>
      <c r="AD420" s="5">
        <f>IF(D420="","",AA420-Z420)</f>
        <v/>
      </c>
      <c r="AG420">
        <f>IF(D420="","",N(AG419)+IF(MATCH(D420,$D$2:$D$3001,0)=ROW()-1,1,0))</f>
        <v/>
      </c>
    </row>
    <row r="421">
      <c r="Y421" s="5">
        <f>IF(D421="","",X421*IF(AND(ISNUMBER(AC421),AC421&gt;0,AC421&lt;1),AC421*100,AC421)/100)</f>
        <v/>
      </c>
      <c r="Z421" s="5">
        <f>IF(D421="","",AB421*AA421/100)</f>
        <v/>
      </c>
      <c r="AA421" s="5">
        <f>IF(D421="","",X421-Y421)</f>
        <v/>
      </c>
      <c r="AD421" s="5">
        <f>IF(D421="","",AA421-Z421)</f>
        <v/>
      </c>
      <c r="AG421">
        <f>IF(D421="","",N(AG420)+IF(MATCH(D421,$D$2:$D$3001,0)=ROW()-1,1,0))</f>
        <v/>
      </c>
    </row>
    <row r="422">
      <c r="Y422" s="5">
        <f>IF(D422="","",X422*IF(AND(ISNUMBER(AC422),AC422&gt;0,AC422&lt;1),AC422*100,AC422)/100)</f>
        <v/>
      </c>
      <c r="Z422" s="5">
        <f>IF(D422="","",AB422*AA422/100)</f>
        <v/>
      </c>
      <c r="AA422" s="5">
        <f>IF(D422="","",X422-Y422)</f>
        <v/>
      </c>
      <c r="AD422" s="5">
        <f>IF(D422="","",AA422-Z422)</f>
        <v/>
      </c>
      <c r="AG422">
        <f>IF(D422="","",N(AG421)+IF(MATCH(D422,$D$2:$D$3001,0)=ROW()-1,1,0))</f>
        <v/>
      </c>
    </row>
    <row r="423">
      <c r="Y423" s="5">
        <f>IF(D423="","",X423*IF(AND(ISNUMBER(AC423),AC423&gt;0,AC423&lt;1),AC423*100,AC423)/100)</f>
        <v/>
      </c>
      <c r="Z423" s="5">
        <f>IF(D423="","",AB423*AA423/100)</f>
        <v/>
      </c>
      <c r="AA423" s="5">
        <f>IF(D423="","",X423-Y423)</f>
        <v/>
      </c>
      <c r="AD423" s="5">
        <f>IF(D423="","",AA423-Z423)</f>
        <v/>
      </c>
      <c r="AG423">
        <f>IF(D423="","",N(AG422)+IF(MATCH(D423,$D$2:$D$3001,0)=ROW()-1,1,0))</f>
        <v/>
      </c>
    </row>
    <row r="424">
      <c r="Y424" s="5">
        <f>IF(D424="","",X424*IF(AND(ISNUMBER(AC424),AC424&gt;0,AC424&lt;1),AC424*100,AC424)/100)</f>
        <v/>
      </c>
      <c r="Z424" s="5">
        <f>IF(D424="","",AB424*AA424/100)</f>
        <v/>
      </c>
      <c r="AA424" s="5">
        <f>IF(D424="","",X424-Y424)</f>
        <v/>
      </c>
      <c r="AD424" s="5">
        <f>IF(D424="","",AA424-Z424)</f>
        <v/>
      </c>
      <c r="AG424">
        <f>IF(D424="","",N(AG423)+IF(MATCH(D424,$D$2:$D$3001,0)=ROW()-1,1,0))</f>
        <v/>
      </c>
    </row>
    <row r="425">
      <c r="Y425" s="5">
        <f>IF(D425="","",X425*IF(AND(ISNUMBER(AC425),AC425&gt;0,AC425&lt;1),AC425*100,AC425)/100)</f>
        <v/>
      </c>
      <c r="Z425" s="5">
        <f>IF(D425="","",AB425*AA425/100)</f>
        <v/>
      </c>
      <c r="AA425" s="5">
        <f>IF(D425="","",X425-Y425)</f>
        <v/>
      </c>
      <c r="AD425" s="5">
        <f>IF(D425="","",AA425-Z425)</f>
        <v/>
      </c>
      <c r="AG425">
        <f>IF(D425="","",N(AG424)+IF(MATCH(D425,$D$2:$D$3001,0)=ROW()-1,1,0))</f>
        <v/>
      </c>
    </row>
    <row r="426">
      <c r="Y426" s="5">
        <f>IF(D426="","",X426*IF(AND(ISNUMBER(AC426),AC426&gt;0,AC426&lt;1),AC426*100,AC426)/100)</f>
        <v/>
      </c>
      <c r="Z426" s="5">
        <f>IF(D426="","",AB426*AA426/100)</f>
        <v/>
      </c>
      <c r="AA426" s="5">
        <f>IF(D426="","",X426-Y426)</f>
        <v/>
      </c>
      <c r="AD426" s="5">
        <f>IF(D426="","",AA426-Z426)</f>
        <v/>
      </c>
      <c r="AG426">
        <f>IF(D426="","",N(AG425)+IF(MATCH(D426,$D$2:$D$3001,0)=ROW()-1,1,0))</f>
        <v/>
      </c>
    </row>
    <row r="427">
      <c r="Y427" s="5">
        <f>IF(D427="","",X427*IF(AND(ISNUMBER(AC427),AC427&gt;0,AC427&lt;1),AC427*100,AC427)/100)</f>
        <v/>
      </c>
      <c r="Z427" s="5">
        <f>IF(D427="","",AB427*AA427/100)</f>
        <v/>
      </c>
      <c r="AA427" s="5">
        <f>IF(D427="","",X427-Y427)</f>
        <v/>
      </c>
      <c r="AD427" s="5">
        <f>IF(D427="","",AA427-Z427)</f>
        <v/>
      </c>
      <c r="AG427">
        <f>IF(D427="","",N(AG426)+IF(MATCH(D427,$D$2:$D$3001,0)=ROW()-1,1,0))</f>
        <v/>
      </c>
    </row>
    <row r="428">
      <c r="Y428" s="5">
        <f>IF(D428="","",X428*IF(AND(ISNUMBER(AC428),AC428&gt;0,AC428&lt;1),AC428*100,AC428)/100)</f>
        <v/>
      </c>
      <c r="Z428" s="5">
        <f>IF(D428="","",AB428*AA428/100)</f>
        <v/>
      </c>
      <c r="AA428" s="5">
        <f>IF(D428="","",X428-Y428)</f>
        <v/>
      </c>
      <c r="AD428" s="5">
        <f>IF(D428="","",AA428-Z428)</f>
        <v/>
      </c>
      <c r="AG428">
        <f>IF(D428="","",N(AG427)+IF(MATCH(D428,$D$2:$D$3001,0)=ROW()-1,1,0))</f>
        <v/>
      </c>
    </row>
    <row r="429">
      <c r="Y429" s="5">
        <f>IF(D429="","",X429*IF(AND(ISNUMBER(AC429),AC429&gt;0,AC429&lt;1),AC429*100,AC429)/100)</f>
        <v/>
      </c>
      <c r="Z429" s="5">
        <f>IF(D429="","",AB429*AA429/100)</f>
        <v/>
      </c>
      <c r="AA429" s="5">
        <f>IF(D429="","",X429-Y429)</f>
        <v/>
      </c>
      <c r="AD429" s="5">
        <f>IF(D429="","",AA429-Z429)</f>
        <v/>
      </c>
      <c r="AG429">
        <f>IF(D429="","",N(AG428)+IF(MATCH(D429,$D$2:$D$3001,0)=ROW()-1,1,0))</f>
        <v/>
      </c>
    </row>
    <row r="430">
      <c r="Y430" s="5">
        <f>IF(D430="","",X430*IF(AND(ISNUMBER(AC430),AC430&gt;0,AC430&lt;1),AC430*100,AC430)/100)</f>
        <v/>
      </c>
      <c r="Z430" s="5">
        <f>IF(D430="","",AB430*AA430/100)</f>
        <v/>
      </c>
      <c r="AA430" s="5">
        <f>IF(D430="","",X430-Y430)</f>
        <v/>
      </c>
      <c r="AD430" s="5">
        <f>IF(D430="","",AA430-Z430)</f>
        <v/>
      </c>
      <c r="AG430">
        <f>IF(D430="","",N(AG429)+IF(MATCH(D430,$D$2:$D$3001,0)=ROW()-1,1,0))</f>
        <v/>
      </c>
    </row>
    <row r="431">
      <c r="Y431" s="5">
        <f>IF(D431="","",X431*IF(AND(ISNUMBER(AC431),AC431&gt;0,AC431&lt;1),AC431*100,AC431)/100)</f>
        <v/>
      </c>
      <c r="Z431" s="5">
        <f>IF(D431="","",AB431*AA431/100)</f>
        <v/>
      </c>
      <c r="AA431" s="5">
        <f>IF(D431="","",X431-Y431)</f>
        <v/>
      </c>
      <c r="AD431" s="5">
        <f>IF(D431="","",AA431-Z431)</f>
        <v/>
      </c>
      <c r="AG431">
        <f>IF(D431="","",N(AG430)+IF(MATCH(D431,$D$2:$D$3001,0)=ROW()-1,1,0))</f>
        <v/>
      </c>
    </row>
    <row r="432">
      <c r="Y432" s="5">
        <f>IF(D432="","",X432*IF(AND(ISNUMBER(AC432),AC432&gt;0,AC432&lt;1),AC432*100,AC432)/100)</f>
        <v/>
      </c>
      <c r="Z432" s="5">
        <f>IF(D432="","",AB432*AA432/100)</f>
        <v/>
      </c>
      <c r="AA432" s="5">
        <f>IF(D432="","",X432-Y432)</f>
        <v/>
      </c>
      <c r="AD432" s="5">
        <f>IF(D432="","",AA432-Z432)</f>
        <v/>
      </c>
      <c r="AG432">
        <f>IF(D432="","",N(AG431)+IF(MATCH(D432,$D$2:$D$3001,0)=ROW()-1,1,0))</f>
        <v/>
      </c>
    </row>
    <row r="433">
      <c r="Y433" s="5">
        <f>IF(D433="","",X433*IF(AND(ISNUMBER(AC433),AC433&gt;0,AC433&lt;1),AC433*100,AC433)/100)</f>
        <v/>
      </c>
      <c r="Z433" s="5">
        <f>IF(D433="","",AB433*AA433/100)</f>
        <v/>
      </c>
      <c r="AA433" s="5">
        <f>IF(D433="","",X433-Y433)</f>
        <v/>
      </c>
      <c r="AD433" s="5">
        <f>IF(D433="","",AA433-Z433)</f>
        <v/>
      </c>
      <c r="AG433">
        <f>IF(D433="","",N(AG432)+IF(MATCH(D433,$D$2:$D$3001,0)=ROW()-1,1,0))</f>
        <v/>
      </c>
    </row>
    <row r="434">
      <c r="Y434" s="5">
        <f>IF(D434="","",X434*IF(AND(ISNUMBER(AC434),AC434&gt;0,AC434&lt;1),AC434*100,AC434)/100)</f>
        <v/>
      </c>
      <c r="Z434" s="5">
        <f>IF(D434="","",AB434*AA434/100)</f>
        <v/>
      </c>
      <c r="AA434" s="5">
        <f>IF(D434="","",X434-Y434)</f>
        <v/>
      </c>
      <c r="AD434" s="5">
        <f>IF(D434="","",AA434-Z434)</f>
        <v/>
      </c>
      <c r="AG434">
        <f>IF(D434="","",N(AG433)+IF(MATCH(D434,$D$2:$D$3001,0)=ROW()-1,1,0))</f>
        <v/>
      </c>
    </row>
    <row r="435">
      <c r="Y435" s="5">
        <f>IF(D435="","",X435*IF(AND(ISNUMBER(AC435),AC435&gt;0,AC435&lt;1),AC435*100,AC435)/100)</f>
        <v/>
      </c>
      <c r="Z435" s="5">
        <f>IF(D435="","",AB435*AA435/100)</f>
        <v/>
      </c>
      <c r="AA435" s="5">
        <f>IF(D435="","",X435-Y435)</f>
        <v/>
      </c>
      <c r="AD435" s="5">
        <f>IF(D435="","",AA435-Z435)</f>
        <v/>
      </c>
      <c r="AG435">
        <f>IF(D435="","",N(AG434)+IF(MATCH(D435,$D$2:$D$3001,0)=ROW()-1,1,0))</f>
        <v/>
      </c>
    </row>
    <row r="436">
      <c r="Y436" s="5">
        <f>IF(D436="","",X436*IF(AND(ISNUMBER(AC436),AC436&gt;0,AC436&lt;1),AC436*100,AC436)/100)</f>
        <v/>
      </c>
      <c r="Z436" s="5">
        <f>IF(D436="","",AB436*AA436/100)</f>
        <v/>
      </c>
      <c r="AA436" s="5">
        <f>IF(D436="","",X436-Y436)</f>
        <v/>
      </c>
      <c r="AD436" s="5">
        <f>IF(D436="","",AA436-Z436)</f>
        <v/>
      </c>
      <c r="AG436">
        <f>IF(D436="","",N(AG435)+IF(MATCH(D436,$D$2:$D$3001,0)=ROW()-1,1,0))</f>
        <v/>
      </c>
    </row>
    <row r="437">
      <c r="Y437" s="5">
        <f>IF(D437="","",X437*IF(AND(ISNUMBER(AC437),AC437&gt;0,AC437&lt;1),AC437*100,AC437)/100)</f>
        <v/>
      </c>
      <c r="Z437" s="5">
        <f>IF(D437="","",AB437*AA437/100)</f>
        <v/>
      </c>
      <c r="AA437" s="5">
        <f>IF(D437="","",X437-Y437)</f>
        <v/>
      </c>
      <c r="AD437" s="5">
        <f>IF(D437="","",AA437-Z437)</f>
        <v/>
      </c>
      <c r="AG437">
        <f>IF(D437="","",N(AG436)+IF(MATCH(D437,$D$2:$D$3001,0)=ROW()-1,1,0))</f>
        <v/>
      </c>
    </row>
    <row r="438">
      <c r="Y438" s="5">
        <f>IF(D438="","",X438*IF(AND(ISNUMBER(AC438),AC438&gt;0,AC438&lt;1),AC438*100,AC438)/100)</f>
        <v/>
      </c>
      <c r="Z438" s="5">
        <f>IF(D438="","",AB438*AA438/100)</f>
        <v/>
      </c>
      <c r="AA438" s="5">
        <f>IF(D438="","",X438-Y438)</f>
        <v/>
      </c>
      <c r="AD438" s="5">
        <f>IF(D438="","",AA438-Z438)</f>
        <v/>
      </c>
      <c r="AG438">
        <f>IF(D438="","",N(AG437)+IF(MATCH(D438,$D$2:$D$3001,0)=ROW()-1,1,0))</f>
        <v/>
      </c>
    </row>
    <row r="439">
      <c r="Y439" s="5">
        <f>IF(D439="","",X439*IF(AND(ISNUMBER(AC439),AC439&gt;0,AC439&lt;1),AC439*100,AC439)/100)</f>
        <v/>
      </c>
      <c r="Z439" s="5">
        <f>IF(D439="","",AB439*AA439/100)</f>
        <v/>
      </c>
      <c r="AA439" s="5">
        <f>IF(D439="","",X439-Y439)</f>
        <v/>
      </c>
      <c r="AD439" s="5">
        <f>IF(D439="","",AA439-Z439)</f>
        <v/>
      </c>
      <c r="AG439">
        <f>IF(D439="","",N(AG438)+IF(MATCH(D439,$D$2:$D$3001,0)=ROW()-1,1,0))</f>
        <v/>
      </c>
    </row>
    <row r="440">
      <c r="Y440" s="5">
        <f>IF(D440="","",X440*IF(AND(ISNUMBER(AC440),AC440&gt;0,AC440&lt;1),AC440*100,AC440)/100)</f>
        <v/>
      </c>
      <c r="Z440" s="5">
        <f>IF(D440="","",AB440*AA440/100)</f>
        <v/>
      </c>
      <c r="AA440" s="5">
        <f>IF(D440="","",X440-Y440)</f>
        <v/>
      </c>
      <c r="AD440" s="5">
        <f>IF(D440="","",AA440-Z440)</f>
        <v/>
      </c>
      <c r="AG440">
        <f>IF(D440="","",N(AG439)+IF(MATCH(D440,$D$2:$D$3001,0)=ROW()-1,1,0))</f>
        <v/>
      </c>
    </row>
    <row r="441">
      <c r="Y441" s="5">
        <f>IF(D441="","",X441*IF(AND(ISNUMBER(AC441),AC441&gt;0,AC441&lt;1),AC441*100,AC441)/100)</f>
        <v/>
      </c>
      <c r="Z441" s="5">
        <f>IF(D441="","",AB441*AA441/100)</f>
        <v/>
      </c>
      <c r="AA441" s="5">
        <f>IF(D441="","",X441-Y441)</f>
        <v/>
      </c>
      <c r="AD441" s="5">
        <f>IF(D441="","",AA441-Z441)</f>
        <v/>
      </c>
      <c r="AG441">
        <f>IF(D441="","",N(AG440)+IF(MATCH(D441,$D$2:$D$3001,0)=ROW()-1,1,0))</f>
        <v/>
      </c>
    </row>
    <row r="442">
      <c r="Y442" s="5">
        <f>IF(D442="","",X442*IF(AND(ISNUMBER(AC442),AC442&gt;0,AC442&lt;1),AC442*100,AC442)/100)</f>
        <v/>
      </c>
      <c r="Z442" s="5">
        <f>IF(D442="","",AB442*AA442/100)</f>
        <v/>
      </c>
      <c r="AA442" s="5">
        <f>IF(D442="","",X442-Y442)</f>
        <v/>
      </c>
      <c r="AD442" s="5">
        <f>IF(D442="","",AA442-Z442)</f>
        <v/>
      </c>
      <c r="AG442">
        <f>IF(D442="","",N(AG441)+IF(MATCH(D442,$D$2:$D$3001,0)=ROW()-1,1,0))</f>
        <v/>
      </c>
    </row>
    <row r="443">
      <c r="Y443" s="5">
        <f>IF(D443="","",X443*IF(AND(ISNUMBER(AC443),AC443&gt;0,AC443&lt;1),AC443*100,AC443)/100)</f>
        <v/>
      </c>
      <c r="Z443" s="5">
        <f>IF(D443="","",AB443*AA443/100)</f>
        <v/>
      </c>
      <c r="AA443" s="5">
        <f>IF(D443="","",X443-Y443)</f>
        <v/>
      </c>
      <c r="AD443" s="5">
        <f>IF(D443="","",AA443-Z443)</f>
        <v/>
      </c>
      <c r="AG443">
        <f>IF(D443="","",N(AG442)+IF(MATCH(D443,$D$2:$D$3001,0)=ROW()-1,1,0))</f>
        <v/>
      </c>
    </row>
    <row r="444">
      <c r="Y444" s="5">
        <f>IF(D444="","",X444*IF(AND(ISNUMBER(AC444),AC444&gt;0,AC444&lt;1),AC444*100,AC444)/100)</f>
        <v/>
      </c>
      <c r="Z444" s="5">
        <f>IF(D444="","",AB444*AA444/100)</f>
        <v/>
      </c>
      <c r="AA444" s="5">
        <f>IF(D444="","",X444-Y444)</f>
        <v/>
      </c>
      <c r="AD444" s="5">
        <f>IF(D444="","",AA444-Z444)</f>
        <v/>
      </c>
      <c r="AG444">
        <f>IF(D444="","",N(AG443)+IF(MATCH(D444,$D$2:$D$3001,0)=ROW()-1,1,0))</f>
        <v/>
      </c>
    </row>
    <row r="445">
      <c r="Y445" s="5">
        <f>IF(D445="","",X445*IF(AND(ISNUMBER(AC445),AC445&gt;0,AC445&lt;1),AC445*100,AC445)/100)</f>
        <v/>
      </c>
      <c r="Z445" s="5">
        <f>IF(D445="","",AB445*AA445/100)</f>
        <v/>
      </c>
      <c r="AA445" s="5">
        <f>IF(D445="","",X445-Y445)</f>
        <v/>
      </c>
      <c r="AD445" s="5">
        <f>IF(D445="","",AA445-Z445)</f>
        <v/>
      </c>
      <c r="AG445">
        <f>IF(D445="","",N(AG444)+IF(MATCH(D445,$D$2:$D$3001,0)=ROW()-1,1,0))</f>
        <v/>
      </c>
    </row>
    <row r="446">
      <c r="Y446" s="5">
        <f>IF(D446="","",X446*IF(AND(ISNUMBER(AC446),AC446&gt;0,AC446&lt;1),AC446*100,AC446)/100)</f>
        <v/>
      </c>
      <c r="Z446" s="5">
        <f>IF(D446="","",AB446*AA446/100)</f>
        <v/>
      </c>
      <c r="AA446" s="5">
        <f>IF(D446="","",X446-Y446)</f>
        <v/>
      </c>
      <c r="AD446" s="5">
        <f>IF(D446="","",AA446-Z446)</f>
        <v/>
      </c>
      <c r="AG446">
        <f>IF(D446="","",N(AG445)+IF(MATCH(D446,$D$2:$D$3001,0)=ROW()-1,1,0))</f>
        <v/>
      </c>
    </row>
    <row r="447">
      <c r="Y447" s="5">
        <f>IF(D447="","",X447*IF(AND(ISNUMBER(AC447),AC447&gt;0,AC447&lt;1),AC447*100,AC447)/100)</f>
        <v/>
      </c>
      <c r="Z447" s="5">
        <f>IF(D447="","",AB447*AA447/100)</f>
        <v/>
      </c>
      <c r="AA447" s="5">
        <f>IF(D447="","",X447-Y447)</f>
        <v/>
      </c>
      <c r="AD447" s="5">
        <f>IF(D447="","",AA447-Z447)</f>
        <v/>
      </c>
      <c r="AG447">
        <f>IF(D447="","",N(AG446)+IF(MATCH(D447,$D$2:$D$3001,0)=ROW()-1,1,0))</f>
        <v/>
      </c>
    </row>
    <row r="448">
      <c r="Y448" s="5">
        <f>IF(D448="","",X448*IF(AND(ISNUMBER(AC448),AC448&gt;0,AC448&lt;1),AC448*100,AC448)/100)</f>
        <v/>
      </c>
      <c r="Z448" s="5">
        <f>IF(D448="","",AB448*AA448/100)</f>
        <v/>
      </c>
      <c r="AA448" s="5">
        <f>IF(D448="","",X448-Y448)</f>
        <v/>
      </c>
      <c r="AD448" s="5">
        <f>IF(D448="","",AA448-Z448)</f>
        <v/>
      </c>
      <c r="AG448">
        <f>IF(D448="","",N(AG447)+IF(MATCH(D448,$D$2:$D$3001,0)=ROW()-1,1,0))</f>
        <v/>
      </c>
    </row>
    <row r="449">
      <c r="Y449" s="5">
        <f>IF(D449="","",X449*IF(AND(ISNUMBER(AC449),AC449&gt;0,AC449&lt;1),AC449*100,AC449)/100)</f>
        <v/>
      </c>
      <c r="Z449" s="5">
        <f>IF(D449="","",AB449*AA449/100)</f>
        <v/>
      </c>
      <c r="AA449" s="5">
        <f>IF(D449="","",X449-Y449)</f>
        <v/>
      </c>
      <c r="AD449" s="5">
        <f>IF(D449="","",AA449-Z449)</f>
        <v/>
      </c>
      <c r="AG449">
        <f>IF(D449="","",N(AG448)+IF(MATCH(D449,$D$2:$D$3001,0)=ROW()-1,1,0))</f>
        <v/>
      </c>
    </row>
    <row r="450">
      <c r="Y450" s="5">
        <f>IF(D450="","",X450*IF(AND(ISNUMBER(AC450),AC450&gt;0,AC450&lt;1),AC450*100,AC450)/100)</f>
        <v/>
      </c>
      <c r="Z450" s="5">
        <f>IF(D450="","",AB450*AA450/100)</f>
        <v/>
      </c>
      <c r="AA450" s="5">
        <f>IF(D450="","",X450-Y450)</f>
        <v/>
      </c>
      <c r="AD450" s="5">
        <f>IF(D450="","",AA450-Z450)</f>
        <v/>
      </c>
      <c r="AG450">
        <f>IF(D450="","",N(AG449)+IF(MATCH(D450,$D$2:$D$3001,0)=ROW()-1,1,0))</f>
        <v/>
      </c>
    </row>
    <row r="451">
      <c r="Y451" s="5">
        <f>IF(D451="","",X451*IF(AND(ISNUMBER(AC451),AC451&gt;0,AC451&lt;1),AC451*100,AC451)/100)</f>
        <v/>
      </c>
      <c r="Z451" s="5">
        <f>IF(D451="","",AB451*AA451/100)</f>
        <v/>
      </c>
      <c r="AA451" s="5">
        <f>IF(D451="","",X451-Y451)</f>
        <v/>
      </c>
      <c r="AD451" s="5">
        <f>IF(D451="","",AA451-Z451)</f>
        <v/>
      </c>
      <c r="AG451">
        <f>IF(D451="","",N(AG450)+IF(MATCH(D451,$D$2:$D$3001,0)=ROW()-1,1,0))</f>
        <v/>
      </c>
    </row>
    <row r="452">
      <c r="Y452" s="5">
        <f>IF(D452="","",X452*IF(AND(ISNUMBER(AC452),AC452&gt;0,AC452&lt;1),AC452*100,AC452)/100)</f>
        <v/>
      </c>
      <c r="Z452" s="5">
        <f>IF(D452="","",AB452*AA452/100)</f>
        <v/>
      </c>
      <c r="AA452" s="5">
        <f>IF(D452="","",X452-Y452)</f>
        <v/>
      </c>
      <c r="AD452" s="5">
        <f>IF(D452="","",AA452-Z452)</f>
        <v/>
      </c>
      <c r="AG452">
        <f>IF(D452="","",N(AG451)+IF(MATCH(D452,$D$2:$D$3001,0)=ROW()-1,1,0))</f>
        <v/>
      </c>
    </row>
    <row r="453">
      <c r="Y453" s="5">
        <f>IF(D453="","",X453*IF(AND(ISNUMBER(AC453),AC453&gt;0,AC453&lt;1),AC453*100,AC453)/100)</f>
        <v/>
      </c>
      <c r="Z453" s="5">
        <f>IF(D453="","",AB453*AA453/100)</f>
        <v/>
      </c>
      <c r="AA453" s="5">
        <f>IF(D453="","",X453-Y453)</f>
        <v/>
      </c>
      <c r="AD453" s="5">
        <f>IF(D453="","",AA453-Z453)</f>
        <v/>
      </c>
      <c r="AG453">
        <f>IF(D453="","",N(AG452)+IF(MATCH(D453,$D$2:$D$3001,0)=ROW()-1,1,0))</f>
        <v/>
      </c>
    </row>
    <row r="454">
      <c r="Y454" s="5">
        <f>IF(D454="","",X454*IF(AND(ISNUMBER(AC454),AC454&gt;0,AC454&lt;1),AC454*100,AC454)/100)</f>
        <v/>
      </c>
      <c r="Z454" s="5">
        <f>IF(D454="","",AB454*AA454/100)</f>
        <v/>
      </c>
      <c r="AA454" s="5">
        <f>IF(D454="","",X454-Y454)</f>
        <v/>
      </c>
      <c r="AD454" s="5">
        <f>IF(D454="","",AA454-Z454)</f>
        <v/>
      </c>
      <c r="AG454">
        <f>IF(D454="","",N(AG453)+IF(MATCH(D454,$D$2:$D$3001,0)=ROW()-1,1,0))</f>
        <v/>
      </c>
    </row>
    <row r="455">
      <c r="Y455" s="5">
        <f>IF(D455="","",X455*IF(AND(ISNUMBER(AC455),AC455&gt;0,AC455&lt;1),AC455*100,AC455)/100)</f>
        <v/>
      </c>
      <c r="Z455" s="5">
        <f>IF(D455="","",AB455*AA455/100)</f>
        <v/>
      </c>
      <c r="AA455" s="5">
        <f>IF(D455="","",X455-Y455)</f>
        <v/>
      </c>
      <c r="AD455" s="5">
        <f>IF(D455="","",AA455-Z455)</f>
        <v/>
      </c>
      <c r="AG455">
        <f>IF(D455="","",N(AG454)+IF(MATCH(D455,$D$2:$D$3001,0)=ROW()-1,1,0))</f>
        <v/>
      </c>
    </row>
    <row r="456">
      <c r="Y456" s="5">
        <f>IF(D456="","",X456*IF(AND(ISNUMBER(AC456),AC456&gt;0,AC456&lt;1),AC456*100,AC456)/100)</f>
        <v/>
      </c>
      <c r="Z456" s="5">
        <f>IF(D456="","",AB456*AA456/100)</f>
        <v/>
      </c>
      <c r="AA456" s="5">
        <f>IF(D456="","",X456-Y456)</f>
        <v/>
      </c>
      <c r="AD456" s="5">
        <f>IF(D456="","",AA456-Z456)</f>
        <v/>
      </c>
      <c r="AG456">
        <f>IF(D456="","",N(AG455)+IF(MATCH(D456,$D$2:$D$3001,0)=ROW()-1,1,0))</f>
        <v/>
      </c>
    </row>
    <row r="457">
      <c r="Y457" s="5">
        <f>IF(D457="","",X457*IF(AND(ISNUMBER(AC457),AC457&gt;0,AC457&lt;1),AC457*100,AC457)/100)</f>
        <v/>
      </c>
      <c r="Z457" s="5">
        <f>IF(D457="","",AB457*AA457/100)</f>
        <v/>
      </c>
      <c r="AA457" s="5">
        <f>IF(D457="","",X457-Y457)</f>
        <v/>
      </c>
      <c r="AD457" s="5">
        <f>IF(D457="","",AA457-Z457)</f>
        <v/>
      </c>
      <c r="AG457">
        <f>IF(D457="","",N(AG456)+IF(MATCH(D457,$D$2:$D$3001,0)=ROW()-1,1,0))</f>
        <v/>
      </c>
    </row>
    <row r="458">
      <c r="Y458" s="5">
        <f>IF(D458="","",X458*IF(AND(ISNUMBER(AC458),AC458&gt;0,AC458&lt;1),AC458*100,AC458)/100)</f>
        <v/>
      </c>
      <c r="Z458" s="5">
        <f>IF(D458="","",AB458*AA458/100)</f>
        <v/>
      </c>
      <c r="AA458" s="5">
        <f>IF(D458="","",X458-Y458)</f>
        <v/>
      </c>
      <c r="AD458" s="5">
        <f>IF(D458="","",AA458-Z458)</f>
        <v/>
      </c>
      <c r="AG458">
        <f>IF(D458="","",N(AG457)+IF(MATCH(D458,$D$2:$D$3001,0)=ROW()-1,1,0))</f>
        <v/>
      </c>
    </row>
    <row r="459">
      <c r="Y459" s="5">
        <f>IF(D459="","",X459*IF(AND(ISNUMBER(AC459),AC459&gt;0,AC459&lt;1),AC459*100,AC459)/100)</f>
        <v/>
      </c>
      <c r="Z459" s="5">
        <f>IF(D459="","",AB459*AA459/100)</f>
        <v/>
      </c>
      <c r="AA459" s="5">
        <f>IF(D459="","",X459-Y459)</f>
        <v/>
      </c>
      <c r="AD459" s="5">
        <f>IF(D459="","",AA459-Z459)</f>
        <v/>
      </c>
      <c r="AG459">
        <f>IF(D459="","",N(AG458)+IF(MATCH(D459,$D$2:$D$3001,0)=ROW()-1,1,0))</f>
        <v/>
      </c>
    </row>
    <row r="460">
      <c r="Y460" s="5">
        <f>IF(D460="","",X460*IF(AND(ISNUMBER(AC460),AC460&gt;0,AC460&lt;1),AC460*100,AC460)/100)</f>
        <v/>
      </c>
      <c r="Z460" s="5">
        <f>IF(D460="","",AB460*AA460/100)</f>
        <v/>
      </c>
      <c r="AA460" s="5">
        <f>IF(D460="","",X460-Y460)</f>
        <v/>
      </c>
      <c r="AD460" s="5">
        <f>IF(D460="","",AA460-Z460)</f>
        <v/>
      </c>
      <c r="AG460">
        <f>IF(D460="","",N(AG459)+IF(MATCH(D460,$D$2:$D$3001,0)=ROW()-1,1,0))</f>
        <v/>
      </c>
    </row>
    <row r="461">
      <c r="Y461" s="5">
        <f>IF(D461="","",X461*IF(AND(ISNUMBER(AC461),AC461&gt;0,AC461&lt;1),AC461*100,AC461)/100)</f>
        <v/>
      </c>
      <c r="Z461" s="5">
        <f>IF(D461="","",AB461*AA461/100)</f>
        <v/>
      </c>
      <c r="AA461" s="5">
        <f>IF(D461="","",X461-Y461)</f>
        <v/>
      </c>
      <c r="AD461" s="5">
        <f>IF(D461="","",AA461-Z461)</f>
        <v/>
      </c>
      <c r="AG461">
        <f>IF(D461="","",N(AG460)+IF(MATCH(D461,$D$2:$D$3001,0)=ROW()-1,1,0))</f>
        <v/>
      </c>
    </row>
    <row r="462">
      <c r="Y462" s="5">
        <f>IF(D462="","",X462*IF(AND(ISNUMBER(AC462),AC462&gt;0,AC462&lt;1),AC462*100,AC462)/100)</f>
        <v/>
      </c>
      <c r="Z462" s="5">
        <f>IF(D462="","",AB462*AA462/100)</f>
        <v/>
      </c>
      <c r="AA462" s="5">
        <f>IF(D462="","",X462-Y462)</f>
        <v/>
      </c>
      <c r="AD462" s="5">
        <f>IF(D462="","",AA462-Z462)</f>
        <v/>
      </c>
      <c r="AG462">
        <f>IF(D462="","",N(AG461)+IF(MATCH(D462,$D$2:$D$3001,0)=ROW()-1,1,0))</f>
        <v/>
      </c>
    </row>
    <row r="463">
      <c r="Y463" s="5">
        <f>IF(D463="","",X463*IF(AND(ISNUMBER(AC463),AC463&gt;0,AC463&lt;1),AC463*100,AC463)/100)</f>
        <v/>
      </c>
      <c r="Z463" s="5">
        <f>IF(D463="","",AB463*AA463/100)</f>
        <v/>
      </c>
      <c r="AA463" s="5">
        <f>IF(D463="","",X463-Y463)</f>
        <v/>
      </c>
      <c r="AD463" s="5">
        <f>IF(D463="","",AA463-Z463)</f>
        <v/>
      </c>
      <c r="AG463">
        <f>IF(D463="","",N(AG462)+IF(MATCH(D463,$D$2:$D$3001,0)=ROW()-1,1,0))</f>
        <v/>
      </c>
    </row>
    <row r="464">
      <c r="Y464" s="5">
        <f>IF(D464="","",X464*IF(AND(ISNUMBER(AC464),AC464&gt;0,AC464&lt;1),AC464*100,AC464)/100)</f>
        <v/>
      </c>
      <c r="Z464" s="5">
        <f>IF(D464="","",AB464*AA464/100)</f>
        <v/>
      </c>
      <c r="AA464" s="5">
        <f>IF(D464="","",X464-Y464)</f>
        <v/>
      </c>
      <c r="AD464" s="5">
        <f>IF(D464="","",AA464-Z464)</f>
        <v/>
      </c>
      <c r="AG464">
        <f>IF(D464="","",N(AG463)+IF(MATCH(D464,$D$2:$D$3001,0)=ROW()-1,1,0))</f>
        <v/>
      </c>
    </row>
    <row r="465">
      <c r="Y465" s="5">
        <f>IF(D465="","",X465*IF(AND(ISNUMBER(AC465),AC465&gt;0,AC465&lt;1),AC465*100,AC465)/100)</f>
        <v/>
      </c>
      <c r="Z465" s="5">
        <f>IF(D465="","",AB465*AA465/100)</f>
        <v/>
      </c>
      <c r="AA465" s="5">
        <f>IF(D465="","",X465-Y465)</f>
        <v/>
      </c>
      <c r="AD465" s="5">
        <f>IF(D465="","",AA465-Z465)</f>
        <v/>
      </c>
      <c r="AG465">
        <f>IF(D465="","",N(AG464)+IF(MATCH(D465,$D$2:$D$3001,0)=ROW()-1,1,0))</f>
        <v/>
      </c>
    </row>
    <row r="466">
      <c r="Y466" s="5">
        <f>IF(D466="","",X466*IF(AND(ISNUMBER(AC466),AC466&gt;0,AC466&lt;1),AC466*100,AC466)/100)</f>
        <v/>
      </c>
      <c r="Z466" s="5">
        <f>IF(D466="","",AB466*AA466/100)</f>
        <v/>
      </c>
      <c r="AA466" s="5">
        <f>IF(D466="","",X466-Y466)</f>
        <v/>
      </c>
      <c r="AD466" s="5">
        <f>IF(D466="","",AA466-Z466)</f>
        <v/>
      </c>
      <c r="AG466">
        <f>IF(D466="","",N(AG465)+IF(MATCH(D466,$D$2:$D$3001,0)=ROW()-1,1,0))</f>
        <v/>
      </c>
    </row>
    <row r="467">
      <c r="Y467" s="5">
        <f>IF(D467="","",X467*IF(AND(ISNUMBER(AC467),AC467&gt;0,AC467&lt;1),AC467*100,AC467)/100)</f>
        <v/>
      </c>
      <c r="Z467" s="5">
        <f>IF(D467="","",AB467*AA467/100)</f>
        <v/>
      </c>
      <c r="AA467" s="5">
        <f>IF(D467="","",X467-Y467)</f>
        <v/>
      </c>
      <c r="AD467" s="5">
        <f>IF(D467="","",AA467-Z467)</f>
        <v/>
      </c>
      <c r="AG467">
        <f>IF(D467="","",N(AG466)+IF(MATCH(D467,$D$2:$D$3001,0)=ROW()-1,1,0))</f>
        <v/>
      </c>
    </row>
    <row r="468">
      <c r="Y468" s="5">
        <f>IF(D468="","",X468*IF(AND(ISNUMBER(AC468),AC468&gt;0,AC468&lt;1),AC468*100,AC468)/100)</f>
        <v/>
      </c>
      <c r="Z468" s="5">
        <f>IF(D468="","",AB468*AA468/100)</f>
        <v/>
      </c>
      <c r="AA468" s="5">
        <f>IF(D468="","",X468-Y468)</f>
        <v/>
      </c>
      <c r="AD468" s="5">
        <f>IF(D468="","",AA468-Z468)</f>
        <v/>
      </c>
      <c r="AG468">
        <f>IF(D468="","",N(AG467)+IF(MATCH(D468,$D$2:$D$3001,0)=ROW()-1,1,0))</f>
        <v/>
      </c>
    </row>
    <row r="469">
      <c r="Y469" s="5">
        <f>IF(D469="","",X469*IF(AND(ISNUMBER(AC469),AC469&gt;0,AC469&lt;1),AC469*100,AC469)/100)</f>
        <v/>
      </c>
      <c r="Z469" s="5">
        <f>IF(D469="","",AB469*AA469/100)</f>
        <v/>
      </c>
      <c r="AA469" s="5">
        <f>IF(D469="","",X469-Y469)</f>
        <v/>
      </c>
      <c r="AD469" s="5">
        <f>IF(D469="","",AA469-Z469)</f>
        <v/>
      </c>
      <c r="AG469">
        <f>IF(D469="","",N(AG468)+IF(MATCH(D469,$D$2:$D$3001,0)=ROW()-1,1,0))</f>
        <v/>
      </c>
    </row>
    <row r="470">
      <c r="Y470" s="5">
        <f>IF(D470="","",X470*IF(AND(ISNUMBER(AC470),AC470&gt;0,AC470&lt;1),AC470*100,AC470)/100)</f>
        <v/>
      </c>
      <c r="Z470" s="5">
        <f>IF(D470="","",AB470*AA470/100)</f>
        <v/>
      </c>
      <c r="AA470" s="5">
        <f>IF(D470="","",X470-Y470)</f>
        <v/>
      </c>
      <c r="AD470" s="5">
        <f>IF(D470="","",AA470-Z470)</f>
        <v/>
      </c>
      <c r="AG470">
        <f>IF(D470="","",N(AG469)+IF(MATCH(D470,$D$2:$D$3001,0)=ROW()-1,1,0))</f>
        <v/>
      </c>
    </row>
    <row r="471">
      <c r="Y471" s="5">
        <f>IF(D471="","",X471*IF(AND(ISNUMBER(AC471),AC471&gt;0,AC471&lt;1),AC471*100,AC471)/100)</f>
        <v/>
      </c>
      <c r="Z471" s="5">
        <f>IF(D471="","",AB471*AA471/100)</f>
        <v/>
      </c>
      <c r="AA471" s="5">
        <f>IF(D471="","",X471-Y471)</f>
        <v/>
      </c>
      <c r="AD471" s="5">
        <f>IF(D471="","",AA471-Z471)</f>
        <v/>
      </c>
      <c r="AG471">
        <f>IF(D471="","",N(AG470)+IF(MATCH(D471,$D$2:$D$3001,0)=ROW()-1,1,0))</f>
        <v/>
      </c>
    </row>
    <row r="472">
      <c r="Y472" s="5">
        <f>IF(D472="","",X472*IF(AND(ISNUMBER(AC472),AC472&gt;0,AC472&lt;1),AC472*100,AC472)/100)</f>
        <v/>
      </c>
      <c r="Z472" s="5">
        <f>IF(D472="","",AB472*AA472/100)</f>
        <v/>
      </c>
      <c r="AA472" s="5">
        <f>IF(D472="","",X472-Y472)</f>
        <v/>
      </c>
      <c r="AD472" s="5">
        <f>IF(D472="","",AA472-Z472)</f>
        <v/>
      </c>
      <c r="AG472">
        <f>IF(D472="","",N(AG471)+IF(MATCH(D472,$D$2:$D$3001,0)=ROW()-1,1,0))</f>
        <v/>
      </c>
    </row>
    <row r="473">
      <c r="Y473" s="5">
        <f>IF(D473="","",X473*IF(AND(ISNUMBER(AC473),AC473&gt;0,AC473&lt;1),AC473*100,AC473)/100)</f>
        <v/>
      </c>
      <c r="Z473" s="5">
        <f>IF(D473="","",AB473*AA473/100)</f>
        <v/>
      </c>
      <c r="AA473" s="5">
        <f>IF(D473="","",X473-Y473)</f>
        <v/>
      </c>
      <c r="AD473" s="5">
        <f>IF(D473="","",AA473-Z473)</f>
        <v/>
      </c>
      <c r="AG473">
        <f>IF(D473="","",N(AG472)+IF(MATCH(D473,$D$2:$D$3001,0)=ROW()-1,1,0))</f>
        <v/>
      </c>
    </row>
    <row r="474">
      <c r="Y474" s="5">
        <f>IF(D474="","",X474*IF(AND(ISNUMBER(AC474),AC474&gt;0,AC474&lt;1),AC474*100,AC474)/100)</f>
        <v/>
      </c>
      <c r="Z474" s="5">
        <f>IF(D474="","",AB474*AA474/100)</f>
        <v/>
      </c>
      <c r="AA474" s="5">
        <f>IF(D474="","",X474-Y474)</f>
        <v/>
      </c>
      <c r="AD474" s="5">
        <f>IF(D474="","",AA474-Z474)</f>
        <v/>
      </c>
      <c r="AG474">
        <f>IF(D474="","",N(AG473)+IF(MATCH(D474,$D$2:$D$3001,0)=ROW()-1,1,0))</f>
        <v/>
      </c>
    </row>
    <row r="475">
      <c r="Y475" s="5">
        <f>IF(D475="","",X475*IF(AND(ISNUMBER(AC475),AC475&gt;0,AC475&lt;1),AC475*100,AC475)/100)</f>
        <v/>
      </c>
      <c r="Z475" s="5">
        <f>IF(D475="","",AB475*AA475/100)</f>
        <v/>
      </c>
      <c r="AA475" s="5">
        <f>IF(D475="","",X475-Y475)</f>
        <v/>
      </c>
      <c r="AD475" s="5">
        <f>IF(D475="","",AA475-Z475)</f>
        <v/>
      </c>
      <c r="AG475">
        <f>IF(D475="","",N(AG474)+IF(MATCH(D475,$D$2:$D$3001,0)=ROW()-1,1,0))</f>
        <v/>
      </c>
    </row>
    <row r="476">
      <c r="Y476" s="5">
        <f>IF(D476="","",X476*IF(AND(ISNUMBER(AC476),AC476&gt;0,AC476&lt;1),AC476*100,AC476)/100)</f>
        <v/>
      </c>
      <c r="Z476" s="5">
        <f>IF(D476="","",AB476*AA476/100)</f>
        <v/>
      </c>
      <c r="AA476" s="5">
        <f>IF(D476="","",X476-Y476)</f>
        <v/>
      </c>
      <c r="AD476" s="5">
        <f>IF(D476="","",AA476-Z476)</f>
        <v/>
      </c>
      <c r="AG476">
        <f>IF(D476="","",N(AG475)+IF(MATCH(D476,$D$2:$D$3001,0)=ROW()-1,1,0))</f>
        <v/>
      </c>
    </row>
    <row r="477">
      <c r="Y477" s="5">
        <f>IF(D477="","",X477*IF(AND(ISNUMBER(AC477),AC477&gt;0,AC477&lt;1),AC477*100,AC477)/100)</f>
        <v/>
      </c>
      <c r="Z477" s="5">
        <f>IF(D477="","",AB477*AA477/100)</f>
        <v/>
      </c>
      <c r="AA477" s="5">
        <f>IF(D477="","",X477-Y477)</f>
        <v/>
      </c>
      <c r="AD477" s="5">
        <f>IF(D477="","",AA477-Z477)</f>
        <v/>
      </c>
      <c r="AG477">
        <f>IF(D477="","",N(AG476)+IF(MATCH(D477,$D$2:$D$3001,0)=ROW()-1,1,0))</f>
        <v/>
      </c>
    </row>
    <row r="478">
      <c r="Y478" s="5">
        <f>IF(D478="","",X478*IF(AND(ISNUMBER(AC478),AC478&gt;0,AC478&lt;1),AC478*100,AC478)/100)</f>
        <v/>
      </c>
      <c r="Z478" s="5">
        <f>IF(D478="","",AB478*AA478/100)</f>
        <v/>
      </c>
      <c r="AA478" s="5">
        <f>IF(D478="","",X478-Y478)</f>
        <v/>
      </c>
      <c r="AD478" s="5">
        <f>IF(D478="","",AA478-Z478)</f>
        <v/>
      </c>
      <c r="AG478">
        <f>IF(D478="","",N(AG477)+IF(MATCH(D478,$D$2:$D$3001,0)=ROW()-1,1,0))</f>
        <v/>
      </c>
    </row>
    <row r="479">
      <c r="Y479" s="5">
        <f>IF(D479="","",X479*IF(AND(ISNUMBER(AC479),AC479&gt;0,AC479&lt;1),AC479*100,AC479)/100)</f>
        <v/>
      </c>
      <c r="Z479" s="5">
        <f>IF(D479="","",AB479*AA479/100)</f>
        <v/>
      </c>
      <c r="AA479" s="5">
        <f>IF(D479="","",X479-Y479)</f>
        <v/>
      </c>
      <c r="AD479" s="5">
        <f>IF(D479="","",AA479-Z479)</f>
        <v/>
      </c>
      <c r="AG479">
        <f>IF(D479="","",N(AG478)+IF(MATCH(D479,$D$2:$D$3001,0)=ROW()-1,1,0))</f>
        <v/>
      </c>
    </row>
    <row r="480">
      <c r="Y480" s="5">
        <f>IF(D480="","",X480*IF(AND(ISNUMBER(AC480),AC480&gt;0,AC480&lt;1),AC480*100,AC480)/100)</f>
        <v/>
      </c>
      <c r="Z480" s="5">
        <f>IF(D480="","",AB480*AA480/100)</f>
        <v/>
      </c>
      <c r="AA480" s="5">
        <f>IF(D480="","",X480-Y480)</f>
        <v/>
      </c>
      <c r="AD480" s="5">
        <f>IF(D480="","",AA480-Z480)</f>
        <v/>
      </c>
      <c r="AG480">
        <f>IF(D480="","",N(AG479)+IF(MATCH(D480,$D$2:$D$3001,0)=ROW()-1,1,0))</f>
        <v/>
      </c>
    </row>
    <row r="481">
      <c r="Y481" s="5">
        <f>IF(D481="","",X481*IF(AND(ISNUMBER(AC481),AC481&gt;0,AC481&lt;1),AC481*100,AC481)/100)</f>
        <v/>
      </c>
      <c r="Z481" s="5">
        <f>IF(D481="","",AB481*AA481/100)</f>
        <v/>
      </c>
      <c r="AA481" s="5">
        <f>IF(D481="","",X481-Y481)</f>
        <v/>
      </c>
      <c r="AD481" s="5">
        <f>IF(D481="","",AA481-Z481)</f>
        <v/>
      </c>
      <c r="AG481">
        <f>IF(D481="","",N(AG480)+IF(MATCH(D481,$D$2:$D$3001,0)=ROW()-1,1,0))</f>
        <v/>
      </c>
    </row>
    <row r="482">
      <c r="Y482" s="5">
        <f>IF(D482="","",X482*IF(AND(ISNUMBER(AC482),AC482&gt;0,AC482&lt;1),AC482*100,AC482)/100)</f>
        <v/>
      </c>
      <c r="Z482" s="5">
        <f>IF(D482="","",AB482*AA482/100)</f>
        <v/>
      </c>
      <c r="AA482" s="5">
        <f>IF(D482="","",X482-Y482)</f>
        <v/>
      </c>
      <c r="AD482" s="5">
        <f>IF(D482="","",AA482-Z482)</f>
        <v/>
      </c>
      <c r="AG482">
        <f>IF(D482="","",N(AG481)+IF(MATCH(D482,$D$2:$D$3001,0)=ROW()-1,1,0))</f>
        <v/>
      </c>
    </row>
    <row r="483">
      <c r="Y483" s="5">
        <f>IF(D483="","",X483*IF(AND(ISNUMBER(AC483),AC483&gt;0,AC483&lt;1),AC483*100,AC483)/100)</f>
        <v/>
      </c>
      <c r="Z483" s="5">
        <f>IF(D483="","",AB483*AA483/100)</f>
        <v/>
      </c>
      <c r="AA483" s="5">
        <f>IF(D483="","",X483-Y483)</f>
        <v/>
      </c>
      <c r="AD483" s="5">
        <f>IF(D483="","",AA483-Z483)</f>
        <v/>
      </c>
      <c r="AG483">
        <f>IF(D483="","",N(AG482)+IF(MATCH(D483,$D$2:$D$3001,0)=ROW()-1,1,0))</f>
        <v/>
      </c>
    </row>
    <row r="484">
      <c r="Y484" s="5">
        <f>IF(D484="","",X484*IF(AND(ISNUMBER(AC484),AC484&gt;0,AC484&lt;1),AC484*100,AC484)/100)</f>
        <v/>
      </c>
      <c r="Z484" s="5">
        <f>IF(D484="","",AB484*AA484/100)</f>
        <v/>
      </c>
      <c r="AA484" s="5">
        <f>IF(D484="","",X484-Y484)</f>
        <v/>
      </c>
      <c r="AD484" s="5">
        <f>IF(D484="","",AA484-Z484)</f>
        <v/>
      </c>
      <c r="AG484">
        <f>IF(D484="","",N(AG483)+IF(MATCH(D484,$D$2:$D$3001,0)=ROW()-1,1,0))</f>
        <v/>
      </c>
    </row>
    <row r="485">
      <c r="Y485" s="5">
        <f>IF(D485="","",X485*IF(AND(ISNUMBER(AC485),AC485&gt;0,AC485&lt;1),AC485*100,AC485)/100)</f>
        <v/>
      </c>
      <c r="Z485" s="5">
        <f>IF(D485="","",AB485*AA485/100)</f>
        <v/>
      </c>
      <c r="AA485" s="5">
        <f>IF(D485="","",X485-Y485)</f>
        <v/>
      </c>
      <c r="AD485" s="5">
        <f>IF(D485="","",AA485-Z485)</f>
        <v/>
      </c>
      <c r="AG485">
        <f>IF(D485="","",N(AG484)+IF(MATCH(D485,$D$2:$D$3001,0)=ROW()-1,1,0))</f>
        <v/>
      </c>
    </row>
    <row r="486">
      <c r="Y486" s="5">
        <f>IF(D486="","",X486*IF(AND(ISNUMBER(AC486),AC486&gt;0,AC486&lt;1),AC486*100,AC486)/100)</f>
        <v/>
      </c>
      <c r="Z486" s="5">
        <f>IF(D486="","",AB486*AA486/100)</f>
        <v/>
      </c>
      <c r="AA486" s="5">
        <f>IF(D486="","",X486-Y486)</f>
        <v/>
      </c>
      <c r="AD486" s="5">
        <f>IF(D486="","",AA486-Z486)</f>
        <v/>
      </c>
      <c r="AG486">
        <f>IF(D486="","",N(AG485)+IF(MATCH(D486,$D$2:$D$3001,0)=ROW()-1,1,0))</f>
        <v/>
      </c>
    </row>
    <row r="487">
      <c r="Y487" s="5">
        <f>IF(D487="","",X487*IF(AND(ISNUMBER(AC487),AC487&gt;0,AC487&lt;1),AC487*100,AC487)/100)</f>
        <v/>
      </c>
      <c r="Z487" s="5">
        <f>IF(D487="","",AB487*AA487/100)</f>
        <v/>
      </c>
      <c r="AA487" s="5">
        <f>IF(D487="","",X487-Y487)</f>
        <v/>
      </c>
      <c r="AD487" s="5">
        <f>IF(D487="","",AA487-Z487)</f>
        <v/>
      </c>
      <c r="AG487">
        <f>IF(D487="","",N(AG486)+IF(MATCH(D487,$D$2:$D$3001,0)=ROW()-1,1,0))</f>
        <v/>
      </c>
    </row>
    <row r="488">
      <c r="Y488" s="5">
        <f>IF(D488="","",X488*IF(AND(ISNUMBER(AC488),AC488&gt;0,AC488&lt;1),AC488*100,AC488)/100)</f>
        <v/>
      </c>
      <c r="Z488" s="5">
        <f>IF(D488="","",AB488*AA488/100)</f>
        <v/>
      </c>
      <c r="AA488" s="5">
        <f>IF(D488="","",X488-Y488)</f>
        <v/>
      </c>
      <c r="AD488" s="5">
        <f>IF(D488="","",AA488-Z488)</f>
        <v/>
      </c>
      <c r="AG488">
        <f>IF(D488="","",N(AG487)+IF(MATCH(D488,$D$2:$D$3001,0)=ROW()-1,1,0))</f>
        <v/>
      </c>
    </row>
    <row r="489">
      <c r="Y489" s="5">
        <f>IF(D489="","",X489*IF(AND(ISNUMBER(AC489),AC489&gt;0,AC489&lt;1),AC489*100,AC489)/100)</f>
        <v/>
      </c>
      <c r="Z489" s="5">
        <f>IF(D489="","",AB489*AA489/100)</f>
        <v/>
      </c>
      <c r="AA489" s="5">
        <f>IF(D489="","",X489-Y489)</f>
        <v/>
      </c>
      <c r="AD489" s="5">
        <f>IF(D489="","",AA489-Z489)</f>
        <v/>
      </c>
      <c r="AG489">
        <f>IF(D489="","",N(AG488)+IF(MATCH(D489,$D$2:$D$3001,0)=ROW()-1,1,0))</f>
        <v/>
      </c>
    </row>
    <row r="490">
      <c r="Y490" s="5">
        <f>IF(D490="","",X490*IF(AND(ISNUMBER(AC490),AC490&gt;0,AC490&lt;1),AC490*100,AC490)/100)</f>
        <v/>
      </c>
      <c r="Z490" s="5">
        <f>IF(D490="","",AB490*AA490/100)</f>
        <v/>
      </c>
      <c r="AA490" s="5">
        <f>IF(D490="","",X490-Y490)</f>
        <v/>
      </c>
      <c r="AD490" s="5">
        <f>IF(D490="","",AA490-Z490)</f>
        <v/>
      </c>
      <c r="AG490">
        <f>IF(D490="","",N(AG489)+IF(MATCH(D490,$D$2:$D$3001,0)=ROW()-1,1,0))</f>
        <v/>
      </c>
    </row>
    <row r="491">
      <c r="Y491" s="5">
        <f>IF(D491="","",X491*IF(AND(ISNUMBER(AC491),AC491&gt;0,AC491&lt;1),AC491*100,AC491)/100)</f>
        <v/>
      </c>
      <c r="Z491" s="5">
        <f>IF(D491="","",AB491*AA491/100)</f>
        <v/>
      </c>
      <c r="AA491" s="5">
        <f>IF(D491="","",X491-Y491)</f>
        <v/>
      </c>
      <c r="AD491" s="5">
        <f>IF(D491="","",AA491-Z491)</f>
        <v/>
      </c>
      <c r="AG491">
        <f>IF(D491="","",N(AG490)+IF(MATCH(D491,$D$2:$D$3001,0)=ROW()-1,1,0))</f>
        <v/>
      </c>
    </row>
    <row r="492">
      <c r="Y492" s="5">
        <f>IF(D492="","",X492*IF(AND(ISNUMBER(AC492),AC492&gt;0,AC492&lt;1),AC492*100,AC492)/100)</f>
        <v/>
      </c>
      <c r="Z492" s="5">
        <f>IF(D492="","",AB492*AA492/100)</f>
        <v/>
      </c>
      <c r="AA492" s="5">
        <f>IF(D492="","",X492-Y492)</f>
        <v/>
      </c>
      <c r="AD492" s="5">
        <f>IF(D492="","",AA492-Z492)</f>
        <v/>
      </c>
      <c r="AG492">
        <f>IF(D492="","",N(AG491)+IF(MATCH(D492,$D$2:$D$3001,0)=ROW()-1,1,0))</f>
        <v/>
      </c>
    </row>
    <row r="493">
      <c r="Y493" s="5">
        <f>IF(D493="","",X493*IF(AND(ISNUMBER(AC493),AC493&gt;0,AC493&lt;1),AC493*100,AC493)/100)</f>
        <v/>
      </c>
      <c r="Z493" s="5">
        <f>IF(D493="","",AB493*AA493/100)</f>
        <v/>
      </c>
      <c r="AA493" s="5">
        <f>IF(D493="","",X493-Y493)</f>
        <v/>
      </c>
      <c r="AD493" s="5">
        <f>IF(D493="","",AA493-Z493)</f>
        <v/>
      </c>
      <c r="AG493">
        <f>IF(D493="","",N(AG492)+IF(MATCH(D493,$D$2:$D$3001,0)=ROW()-1,1,0))</f>
        <v/>
      </c>
    </row>
    <row r="494">
      <c r="Y494" s="5">
        <f>IF(D494="","",X494*IF(AND(ISNUMBER(AC494),AC494&gt;0,AC494&lt;1),AC494*100,AC494)/100)</f>
        <v/>
      </c>
      <c r="Z494" s="5">
        <f>IF(D494="","",AB494*AA494/100)</f>
        <v/>
      </c>
      <c r="AA494" s="5">
        <f>IF(D494="","",X494-Y494)</f>
        <v/>
      </c>
      <c r="AD494" s="5">
        <f>IF(D494="","",AA494-Z494)</f>
        <v/>
      </c>
      <c r="AG494">
        <f>IF(D494="","",N(AG493)+IF(MATCH(D494,$D$2:$D$3001,0)=ROW()-1,1,0))</f>
        <v/>
      </c>
    </row>
    <row r="495">
      <c r="Y495" s="5">
        <f>IF(D495="","",X495*IF(AND(ISNUMBER(AC495),AC495&gt;0,AC495&lt;1),AC495*100,AC495)/100)</f>
        <v/>
      </c>
      <c r="Z495" s="5">
        <f>IF(D495="","",AB495*AA495/100)</f>
        <v/>
      </c>
      <c r="AA495" s="5">
        <f>IF(D495="","",X495-Y495)</f>
        <v/>
      </c>
      <c r="AD495" s="5">
        <f>IF(D495="","",AA495-Z495)</f>
        <v/>
      </c>
      <c r="AG495">
        <f>IF(D495="","",N(AG494)+IF(MATCH(D495,$D$2:$D$3001,0)=ROW()-1,1,0))</f>
        <v/>
      </c>
    </row>
    <row r="496">
      <c r="Y496" s="5">
        <f>IF(D496="","",X496*IF(AND(ISNUMBER(AC496),AC496&gt;0,AC496&lt;1),AC496*100,AC496)/100)</f>
        <v/>
      </c>
      <c r="Z496" s="5">
        <f>IF(D496="","",AB496*AA496/100)</f>
        <v/>
      </c>
      <c r="AA496" s="5">
        <f>IF(D496="","",X496-Y496)</f>
        <v/>
      </c>
      <c r="AD496" s="5">
        <f>IF(D496="","",AA496-Z496)</f>
        <v/>
      </c>
      <c r="AG496">
        <f>IF(D496="","",N(AG495)+IF(MATCH(D496,$D$2:$D$3001,0)=ROW()-1,1,0))</f>
        <v/>
      </c>
    </row>
    <row r="497">
      <c r="Y497" s="5">
        <f>IF(D497="","",X497*IF(AND(ISNUMBER(AC497),AC497&gt;0,AC497&lt;1),AC497*100,AC497)/100)</f>
        <v/>
      </c>
      <c r="Z497" s="5">
        <f>IF(D497="","",AB497*AA497/100)</f>
        <v/>
      </c>
      <c r="AA497" s="5">
        <f>IF(D497="","",X497-Y497)</f>
        <v/>
      </c>
      <c r="AD497" s="5">
        <f>IF(D497="","",AA497-Z497)</f>
        <v/>
      </c>
      <c r="AG497">
        <f>IF(D497="","",N(AG496)+IF(MATCH(D497,$D$2:$D$3001,0)=ROW()-1,1,0))</f>
        <v/>
      </c>
    </row>
    <row r="498">
      <c r="Y498" s="5">
        <f>IF(D498="","",X498*IF(AND(ISNUMBER(AC498),AC498&gt;0,AC498&lt;1),AC498*100,AC498)/100)</f>
        <v/>
      </c>
      <c r="Z498" s="5">
        <f>IF(D498="","",AB498*AA498/100)</f>
        <v/>
      </c>
      <c r="AA498" s="5">
        <f>IF(D498="","",X498-Y498)</f>
        <v/>
      </c>
      <c r="AD498" s="5">
        <f>IF(D498="","",AA498-Z498)</f>
        <v/>
      </c>
      <c r="AG498">
        <f>IF(D498="","",N(AG497)+IF(MATCH(D498,$D$2:$D$3001,0)=ROW()-1,1,0))</f>
        <v/>
      </c>
    </row>
    <row r="499">
      <c r="Y499" s="5">
        <f>IF(D499="","",X499*IF(AND(ISNUMBER(AC499),AC499&gt;0,AC499&lt;1),AC499*100,AC499)/100)</f>
        <v/>
      </c>
      <c r="Z499" s="5">
        <f>IF(D499="","",AB499*AA499/100)</f>
        <v/>
      </c>
      <c r="AA499" s="5">
        <f>IF(D499="","",X499-Y499)</f>
        <v/>
      </c>
      <c r="AD499" s="5">
        <f>IF(D499="","",AA499-Z499)</f>
        <v/>
      </c>
      <c r="AG499">
        <f>IF(D499="","",N(AG498)+IF(MATCH(D499,$D$2:$D$3001,0)=ROW()-1,1,0))</f>
        <v/>
      </c>
    </row>
    <row r="500">
      <c r="Y500" s="5">
        <f>IF(D500="","",X500*IF(AND(ISNUMBER(AC500),AC500&gt;0,AC500&lt;1),AC500*100,AC500)/100)</f>
        <v/>
      </c>
      <c r="Z500" s="5">
        <f>IF(D500="","",AB500*AA500/100)</f>
        <v/>
      </c>
      <c r="AA500" s="5">
        <f>IF(D500="","",X500-Y500)</f>
        <v/>
      </c>
      <c r="AD500" s="5">
        <f>IF(D500="","",AA500-Z500)</f>
        <v/>
      </c>
      <c r="AG500">
        <f>IF(D500="","",N(AG499)+IF(MATCH(D500,$D$2:$D$3001,0)=ROW()-1,1,0))</f>
        <v/>
      </c>
    </row>
    <row r="501">
      <c r="Y501" s="5">
        <f>IF(D501="","",X501*IF(AND(ISNUMBER(AC501),AC501&gt;0,AC501&lt;1),AC501*100,AC501)/100)</f>
        <v/>
      </c>
      <c r="Z501" s="5">
        <f>IF(D501="","",AB501*AA501/100)</f>
        <v/>
      </c>
      <c r="AA501" s="5">
        <f>IF(D501="","",X501-Y501)</f>
        <v/>
      </c>
      <c r="AD501" s="5">
        <f>IF(D501="","",AA501-Z501)</f>
        <v/>
      </c>
      <c r="AG501">
        <f>IF(D501="","",N(AG500)+IF(MATCH(D501,$D$2:$D$3001,0)=ROW()-1,1,0))</f>
        <v/>
      </c>
    </row>
    <row r="502">
      <c r="Y502" s="5">
        <f>IF(D502="","",X502*IF(AND(ISNUMBER(AC502),AC502&gt;0,AC502&lt;1),AC502*100,AC502)/100)</f>
        <v/>
      </c>
      <c r="Z502" s="5">
        <f>IF(D502="","",AB502*AA502/100)</f>
        <v/>
      </c>
      <c r="AA502" s="5">
        <f>IF(D502="","",X502-Y502)</f>
        <v/>
      </c>
      <c r="AD502" s="5">
        <f>IF(D502="","",AA502-Z502)</f>
        <v/>
      </c>
      <c r="AG502">
        <f>IF(D502="","",N(AG501)+IF(MATCH(D502,$D$2:$D$3001,0)=ROW()-1,1,0))</f>
        <v/>
      </c>
    </row>
    <row r="503">
      <c r="Y503" s="5">
        <f>IF(D503="","",X503*IF(AND(ISNUMBER(AC503),AC503&gt;0,AC503&lt;1),AC503*100,AC503)/100)</f>
        <v/>
      </c>
      <c r="Z503" s="5">
        <f>IF(D503="","",AB503*AA503/100)</f>
        <v/>
      </c>
      <c r="AA503" s="5">
        <f>IF(D503="","",X503-Y503)</f>
        <v/>
      </c>
      <c r="AD503" s="5">
        <f>IF(D503="","",AA503-Z503)</f>
        <v/>
      </c>
      <c r="AG503">
        <f>IF(D503="","",N(AG502)+IF(MATCH(D503,$D$2:$D$3001,0)=ROW()-1,1,0))</f>
        <v/>
      </c>
    </row>
    <row r="504">
      <c r="Y504" s="5">
        <f>IF(D504="","",X504*IF(AND(ISNUMBER(AC504),AC504&gt;0,AC504&lt;1),AC504*100,AC504)/100)</f>
        <v/>
      </c>
      <c r="Z504" s="5">
        <f>IF(D504="","",AB504*AA504/100)</f>
        <v/>
      </c>
      <c r="AA504" s="5">
        <f>IF(D504="","",X504-Y504)</f>
        <v/>
      </c>
      <c r="AD504" s="5">
        <f>IF(D504="","",AA504-Z504)</f>
        <v/>
      </c>
      <c r="AG504">
        <f>IF(D504="","",N(AG503)+IF(MATCH(D504,$D$2:$D$3001,0)=ROW()-1,1,0))</f>
        <v/>
      </c>
    </row>
    <row r="505">
      <c r="Y505" s="5">
        <f>IF(D505="","",X505*IF(AND(ISNUMBER(AC505),AC505&gt;0,AC505&lt;1),AC505*100,AC505)/100)</f>
        <v/>
      </c>
      <c r="Z505" s="5">
        <f>IF(D505="","",AB505*AA505/100)</f>
        <v/>
      </c>
      <c r="AA505" s="5">
        <f>IF(D505="","",X505-Y505)</f>
        <v/>
      </c>
      <c r="AD505" s="5">
        <f>IF(D505="","",AA505-Z505)</f>
        <v/>
      </c>
      <c r="AG505">
        <f>IF(D505="","",N(AG504)+IF(MATCH(D505,$D$2:$D$3001,0)=ROW()-1,1,0))</f>
        <v/>
      </c>
    </row>
    <row r="506">
      <c r="Y506" s="5">
        <f>IF(D506="","",X506*IF(AND(ISNUMBER(AC506),AC506&gt;0,AC506&lt;1),AC506*100,AC506)/100)</f>
        <v/>
      </c>
      <c r="Z506" s="5">
        <f>IF(D506="","",AB506*AA506/100)</f>
        <v/>
      </c>
      <c r="AA506" s="5">
        <f>IF(D506="","",X506-Y506)</f>
        <v/>
      </c>
      <c r="AD506" s="5">
        <f>IF(D506="","",AA506-Z506)</f>
        <v/>
      </c>
      <c r="AG506">
        <f>IF(D506="","",N(AG505)+IF(MATCH(D506,$D$2:$D$3001,0)=ROW()-1,1,0))</f>
        <v/>
      </c>
    </row>
    <row r="507">
      <c r="Y507" s="5">
        <f>IF(D507="","",X507*IF(AND(ISNUMBER(AC507),AC507&gt;0,AC507&lt;1),AC507*100,AC507)/100)</f>
        <v/>
      </c>
      <c r="Z507" s="5">
        <f>IF(D507="","",AB507*AA507/100)</f>
        <v/>
      </c>
      <c r="AA507" s="5">
        <f>IF(D507="","",X507-Y507)</f>
        <v/>
      </c>
      <c r="AD507" s="5">
        <f>IF(D507="","",AA507-Z507)</f>
        <v/>
      </c>
      <c r="AG507">
        <f>IF(D507="","",N(AG506)+IF(MATCH(D507,$D$2:$D$3001,0)=ROW()-1,1,0))</f>
        <v/>
      </c>
    </row>
    <row r="508">
      <c r="Y508" s="5">
        <f>IF(D508="","",X508*IF(AND(ISNUMBER(AC508),AC508&gt;0,AC508&lt;1),AC508*100,AC508)/100)</f>
        <v/>
      </c>
      <c r="Z508" s="5">
        <f>IF(D508="","",AB508*AA508/100)</f>
        <v/>
      </c>
      <c r="AA508" s="5">
        <f>IF(D508="","",X508-Y508)</f>
        <v/>
      </c>
      <c r="AD508" s="5">
        <f>IF(D508="","",AA508-Z508)</f>
        <v/>
      </c>
      <c r="AG508">
        <f>IF(D508="","",N(AG507)+IF(MATCH(D508,$D$2:$D$3001,0)=ROW()-1,1,0))</f>
        <v/>
      </c>
    </row>
    <row r="509">
      <c r="Y509" s="5">
        <f>IF(D509="","",X509*IF(AND(ISNUMBER(AC509),AC509&gt;0,AC509&lt;1),AC509*100,AC509)/100)</f>
        <v/>
      </c>
      <c r="Z509" s="5">
        <f>IF(D509="","",AB509*AA509/100)</f>
        <v/>
      </c>
      <c r="AA509" s="5">
        <f>IF(D509="","",X509-Y509)</f>
        <v/>
      </c>
      <c r="AD509" s="5">
        <f>IF(D509="","",AA509-Z509)</f>
        <v/>
      </c>
      <c r="AG509">
        <f>IF(D509="","",N(AG508)+IF(MATCH(D509,$D$2:$D$3001,0)=ROW()-1,1,0))</f>
        <v/>
      </c>
    </row>
    <row r="510">
      <c r="Y510" s="5">
        <f>IF(D510="","",X510*IF(AND(ISNUMBER(AC510),AC510&gt;0,AC510&lt;1),AC510*100,AC510)/100)</f>
        <v/>
      </c>
      <c r="Z510" s="5">
        <f>IF(D510="","",AB510*AA510/100)</f>
        <v/>
      </c>
      <c r="AA510" s="5">
        <f>IF(D510="","",X510-Y510)</f>
        <v/>
      </c>
      <c r="AD510" s="5">
        <f>IF(D510="","",AA510-Z510)</f>
        <v/>
      </c>
      <c r="AG510">
        <f>IF(D510="","",N(AG509)+IF(MATCH(D510,$D$2:$D$3001,0)=ROW()-1,1,0))</f>
        <v/>
      </c>
    </row>
    <row r="511">
      <c r="Y511" s="5">
        <f>IF(D511="","",X511*IF(AND(ISNUMBER(AC511),AC511&gt;0,AC511&lt;1),AC511*100,AC511)/100)</f>
        <v/>
      </c>
      <c r="Z511" s="5">
        <f>IF(D511="","",AB511*AA511/100)</f>
        <v/>
      </c>
      <c r="AA511" s="5">
        <f>IF(D511="","",X511-Y511)</f>
        <v/>
      </c>
      <c r="AD511" s="5">
        <f>IF(D511="","",AA511-Z511)</f>
        <v/>
      </c>
      <c r="AG511">
        <f>IF(D511="","",N(AG510)+IF(MATCH(D511,$D$2:$D$3001,0)=ROW()-1,1,0))</f>
        <v/>
      </c>
    </row>
    <row r="512">
      <c r="Y512" s="5">
        <f>IF(D512="","",X512*IF(AND(ISNUMBER(AC512),AC512&gt;0,AC512&lt;1),AC512*100,AC512)/100)</f>
        <v/>
      </c>
      <c r="Z512" s="5">
        <f>IF(D512="","",AB512*AA512/100)</f>
        <v/>
      </c>
      <c r="AA512" s="5">
        <f>IF(D512="","",X512-Y512)</f>
        <v/>
      </c>
      <c r="AD512" s="5">
        <f>IF(D512="","",AA512-Z512)</f>
        <v/>
      </c>
      <c r="AG512">
        <f>IF(D512="","",N(AG511)+IF(MATCH(D512,$D$2:$D$3001,0)=ROW()-1,1,0))</f>
        <v/>
      </c>
    </row>
    <row r="513">
      <c r="Y513" s="5">
        <f>IF(D513="","",X513*IF(AND(ISNUMBER(AC513),AC513&gt;0,AC513&lt;1),AC513*100,AC513)/100)</f>
        <v/>
      </c>
      <c r="Z513" s="5">
        <f>IF(D513="","",AB513*AA513/100)</f>
        <v/>
      </c>
      <c r="AA513" s="5">
        <f>IF(D513="","",X513-Y513)</f>
        <v/>
      </c>
      <c r="AD513" s="5">
        <f>IF(D513="","",AA513-Z513)</f>
        <v/>
      </c>
      <c r="AG513">
        <f>IF(D513="","",N(AG512)+IF(MATCH(D513,$D$2:$D$3001,0)=ROW()-1,1,0))</f>
        <v/>
      </c>
    </row>
    <row r="514">
      <c r="Y514" s="5">
        <f>IF(D514="","",X514*IF(AND(ISNUMBER(AC514),AC514&gt;0,AC514&lt;1),AC514*100,AC514)/100)</f>
        <v/>
      </c>
      <c r="Z514" s="5">
        <f>IF(D514="","",AB514*AA514/100)</f>
        <v/>
      </c>
      <c r="AA514" s="5">
        <f>IF(D514="","",X514-Y514)</f>
        <v/>
      </c>
      <c r="AD514" s="5">
        <f>IF(D514="","",AA514-Z514)</f>
        <v/>
      </c>
      <c r="AG514">
        <f>IF(D514="","",N(AG513)+IF(MATCH(D514,$D$2:$D$3001,0)=ROW()-1,1,0))</f>
        <v/>
      </c>
    </row>
    <row r="515">
      <c r="Y515" s="5">
        <f>IF(D515="","",X515*IF(AND(ISNUMBER(AC515),AC515&gt;0,AC515&lt;1),AC515*100,AC515)/100)</f>
        <v/>
      </c>
      <c r="Z515" s="5">
        <f>IF(D515="","",AB515*AA515/100)</f>
        <v/>
      </c>
      <c r="AA515" s="5">
        <f>IF(D515="","",X515-Y515)</f>
        <v/>
      </c>
      <c r="AD515" s="5">
        <f>IF(D515="","",AA515-Z515)</f>
        <v/>
      </c>
      <c r="AG515">
        <f>IF(D515="","",N(AG514)+IF(MATCH(D515,$D$2:$D$3001,0)=ROW()-1,1,0))</f>
        <v/>
      </c>
    </row>
    <row r="516">
      <c r="Y516" s="5">
        <f>IF(D516="","",X516*IF(AND(ISNUMBER(AC516),AC516&gt;0,AC516&lt;1),AC516*100,AC516)/100)</f>
        <v/>
      </c>
      <c r="Z516" s="5">
        <f>IF(D516="","",AB516*AA516/100)</f>
        <v/>
      </c>
      <c r="AA516" s="5">
        <f>IF(D516="","",X516-Y516)</f>
        <v/>
      </c>
      <c r="AD516" s="5">
        <f>IF(D516="","",AA516-Z516)</f>
        <v/>
      </c>
      <c r="AG516">
        <f>IF(D516="","",N(AG515)+IF(MATCH(D516,$D$2:$D$3001,0)=ROW()-1,1,0))</f>
        <v/>
      </c>
    </row>
    <row r="517">
      <c r="Y517" s="5">
        <f>IF(D517="","",X517*IF(AND(ISNUMBER(AC517),AC517&gt;0,AC517&lt;1),AC517*100,AC517)/100)</f>
        <v/>
      </c>
      <c r="Z517" s="5">
        <f>IF(D517="","",AB517*AA517/100)</f>
        <v/>
      </c>
      <c r="AA517" s="5">
        <f>IF(D517="","",X517-Y517)</f>
        <v/>
      </c>
      <c r="AD517" s="5">
        <f>IF(D517="","",AA517-Z517)</f>
        <v/>
      </c>
      <c r="AG517">
        <f>IF(D517="","",N(AG516)+IF(MATCH(D517,$D$2:$D$3001,0)=ROW()-1,1,0))</f>
        <v/>
      </c>
    </row>
    <row r="518">
      <c r="Y518" s="5">
        <f>IF(D518="","",X518*IF(AND(ISNUMBER(AC518),AC518&gt;0,AC518&lt;1),AC518*100,AC518)/100)</f>
        <v/>
      </c>
      <c r="Z518" s="5">
        <f>IF(D518="","",AB518*AA518/100)</f>
        <v/>
      </c>
      <c r="AA518" s="5">
        <f>IF(D518="","",X518-Y518)</f>
        <v/>
      </c>
      <c r="AD518" s="5">
        <f>IF(D518="","",AA518-Z518)</f>
        <v/>
      </c>
      <c r="AG518">
        <f>IF(D518="","",N(AG517)+IF(MATCH(D518,$D$2:$D$3001,0)=ROW()-1,1,0))</f>
        <v/>
      </c>
    </row>
    <row r="519">
      <c r="Y519" s="5">
        <f>IF(D519="","",X519*IF(AND(ISNUMBER(AC519),AC519&gt;0,AC519&lt;1),AC519*100,AC519)/100)</f>
        <v/>
      </c>
      <c r="Z519" s="5">
        <f>IF(D519="","",AB519*AA519/100)</f>
        <v/>
      </c>
      <c r="AA519" s="5">
        <f>IF(D519="","",X519-Y519)</f>
        <v/>
      </c>
      <c r="AD519" s="5">
        <f>IF(D519="","",AA519-Z519)</f>
        <v/>
      </c>
      <c r="AG519">
        <f>IF(D519="","",N(AG518)+IF(MATCH(D519,$D$2:$D$3001,0)=ROW()-1,1,0))</f>
        <v/>
      </c>
    </row>
    <row r="520">
      <c r="Y520" s="5">
        <f>IF(D520="","",X520*IF(AND(ISNUMBER(AC520),AC520&gt;0,AC520&lt;1),AC520*100,AC520)/100)</f>
        <v/>
      </c>
      <c r="Z520" s="5">
        <f>IF(D520="","",AB520*AA520/100)</f>
        <v/>
      </c>
      <c r="AA520" s="5">
        <f>IF(D520="","",X520-Y520)</f>
        <v/>
      </c>
      <c r="AD520" s="5">
        <f>IF(D520="","",AA520-Z520)</f>
        <v/>
      </c>
      <c r="AG520">
        <f>IF(D520="","",N(AG519)+IF(MATCH(D520,$D$2:$D$3001,0)=ROW()-1,1,0))</f>
        <v/>
      </c>
    </row>
    <row r="521">
      <c r="Y521" s="5">
        <f>IF(D521="","",X521*IF(AND(ISNUMBER(AC521),AC521&gt;0,AC521&lt;1),AC521*100,AC521)/100)</f>
        <v/>
      </c>
      <c r="Z521" s="5">
        <f>IF(D521="","",AB521*AA521/100)</f>
        <v/>
      </c>
      <c r="AA521" s="5">
        <f>IF(D521="","",X521-Y521)</f>
        <v/>
      </c>
      <c r="AD521" s="5">
        <f>IF(D521="","",AA521-Z521)</f>
        <v/>
      </c>
      <c r="AG521">
        <f>IF(D521="","",N(AG520)+IF(MATCH(D521,$D$2:$D$3001,0)=ROW()-1,1,0))</f>
        <v/>
      </c>
    </row>
    <row r="522">
      <c r="Y522" s="5">
        <f>IF(D522="","",X522*IF(AND(ISNUMBER(AC522),AC522&gt;0,AC522&lt;1),AC522*100,AC522)/100)</f>
        <v/>
      </c>
      <c r="Z522" s="5">
        <f>IF(D522="","",AB522*AA522/100)</f>
        <v/>
      </c>
      <c r="AA522" s="5">
        <f>IF(D522="","",X522-Y522)</f>
        <v/>
      </c>
      <c r="AD522" s="5">
        <f>IF(D522="","",AA522-Z522)</f>
        <v/>
      </c>
      <c r="AG522">
        <f>IF(D522="","",N(AG521)+IF(MATCH(D522,$D$2:$D$3001,0)=ROW()-1,1,0))</f>
        <v/>
      </c>
    </row>
    <row r="523">
      <c r="Y523" s="5">
        <f>IF(D523="","",X523*IF(AND(ISNUMBER(AC523),AC523&gt;0,AC523&lt;1),AC523*100,AC523)/100)</f>
        <v/>
      </c>
      <c r="Z523" s="5">
        <f>IF(D523="","",AB523*AA523/100)</f>
        <v/>
      </c>
      <c r="AA523" s="5">
        <f>IF(D523="","",X523-Y523)</f>
        <v/>
      </c>
      <c r="AD523" s="5">
        <f>IF(D523="","",AA523-Z523)</f>
        <v/>
      </c>
      <c r="AG523">
        <f>IF(D523="","",N(AG522)+IF(MATCH(D523,$D$2:$D$3001,0)=ROW()-1,1,0))</f>
        <v/>
      </c>
    </row>
    <row r="524">
      <c r="Y524" s="5">
        <f>IF(D524="","",X524*IF(AND(ISNUMBER(AC524),AC524&gt;0,AC524&lt;1),AC524*100,AC524)/100)</f>
        <v/>
      </c>
      <c r="Z524" s="5">
        <f>IF(D524="","",AB524*AA524/100)</f>
        <v/>
      </c>
      <c r="AA524" s="5">
        <f>IF(D524="","",X524-Y524)</f>
        <v/>
      </c>
      <c r="AD524" s="5">
        <f>IF(D524="","",AA524-Z524)</f>
        <v/>
      </c>
      <c r="AG524">
        <f>IF(D524="","",N(AG523)+IF(MATCH(D524,$D$2:$D$3001,0)=ROW()-1,1,0))</f>
        <v/>
      </c>
    </row>
    <row r="525">
      <c r="Y525" s="5">
        <f>IF(D525="","",X525*IF(AND(ISNUMBER(AC525),AC525&gt;0,AC525&lt;1),AC525*100,AC525)/100)</f>
        <v/>
      </c>
      <c r="Z525" s="5">
        <f>IF(D525="","",AB525*AA525/100)</f>
        <v/>
      </c>
      <c r="AA525" s="5">
        <f>IF(D525="","",X525-Y525)</f>
        <v/>
      </c>
      <c r="AD525" s="5">
        <f>IF(D525="","",AA525-Z525)</f>
        <v/>
      </c>
      <c r="AG525">
        <f>IF(D525="","",N(AG524)+IF(MATCH(D525,$D$2:$D$3001,0)=ROW()-1,1,0))</f>
        <v/>
      </c>
    </row>
    <row r="526">
      <c r="Y526" s="5">
        <f>IF(D526="","",X526*IF(AND(ISNUMBER(AC526),AC526&gt;0,AC526&lt;1),AC526*100,AC526)/100)</f>
        <v/>
      </c>
      <c r="Z526" s="5">
        <f>IF(D526="","",AB526*AA526/100)</f>
        <v/>
      </c>
      <c r="AA526" s="5">
        <f>IF(D526="","",X526-Y526)</f>
        <v/>
      </c>
      <c r="AD526" s="5">
        <f>IF(D526="","",AA526-Z526)</f>
        <v/>
      </c>
      <c r="AG526">
        <f>IF(D526="","",N(AG525)+IF(MATCH(D526,$D$2:$D$3001,0)=ROW()-1,1,0))</f>
        <v/>
      </c>
    </row>
    <row r="527">
      <c r="Y527" s="5">
        <f>IF(D527="","",X527*IF(AND(ISNUMBER(AC527),AC527&gt;0,AC527&lt;1),AC527*100,AC527)/100)</f>
        <v/>
      </c>
      <c r="Z527" s="5">
        <f>IF(D527="","",AB527*AA527/100)</f>
        <v/>
      </c>
      <c r="AA527" s="5">
        <f>IF(D527="","",X527-Y527)</f>
        <v/>
      </c>
      <c r="AD527" s="5">
        <f>IF(D527="","",AA527-Z527)</f>
        <v/>
      </c>
      <c r="AG527">
        <f>IF(D527="","",N(AG526)+IF(MATCH(D527,$D$2:$D$3001,0)=ROW()-1,1,0))</f>
        <v/>
      </c>
    </row>
    <row r="528">
      <c r="Y528" s="5">
        <f>IF(D528="","",X528*IF(AND(ISNUMBER(AC528),AC528&gt;0,AC528&lt;1),AC528*100,AC528)/100)</f>
        <v/>
      </c>
      <c r="Z528" s="5">
        <f>IF(D528="","",AB528*AA528/100)</f>
        <v/>
      </c>
      <c r="AA528" s="5">
        <f>IF(D528="","",X528-Y528)</f>
        <v/>
      </c>
      <c r="AD528" s="5">
        <f>IF(D528="","",AA528-Z528)</f>
        <v/>
      </c>
      <c r="AG528">
        <f>IF(D528="","",N(AG527)+IF(MATCH(D528,$D$2:$D$3001,0)=ROW()-1,1,0))</f>
        <v/>
      </c>
    </row>
    <row r="529">
      <c r="Y529" s="5">
        <f>IF(D529="","",X529*IF(AND(ISNUMBER(AC529),AC529&gt;0,AC529&lt;1),AC529*100,AC529)/100)</f>
        <v/>
      </c>
      <c r="Z529" s="5">
        <f>IF(D529="","",AB529*AA529/100)</f>
        <v/>
      </c>
      <c r="AA529" s="5">
        <f>IF(D529="","",X529-Y529)</f>
        <v/>
      </c>
      <c r="AD529" s="5">
        <f>IF(D529="","",AA529-Z529)</f>
        <v/>
      </c>
      <c r="AG529">
        <f>IF(D529="","",N(AG528)+IF(MATCH(D529,$D$2:$D$3001,0)=ROW()-1,1,0))</f>
        <v/>
      </c>
    </row>
    <row r="530">
      <c r="Y530" s="5">
        <f>IF(D530="","",X530*IF(AND(ISNUMBER(AC530),AC530&gt;0,AC530&lt;1),AC530*100,AC530)/100)</f>
        <v/>
      </c>
      <c r="Z530" s="5">
        <f>IF(D530="","",AB530*AA530/100)</f>
        <v/>
      </c>
      <c r="AA530" s="5">
        <f>IF(D530="","",X530-Y530)</f>
        <v/>
      </c>
      <c r="AD530" s="5">
        <f>IF(D530="","",AA530-Z530)</f>
        <v/>
      </c>
      <c r="AG530">
        <f>IF(D530="","",N(AG529)+IF(MATCH(D530,$D$2:$D$3001,0)=ROW()-1,1,0))</f>
        <v/>
      </c>
    </row>
    <row r="531">
      <c r="Y531" s="5">
        <f>IF(D531="","",X531*IF(AND(ISNUMBER(AC531),AC531&gt;0,AC531&lt;1),AC531*100,AC531)/100)</f>
        <v/>
      </c>
      <c r="Z531" s="5">
        <f>IF(D531="","",AB531*AA531/100)</f>
        <v/>
      </c>
      <c r="AA531" s="5">
        <f>IF(D531="","",X531-Y531)</f>
        <v/>
      </c>
      <c r="AD531" s="5">
        <f>IF(D531="","",AA531-Z531)</f>
        <v/>
      </c>
      <c r="AG531">
        <f>IF(D531="","",N(AG530)+IF(MATCH(D531,$D$2:$D$3001,0)=ROW()-1,1,0))</f>
        <v/>
      </c>
    </row>
    <row r="532">
      <c r="Y532" s="5">
        <f>IF(D532="","",X532*IF(AND(ISNUMBER(AC532),AC532&gt;0,AC532&lt;1),AC532*100,AC532)/100)</f>
        <v/>
      </c>
      <c r="Z532" s="5">
        <f>IF(D532="","",AB532*AA532/100)</f>
        <v/>
      </c>
      <c r="AA532" s="5">
        <f>IF(D532="","",X532-Y532)</f>
        <v/>
      </c>
      <c r="AD532" s="5">
        <f>IF(D532="","",AA532-Z532)</f>
        <v/>
      </c>
      <c r="AG532">
        <f>IF(D532="","",N(AG531)+IF(MATCH(D532,$D$2:$D$3001,0)=ROW()-1,1,0))</f>
        <v/>
      </c>
    </row>
    <row r="533">
      <c r="Y533" s="5">
        <f>IF(D533="","",X533*IF(AND(ISNUMBER(AC533),AC533&gt;0,AC533&lt;1),AC533*100,AC533)/100)</f>
        <v/>
      </c>
      <c r="Z533" s="5">
        <f>IF(D533="","",AB533*AA533/100)</f>
        <v/>
      </c>
      <c r="AA533" s="5">
        <f>IF(D533="","",X533-Y533)</f>
        <v/>
      </c>
      <c r="AD533" s="5">
        <f>IF(D533="","",AA533-Z533)</f>
        <v/>
      </c>
      <c r="AG533">
        <f>IF(D533="","",N(AG532)+IF(MATCH(D533,$D$2:$D$3001,0)=ROW()-1,1,0))</f>
        <v/>
      </c>
    </row>
    <row r="534">
      <c r="Y534" s="5">
        <f>IF(D534="","",X534*IF(AND(ISNUMBER(AC534),AC534&gt;0,AC534&lt;1),AC534*100,AC534)/100)</f>
        <v/>
      </c>
      <c r="Z534" s="5">
        <f>IF(D534="","",AB534*AA534/100)</f>
        <v/>
      </c>
      <c r="AA534" s="5">
        <f>IF(D534="","",X534-Y534)</f>
        <v/>
      </c>
      <c r="AD534" s="5">
        <f>IF(D534="","",AA534-Z534)</f>
        <v/>
      </c>
      <c r="AG534">
        <f>IF(D534="","",N(AG533)+IF(MATCH(D534,$D$2:$D$3001,0)=ROW()-1,1,0))</f>
        <v/>
      </c>
    </row>
    <row r="535">
      <c r="Y535" s="5">
        <f>IF(D535="","",X535*IF(AND(ISNUMBER(AC535),AC535&gt;0,AC535&lt;1),AC535*100,AC535)/100)</f>
        <v/>
      </c>
      <c r="Z535" s="5">
        <f>IF(D535="","",AB535*AA535/100)</f>
        <v/>
      </c>
      <c r="AA535" s="5">
        <f>IF(D535="","",X535-Y535)</f>
        <v/>
      </c>
      <c r="AD535" s="5">
        <f>IF(D535="","",AA535-Z535)</f>
        <v/>
      </c>
      <c r="AG535">
        <f>IF(D535="","",N(AG534)+IF(MATCH(D535,$D$2:$D$3001,0)=ROW()-1,1,0))</f>
        <v/>
      </c>
    </row>
    <row r="536">
      <c r="Y536" s="5">
        <f>IF(D536="","",X536*IF(AND(ISNUMBER(AC536),AC536&gt;0,AC536&lt;1),AC536*100,AC536)/100)</f>
        <v/>
      </c>
      <c r="Z536" s="5">
        <f>IF(D536="","",AB536*AA536/100)</f>
        <v/>
      </c>
      <c r="AA536" s="5">
        <f>IF(D536="","",X536-Y536)</f>
        <v/>
      </c>
      <c r="AD536" s="5">
        <f>IF(D536="","",AA536-Z536)</f>
        <v/>
      </c>
      <c r="AG536">
        <f>IF(D536="","",N(AG535)+IF(MATCH(D536,$D$2:$D$3001,0)=ROW()-1,1,0))</f>
        <v/>
      </c>
    </row>
    <row r="537">
      <c r="Y537" s="5">
        <f>IF(D537="","",X537*IF(AND(ISNUMBER(AC537),AC537&gt;0,AC537&lt;1),AC537*100,AC537)/100)</f>
        <v/>
      </c>
      <c r="Z537" s="5">
        <f>IF(D537="","",AB537*AA537/100)</f>
        <v/>
      </c>
      <c r="AA537" s="5">
        <f>IF(D537="","",X537-Y537)</f>
        <v/>
      </c>
      <c r="AD537" s="5">
        <f>IF(D537="","",AA537-Z537)</f>
        <v/>
      </c>
      <c r="AG537">
        <f>IF(D537="","",N(AG536)+IF(MATCH(D537,$D$2:$D$3001,0)=ROW()-1,1,0))</f>
        <v/>
      </c>
    </row>
    <row r="538">
      <c r="Y538" s="5">
        <f>IF(D538="","",X538*IF(AND(ISNUMBER(AC538),AC538&gt;0,AC538&lt;1),AC538*100,AC538)/100)</f>
        <v/>
      </c>
      <c r="Z538" s="5">
        <f>IF(D538="","",AB538*AA538/100)</f>
        <v/>
      </c>
      <c r="AA538" s="5">
        <f>IF(D538="","",X538-Y538)</f>
        <v/>
      </c>
      <c r="AD538" s="5">
        <f>IF(D538="","",AA538-Z538)</f>
        <v/>
      </c>
      <c r="AG538">
        <f>IF(D538="","",N(AG537)+IF(MATCH(D538,$D$2:$D$3001,0)=ROW()-1,1,0))</f>
        <v/>
      </c>
    </row>
    <row r="539">
      <c r="Y539" s="5">
        <f>IF(D539="","",X539*IF(AND(ISNUMBER(AC539),AC539&gt;0,AC539&lt;1),AC539*100,AC539)/100)</f>
        <v/>
      </c>
      <c r="Z539" s="5">
        <f>IF(D539="","",AB539*AA539/100)</f>
        <v/>
      </c>
      <c r="AA539" s="5">
        <f>IF(D539="","",X539-Y539)</f>
        <v/>
      </c>
      <c r="AD539" s="5">
        <f>IF(D539="","",AA539-Z539)</f>
        <v/>
      </c>
      <c r="AG539">
        <f>IF(D539="","",N(AG538)+IF(MATCH(D539,$D$2:$D$3001,0)=ROW()-1,1,0))</f>
        <v/>
      </c>
    </row>
    <row r="540">
      <c r="Y540" s="5">
        <f>IF(D540="","",X540*IF(AND(ISNUMBER(AC540),AC540&gt;0,AC540&lt;1),AC540*100,AC540)/100)</f>
        <v/>
      </c>
      <c r="Z540" s="5">
        <f>IF(D540="","",AB540*AA540/100)</f>
        <v/>
      </c>
      <c r="AA540" s="5">
        <f>IF(D540="","",X540-Y540)</f>
        <v/>
      </c>
      <c r="AD540" s="5">
        <f>IF(D540="","",AA540-Z540)</f>
        <v/>
      </c>
      <c r="AG540">
        <f>IF(D540="","",N(AG539)+IF(MATCH(D540,$D$2:$D$3001,0)=ROW()-1,1,0))</f>
        <v/>
      </c>
    </row>
    <row r="541">
      <c r="Y541" s="5">
        <f>IF(D541="","",X541*IF(AND(ISNUMBER(AC541),AC541&gt;0,AC541&lt;1),AC541*100,AC541)/100)</f>
        <v/>
      </c>
      <c r="Z541" s="5">
        <f>IF(D541="","",AB541*AA541/100)</f>
        <v/>
      </c>
      <c r="AA541" s="5">
        <f>IF(D541="","",X541-Y541)</f>
        <v/>
      </c>
      <c r="AD541" s="5">
        <f>IF(D541="","",AA541-Z541)</f>
        <v/>
      </c>
      <c r="AG541">
        <f>IF(D541="","",N(AG540)+IF(MATCH(D541,$D$2:$D$3001,0)=ROW()-1,1,0))</f>
        <v/>
      </c>
    </row>
    <row r="542">
      <c r="Y542" s="5">
        <f>IF(D542="","",X542*IF(AND(ISNUMBER(AC542),AC542&gt;0,AC542&lt;1),AC542*100,AC542)/100)</f>
        <v/>
      </c>
      <c r="Z542" s="5">
        <f>IF(D542="","",AB542*AA542/100)</f>
        <v/>
      </c>
      <c r="AA542" s="5">
        <f>IF(D542="","",X542-Y542)</f>
        <v/>
      </c>
      <c r="AD542" s="5">
        <f>IF(D542="","",AA542-Z542)</f>
        <v/>
      </c>
      <c r="AG542">
        <f>IF(D542="","",N(AG541)+IF(MATCH(D542,$D$2:$D$3001,0)=ROW()-1,1,0))</f>
        <v/>
      </c>
    </row>
    <row r="543">
      <c r="Y543" s="5">
        <f>IF(D543="","",X543*IF(AND(ISNUMBER(AC543),AC543&gt;0,AC543&lt;1),AC543*100,AC543)/100)</f>
        <v/>
      </c>
      <c r="Z543" s="5">
        <f>IF(D543="","",AB543*AA543/100)</f>
        <v/>
      </c>
      <c r="AA543" s="5">
        <f>IF(D543="","",X543-Y543)</f>
        <v/>
      </c>
      <c r="AD543" s="5">
        <f>IF(D543="","",AA543-Z543)</f>
        <v/>
      </c>
      <c r="AG543">
        <f>IF(D543="","",N(AG542)+IF(MATCH(D543,$D$2:$D$3001,0)=ROW()-1,1,0))</f>
        <v/>
      </c>
    </row>
    <row r="544">
      <c r="Y544" s="5">
        <f>IF(D544="","",X544*IF(AND(ISNUMBER(AC544),AC544&gt;0,AC544&lt;1),AC544*100,AC544)/100)</f>
        <v/>
      </c>
      <c r="Z544" s="5">
        <f>IF(D544="","",AB544*AA544/100)</f>
        <v/>
      </c>
      <c r="AA544" s="5">
        <f>IF(D544="","",X544-Y544)</f>
        <v/>
      </c>
      <c r="AD544" s="5">
        <f>IF(D544="","",AA544-Z544)</f>
        <v/>
      </c>
      <c r="AG544">
        <f>IF(D544="","",N(AG543)+IF(MATCH(D544,$D$2:$D$3001,0)=ROW()-1,1,0))</f>
        <v/>
      </c>
    </row>
    <row r="545">
      <c r="Y545" s="5">
        <f>IF(D545="","",X545*IF(AND(ISNUMBER(AC545),AC545&gt;0,AC545&lt;1),AC545*100,AC545)/100)</f>
        <v/>
      </c>
      <c r="Z545" s="5">
        <f>IF(D545="","",AB545*AA545/100)</f>
        <v/>
      </c>
      <c r="AA545" s="5">
        <f>IF(D545="","",X545-Y545)</f>
        <v/>
      </c>
      <c r="AD545" s="5">
        <f>IF(D545="","",AA545-Z545)</f>
        <v/>
      </c>
      <c r="AG545">
        <f>IF(D545="","",N(AG544)+IF(MATCH(D545,$D$2:$D$3001,0)=ROW()-1,1,0))</f>
        <v/>
      </c>
    </row>
    <row r="546">
      <c r="Y546" s="5">
        <f>IF(D546="","",X546*IF(AND(ISNUMBER(AC546),AC546&gt;0,AC546&lt;1),AC546*100,AC546)/100)</f>
        <v/>
      </c>
      <c r="Z546" s="5">
        <f>IF(D546="","",AB546*AA546/100)</f>
        <v/>
      </c>
      <c r="AA546" s="5">
        <f>IF(D546="","",X546-Y546)</f>
        <v/>
      </c>
      <c r="AD546" s="5">
        <f>IF(D546="","",AA546-Z546)</f>
        <v/>
      </c>
      <c r="AG546">
        <f>IF(D546="","",N(AG545)+IF(MATCH(D546,$D$2:$D$3001,0)=ROW()-1,1,0))</f>
        <v/>
      </c>
    </row>
    <row r="547">
      <c r="Y547" s="5">
        <f>IF(D547="","",X547*IF(AND(ISNUMBER(AC547),AC547&gt;0,AC547&lt;1),AC547*100,AC547)/100)</f>
        <v/>
      </c>
      <c r="Z547" s="5">
        <f>IF(D547="","",AB547*AA547/100)</f>
        <v/>
      </c>
      <c r="AA547" s="5">
        <f>IF(D547="","",X547-Y547)</f>
        <v/>
      </c>
      <c r="AD547" s="5">
        <f>IF(D547="","",AA547-Z547)</f>
        <v/>
      </c>
      <c r="AG547">
        <f>IF(D547="","",N(AG546)+IF(MATCH(D547,$D$2:$D$3001,0)=ROW()-1,1,0))</f>
        <v/>
      </c>
    </row>
    <row r="548">
      <c r="Y548" s="5">
        <f>IF(D548="","",X548*IF(AND(ISNUMBER(AC548),AC548&gt;0,AC548&lt;1),AC548*100,AC548)/100)</f>
        <v/>
      </c>
      <c r="Z548" s="5">
        <f>IF(D548="","",AB548*AA548/100)</f>
        <v/>
      </c>
      <c r="AA548" s="5">
        <f>IF(D548="","",X548-Y548)</f>
        <v/>
      </c>
      <c r="AD548" s="5">
        <f>IF(D548="","",AA548-Z548)</f>
        <v/>
      </c>
      <c r="AG548">
        <f>IF(D548="","",N(AG547)+IF(MATCH(D548,$D$2:$D$3001,0)=ROW()-1,1,0))</f>
        <v/>
      </c>
    </row>
    <row r="549">
      <c r="Y549" s="5">
        <f>IF(D549="","",X549*IF(AND(ISNUMBER(AC549),AC549&gt;0,AC549&lt;1),AC549*100,AC549)/100)</f>
        <v/>
      </c>
      <c r="Z549" s="5">
        <f>IF(D549="","",AB549*AA549/100)</f>
        <v/>
      </c>
      <c r="AA549" s="5">
        <f>IF(D549="","",X549-Y549)</f>
        <v/>
      </c>
      <c r="AD549" s="5">
        <f>IF(D549="","",AA549-Z549)</f>
        <v/>
      </c>
      <c r="AG549">
        <f>IF(D549="","",N(AG548)+IF(MATCH(D549,$D$2:$D$3001,0)=ROW()-1,1,0))</f>
        <v/>
      </c>
    </row>
    <row r="550">
      <c r="Y550" s="5">
        <f>IF(D550="","",X550*IF(AND(ISNUMBER(AC550),AC550&gt;0,AC550&lt;1),AC550*100,AC550)/100)</f>
        <v/>
      </c>
      <c r="Z550" s="5">
        <f>IF(D550="","",AB550*AA550/100)</f>
        <v/>
      </c>
      <c r="AA550" s="5">
        <f>IF(D550="","",X550-Y550)</f>
        <v/>
      </c>
      <c r="AD550" s="5">
        <f>IF(D550="","",AA550-Z550)</f>
        <v/>
      </c>
      <c r="AG550">
        <f>IF(D550="","",N(AG549)+IF(MATCH(D550,$D$2:$D$3001,0)=ROW()-1,1,0))</f>
        <v/>
      </c>
    </row>
    <row r="551">
      <c r="Y551" s="5">
        <f>IF(D551="","",X551*IF(AND(ISNUMBER(AC551),AC551&gt;0,AC551&lt;1),AC551*100,AC551)/100)</f>
        <v/>
      </c>
      <c r="Z551" s="5">
        <f>IF(D551="","",AB551*AA551/100)</f>
        <v/>
      </c>
      <c r="AA551" s="5">
        <f>IF(D551="","",X551-Y551)</f>
        <v/>
      </c>
      <c r="AD551" s="5">
        <f>IF(D551="","",AA551-Z551)</f>
        <v/>
      </c>
      <c r="AG551">
        <f>IF(D551="","",N(AG550)+IF(MATCH(D551,$D$2:$D$3001,0)=ROW()-1,1,0))</f>
        <v/>
      </c>
    </row>
    <row r="552">
      <c r="Y552" s="5">
        <f>IF(D552="","",X552*IF(AND(ISNUMBER(AC552),AC552&gt;0,AC552&lt;1),AC552*100,AC552)/100)</f>
        <v/>
      </c>
      <c r="Z552" s="5">
        <f>IF(D552="","",AB552*AA552/100)</f>
        <v/>
      </c>
      <c r="AA552" s="5">
        <f>IF(D552="","",X552-Y552)</f>
        <v/>
      </c>
      <c r="AD552" s="5">
        <f>IF(D552="","",AA552-Z552)</f>
        <v/>
      </c>
      <c r="AG552">
        <f>IF(D552="","",N(AG551)+IF(MATCH(D552,$D$2:$D$3001,0)=ROW()-1,1,0))</f>
        <v/>
      </c>
    </row>
    <row r="553">
      <c r="Y553" s="5">
        <f>IF(D553="","",X553*IF(AND(ISNUMBER(AC553),AC553&gt;0,AC553&lt;1),AC553*100,AC553)/100)</f>
        <v/>
      </c>
      <c r="Z553" s="5">
        <f>IF(D553="","",AB553*AA553/100)</f>
        <v/>
      </c>
      <c r="AA553" s="5">
        <f>IF(D553="","",X553-Y553)</f>
        <v/>
      </c>
      <c r="AD553" s="5">
        <f>IF(D553="","",AA553-Z553)</f>
        <v/>
      </c>
      <c r="AG553">
        <f>IF(D553="","",N(AG552)+IF(MATCH(D553,$D$2:$D$3001,0)=ROW()-1,1,0))</f>
        <v/>
      </c>
    </row>
    <row r="554">
      <c r="Y554" s="5">
        <f>IF(D554="","",X554*IF(AND(ISNUMBER(AC554),AC554&gt;0,AC554&lt;1),AC554*100,AC554)/100)</f>
        <v/>
      </c>
      <c r="Z554" s="5">
        <f>IF(D554="","",AB554*AA554/100)</f>
        <v/>
      </c>
      <c r="AA554" s="5">
        <f>IF(D554="","",X554-Y554)</f>
        <v/>
      </c>
      <c r="AD554" s="5">
        <f>IF(D554="","",AA554-Z554)</f>
        <v/>
      </c>
      <c r="AG554">
        <f>IF(D554="","",N(AG553)+IF(MATCH(D554,$D$2:$D$3001,0)=ROW()-1,1,0))</f>
        <v/>
      </c>
    </row>
    <row r="555">
      <c r="Y555" s="5">
        <f>IF(D555="","",X555*IF(AND(ISNUMBER(AC555),AC555&gt;0,AC555&lt;1),AC555*100,AC555)/100)</f>
        <v/>
      </c>
      <c r="Z555" s="5">
        <f>IF(D555="","",AB555*AA555/100)</f>
        <v/>
      </c>
      <c r="AA555" s="5">
        <f>IF(D555="","",X555-Y555)</f>
        <v/>
      </c>
      <c r="AD555" s="5">
        <f>IF(D555="","",AA555-Z555)</f>
        <v/>
      </c>
      <c r="AG555">
        <f>IF(D555="","",N(AG554)+IF(MATCH(D555,$D$2:$D$3001,0)=ROW()-1,1,0))</f>
        <v/>
      </c>
    </row>
    <row r="556">
      <c r="Y556" s="5">
        <f>IF(D556="","",X556*IF(AND(ISNUMBER(AC556),AC556&gt;0,AC556&lt;1),AC556*100,AC556)/100)</f>
        <v/>
      </c>
      <c r="Z556" s="5">
        <f>IF(D556="","",AB556*AA556/100)</f>
        <v/>
      </c>
      <c r="AA556" s="5">
        <f>IF(D556="","",X556-Y556)</f>
        <v/>
      </c>
      <c r="AD556" s="5">
        <f>IF(D556="","",AA556-Z556)</f>
        <v/>
      </c>
      <c r="AG556">
        <f>IF(D556="","",N(AG555)+IF(MATCH(D556,$D$2:$D$3001,0)=ROW()-1,1,0))</f>
        <v/>
      </c>
    </row>
    <row r="557">
      <c r="Y557" s="5">
        <f>IF(D557="","",X557*IF(AND(ISNUMBER(AC557),AC557&gt;0,AC557&lt;1),AC557*100,AC557)/100)</f>
        <v/>
      </c>
      <c r="Z557" s="5">
        <f>IF(D557="","",AB557*AA557/100)</f>
        <v/>
      </c>
      <c r="AA557" s="5">
        <f>IF(D557="","",X557-Y557)</f>
        <v/>
      </c>
      <c r="AD557" s="5">
        <f>IF(D557="","",AA557-Z557)</f>
        <v/>
      </c>
      <c r="AG557">
        <f>IF(D557="","",N(AG556)+IF(MATCH(D557,$D$2:$D$3001,0)=ROW()-1,1,0))</f>
        <v/>
      </c>
    </row>
    <row r="558">
      <c r="Y558" s="5">
        <f>IF(D558="","",X558*IF(AND(ISNUMBER(AC558),AC558&gt;0,AC558&lt;1),AC558*100,AC558)/100)</f>
        <v/>
      </c>
      <c r="Z558" s="5">
        <f>IF(D558="","",AB558*AA558/100)</f>
        <v/>
      </c>
      <c r="AA558" s="5">
        <f>IF(D558="","",X558-Y558)</f>
        <v/>
      </c>
      <c r="AD558" s="5">
        <f>IF(D558="","",AA558-Z558)</f>
        <v/>
      </c>
      <c r="AG558">
        <f>IF(D558="","",N(AG557)+IF(MATCH(D558,$D$2:$D$3001,0)=ROW()-1,1,0))</f>
        <v/>
      </c>
    </row>
    <row r="559">
      <c r="Y559" s="5">
        <f>IF(D559="","",X559*IF(AND(ISNUMBER(AC559),AC559&gt;0,AC559&lt;1),AC559*100,AC559)/100)</f>
        <v/>
      </c>
      <c r="Z559" s="5">
        <f>IF(D559="","",AB559*AA559/100)</f>
        <v/>
      </c>
      <c r="AA559" s="5">
        <f>IF(D559="","",X559-Y559)</f>
        <v/>
      </c>
      <c r="AD559" s="5">
        <f>IF(D559="","",AA559-Z559)</f>
        <v/>
      </c>
      <c r="AG559">
        <f>IF(D559="","",N(AG558)+IF(MATCH(D559,$D$2:$D$3001,0)=ROW()-1,1,0))</f>
        <v/>
      </c>
    </row>
    <row r="560">
      <c r="Y560" s="5">
        <f>IF(D560="","",X560*IF(AND(ISNUMBER(AC560),AC560&gt;0,AC560&lt;1),AC560*100,AC560)/100)</f>
        <v/>
      </c>
      <c r="Z560" s="5">
        <f>IF(D560="","",AB560*AA560/100)</f>
        <v/>
      </c>
      <c r="AA560" s="5">
        <f>IF(D560="","",X560-Y560)</f>
        <v/>
      </c>
      <c r="AD560" s="5">
        <f>IF(D560="","",AA560-Z560)</f>
        <v/>
      </c>
      <c r="AG560">
        <f>IF(D560="","",N(AG559)+IF(MATCH(D560,$D$2:$D$3001,0)=ROW()-1,1,0))</f>
        <v/>
      </c>
    </row>
    <row r="561">
      <c r="Y561" s="5">
        <f>IF(D561="","",X561*IF(AND(ISNUMBER(AC561),AC561&gt;0,AC561&lt;1),AC561*100,AC561)/100)</f>
        <v/>
      </c>
      <c r="Z561" s="5">
        <f>IF(D561="","",AB561*AA561/100)</f>
        <v/>
      </c>
      <c r="AA561" s="5">
        <f>IF(D561="","",X561-Y561)</f>
        <v/>
      </c>
      <c r="AD561" s="5">
        <f>IF(D561="","",AA561-Z561)</f>
        <v/>
      </c>
      <c r="AG561">
        <f>IF(D561="","",N(AG560)+IF(MATCH(D561,$D$2:$D$3001,0)=ROW()-1,1,0))</f>
        <v/>
      </c>
    </row>
    <row r="562">
      <c r="Y562" s="5">
        <f>IF(D562="","",X562*IF(AND(ISNUMBER(AC562),AC562&gt;0,AC562&lt;1),AC562*100,AC562)/100)</f>
        <v/>
      </c>
      <c r="Z562" s="5">
        <f>IF(D562="","",AB562*AA562/100)</f>
        <v/>
      </c>
      <c r="AA562" s="5">
        <f>IF(D562="","",X562-Y562)</f>
        <v/>
      </c>
      <c r="AD562" s="5">
        <f>IF(D562="","",AA562-Z562)</f>
        <v/>
      </c>
      <c r="AG562">
        <f>IF(D562="","",N(AG561)+IF(MATCH(D562,$D$2:$D$3001,0)=ROW()-1,1,0))</f>
        <v/>
      </c>
    </row>
    <row r="563">
      <c r="Y563" s="5">
        <f>IF(D563="","",X563*IF(AND(ISNUMBER(AC563),AC563&gt;0,AC563&lt;1),AC563*100,AC563)/100)</f>
        <v/>
      </c>
      <c r="Z563" s="5">
        <f>IF(D563="","",AB563*AA563/100)</f>
        <v/>
      </c>
      <c r="AA563" s="5">
        <f>IF(D563="","",X563-Y563)</f>
        <v/>
      </c>
      <c r="AD563" s="5">
        <f>IF(D563="","",AA563-Z563)</f>
        <v/>
      </c>
      <c r="AG563">
        <f>IF(D563="","",N(AG562)+IF(MATCH(D563,$D$2:$D$3001,0)=ROW()-1,1,0))</f>
        <v/>
      </c>
    </row>
    <row r="564">
      <c r="Y564" s="5">
        <f>IF(D564="","",X564*IF(AND(ISNUMBER(AC564),AC564&gt;0,AC564&lt;1),AC564*100,AC564)/100)</f>
        <v/>
      </c>
      <c r="Z564" s="5">
        <f>IF(D564="","",AB564*AA564/100)</f>
        <v/>
      </c>
      <c r="AA564" s="5">
        <f>IF(D564="","",X564-Y564)</f>
        <v/>
      </c>
      <c r="AD564" s="5">
        <f>IF(D564="","",AA564-Z564)</f>
        <v/>
      </c>
      <c r="AG564">
        <f>IF(D564="","",N(AG563)+IF(MATCH(D564,$D$2:$D$3001,0)=ROW()-1,1,0))</f>
        <v/>
      </c>
    </row>
    <row r="565">
      <c r="Y565" s="5">
        <f>IF(D565="","",X565*IF(AND(ISNUMBER(AC565),AC565&gt;0,AC565&lt;1),AC565*100,AC565)/100)</f>
        <v/>
      </c>
      <c r="Z565" s="5">
        <f>IF(D565="","",AB565*AA565/100)</f>
        <v/>
      </c>
      <c r="AA565" s="5">
        <f>IF(D565="","",X565-Y565)</f>
        <v/>
      </c>
      <c r="AD565" s="5">
        <f>IF(D565="","",AA565-Z565)</f>
        <v/>
      </c>
      <c r="AG565">
        <f>IF(D565="","",N(AG564)+IF(MATCH(D565,$D$2:$D$3001,0)=ROW()-1,1,0))</f>
        <v/>
      </c>
    </row>
    <row r="566">
      <c r="Y566" s="5">
        <f>IF(D566="","",X566*IF(AND(ISNUMBER(AC566),AC566&gt;0,AC566&lt;1),AC566*100,AC566)/100)</f>
        <v/>
      </c>
      <c r="Z566" s="5">
        <f>IF(D566="","",AB566*AA566/100)</f>
        <v/>
      </c>
      <c r="AA566" s="5">
        <f>IF(D566="","",X566-Y566)</f>
        <v/>
      </c>
      <c r="AD566" s="5">
        <f>IF(D566="","",AA566-Z566)</f>
        <v/>
      </c>
      <c r="AG566">
        <f>IF(D566="","",N(AG565)+IF(MATCH(D566,$D$2:$D$3001,0)=ROW()-1,1,0))</f>
        <v/>
      </c>
    </row>
    <row r="567">
      <c r="Y567" s="5">
        <f>IF(D567="","",X567*IF(AND(ISNUMBER(AC567),AC567&gt;0,AC567&lt;1),AC567*100,AC567)/100)</f>
        <v/>
      </c>
      <c r="Z567" s="5">
        <f>IF(D567="","",AB567*AA567/100)</f>
        <v/>
      </c>
      <c r="AA567" s="5">
        <f>IF(D567="","",X567-Y567)</f>
        <v/>
      </c>
      <c r="AD567" s="5">
        <f>IF(D567="","",AA567-Z567)</f>
        <v/>
      </c>
      <c r="AG567">
        <f>IF(D567="","",N(AG566)+IF(MATCH(D567,$D$2:$D$3001,0)=ROW()-1,1,0))</f>
        <v/>
      </c>
    </row>
    <row r="568">
      <c r="Y568" s="5">
        <f>IF(D568="","",X568*IF(AND(ISNUMBER(AC568),AC568&gt;0,AC568&lt;1),AC568*100,AC568)/100)</f>
        <v/>
      </c>
      <c r="Z568" s="5">
        <f>IF(D568="","",AB568*AA568/100)</f>
        <v/>
      </c>
      <c r="AA568" s="5">
        <f>IF(D568="","",X568-Y568)</f>
        <v/>
      </c>
      <c r="AD568" s="5">
        <f>IF(D568="","",AA568-Z568)</f>
        <v/>
      </c>
      <c r="AG568">
        <f>IF(D568="","",N(AG567)+IF(MATCH(D568,$D$2:$D$3001,0)=ROW()-1,1,0))</f>
        <v/>
      </c>
    </row>
    <row r="569">
      <c r="Y569" s="5">
        <f>IF(D569="","",X569*IF(AND(ISNUMBER(AC569),AC569&gt;0,AC569&lt;1),AC569*100,AC569)/100)</f>
        <v/>
      </c>
      <c r="Z569" s="5">
        <f>IF(D569="","",AB569*AA569/100)</f>
        <v/>
      </c>
      <c r="AA569" s="5">
        <f>IF(D569="","",X569-Y569)</f>
        <v/>
      </c>
      <c r="AD569" s="5">
        <f>IF(D569="","",AA569-Z569)</f>
        <v/>
      </c>
      <c r="AG569">
        <f>IF(D569="","",N(AG568)+IF(MATCH(D569,$D$2:$D$3001,0)=ROW()-1,1,0))</f>
        <v/>
      </c>
    </row>
    <row r="570">
      <c r="Y570" s="5">
        <f>IF(D570="","",X570*IF(AND(ISNUMBER(AC570),AC570&gt;0,AC570&lt;1),AC570*100,AC570)/100)</f>
        <v/>
      </c>
      <c r="Z570" s="5">
        <f>IF(D570="","",AB570*AA570/100)</f>
        <v/>
      </c>
      <c r="AA570" s="5">
        <f>IF(D570="","",X570-Y570)</f>
        <v/>
      </c>
      <c r="AD570" s="5">
        <f>IF(D570="","",AA570-Z570)</f>
        <v/>
      </c>
      <c r="AG570">
        <f>IF(D570="","",N(AG569)+IF(MATCH(D570,$D$2:$D$3001,0)=ROW()-1,1,0))</f>
        <v/>
      </c>
    </row>
    <row r="571">
      <c r="Y571" s="5">
        <f>IF(D571="","",X571*IF(AND(ISNUMBER(AC571),AC571&gt;0,AC571&lt;1),AC571*100,AC571)/100)</f>
        <v/>
      </c>
      <c r="Z571" s="5">
        <f>IF(D571="","",AB571*AA571/100)</f>
        <v/>
      </c>
      <c r="AA571" s="5">
        <f>IF(D571="","",X571-Y571)</f>
        <v/>
      </c>
      <c r="AD571" s="5">
        <f>IF(D571="","",AA571-Z571)</f>
        <v/>
      </c>
      <c r="AG571">
        <f>IF(D571="","",N(AG570)+IF(MATCH(D571,$D$2:$D$3001,0)=ROW()-1,1,0))</f>
        <v/>
      </c>
    </row>
    <row r="572">
      <c r="Y572" s="5">
        <f>IF(D572="","",X572*IF(AND(ISNUMBER(AC572),AC572&gt;0,AC572&lt;1),AC572*100,AC572)/100)</f>
        <v/>
      </c>
      <c r="Z572" s="5">
        <f>IF(D572="","",AB572*AA572/100)</f>
        <v/>
      </c>
      <c r="AA572" s="5">
        <f>IF(D572="","",X572-Y572)</f>
        <v/>
      </c>
      <c r="AD572" s="5">
        <f>IF(D572="","",AA572-Z572)</f>
        <v/>
      </c>
      <c r="AG572">
        <f>IF(D572="","",N(AG571)+IF(MATCH(D572,$D$2:$D$3001,0)=ROW()-1,1,0))</f>
        <v/>
      </c>
    </row>
    <row r="573">
      <c r="Y573" s="5">
        <f>IF(D573="","",X573*IF(AND(ISNUMBER(AC573),AC573&gt;0,AC573&lt;1),AC573*100,AC573)/100)</f>
        <v/>
      </c>
      <c r="Z573" s="5">
        <f>IF(D573="","",AB573*AA573/100)</f>
        <v/>
      </c>
      <c r="AA573" s="5">
        <f>IF(D573="","",X573-Y573)</f>
        <v/>
      </c>
      <c r="AD573" s="5">
        <f>IF(D573="","",AA573-Z573)</f>
        <v/>
      </c>
      <c r="AG573">
        <f>IF(D573="","",N(AG572)+IF(MATCH(D573,$D$2:$D$3001,0)=ROW()-1,1,0))</f>
        <v/>
      </c>
    </row>
    <row r="574">
      <c r="Y574" s="5">
        <f>IF(D574="","",X574*IF(AND(ISNUMBER(AC574),AC574&gt;0,AC574&lt;1),AC574*100,AC574)/100)</f>
        <v/>
      </c>
      <c r="Z574" s="5">
        <f>IF(D574="","",AB574*AA574/100)</f>
        <v/>
      </c>
      <c r="AA574" s="5">
        <f>IF(D574="","",X574-Y574)</f>
        <v/>
      </c>
      <c r="AD574" s="5">
        <f>IF(D574="","",AA574-Z574)</f>
        <v/>
      </c>
      <c r="AG574">
        <f>IF(D574="","",N(AG573)+IF(MATCH(D574,$D$2:$D$3001,0)=ROW()-1,1,0))</f>
        <v/>
      </c>
    </row>
    <row r="575">
      <c r="Y575" s="5">
        <f>IF(D575="","",X575*IF(AND(ISNUMBER(AC575),AC575&gt;0,AC575&lt;1),AC575*100,AC575)/100)</f>
        <v/>
      </c>
      <c r="Z575" s="5">
        <f>IF(D575="","",AB575*AA575/100)</f>
        <v/>
      </c>
      <c r="AA575" s="5">
        <f>IF(D575="","",X575-Y575)</f>
        <v/>
      </c>
      <c r="AD575" s="5">
        <f>IF(D575="","",AA575-Z575)</f>
        <v/>
      </c>
      <c r="AG575">
        <f>IF(D575="","",N(AG574)+IF(MATCH(D575,$D$2:$D$3001,0)=ROW()-1,1,0))</f>
        <v/>
      </c>
    </row>
    <row r="576">
      <c r="Y576" s="5">
        <f>IF(D576="","",X576*IF(AND(ISNUMBER(AC576),AC576&gt;0,AC576&lt;1),AC576*100,AC576)/100)</f>
        <v/>
      </c>
      <c r="Z576" s="5">
        <f>IF(D576="","",AB576*AA576/100)</f>
        <v/>
      </c>
      <c r="AA576" s="5">
        <f>IF(D576="","",X576-Y576)</f>
        <v/>
      </c>
      <c r="AD576" s="5">
        <f>IF(D576="","",AA576-Z576)</f>
        <v/>
      </c>
      <c r="AG576">
        <f>IF(D576="","",N(AG575)+IF(MATCH(D576,$D$2:$D$3001,0)=ROW()-1,1,0))</f>
        <v/>
      </c>
    </row>
    <row r="577">
      <c r="Y577" s="5">
        <f>IF(D577="","",X577*IF(AND(ISNUMBER(AC577),AC577&gt;0,AC577&lt;1),AC577*100,AC577)/100)</f>
        <v/>
      </c>
      <c r="Z577" s="5">
        <f>IF(D577="","",AB577*AA577/100)</f>
        <v/>
      </c>
      <c r="AA577" s="5">
        <f>IF(D577="","",X577-Y577)</f>
        <v/>
      </c>
      <c r="AD577" s="5">
        <f>IF(D577="","",AA577-Z577)</f>
        <v/>
      </c>
      <c r="AG577">
        <f>IF(D577="","",N(AG576)+IF(MATCH(D577,$D$2:$D$3001,0)=ROW()-1,1,0))</f>
        <v/>
      </c>
    </row>
    <row r="578">
      <c r="Y578" s="5">
        <f>IF(D578="","",X578*IF(AND(ISNUMBER(AC578),AC578&gt;0,AC578&lt;1),AC578*100,AC578)/100)</f>
        <v/>
      </c>
      <c r="Z578" s="5">
        <f>IF(D578="","",AB578*AA578/100)</f>
        <v/>
      </c>
      <c r="AA578" s="5">
        <f>IF(D578="","",X578-Y578)</f>
        <v/>
      </c>
      <c r="AD578" s="5">
        <f>IF(D578="","",AA578-Z578)</f>
        <v/>
      </c>
      <c r="AG578">
        <f>IF(D578="","",N(AG577)+IF(MATCH(D578,$D$2:$D$3001,0)=ROW()-1,1,0))</f>
        <v/>
      </c>
    </row>
    <row r="579">
      <c r="Y579" s="5">
        <f>IF(D579="","",X579*IF(AND(ISNUMBER(AC579),AC579&gt;0,AC579&lt;1),AC579*100,AC579)/100)</f>
        <v/>
      </c>
      <c r="Z579" s="5">
        <f>IF(D579="","",AB579*AA579/100)</f>
        <v/>
      </c>
      <c r="AA579" s="5">
        <f>IF(D579="","",X579-Y579)</f>
        <v/>
      </c>
      <c r="AD579" s="5">
        <f>IF(D579="","",AA579-Z579)</f>
        <v/>
      </c>
      <c r="AG579">
        <f>IF(D579="","",N(AG578)+IF(MATCH(D579,$D$2:$D$3001,0)=ROW()-1,1,0))</f>
        <v/>
      </c>
    </row>
    <row r="580">
      <c r="Y580" s="5">
        <f>IF(D580="","",X580*IF(AND(ISNUMBER(AC580),AC580&gt;0,AC580&lt;1),AC580*100,AC580)/100)</f>
        <v/>
      </c>
      <c r="Z580" s="5">
        <f>IF(D580="","",AB580*AA580/100)</f>
        <v/>
      </c>
      <c r="AA580" s="5">
        <f>IF(D580="","",X580-Y580)</f>
        <v/>
      </c>
      <c r="AD580" s="5">
        <f>IF(D580="","",AA580-Z580)</f>
        <v/>
      </c>
      <c r="AG580">
        <f>IF(D580="","",N(AG579)+IF(MATCH(D580,$D$2:$D$3001,0)=ROW()-1,1,0))</f>
        <v/>
      </c>
    </row>
    <row r="581">
      <c r="Y581" s="5">
        <f>IF(D581="","",X581*IF(AND(ISNUMBER(AC581),AC581&gt;0,AC581&lt;1),AC581*100,AC581)/100)</f>
        <v/>
      </c>
      <c r="Z581" s="5">
        <f>IF(D581="","",AB581*AA581/100)</f>
        <v/>
      </c>
      <c r="AA581" s="5">
        <f>IF(D581="","",X581-Y581)</f>
        <v/>
      </c>
      <c r="AD581" s="5">
        <f>IF(D581="","",AA581-Z581)</f>
        <v/>
      </c>
      <c r="AG581">
        <f>IF(D581="","",N(AG580)+IF(MATCH(D581,$D$2:$D$3001,0)=ROW()-1,1,0))</f>
        <v/>
      </c>
    </row>
    <row r="582">
      <c r="Y582" s="5">
        <f>IF(D582="","",X582*IF(AND(ISNUMBER(AC582),AC582&gt;0,AC582&lt;1),AC582*100,AC582)/100)</f>
        <v/>
      </c>
      <c r="Z582" s="5">
        <f>IF(D582="","",AB582*AA582/100)</f>
        <v/>
      </c>
      <c r="AA582" s="5">
        <f>IF(D582="","",X582-Y582)</f>
        <v/>
      </c>
      <c r="AD582" s="5">
        <f>IF(D582="","",AA582-Z582)</f>
        <v/>
      </c>
      <c r="AG582">
        <f>IF(D582="","",N(AG581)+IF(MATCH(D582,$D$2:$D$3001,0)=ROW()-1,1,0))</f>
        <v/>
      </c>
    </row>
    <row r="583">
      <c r="Y583" s="5">
        <f>IF(D583="","",X583*IF(AND(ISNUMBER(AC583),AC583&gt;0,AC583&lt;1),AC583*100,AC583)/100)</f>
        <v/>
      </c>
      <c r="Z583" s="5">
        <f>IF(D583="","",AB583*AA583/100)</f>
        <v/>
      </c>
      <c r="AA583" s="5">
        <f>IF(D583="","",X583-Y583)</f>
        <v/>
      </c>
      <c r="AD583" s="5">
        <f>IF(D583="","",AA583-Z583)</f>
        <v/>
      </c>
      <c r="AG583">
        <f>IF(D583="","",N(AG582)+IF(MATCH(D583,$D$2:$D$3001,0)=ROW()-1,1,0))</f>
        <v/>
      </c>
    </row>
    <row r="584">
      <c r="Y584" s="5">
        <f>IF(D584="","",X584*IF(AND(ISNUMBER(AC584),AC584&gt;0,AC584&lt;1),AC584*100,AC584)/100)</f>
        <v/>
      </c>
      <c r="Z584" s="5">
        <f>IF(D584="","",AB584*AA584/100)</f>
        <v/>
      </c>
      <c r="AA584" s="5">
        <f>IF(D584="","",X584-Y584)</f>
        <v/>
      </c>
      <c r="AD584" s="5">
        <f>IF(D584="","",AA584-Z584)</f>
        <v/>
      </c>
      <c r="AG584">
        <f>IF(D584="","",N(AG583)+IF(MATCH(D584,$D$2:$D$3001,0)=ROW()-1,1,0))</f>
        <v/>
      </c>
    </row>
    <row r="585">
      <c r="Y585" s="5">
        <f>IF(D585="","",X585*IF(AND(ISNUMBER(AC585),AC585&gt;0,AC585&lt;1),AC585*100,AC585)/100)</f>
        <v/>
      </c>
      <c r="Z585" s="5">
        <f>IF(D585="","",AB585*AA585/100)</f>
        <v/>
      </c>
      <c r="AA585" s="5">
        <f>IF(D585="","",X585-Y585)</f>
        <v/>
      </c>
      <c r="AD585" s="5">
        <f>IF(D585="","",AA585-Z585)</f>
        <v/>
      </c>
      <c r="AG585">
        <f>IF(D585="","",N(AG584)+IF(MATCH(D585,$D$2:$D$3001,0)=ROW()-1,1,0))</f>
        <v/>
      </c>
    </row>
    <row r="586">
      <c r="Y586" s="5">
        <f>IF(D586="","",X586*IF(AND(ISNUMBER(AC586),AC586&gt;0,AC586&lt;1),AC586*100,AC586)/100)</f>
        <v/>
      </c>
      <c r="Z586" s="5">
        <f>IF(D586="","",AB586*AA586/100)</f>
        <v/>
      </c>
      <c r="AA586" s="5">
        <f>IF(D586="","",X586-Y586)</f>
        <v/>
      </c>
      <c r="AD586" s="5">
        <f>IF(D586="","",AA586-Z586)</f>
        <v/>
      </c>
      <c r="AG586">
        <f>IF(D586="","",N(AG585)+IF(MATCH(D586,$D$2:$D$3001,0)=ROW()-1,1,0))</f>
        <v/>
      </c>
    </row>
    <row r="587">
      <c r="Y587" s="5">
        <f>IF(D587="","",X587*IF(AND(ISNUMBER(AC587),AC587&gt;0,AC587&lt;1),AC587*100,AC587)/100)</f>
        <v/>
      </c>
      <c r="Z587" s="5">
        <f>IF(D587="","",AB587*AA587/100)</f>
        <v/>
      </c>
      <c r="AA587" s="5">
        <f>IF(D587="","",X587-Y587)</f>
        <v/>
      </c>
      <c r="AD587" s="5">
        <f>IF(D587="","",AA587-Z587)</f>
        <v/>
      </c>
      <c r="AG587">
        <f>IF(D587="","",N(AG586)+IF(MATCH(D587,$D$2:$D$3001,0)=ROW()-1,1,0))</f>
        <v/>
      </c>
    </row>
    <row r="588">
      <c r="Y588" s="5">
        <f>IF(D588="","",X588*IF(AND(ISNUMBER(AC588),AC588&gt;0,AC588&lt;1),AC588*100,AC588)/100)</f>
        <v/>
      </c>
      <c r="Z588" s="5">
        <f>IF(D588="","",AB588*AA588/100)</f>
        <v/>
      </c>
      <c r="AA588" s="5">
        <f>IF(D588="","",X588-Y588)</f>
        <v/>
      </c>
      <c r="AD588" s="5">
        <f>IF(D588="","",AA588-Z588)</f>
        <v/>
      </c>
      <c r="AG588">
        <f>IF(D588="","",N(AG587)+IF(MATCH(D588,$D$2:$D$3001,0)=ROW()-1,1,0))</f>
        <v/>
      </c>
    </row>
    <row r="589">
      <c r="Y589" s="5">
        <f>IF(D589="","",X589*IF(AND(ISNUMBER(AC589),AC589&gt;0,AC589&lt;1),AC589*100,AC589)/100)</f>
        <v/>
      </c>
      <c r="Z589" s="5">
        <f>IF(D589="","",AB589*AA589/100)</f>
        <v/>
      </c>
      <c r="AA589" s="5">
        <f>IF(D589="","",X589-Y589)</f>
        <v/>
      </c>
      <c r="AD589" s="5">
        <f>IF(D589="","",AA589-Z589)</f>
        <v/>
      </c>
      <c r="AG589">
        <f>IF(D589="","",N(AG588)+IF(MATCH(D589,$D$2:$D$3001,0)=ROW()-1,1,0))</f>
        <v/>
      </c>
    </row>
    <row r="590">
      <c r="Y590" s="5">
        <f>IF(D590="","",X590*IF(AND(ISNUMBER(AC590),AC590&gt;0,AC590&lt;1),AC590*100,AC590)/100)</f>
        <v/>
      </c>
      <c r="Z590" s="5">
        <f>IF(D590="","",AB590*AA590/100)</f>
        <v/>
      </c>
      <c r="AA590" s="5">
        <f>IF(D590="","",X590-Y590)</f>
        <v/>
      </c>
      <c r="AD590" s="5">
        <f>IF(D590="","",AA590-Z590)</f>
        <v/>
      </c>
      <c r="AG590">
        <f>IF(D590="","",N(AG589)+IF(MATCH(D590,$D$2:$D$3001,0)=ROW()-1,1,0))</f>
        <v/>
      </c>
    </row>
    <row r="591">
      <c r="Y591" s="5">
        <f>IF(D591="","",X591*IF(AND(ISNUMBER(AC591),AC591&gt;0,AC591&lt;1),AC591*100,AC591)/100)</f>
        <v/>
      </c>
      <c r="Z591" s="5">
        <f>IF(D591="","",AB591*AA591/100)</f>
        <v/>
      </c>
      <c r="AA591" s="5">
        <f>IF(D591="","",X591-Y591)</f>
        <v/>
      </c>
      <c r="AD591" s="5">
        <f>IF(D591="","",AA591-Z591)</f>
        <v/>
      </c>
      <c r="AG591">
        <f>IF(D591="","",N(AG590)+IF(MATCH(D591,$D$2:$D$3001,0)=ROW()-1,1,0))</f>
        <v/>
      </c>
    </row>
    <row r="592">
      <c r="Y592" s="5">
        <f>IF(D592="","",X592*IF(AND(ISNUMBER(AC592),AC592&gt;0,AC592&lt;1),AC592*100,AC592)/100)</f>
        <v/>
      </c>
      <c r="Z592" s="5">
        <f>IF(D592="","",AB592*AA592/100)</f>
        <v/>
      </c>
      <c r="AA592" s="5">
        <f>IF(D592="","",X592-Y592)</f>
        <v/>
      </c>
      <c r="AD592" s="5">
        <f>IF(D592="","",AA592-Z592)</f>
        <v/>
      </c>
      <c r="AG592">
        <f>IF(D592="","",N(AG591)+IF(MATCH(D592,$D$2:$D$3001,0)=ROW()-1,1,0))</f>
        <v/>
      </c>
    </row>
    <row r="593">
      <c r="Y593" s="5">
        <f>IF(D593="","",X593*IF(AND(ISNUMBER(AC593),AC593&gt;0,AC593&lt;1),AC593*100,AC593)/100)</f>
        <v/>
      </c>
      <c r="Z593" s="5">
        <f>IF(D593="","",AB593*AA593/100)</f>
        <v/>
      </c>
      <c r="AA593" s="5">
        <f>IF(D593="","",X593-Y593)</f>
        <v/>
      </c>
      <c r="AD593" s="5">
        <f>IF(D593="","",AA593-Z593)</f>
        <v/>
      </c>
      <c r="AG593">
        <f>IF(D593="","",N(AG592)+IF(MATCH(D593,$D$2:$D$3001,0)=ROW()-1,1,0))</f>
        <v/>
      </c>
    </row>
    <row r="594">
      <c r="Y594" s="5">
        <f>IF(D594="","",X594*IF(AND(ISNUMBER(AC594),AC594&gt;0,AC594&lt;1),AC594*100,AC594)/100)</f>
        <v/>
      </c>
      <c r="Z594" s="5">
        <f>IF(D594="","",AB594*AA594/100)</f>
        <v/>
      </c>
      <c r="AA594" s="5">
        <f>IF(D594="","",X594-Y594)</f>
        <v/>
      </c>
      <c r="AD594" s="5">
        <f>IF(D594="","",AA594-Z594)</f>
        <v/>
      </c>
      <c r="AG594">
        <f>IF(D594="","",N(AG593)+IF(MATCH(D594,$D$2:$D$3001,0)=ROW()-1,1,0))</f>
        <v/>
      </c>
    </row>
    <row r="595">
      <c r="Y595" s="5">
        <f>IF(D595="","",X595*IF(AND(ISNUMBER(AC595),AC595&gt;0,AC595&lt;1),AC595*100,AC595)/100)</f>
        <v/>
      </c>
      <c r="Z595" s="5">
        <f>IF(D595="","",AB595*AA595/100)</f>
        <v/>
      </c>
      <c r="AA595" s="5">
        <f>IF(D595="","",X595-Y595)</f>
        <v/>
      </c>
      <c r="AD595" s="5">
        <f>IF(D595="","",AA595-Z595)</f>
        <v/>
      </c>
      <c r="AG595">
        <f>IF(D595="","",N(AG594)+IF(MATCH(D595,$D$2:$D$3001,0)=ROW()-1,1,0))</f>
        <v/>
      </c>
    </row>
    <row r="596">
      <c r="Y596" s="5">
        <f>IF(D596="","",X596*IF(AND(ISNUMBER(AC596),AC596&gt;0,AC596&lt;1),AC596*100,AC596)/100)</f>
        <v/>
      </c>
      <c r="Z596" s="5">
        <f>IF(D596="","",AB596*AA596/100)</f>
        <v/>
      </c>
      <c r="AA596" s="5">
        <f>IF(D596="","",X596-Y596)</f>
        <v/>
      </c>
      <c r="AD596" s="5">
        <f>IF(D596="","",AA596-Z596)</f>
        <v/>
      </c>
      <c r="AG596">
        <f>IF(D596="","",N(AG595)+IF(MATCH(D596,$D$2:$D$3001,0)=ROW()-1,1,0))</f>
        <v/>
      </c>
    </row>
    <row r="597">
      <c r="Y597" s="5">
        <f>IF(D597="","",X597*IF(AND(ISNUMBER(AC597),AC597&gt;0,AC597&lt;1),AC597*100,AC597)/100)</f>
        <v/>
      </c>
      <c r="Z597" s="5">
        <f>IF(D597="","",AB597*AA597/100)</f>
        <v/>
      </c>
      <c r="AA597" s="5">
        <f>IF(D597="","",X597-Y597)</f>
        <v/>
      </c>
      <c r="AD597" s="5">
        <f>IF(D597="","",AA597-Z597)</f>
        <v/>
      </c>
      <c r="AG597">
        <f>IF(D597="","",N(AG596)+IF(MATCH(D597,$D$2:$D$3001,0)=ROW()-1,1,0))</f>
        <v/>
      </c>
    </row>
    <row r="598">
      <c r="Y598" s="5">
        <f>IF(D598="","",X598*IF(AND(ISNUMBER(AC598),AC598&gt;0,AC598&lt;1),AC598*100,AC598)/100)</f>
        <v/>
      </c>
      <c r="Z598" s="5">
        <f>IF(D598="","",AB598*AA598/100)</f>
        <v/>
      </c>
      <c r="AA598" s="5">
        <f>IF(D598="","",X598-Y598)</f>
        <v/>
      </c>
      <c r="AD598" s="5">
        <f>IF(D598="","",AA598-Z598)</f>
        <v/>
      </c>
      <c r="AG598">
        <f>IF(D598="","",N(AG597)+IF(MATCH(D598,$D$2:$D$3001,0)=ROW()-1,1,0))</f>
        <v/>
      </c>
    </row>
    <row r="599">
      <c r="Y599" s="5">
        <f>IF(D599="","",X599*IF(AND(ISNUMBER(AC599),AC599&gt;0,AC599&lt;1),AC599*100,AC599)/100)</f>
        <v/>
      </c>
      <c r="Z599" s="5">
        <f>IF(D599="","",AB599*AA599/100)</f>
        <v/>
      </c>
      <c r="AA599" s="5">
        <f>IF(D599="","",X599-Y599)</f>
        <v/>
      </c>
      <c r="AD599" s="5">
        <f>IF(D599="","",AA599-Z599)</f>
        <v/>
      </c>
      <c r="AG599">
        <f>IF(D599="","",N(AG598)+IF(MATCH(D599,$D$2:$D$3001,0)=ROW()-1,1,0))</f>
        <v/>
      </c>
    </row>
    <row r="600">
      <c r="Y600" s="5">
        <f>IF(D600="","",X600*IF(AND(ISNUMBER(AC600),AC600&gt;0,AC600&lt;1),AC600*100,AC600)/100)</f>
        <v/>
      </c>
      <c r="Z600" s="5">
        <f>IF(D600="","",AB600*AA600/100)</f>
        <v/>
      </c>
      <c r="AA600" s="5">
        <f>IF(D600="","",X600-Y600)</f>
        <v/>
      </c>
      <c r="AD600" s="5">
        <f>IF(D600="","",AA600-Z600)</f>
        <v/>
      </c>
      <c r="AG600">
        <f>IF(D600="","",N(AG599)+IF(MATCH(D600,$D$2:$D$3001,0)=ROW()-1,1,0))</f>
        <v/>
      </c>
    </row>
    <row r="601">
      <c r="Y601" s="5">
        <f>IF(D601="","",X601*IF(AND(ISNUMBER(AC601),AC601&gt;0,AC601&lt;1),AC601*100,AC601)/100)</f>
        <v/>
      </c>
      <c r="Z601" s="5">
        <f>IF(D601="","",AB601*AA601/100)</f>
        <v/>
      </c>
      <c r="AA601" s="5">
        <f>IF(D601="","",X601-Y601)</f>
        <v/>
      </c>
      <c r="AD601" s="5">
        <f>IF(D601="","",AA601-Z601)</f>
        <v/>
      </c>
      <c r="AG601">
        <f>IF(D601="","",N(AG600)+IF(MATCH(D601,$D$2:$D$3001,0)=ROW()-1,1,0))</f>
        <v/>
      </c>
    </row>
    <row r="602">
      <c r="Y602" s="5">
        <f>IF(D602="","",X602*IF(AND(ISNUMBER(AC602),AC602&gt;0,AC602&lt;1),AC602*100,AC602)/100)</f>
        <v/>
      </c>
      <c r="Z602" s="5">
        <f>IF(D602="","",AB602*AA602/100)</f>
        <v/>
      </c>
      <c r="AA602" s="5">
        <f>IF(D602="","",X602-Y602)</f>
        <v/>
      </c>
      <c r="AD602" s="5">
        <f>IF(D602="","",AA602-Z602)</f>
        <v/>
      </c>
      <c r="AG602">
        <f>IF(D602="","",N(AG601)+IF(MATCH(D602,$D$2:$D$3001,0)=ROW()-1,1,0))</f>
        <v/>
      </c>
    </row>
    <row r="603">
      <c r="Y603" s="5">
        <f>IF(D603="","",X603*IF(AND(ISNUMBER(AC603),AC603&gt;0,AC603&lt;1),AC603*100,AC603)/100)</f>
        <v/>
      </c>
      <c r="Z603" s="5">
        <f>IF(D603="","",AB603*AA603/100)</f>
        <v/>
      </c>
      <c r="AA603" s="5">
        <f>IF(D603="","",X603-Y603)</f>
        <v/>
      </c>
      <c r="AD603" s="5">
        <f>IF(D603="","",AA603-Z603)</f>
        <v/>
      </c>
      <c r="AG603">
        <f>IF(D603="","",N(AG602)+IF(MATCH(D603,$D$2:$D$3001,0)=ROW()-1,1,0))</f>
        <v/>
      </c>
    </row>
    <row r="604">
      <c r="Y604" s="5">
        <f>IF(D604="","",X604*IF(AND(ISNUMBER(AC604),AC604&gt;0,AC604&lt;1),AC604*100,AC604)/100)</f>
        <v/>
      </c>
      <c r="Z604" s="5">
        <f>IF(D604="","",AB604*AA604/100)</f>
        <v/>
      </c>
      <c r="AA604" s="5">
        <f>IF(D604="","",X604-Y604)</f>
        <v/>
      </c>
      <c r="AD604" s="5">
        <f>IF(D604="","",AA604-Z604)</f>
        <v/>
      </c>
      <c r="AG604">
        <f>IF(D604="","",N(AG603)+IF(MATCH(D604,$D$2:$D$3001,0)=ROW()-1,1,0))</f>
        <v/>
      </c>
    </row>
    <row r="605">
      <c r="Y605" s="5">
        <f>IF(D605="","",X605*IF(AND(ISNUMBER(AC605),AC605&gt;0,AC605&lt;1),AC605*100,AC605)/100)</f>
        <v/>
      </c>
      <c r="Z605" s="5">
        <f>IF(D605="","",AB605*AA605/100)</f>
        <v/>
      </c>
      <c r="AA605" s="5">
        <f>IF(D605="","",X605-Y605)</f>
        <v/>
      </c>
      <c r="AD605" s="5">
        <f>IF(D605="","",AA605-Z605)</f>
        <v/>
      </c>
      <c r="AG605">
        <f>IF(D605="","",N(AG604)+IF(MATCH(D605,$D$2:$D$3001,0)=ROW()-1,1,0))</f>
        <v/>
      </c>
    </row>
    <row r="606">
      <c r="Y606" s="5">
        <f>IF(D606="","",X606*IF(AND(ISNUMBER(AC606),AC606&gt;0,AC606&lt;1),AC606*100,AC606)/100)</f>
        <v/>
      </c>
      <c r="Z606" s="5">
        <f>IF(D606="","",AB606*AA606/100)</f>
        <v/>
      </c>
      <c r="AA606" s="5">
        <f>IF(D606="","",X606-Y606)</f>
        <v/>
      </c>
      <c r="AD606" s="5">
        <f>IF(D606="","",AA606-Z606)</f>
        <v/>
      </c>
      <c r="AG606">
        <f>IF(D606="","",N(AG605)+IF(MATCH(D606,$D$2:$D$3001,0)=ROW()-1,1,0))</f>
        <v/>
      </c>
    </row>
    <row r="607">
      <c r="Y607" s="5">
        <f>IF(D607="","",X607*IF(AND(ISNUMBER(AC607),AC607&gt;0,AC607&lt;1),AC607*100,AC607)/100)</f>
        <v/>
      </c>
      <c r="Z607" s="5">
        <f>IF(D607="","",AB607*AA607/100)</f>
        <v/>
      </c>
      <c r="AA607" s="5">
        <f>IF(D607="","",X607-Y607)</f>
        <v/>
      </c>
      <c r="AD607" s="5">
        <f>IF(D607="","",AA607-Z607)</f>
        <v/>
      </c>
      <c r="AG607">
        <f>IF(D607="","",N(AG606)+IF(MATCH(D607,$D$2:$D$3001,0)=ROW()-1,1,0))</f>
        <v/>
      </c>
    </row>
    <row r="608">
      <c r="Y608" s="5">
        <f>IF(D608="","",X608*IF(AND(ISNUMBER(AC608),AC608&gt;0,AC608&lt;1),AC608*100,AC608)/100)</f>
        <v/>
      </c>
      <c r="Z608" s="5">
        <f>IF(D608="","",AB608*AA608/100)</f>
        <v/>
      </c>
      <c r="AA608" s="5">
        <f>IF(D608="","",X608-Y608)</f>
        <v/>
      </c>
      <c r="AD608" s="5">
        <f>IF(D608="","",AA608-Z608)</f>
        <v/>
      </c>
      <c r="AG608">
        <f>IF(D608="","",N(AG607)+IF(MATCH(D608,$D$2:$D$3001,0)=ROW()-1,1,0))</f>
        <v/>
      </c>
    </row>
    <row r="609">
      <c r="Y609" s="5">
        <f>IF(D609="","",X609*IF(AND(ISNUMBER(AC609),AC609&gt;0,AC609&lt;1),AC609*100,AC609)/100)</f>
        <v/>
      </c>
      <c r="Z609" s="5">
        <f>IF(D609="","",AB609*AA609/100)</f>
        <v/>
      </c>
      <c r="AA609" s="5">
        <f>IF(D609="","",X609-Y609)</f>
        <v/>
      </c>
      <c r="AD609" s="5">
        <f>IF(D609="","",AA609-Z609)</f>
        <v/>
      </c>
      <c r="AG609">
        <f>IF(D609="","",N(AG608)+IF(MATCH(D609,$D$2:$D$3001,0)=ROW()-1,1,0))</f>
        <v/>
      </c>
    </row>
    <row r="610">
      <c r="Y610" s="5">
        <f>IF(D610="","",X610*IF(AND(ISNUMBER(AC610),AC610&gt;0,AC610&lt;1),AC610*100,AC610)/100)</f>
        <v/>
      </c>
      <c r="Z610" s="5">
        <f>IF(D610="","",AB610*AA610/100)</f>
        <v/>
      </c>
      <c r="AA610" s="5">
        <f>IF(D610="","",X610-Y610)</f>
        <v/>
      </c>
      <c r="AD610" s="5">
        <f>IF(D610="","",AA610-Z610)</f>
        <v/>
      </c>
      <c r="AG610">
        <f>IF(D610="","",N(AG609)+IF(MATCH(D610,$D$2:$D$3001,0)=ROW()-1,1,0))</f>
        <v/>
      </c>
    </row>
    <row r="611">
      <c r="Y611" s="5">
        <f>IF(D611="","",X611*IF(AND(ISNUMBER(AC611),AC611&gt;0,AC611&lt;1),AC611*100,AC611)/100)</f>
        <v/>
      </c>
      <c r="Z611" s="5">
        <f>IF(D611="","",AB611*AA611/100)</f>
        <v/>
      </c>
      <c r="AA611" s="5">
        <f>IF(D611="","",X611-Y611)</f>
        <v/>
      </c>
      <c r="AD611" s="5">
        <f>IF(D611="","",AA611-Z611)</f>
        <v/>
      </c>
      <c r="AG611">
        <f>IF(D611="","",N(AG610)+IF(MATCH(D611,$D$2:$D$3001,0)=ROW()-1,1,0))</f>
        <v/>
      </c>
    </row>
    <row r="612">
      <c r="Y612" s="5">
        <f>IF(D612="","",X612*IF(AND(ISNUMBER(AC612),AC612&gt;0,AC612&lt;1),AC612*100,AC612)/100)</f>
        <v/>
      </c>
      <c r="Z612" s="5">
        <f>IF(D612="","",AB612*AA612/100)</f>
        <v/>
      </c>
      <c r="AA612" s="5">
        <f>IF(D612="","",X612-Y612)</f>
        <v/>
      </c>
      <c r="AD612" s="5">
        <f>IF(D612="","",AA612-Z612)</f>
        <v/>
      </c>
      <c r="AG612">
        <f>IF(D612="","",N(AG611)+IF(MATCH(D612,$D$2:$D$3001,0)=ROW()-1,1,0))</f>
        <v/>
      </c>
    </row>
    <row r="613">
      <c r="Y613" s="5">
        <f>IF(D613="","",X613*IF(AND(ISNUMBER(AC613),AC613&gt;0,AC613&lt;1),AC613*100,AC613)/100)</f>
        <v/>
      </c>
      <c r="Z613" s="5">
        <f>IF(D613="","",AB613*AA613/100)</f>
        <v/>
      </c>
      <c r="AA613" s="5">
        <f>IF(D613="","",X613-Y613)</f>
        <v/>
      </c>
      <c r="AD613" s="5">
        <f>IF(D613="","",AA613-Z613)</f>
        <v/>
      </c>
      <c r="AG613">
        <f>IF(D613="","",N(AG612)+IF(MATCH(D613,$D$2:$D$3001,0)=ROW()-1,1,0))</f>
        <v/>
      </c>
    </row>
    <row r="614">
      <c r="Y614" s="5">
        <f>IF(D614="","",X614*IF(AND(ISNUMBER(AC614),AC614&gt;0,AC614&lt;1),AC614*100,AC614)/100)</f>
        <v/>
      </c>
      <c r="Z614" s="5">
        <f>IF(D614="","",AB614*AA614/100)</f>
        <v/>
      </c>
      <c r="AA614" s="5">
        <f>IF(D614="","",X614-Y614)</f>
        <v/>
      </c>
      <c r="AD614" s="5">
        <f>IF(D614="","",AA614-Z614)</f>
        <v/>
      </c>
      <c r="AG614">
        <f>IF(D614="","",N(AG613)+IF(MATCH(D614,$D$2:$D$3001,0)=ROW()-1,1,0))</f>
        <v/>
      </c>
    </row>
    <row r="615">
      <c r="Y615" s="5">
        <f>IF(D615="","",X615*IF(AND(ISNUMBER(AC615),AC615&gt;0,AC615&lt;1),AC615*100,AC615)/100)</f>
        <v/>
      </c>
      <c r="Z615" s="5">
        <f>IF(D615="","",AB615*AA615/100)</f>
        <v/>
      </c>
      <c r="AA615" s="5">
        <f>IF(D615="","",X615-Y615)</f>
        <v/>
      </c>
      <c r="AD615" s="5">
        <f>IF(D615="","",AA615-Z615)</f>
        <v/>
      </c>
      <c r="AG615">
        <f>IF(D615="","",N(AG614)+IF(MATCH(D615,$D$2:$D$3001,0)=ROW()-1,1,0))</f>
        <v/>
      </c>
    </row>
    <row r="616">
      <c r="Y616" s="5">
        <f>IF(D616="","",X616*IF(AND(ISNUMBER(AC616),AC616&gt;0,AC616&lt;1),AC616*100,AC616)/100)</f>
        <v/>
      </c>
      <c r="Z616" s="5">
        <f>IF(D616="","",AB616*AA616/100)</f>
        <v/>
      </c>
      <c r="AA616" s="5">
        <f>IF(D616="","",X616-Y616)</f>
        <v/>
      </c>
      <c r="AD616" s="5">
        <f>IF(D616="","",AA616-Z616)</f>
        <v/>
      </c>
      <c r="AG616">
        <f>IF(D616="","",N(AG615)+IF(MATCH(D616,$D$2:$D$3001,0)=ROW()-1,1,0))</f>
        <v/>
      </c>
    </row>
    <row r="617">
      <c r="Y617" s="5">
        <f>IF(D617="","",X617*IF(AND(ISNUMBER(AC617),AC617&gt;0,AC617&lt;1),AC617*100,AC617)/100)</f>
        <v/>
      </c>
      <c r="Z617" s="5">
        <f>IF(D617="","",AB617*AA617/100)</f>
        <v/>
      </c>
      <c r="AA617" s="5">
        <f>IF(D617="","",X617-Y617)</f>
        <v/>
      </c>
      <c r="AD617" s="5">
        <f>IF(D617="","",AA617-Z617)</f>
        <v/>
      </c>
      <c r="AG617">
        <f>IF(D617="","",N(AG616)+IF(MATCH(D617,$D$2:$D$3001,0)=ROW()-1,1,0))</f>
        <v/>
      </c>
    </row>
    <row r="618">
      <c r="Y618" s="5">
        <f>IF(D618="","",X618*IF(AND(ISNUMBER(AC618),AC618&gt;0,AC618&lt;1),AC618*100,AC618)/100)</f>
        <v/>
      </c>
      <c r="Z618" s="5">
        <f>IF(D618="","",AB618*AA618/100)</f>
        <v/>
      </c>
      <c r="AA618" s="5">
        <f>IF(D618="","",X618-Y618)</f>
        <v/>
      </c>
      <c r="AD618" s="5">
        <f>IF(D618="","",AA618-Z618)</f>
        <v/>
      </c>
      <c r="AG618">
        <f>IF(D618="","",N(AG617)+IF(MATCH(D618,$D$2:$D$3001,0)=ROW()-1,1,0))</f>
        <v/>
      </c>
    </row>
    <row r="619">
      <c r="Y619" s="5">
        <f>IF(D619="","",X619*IF(AND(ISNUMBER(AC619),AC619&gt;0,AC619&lt;1),AC619*100,AC619)/100)</f>
        <v/>
      </c>
      <c r="Z619" s="5">
        <f>IF(D619="","",AB619*AA619/100)</f>
        <v/>
      </c>
      <c r="AA619" s="5">
        <f>IF(D619="","",X619-Y619)</f>
        <v/>
      </c>
      <c r="AD619" s="5">
        <f>IF(D619="","",AA619-Z619)</f>
        <v/>
      </c>
      <c r="AG619">
        <f>IF(D619="","",N(AG618)+IF(MATCH(D619,$D$2:$D$3001,0)=ROW()-1,1,0))</f>
        <v/>
      </c>
    </row>
    <row r="620">
      <c r="Y620" s="5">
        <f>IF(D620="","",X620*IF(AND(ISNUMBER(AC620),AC620&gt;0,AC620&lt;1),AC620*100,AC620)/100)</f>
        <v/>
      </c>
      <c r="Z620" s="5">
        <f>IF(D620="","",AB620*AA620/100)</f>
        <v/>
      </c>
      <c r="AA620" s="5">
        <f>IF(D620="","",X620-Y620)</f>
        <v/>
      </c>
      <c r="AD620" s="5">
        <f>IF(D620="","",AA620-Z620)</f>
        <v/>
      </c>
      <c r="AG620">
        <f>IF(D620="","",N(AG619)+IF(MATCH(D620,$D$2:$D$3001,0)=ROW()-1,1,0))</f>
        <v/>
      </c>
    </row>
    <row r="621">
      <c r="Y621" s="5">
        <f>IF(D621="","",X621*IF(AND(ISNUMBER(AC621),AC621&gt;0,AC621&lt;1),AC621*100,AC621)/100)</f>
        <v/>
      </c>
      <c r="Z621" s="5">
        <f>IF(D621="","",AB621*AA621/100)</f>
        <v/>
      </c>
      <c r="AA621" s="5">
        <f>IF(D621="","",X621-Y621)</f>
        <v/>
      </c>
      <c r="AD621" s="5">
        <f>IF(D621="","",AA621-Z621)</f>
        <v/>
      </c>
      <c r="AG621">
        <f>IF(D621="","",N(AG620)+IF(MATCH(D621,$D$2:$D$3001,0)=ROW()-1,1,0))</f>
        <v/>
      </c>
    </row>
    <row r="622">
      <c r="Y622" s="5">
        <f>IF(D622="","",X622*IF(AND(ISNUMBER(AC622),AC622&gt;0,AC622&lt;1),AC622*100,AC622)/100)</f>
        <v/>
      </c>
      <c r="Z622" s="5">
        <f>IF(D622="","",AB622*AA622/100)</f>
        <v/>
      </c>
      <c r="AA622" s="5">
        <f>IF(D622="","",X622-Y622)</f>
        <v/>
      </c>
      <c r="AD622" s="5">
        <f>IF(D622="","",AA622-Z622)</f>
        <v/>
      </c>
      <c r="AG622">
        <f>IF(D622="","",N(AG621)+IF(MATCH(D622,$D$2:$D$3001,0)=ROW()-1,1,0))</f>
        <v/>
      </c>
    </row>
    <row r="623">
      <c r="Y623" s="5">
        <f>IF(D623="","",X623*IF(AND(ISNUMBER(AC623),AC623&gt;0,AC623&lt;1),AC623*100,AC623)/100)</f>
        <v/>
      </c>
      <c r="Z623" s="5">
        <f>IF(D623="","",AB623*AA623/100)</f>
        <v/>
      </c>
      <c r="AA623" s="5">
        <f>IF(D623="","",X623-Y623)</f>
        <v/>
      </c>
      <c r="AD623" s="5">
        <f>IF(D623="","",AA623-Z623)</f>
        <v/>
      </c>
      <c r="AG623">
        <f>IF(D623="","",N(AG622)+IF(MATCH(D623,$D$2:$D$3001,0)=ROW()-1,1,0))</f>
        <v/>
      </c>
    </row>
    <row r="624">
      <c r="Y624" s="5">
        <f>IF(D624="","",X624*IF(AND(ISNUMBER(AC624),AC624&gt;0,AC624&lt;1),AC624*100,AC624)/100)</f>
        <v/>
      </c>
      <c r="Z624" s="5">
        <f>IF(D624="","",AB624*AA624/100)</f>
        <v/>
      </c>
      <c r="AA624" s="5">
        <f>IF(D624="","",X624-Y624)</f>
        <v/>
      </c>
      <c r="AD624" s="5">
        <f>IF(D624="","",AA624-Z624)</f>
        <v/>
      </c>
      <c r="AG624">
        <f>IF(D624="","",N(AG623)+IF(MATCH(D624,$D$2:$D$3001,0)=ROW()-1,1,0))</f>
        <v/>
      </c>
    </row>
    <row r="625">
      <c r="Y625" s="5">
        <f>IF(D625="","",X625*IF(AND(ISNUMBER(AC625),AC625&gt;0,AC625&lt;1),AC625*100,AC625)/100)</f>
        <v/>
      </c>
      <c r="Z625" s="5">
        <f>IF(D625="","",AB625*AA625/100)</f>
        <v/>
      </c>
      <c r="AA625" s="5">
        <f>IF(D625="","",X625-Y625)</f>
        <v/>
      </c>
      <c r="AD625" s="5">
        <f>IF(D625="","",AA625-Z625)</f>
        <v/>
      </c>
      <c r="AG625">
        <f>IF(D625="","",N(AG624)+IF(MATCH(D625,$D$2:$D$3001,0)=ROW()-1,1,0))</f>
        <v/>
      </c>
    </row>
    <row r="626">
      <c r="Y626" s="5">
        <f>IF(D626="","",X626*IF(AND(ISNUMBER(AC626),AC626&gt;0,AC626&lt;1),AC626*100,AC626)/100)</f>
        <v/>
      </c>
      <c r="Z626" s="5">
        <f>IF(D626="","",AB626*AA626/100)</f>
        <v/>
      </c>
      <c r="AA626" s="5">
        <f>IF(D626="","",X626-Y626)</f>
        <v/>
      </c>
      <c r="AD626" s="5">
        <f>IF(D626="","",AA626-Z626)</f>
        <v/>
      </c>
      <c r="AG626">
        <f>IF(D626="","",N(AG625)+IF(MATCH(D626,$D$2:$D$3001,0)=ROW()-1,1,0))</f>
        <v/>
      </c>
    </row>
    <row r="627">
      <c r="Y627" s="5">
        <f>IF(D627="","",X627*IF(AND(ISNUMBER(AC627),AC627&gt;0,AC627&lt;1),AC627*100,AC627)/100)</f>
        <v/>
      </c>
      <c r="Z627" s="5">
        <f>IF(D627="","",AB627*AA627/100)</f>
        <v/>
      </c>
      <c r="AA627" s="5">
        <f>IF(D627="","",X627-Y627)</f>
        <v/>
      </c>
      <c r="AD627" s="5">
        <f>IF(D627="","",AA627-Z627)</f>
        <v/>
      </c>
      <c r="AG627">
        <f>IF(D627="","",N(AG626)+IF(MATCH(D627,$D$2:$D$3001,0)=ROW()-1,1,0))</f>
        <v/>
      </c>
    </row>
    <row r="628">
      <c r="Y628" s="5">
        <f>IF(D628="","",X628*IF(AND(ISNUMBER(AC628),AC628&gt;0,AC628&lt;1),AC628*100,AC628)/100)</f>
        <v/>
      </c>
      <c r="Z628" s="5">
        <f>IF(D628="","",AB628*AA628/100)</f>
        <v/>
      </c>
      <c r="AA628" s="5">
        <f>IF(D628="","",X628-Y628)</f>
        <v/>
      </c>
      <c r="AD628" s="5">
        <f>IF(D628="","",AA628-Z628)</f>
        <v/>
      </c>
      <c r="AG628">
        <f>IF(D628="","",N(AG627)+IF(MATCH(D628,$D$2:$D$3001,0)=ROW()-1,1,0))</f>
        <v/>
      </c>
    </row>
    <row r="629">
      <c r="Y629" s="5">
        <f>IF(D629="","",X629*IF(AND(ISNUMBER(AC629),AC629&gt;0,AC629&lt;1),AC629*100,AC629)/100)</f>
        <v/>
      </c>
      <c r="Z629" s="5">
        <f>IF(D629="","",AB629*AA629/100)</f>
        <v/>
      </c>
      <c r="AA629" s="5">
        <f>IF(D629="","",X629-Y629)</f>
        <v/>
      </c>
      <c r="AD629" s="5">
        <f>IF(D629="","",AA629-Z629)</f>
        <v/>
      </c>
      <c r="AG629">
        <f>IF(D629="","",N(AG628)+IF(MATCH(D629,$D$2:$D$3001,0)=ROW()-1,1,0))</f>
        <v/>
      </c>
    </row>
    <row r="630">
      <c r="Y630" s="5">
        <f>IF(D630="","",X630*IF(AND(ISNUMBER(AC630),AC630&gt;0,AC630&lt;1),AC630*100,AC630)/100)</f>
        <v/>
      </c>
      <c r="Z630" s="5">
        <f>IF(D630="","",AB630*AA630/100)</f>
        <v/>
      </c>
      <c r="AA630" s="5">
        <f>IF(D630="","",X630-Y630)</f>
        <v/>
      </c>
      <c r="AD630" s="5">
        <f>IF(D630="","",AA630-Z630)</f>
        <v/>
      </c>
      <c r="AG630">
        <f>IF(D630="","",N(AG629)+IF(MATCH(D630,$D$2:$D$3001,0)=ROW()-1,1,0))</f>
        <v/>
      </c>
    </row>
    <row r="631">
      <c r="Y631" s="5">
        <f>IF(D631="","",X631*IF(AND(ISNUMBER(AC631),AC631&gt;0,AC631&lt;1),AC631*100,AC631)/100)</f>
        <v/>
      </c>
      <c r="Z631" s="5">
        <f>IF(D631="","",AB631*AA631/100)</f>
        <v/>
      </c>
      <c r="AA631" s="5">
        <f>IF(D631="","",X631-Y631)</f>
        <v/>
      </c>
      <c r="AD631" s="5">
        <f>IF(D631="","",AA631-Z631)</f>
        <v/>
      </c>
      <c r="AG631">
        <f>IF(D631="","",N(AG630)+IF(MATCH(D631,$D$2:$D$3001,0)=ROW()-1,1,0))</f>
        <v/>
      </c>
    </row>
    <row r="632">
      <c r="Y632" s="5">
        <f>IF(D632="","",X632*IF(AND(ISNUMBER(AC632),AC632&gt;0,AC632&lt;1),AC632*100,AC632)/100)</f>
        <v/>
      </c>
      <c r="Z632" s="5">
        <f>IF(D632="","",AB632*AA632/100)</f>
        <v/>
      </c>
      <c r="AA632" s="5">
        <f>IF(D632="","",X632-Y632)</f>
        <v/>
      </c>
      <c r="AD632" s="5">
        <f>IF(D632="","",AA632-Z632)</f>
        <v/>
      </c>
      <c r="AG632">
        <f>IF(D632="","",N(AG631)+IF(MATCH(D632,$D$2:$D$3001,0)=ROW()-1,1,0))</f>
        <v/>
      </c>
    </row>
    <row r="633">
      <c r="Y633" s="5">
        <f>IF(D633="","",X633*IF(AND(ISNUMBER(AC633),AC633&gt;0,AC633&lt;1),AC633*100,AC633)/100)</f>
        <v/>
      </c>
      <c r="Z633" s="5">
        <f>IF(D633="","",AB633*AA633/100)</f>
        <v/>
      </c>
      <c r="AA633" s="5">
        <f>IF(D633="","",X633-Y633)</f>
        <v/>
      </c>
      <c r="AD633" s="5">
        <f>IF(D633="","",AA633-Z633)</f>
        <v/>
      </c>
      <c r="AG633">
        <f>IF(D633="","",N(AG632)+IF(MATCH(D633,$D$2:$D$3001,0)=ROW()-1,1,0))</f>
        <v/>
      </c>
    </row>
    <row r="634">
      <c r="Y634" s="5">
        <f>IF(D634="","",X634*IF(AND(ISNUMBER(AC634),AC634&gt;0,AC634&lt;1),AC634*100,AC634)/100)</f>
        <v/>
      </c>
      <c r="Z634" s="5">
        <f>IF(D634="","",AB634*AA634/100)</f>
        <v/>
      </c>
      <c r="AA634" s="5">
        <f>IF(D634="","",X634-Y634)</f>
        <v/>
      </c>
      <c r="AD634" s="5">
        <f>IF(D634="","",AA634-Z634)</f>
        <v/>
      </c>
      <c r="AG634">
        <f>IF(D634="","",N(AG633)+IF(MATCH(D634,$D$2:$D$3001,0)=ROW()-1,1,0))</f>
        <v/>
      </c>
    </row>
    <row r="635">
      <c r="Y635" s="5">
        <f>IF(D635="","",X635*IF(AND(ISNUMBER(AC635),AC635&gt;0,AC635&lt;1),AC635*100,AC635)/100)</f>
        <v/>
      </c>
      <c r="Z635" s="5">
        <f>IF(D635="","",AB635*AA635/100)</f>
        <v/>
      </c>
      <c r="AA635" s="5">
        <f>IF(D635="","",X635-Y635)</f>
        <v/>
      </c>
      <c r="AD635" s="5">
        <f>IF(D635="","",AA635-Z635)</f>
        <v/>
      </c>
      <c r="AG635">
        <f>IF(D635="","",N(AG634)+IF(MATCH(D635,$D$2:$D$3001,0)=ROW()-1,1,0))</f>
        <v/>
      </c>
    </row>
    <row r="636">
      <c r="Y636" s="5">
        <f>IF(D636="","",X636*IF(AND(ISNUMBER(AC636),AC636&gt;0,AC636&lt;1),AC636*100,AC636)/100)</f>
        <v/>
      </c>
      <c r="Z636" s="5">
        <f>IF(D636="","",AB636*AA636/100)</f>
        <v/>
      </c>
      <c r="AA636" s="5">
        <f>IF(D636="","",X636-Y636)</f>
        <v/>
      </c>
      <c r="AD636" s="5">
        <f>IF(D636="","",AA636-Z636)</f>
        <v/>
      </c>
      <c r="AG636">
        <f>IF(D636="","",N(AG635)+IF(MATCH(D636,$D$2:$D$3001,0)=ROW()-1,1,0))</f>
        <v/>
      </c>
    </row>
    <row r="637">
      <c r="Y637" s="5">
        <f>IF(D637="","",X637*IF(AND(ISNUMBER(AC637),AC637&gt;0,AC637&lt;1),AC637*100,AC637)/100)</f>
        <v/>
      </c>
      <c r="Z637" s="5">
        <f>IF(D637="","",AB637*AA637/100)</f>
        <v/>
      </c>
      <c r="AA637" s="5">
        <f>IF(D637="","",X637-Y637)</f>
        <v/>
      </c>
      <c r="AD637" s="5">
        <f>IF(D637="","",AA637-Z637)</f>
        <v/>
      </c>
      <c r="AG637">
        <f>IF(D637="","",N(AG636)+IF(MATCH(D637,$D$2:$D$3001,0)=ROW()-1,1,0))</f>
        <v/>
      </c>
    </row>
    <row r="638">
      <c r="Y638" s="5">
        <f>IF(D638="","",X638*IF(AND(ISNUMBER(AC638),AC638&gt;0,AC638&lt;1),AC638*100,AC638)/100)</f>
        <v/>
      </c>
      <c r="Z638" s="5">
        <f>IF(D638="","",AB638*AA638/100)</f>
        <v/>
      </c>
      <c r="AA638" s="5">
        <f>IF(D638="","",X638-Y638)</f>
        <v/>
      </c>
      <c r="AD638" s="5">
        <f>IF(D638="","",AA638-Z638)</f>
        <v/>
      </c>
      <c r="AG638">
        <f>IF(D638="","",N(AG637)+IF(MATCH(D638,$D$2:$D$3001,0)=ROW()-1,1,0))</f>
        <v/>
      </c>
    </row>
    <row r="639">
      <c r="Y639" s="5">
        <f>IF(D639="","",X639*IF(AND(ISNUMBER(AC639),AC639&gt;0,AC639&lt;1),AC639*100,AC639)/100)</f>
        <v/>
      </c>
      <c r="Z639" s="5">
        <f>IF(D639="","",AB639*AA639/100)</f>
        <v/>
      </c>
      <c r="AA639" s="5">
        <f>IF(D639="","",X639-Y639)</f>
        <v/>
      </c>
      <c r="AD639" s="5">
        <f>IF(D639="","",AA639-Z639)</f>
        <v/>
      </c>
      <c r="AG639">
        <f>IF(D639="","",N(AG638)+IF(MATCH(D639,$D$2:$D$3001,0)=ROW()-1,1,0))</f>
        <v/>
      </c>
    </row>
    <row r="640">
      <c r="Y640" s="5">
        <f>IF(D640="","",X640*IF(AND(ISNUMBER(AC640),AC640&gt;0,AC640&lt;1),AC640*100,AC640)/100)</f>
        <v/>
      </c>
      <c r="Z640" s="5">
        <f>IF(D640="","",AB640*AA640/100)</f>
        <v/>
      </c>
      <c r="AA640" s="5">
        <f>IF(D640="","",X640-Y640)</f>
        <v/>
      </c>
      <c r="AD640" s="5">
        <f>IF(D640="","",AA640-Z640)</f>
        <v/>
      </c>
      <c r="AG640">
        <f>IF(D640="","",N(AG639)+IF(MATCH(D640,$D$2:$D$3001,0)=ROW()-1,1,0))</f>
        <v/>
      </c>
    </row>
    <row r="641">
      <c r="Y641" s="5">
        <f>IF(D641="","",X641*IF(AND(ISNUMBER(AC641),AC641&gt;0,AC641&lt;1),AC641*100,AC641)/100)</f>
        <v/>
      </c>
      <c r="Z641" s="5">
        <f>IF(D641="","",AB641*AA641/100)</f>
        <v/>
      </c>
      <c r="AA641" s="5">
        <f>IF(D641="","",X641-Y641)</f>
        <v/>
      </c>
      <c r="AD641" s="5">
        <f>IF(D641="","",AA641-Z641)</f>
        <v/>
      </c>
      <c r="AG641">
        <f>IF(D641="","",N(AG640)+IF(MATCH(D641,$D$2:$D$3001,0)=ROW()-1,1,0))</f>
        <v/>
      </c>
    </row>
    <row r="642">
      <c r="Y642" s="5">
        <f>IF(D642="","",X642*IF(AND(ISNUMBER(AC642),AC642&gt;0,AC642&lt;1),AC642*100,AC642)/100)</f>
        <v/>
      </c>
      <c r="Z642" s="5">
        <f>IF(D642="","",AB642*AA642/100)</f>
        <v/>
      </c>
      <c r="AA642" s="5">
        <f>IF(D642="","",X642-Y642)</f>
        <v/>
      </c>
      <c r="AD642" s="5">
        <f>IF(D642="","",AA642-Z642)</f>
        <v/>
      </c>
      <c r="AG642">
        <f>IF(D642="","",N(AG641)+IF(MATCH(D642,$D$2:$D$3001,0)=ROW()-1,1,0))</f>
        <v/>
      </c>
    </row>
    <row r="643">
      <c r="Y643" s="5">
        <f>IF(D643="","",X643*IF(AND(ISNUMBER(AC643),AC643&gt;0,AC643&lt;1),AC643*100,AC643)/100)</f>
        <v/>
      </c>
      <c r="Z643" s="5">
        <f>IF(D643="","",AB643*AA643/100)</f>
        <v/>
      </c>
      <c r="AA643" s="5">
        <f>IF(D643="","",X643-Y643)</f>
        <v/>
      </c>
      <c r="AD643" s="5">
        <f>IF(D643="","",AA643-Z643)</f>
        <v/>
      </c>
      <c r="AG643">
        <f>IF(D643="","",N(AG642)+IF(MATCH(D643,$D$2:$D$3001,0)=ROW()-1,1,0))</f>
        <v/>
      </c>
    </row>
    <row r="644">
      <c r="Y644" s="5">
        <f>IF(D644="","",X644*IF(AND(ISNUMBER(AC644),AC644&gt;0,AC644&lt;1),AC644*100,AC644)/100)</f>
        <v/>
      </c>
      <c r="Z644" s="5">
        <f>IF(D644="","",AB644*AA644/100)</f>
        <v/>
      </c>
      <c r="AA644" s="5">
        <f>IF(D644="","",X644-Y644)</f>
        <v/>
      </c>
      <c r="AD644" s="5">
        <f>IF(D644="","",AA644-Z644)</f>
        <v/>
      </c>
      <c r="AG644">
        <f>IF(D644="","",N(AG643)+IF(MATCH(D644,$D$2:$D$3001,0)=ROW()-1,1,0))</f>
        <v/>
      </c>
    </row>
    <row r="645">
      <c r="Y645" s="5">
        <f>IF(D645="","",X645*IF(AND(ISNUMBER(AC645),AC645&gt;0,AC645&lt;1),AC645*100,AC645)/100)</f>
        <v/>
      </c>
      <c r="Z645" s="5">
        <f>IF(D645="","",AB645*AA645/100)</f>
        <v/>
      </c>
      <c r="AA645" s="5">
        <f>IF(D645="","",X645-Y645)</f>
        <v/>
      </c>
      <c r="AD645" s="5">
        <f>IF(D645="","",AA645-Z645)</f>
        <v/>
      </c>
      <c r="AG645">
        <f>IF(D645="","",N(AG644)+IF(MATCH(D645,$D$2:$D$3001,0)=ROW()-1,1,0))</f>
        <v/>
      </c>
    </row>
    <row r="646">
      <c r="Y646" s="5">
        <f>IF(D646="","",X646*IF(AND(ISNUMBER(AC646),AC646&gt;0,AC646&lt;1),AC646*100,AC646)/100)</f>
        <v/>
      </c>
      <c r="Z646" s="5">
        <f>IF(D646="","",AB646*AA646/100)</f>
        <v/>
      </c>
      <c r="AA646" s="5">
        <f>IF(D646="","",X646-Y646)</f>
        <v/>
      </c>
      <c r="AD646" s="5">
        <f>IF(D646="","",AA646-Z646)</f>
        <v/>
      </c>
      <c r="AG646">
        <f>IF(D646="","",N(AG645)+IF(MATCH(D646,$D$2:$D$3001,0)=ROW()-1,1,0))</f>
        <v/>
      </c>
    </row>
    <row r="647">
      <c r="Y647" s="5">
        <f>IF(D647="","",X647*IF(AND(ISNUMBER(AC647),AC647&gt;0,AC647&lt;1),AC647*100,AC647)/100)</f>
        <v/>
      </c>
      <c r="Z647" s="5">
        <f>IF(D647="","",AB647*AA647/100)</f>
        <v/>
      </c>
      <c r="AA647" s="5">
        <f>IF(D647="","",X647-Y647)</f>
        <v/>
      </c>
      <c r="AD647" s="5">
        <f>IF(D647="","",AA647-Z647)</f>
        <v/>
      </c>
      <c r="AG647">
        <f>IF(D647="","",N(AG646)+IF(MATCH(D647,$D$2:$D$3001,0)=ROW()-1,1,0))</f>
        <v/>
      </c>
    </row>
    <row r="648">
      <c r="Y648" s="5">
        <f>IF(D648="","",X648*IF(AND(ISNUMBER(AC648),AC648&gt;0,AC648&lt;1),AC648*100,AC648)/100)</f>
        <v/>
      </c>
      <c r="Z648" s="5">
        <f>IF(D648="","",AB648*AA648/100)</f>
        <v/>
      </c>
      <c r="AA648" s="5">
        <f>IF(D648="","",X648-Y648)</f>
        <v/>
      </c>
      <c r="AD648" s="5">
        <f>IF(D648="","",AA648-Z648)</f>
        <v/>
      </c>
      <c r="AG648">
        <f>IF(D648="","",N(AG647)+IF(MATCH(D648,$D$2:$D$3001,0)=ROW()-1,1,0))</f>
        <v/>
      </c>
    </row>
    <row r="649">
      <c r="Y649" s="5">
        <f>IF(D649="","",X649*IF(AND(ISNUMBER(AC649),AC649&gt;0,AC649&lt;1),AC649*100,AC649)/100)</f>
        <v/>
      </c>
      <c r="Z649" s="5">
        <f>IF(D649="","",AB649*AA649/100)</f>
        <v/>
      </c>
      <c r="AA649" s="5">
        <f>IF(D649="","",X649-Y649)</f>
        <v/>
      </c>
      <c r="AD649" s="5">
        <f>IF(D649="","",AA649-Z649)</f>
        <v/>
      </c>
      <c r="AG649">
        <f>IF(D649="","",N(AG648)+IF(MATCH(D649,$D$2:$D$3001,0)=ROW()-1,1,0))</f>
        <v/>
      </c>
    </row>
    <row r="650">
      <c r="Y650" s="5">
        <f>IF(D650="","",X650*IF(AND(ISNUMBER(AC650),AC650&gt;0,AC650&lt;1),AC650*100,AC650)/100)</f>
        <v/>
      </c>
      <c r="Z650" s="5">
        <f>IF(D650="","",AB650*AA650/100)</f>
        <v/>
      </c>
      <c r="AA650" s="5">
        <f>IF(D650="","",X650-Y650)</f>
        <v/>
      </c>
      <c r="AD650" s="5">
        <f>IF(D650="","",AA650-Z650)</f>
        <v/>
      </c>
      <c r="AG650">
        <f>IF(D650="","",N(AG649)+IF(MATCH(D650,$D$2:$D$3001,0)=ROW()-1,1,0))</f>
        <v/>
      </c>
    </row>
    <row r="651">
      <c r="Y651" s="5">
        <f>IF(D651="","",X651*IF(AND(ISNUMBER(AC651),AC651&gt;0,AC651&lt;1),AC651*100,AC651)/100)</f>
        <v/>
      </c>
      <c r="Z651" s="5">
        <f>IF(D651="","",AB651*AA651/100)</f>
        <v/>
      </c>
      <c r="AA651" s="5">
        <f>IF(D651="","",X651-Y651)</f>
        <v/>
      </c>
      <c r="AD651" s="5">
        <f>IF(D651="","",AA651-Z651)</f>
        <v/>
      </c>
      <c r="AG651">
        <f>IF(D651="","",N(AG650)+IF(MATCH(D651,$D$2:$D$3001,0)=ROW()-1,1,0))</f>
        <v/>
      </c>
    </row>
    <row r="652">
      <c r="Y652" s="5">
        <f>IF(D652="","",X652*IF(AND(ISNUMBER(AC652),AC652&gt;0,AC652&lt;1),AC652*100,AC652)/100)</f>
        <v/>
      </c>
      <c r="Z652" s="5">
        <f>IF(D652="","",AB652*AA652/100)</f>
        <v/>
      </c>
      <c r="AA652" s="5">
        <f>IF(D652="","",X652-Y652)</f>
        <v/>
      </c>
      <c r="AD652" s="5">
        <f>IF(D652="","",AA652-Z652)</f>
        <v/>
      </c>
      <c r="AG652">
        <f>IF(D652="","",N(AG651)+IF(MATCH(D652,$D$2:$D$3001,0)=ROW()-1,1,0))</f>
        <v/>
      </c>
    </row>
    <row r="653">
      <c r="Y653" s="5">
        <f>IF(D653="","",X653*IF(AND(ISNUMBER(AC653),AC653&gt;0,AC653&lt;1),AC653*100,AC653)/100)</f>
        <v/>
      </c>
      <c r="Z653" s="5">
        <f>IF(D653="","",AB653*AA653/100)</f>
        <v/>
      </c>
      <c r="AA653" s="5">
        <f>IF(D653="","",X653-Y653)</f>
        <v/>
      </c>
      <c r="AD653" s="5">
        <f>IF(D653="","",AA653-Z653)</f>
        <v/>
      </c>
      <c r="AG653">
        <f>IF(D653="","",N(AG652)+IF(MATCH(D653,$D$2:$D$3001,0)=ROW()-1,1,0))</f>
        <v/>
      </c>
    </row>
    <row r="654">
      <c r="Y654" s="5">
        <f>IF(D654="","",X654*IF(AND(ISNUMBER(AC654),AC654&gt;0,AC654&lt;1),AC654*100,AC654)/100)</f>
        <v/>
      </c>
      <c r="Z654" s="5">
        <f>IF(D654="","",AB654*AA654/100)</f>
        <v/>
      </c>
      <c r="AA654" s="5">
        <f>IF(D654="","",X654-Y654)</f>
        <v/>
      </c>
      <c r="AD654" s="5">
        <f>IF(D654="","",AA654-Z654)</f>
        <v/>
      </c>
      <c r="AG654">
        <f>IF(D654="","",N(AG653)+IF(MATCH(D654,$D$2:$D$3001,0)=ROW()-1,1,0))</f>
        <v/>
      </c>
    </row>
    <row r="655">
      <c r="Y655" s="5">
        <f>IF(D655="","",X655*IF(AND(ISNUMBER(AC655),AC655&gt;0,AC655&lt;1),AC655*100,AC655)/100)</f>
        <v/>
      </c>
      <c r="Z655" s="5">
        <f>IF(D655="","",AB655*AA655/100)</f>
        <v/>
      </c>
      <c r="AA655" s="5">
        <f>IF(D655="","",X655-Y655)</f>
        <v/>
      </c>
      <c r="AD655" s="5">
        <f>IF(D655="","",AA655-Z655)</f>
        <v/>
      </c>
      <c r="AG655">
        <f>IF(D655="","",N(AG654)+IF(MATCH(D655,$D$2:$D$3001,0)=ROW()-1,1,0))</f>
        <v/>
      </c>
    </row>
    <row r="656">
      <c r="Y656" s="5">
        <f>IF(D656="","",X656*IF(AND(ISNUMBER(AC656),AC656&gt;0,AC656&lt;1),AC656*100,AC656)/100)</f>
        <v/>
      </c>
      <c r="Z656" s="5">
        <f>IF(D656="","",AB656*AA656/100)</f>
        <v/>
      </c>
      <c r="AA656" s="5">
        <f>IF(D656="","",X656-Y656)</f>
        <v/>
      </c>
      <c r="AD656" s="5">
        <f>IF(D656="","",AA656-Z656)</f>
        <v/>
      </c>
      <c r="AG656">
        <f>IF(D656="","",N(AG655)+IF(MATCH(D656,$D$2:$D$3001,0)=ROW()-1,1,0))</f>
        <v/>
      </c>
    </row>
    <row r="657">
      <c r="Y657" s="5">
        <f>IF(D657="","",X657*IF(AND(ISNUMBER(AC657),AC657&gt;0,AC657&lt;1),AC657*100,AC657)/100)</f>
        <v/>
      </c>
      <c r="Z657" s="5">
        <f>IF(D657="","",AB657*AA657/100)</f>
        <v/>
      </c>
      <c r="AA657" s="5">
        <f>IF(D657="","",X657-Y657)</f>
        <v/>
      </c>
      <c r="AD657" s="5">
        <f>IF(D657="","",AA657-Z657)</f>
        <v/>
      </c>
      <c r="AG657">
        <f>IF(D657="","",N(AG656)+IF(MATCH(D657,$D$2:$D$3001,0)=ROW()-1,1,0))</f>
        <v/>
      </c>
    </row>
    <row r="658">
      <c r="Y658" s="5">
        <f>IF(D658="","",X658*IF(AND(ISNUMBER(AC658),AC658&gt;0,AC658&lt;1),AC658*100,AC658)/100)</f>
        <v/>
      </c>
      <c r="Z658" s="5">
        <f>IF(D658="","",AB658*AA658/100)</f>
        <v/>
      </c>
      <c r="AA658" s="5">
        <f>IF(D658="","",X658-Y658)</f>
        <v/>
      </c>
      <c r="AD658" s="5">
        <f>IF(D658="","",AA658-Z658)</f>
        <v/>
      </c>
      <c r="AG658">
        <f>IF(D658="","",N(AG657)+IF(MATCH(D658,$D$2:$D$3001,0)=ROW()-1,1,0))</f>
        <v/>
      </c>
    </row>
    <row r="659">
      <c r="Y659" s="5">
        <f>IF(D659="","",X659*IF(AND(ISNUMBER(AC659),AC659&gt;0,AC659&lt;1),AC659*100,AC659)/100)</f>
        <v/>
      </c>
      <c r="Z659" s="5">
        <f>IF(D659="","",AB659*AA659/100)</f>
        <v/>
      </c>
      <c r="AA659" s="5">
        <f>IF(D659="","",X659-Y659)</f>
        <v/>
      </c>
      <c r="AD659" s="5">
        <f>IF(D659="","",AA659-Z659)</f>
        <v/>
      </c>
      <c r="AG659">
        <f>IF(D659="","",N(AG658)+IF(MATCH(D659,$D$2:$D$3001,0)=ROW()-1,1,0))</f>
        <v/>
      </c>
    </row>
    <row r="660">
      <c r="Y660" s="5">
        <f>IF(D660="","",X660*IF(AND(ISNUMBER(AC660),AC660&gt;0,AC660&lt;1),AC660*100,AC660)/100)</f>
        <v/>
      </c>
      <c r="Z660" s="5">
        <f>IF(D660="","",AB660*AA660/100)</f>
        <v/>
      </c>
      <c r="AA660" s="5">
        <f>IF(D660="","",X660-Y660)</f>
        <v/>
      </c>
      <c r="AD660" s="5">
        <f>IF(D660="","",AA660-Z660)</f>
        <v/>
      </c>
      <c r="AG660">
        <f>IF(D660="","",N(AG659)+IF(MATCH(D660,$D$2:$D$3001,0)=ROW()-1,1,0))</f>
        <v/>
      </c>
    </row>
    <row r="661">
      <c r="Y661" s="5">
        <f>IF(D661="","",X661*IF(AND(ISNUMBER(AC661),AC661&gt;0,AC661&lt;1),AC661*100,AC661)/100)</f>
        <v/>
      </c>
      <c r="Z661" s="5">
        <f>IF(D661="","",AB661*AA661/100)</f>
        <v/>
      </c>
      <c r="AA661" s="5">
        <f>IF(D661="","",X661-Y661)</f>
        <v/>
      </c>
      <c r="AD661" s="5">
        <f>IF(D661="","",AA661-Z661)</f>
        <v/>
      </c>
      <c r="AG661">
        <f>IF(D661="","",N(AG660)+IF(MATCH(D661,$D$2:$D$3001,0)=ROW()-1,1,0))</f>
        <v/>
      </c>
    </row>
    <row r="662">
      <c r="Y662" s="5">
        <f>IF(D662="","",X662*IF(AND(ISNUMBER(AC662),AC662&gt;0,AC662&lt;1),AC662*100,AC662)/100)</f>
        <v/>
      </c>
      <c r="Z662" s="5">
        <f>IF(D662="","",AB662*AA662/100)</f>
        <v/>
      </c>
      <c r="AA662" s="5">
        <f>IF(D662="","",X662-Y662)</f>
        <v/>
      </c>
      <c r="AD662" s="5">
        <f>IF(D662="","",AA662-Z662)</f>
        <v/>
      </c>
      <c r="AG662">
        <f>IF(D662="","",N(AG661)+IF(MATCH(D662,$D$2:$D$3001,0)=ROW()-1,1,0))</f>
        <v/>
      </c>
    </row>
    <row r="663">
      <c r="Y663" s="5">
        <f>IF(D663="","",X663*IF(AND(ISNUMBER(AC663),AC663&gt;0,AC663&lt;1),AC663*100,AC663)/100)</f>
        <v/>
      </c>
      <c r="Z663" s="5">
        <f>IF(D663="","",AB663*AA663/100)</f>
        <v/>
      </c>
      <c r="AA663" s="5">
        <f>IF(D663="","",X663-Y663)</f>
        <v/>
      </c>
      <c r="AD663" s="5">
        <f>IF(D663="","",AA663-Z663)</f>
        <v/>
      </c>
      <c r="AG663">
        <f>IF(D663="","",N(AG662)+IF(MATCH(D663,$D$2:$D$3001,0)=ROW()-1,1,0))</f>
        <v/>
      </c>
    </row>
    <row r="664">
      <c r="Y664" s="5">
        <f>IF(D664="","",X664*IF(AND(ISNUMBER(AC664),AC664&gt;0,AC664&lt;1),AC664*100,AC664)/100)</f>
        <v/>
      </c>
      <c r="Z664" s="5">
        <f>IF(D664="","",AB664*AA664/100)</f>
        <v/>
      </c>
      <c r="AA664" s="5">
        <f>IF(D664="","",X664-Y664)</f>
        <v/>
      </c>
      <c r="AD664" s="5">
        <f>IF(D664="","",AA664-Z664)</f>
        <v/>
      </c>
      <c r="AG664">
        <f>IF(D664="","",N(AG663)+IF(MATCH(D664,$D$2:$D$3001,0)=ROW()-1,1,0))</f>
        <v/>
      </c>
    </row>
    <row r="665">
      <c r="Y665" s="5">
        <f>IF(D665="","",X665*IF(AND(ISNUMBER(AC665),AC665&gt;0,AC665&lt;1),AC665*100,AC665)/100)</f>
        <v/>
      </c>
      <c r="Z665" s="5">
        <f>IF(D665="","",AB665*AA665/100)</f>
        <v/>
      </c>
      <c r="AA665" s="5">
        <f>IF(D665="","",X665-Y665)</f>
        <v/>
      </c>
      <c r="AD665" s="5">
        <f>IF(D665="","",AA665-Z665)</f>
        <v/>
      </c>
      <c r="AG665">
        <f>IF(D665="","",N(AG664)+IF(MATCH(D665,$D$2:$D$3001,0)=ROW()-1,1,0))</f>
        <v/>
      </c>
    </row>
    <row r="666">
      <c r="Y666" s="5">
        <f>IF(D666="","",X666*IF(AND(ISNUMBER(AC666),AC666&gt;0,AC666&lt;1),AC666*100,AC666)/100)</f>
        <v/>
      </c>
      <c r="Z666" s="5">
        <f>IF(D666="","",AB666*AA666/100)</f>
        <v/>
      </c>
      <c r="AA666" s="5">
        <f>IF(D666="","",X666-Y666)</f>
        <v/>
      </c>
      <c r="AD666" s="5">
        <f>IF(D666="","",AA666-Z666)</f>
        <v/>
      </c>
      <c r="AG666">
        <f>IF(D666="","",N(AG665)+IF(MATCH(D666,$D$2:$D$3001,0)=ROW()-1,1,0))</f>
        <v/>
      </c>
    </row>
    <row r="667">
      <c r="Y667" s="5">
        <f>IF(D667="","",X667*IF(AND(ISNUMBER(AC667),AC667&gt;0,AC667&lt;1),AC667*100,AC667)/100)</f>
        <v/>
      </c>
      <c r="Z667" s="5">
        <f>IF(D667="","",AB667*AA667/100)</f>
        <v/>
      </c>
      <c r="AA667" s="5">
        <f>IF(D667="","",X667-Y667)</f>
        <v/>
      </c>
      <c r="AD667" s="5">
        <f>IF(D667="","",AA667-Z667)</f>
        <v/>
      </c>
      <c r="AG667">
        <f>IF(D667="","",N(AG666)+IF(MATCH(D667,$D$2:$D$3001,0)=ROW()-1,1,0))</f>
        <v/>
      </c>
    </row>
    <row r="668">
      <c r="Y668" s="5">
        <f>IF(D668="","",X668*IF(AND(ISNUMBER(AC668),AC668&gt;0,AC668&lt;1),AC668*100,AC668)/100)</f>
        <v/>
      </c>
      <c r="Z668" s="5">
        <f>IF(D668="","",AB668*AA668/100)</f>
        <v/>
      </c>
      <c r="AA668" s="5">
        <f>IF(D668="","",X668-Y668)</f>
        <v/>
      </c>
      <c r="AD668" s="5">
        <f>IF(D668="","",AA668-Z668)</f>
        <v/>
      </c>
      <c r="AG668">
        <f>IF(D668="","",N(AG667)+IF(MATCH(D668,$D$2:$D$3001,0)=ROW()-1,1,0))</f>
        <v/>
      </c>
    </row>
    <row r="669">
      <c r="Y669" s="5">
        <f>IF(D669="","",X669*IF(AND(ISNUMBER(AC669),AC669&gt;0,AC669&lt;1),AC669*100,AC669)/100)</f>
        <v/>
      </c>
      <c r="Z669" s="5">
        <f>IF(D669="","",AB669*AA669/100)</f>
        <v/>
      </c>
      <c r="AA669" s="5">
        <f>IF(D669="","",X669-Y669)</f>
        <v/>
      </c>
      <c r="AD669" s="5">
        <f>IF(D669="","",AA669-Z669)</f>
        <v/>
      </c>
      <c r="AG669">
        <f>IF(D669="","",N(AG668)+IF(MATCH(D669,$D$2:$D$3001,0)=ROW()-1,1,0))</f>
        <v/>
      </c>
    </row>
    <row r="670">
      <c r="Y670" s="5">
        <f>IF(D670="","",X670*IF(AND(ISNUMBER(AC670),AC670&gt;0,AC670&lt;1),AC670*100,AC670)/100)</f>
        <v/>
      </c>
      <c r="Z670" s="5">
        <f>IF(D670="","",AB670*AA670/100)</f>
        <v/>
      </c>
      <c r="AA670" s="5">
        <f>IF(D670="","",X670-Y670)</f>
        <v/>
      </c>
      <c r="AD670" s="5">
        <f>IF(D670="","",AA670-Z670)</f>
        <v/>
      </c>
      <c r="AG670">
        <f>IF(D670="","",N(AG669)+IF(MATCH(D670,$D$2:$D$3001,0)=ROW()-1,1,0))</f>
        <v/>
      </c>
    </row>
    <row r="671">
      <c r="Y671" s="5">
        <f>IF(D671="","",X671*IF(AND(ISNUMBER(AC671),AC671&gt;0,AC671&lt;1),AC671*100,AC671)/100)</f>
        <v/>
      </c>
      <c r="Z671" s="5">
        <f>IF(D671="","",AB671*AA671/100)</f>
        <v/>
      </c>
      <c r="AA671" s="5">
        <f>IF(D671="","",X671-Y671)</f>
        <v/>
      </c>
      <c r="AD671" s="5">
        <f>IF(D671="","",AA671-Z671)</f>
        <v/>
      </c>
      <c r="AG671">
        <f>IF(D671="","",N(AG670)+IF(MATCH(D671,$D$2:$D$3001,0)=ROW()-1,1,0))</f>
        <v/>
      </c>
    </row>
    <row r="672">
      <c r="Y672" s="5">
        <f>IF(D672="","",X672*IF(AND(ISNUMBER(AC672),AC672&gt;0,AC672&lt;1),AC672*100,AC672)/100)</f>
        <v/>
      </c>
      <c r="Z672" s="5">
        <f>IF(D672="","",AB672*AA672/100)</f>
        <v/>
      </c>
      <c r="AA672" s="5">
        <f>IF(D672="","",X672-Y672)</f>
        <v/>
      </c>
      <c r="AD672" s="5">
        <f>IF(D672="","",AA672-Z672)</f>
        <v/>
      </c>
      <c r="AG672">
        <f>IF(D672="","",N(AG671)+IF(MATCH(D672,$D$2:$D$3001,0)=ROW()-1,1,0))</f>
        <v/>
      </c>
    </row>
    <row r="673">
      <c r="Y673" s="5">
        <f>IF(D673="","",X673*IF(AND(ISNUMBER(AC673),AC673&gt;0,AC673&lt;1),AC673*100,AC673)/100)</f>
        <v/>
      </c>
      <c r="Z673" s="5">
        <f>IF(D673="","",AB673*AA673/100)</f>
        <v/>
      </c>
      <c r="AA673" s="5">
        <f>IF(D673="","",X673-Y673)</f>
        <v/>
      </c>
      <c r="AD673" s="5">
        <f>IF(D673="","",AA673-Z673)</f>
        <v/>
      </c>
      <c r="AG673">
        <f>IF(D673="","",N(AG672)+IF(MATCH(D673,$D$2:$D$3001,0)=ROW()-1,1,0))</f>
        <v/>
      </c>
    </row>
    <row r="674">
      <c r="Y674" s="5">
        <f>IF(D674="","",X674*IF(AND(ISNUMBER(AC674),AC674&gt;0,AC674&lt;1),AC674*100,AC674)/100)</f>
        <v/>
      </c>
      <c r="Z674" s="5">
        <f>IF(D674="","",AB674*AA674/100)</f>
        <v/>
      </c>
      <c r="AA674" s="5">
        <f>IF(D674="","",X674-Y674)</f>
        <v/>
      </c>
      <c r="AD674" s="5">
        <f>IF(D674="","",AA674-Z674)</f>
        <v/>
      </c>
      <c r="AG674">
        <f>IF(D674="","",N(AG673)+IF(MATCH(D674,$D$2:$D$3001,0)=ROW()-1,1,0))</f>
        <v/>
      </c>
    </row>
    <row r="675">
      <c r="Y675" s="5">
        <f>IF(D675="","",X675*IF(AND(ISNUMBER(AC675),AC675&gt;0,AC675&lt;1),AC675*100,AC675)/100)</f>
        <v/>
      </c>
      <c r="Z675" s="5">
        <f>IF(D675="","",AB675*AA675/100)</f>
        <v/>
      </c>
      <c r="AA675" s="5">
        <f>IF(D675="","",X675-Y675)</f>
        <v/>
      </c>
      <c r="AD675" s="5">
        <f>IF(D675="","",AA675-Z675)</f>
        <v/>
      </c>
      <c r="AG675">
        <f>IF(D675="","",N(AG674)+IF(MATCH(D675,$D$2:$D$3001,0)=ROW()-1,1,0))</f>
        <v/>
      </c>
    </row>
    <row r="676">
      <c r="Y676" s="5">
        <f>IF(D676="","",X676*IF(AND(ISNUMBER(AC676),AC676&gt;0,AC676&lt;1),AC676*100,AC676)/100)</f>
        <v/>
      </c>
      <c r="Z676" s="5">
        <f>IF(D676="","",AB676*AA676/100)</f>
        <v/>
      </c>
      <c r="AA676" s="5">
        <f>IF(D676="","",X676-Y676)</f>
        <v/>
      </c>
      <c r="AD676" s="5">
        <f>IF(D676="","",AA676-Z676)</f>
        <v/>
      </c>
      <c r="AG676">
        <f>IF(D676="","",N(AG675)+IF(MATCH(D676,$D$2:$D$3001,0)=ROW()-1,1,0))</f>
        <v/>
      </c>
    </row>
    <row r="677">
      <c r="Y677" s="5">
        <f>IF(D677="","",X677*IF(AND(ISNUMBER(AC677),AC677&gt;0,AC677&lt;1),AC677*100,AC677)/100)</f>
        <v/>
      </c>
      <c r="Z677" s="5">
        <f>IF(D677="","",AB677*AA677/100)</f>
        <v/>
      </c>
      <c r="AA677" s="5">
        <f>IF(D677="","",X677-Y677)</f>
        <v/>
      </c>
      <c r="AD677" s="5">
        <f>IF(D677="","",AA677-Z677)</f>
        <v/>
      </c>
      <c r="AG677">
        <f>IF(D677="","",N(AG676)+IF(MATCH(D677,$D$2:$D$3001,0)=ROW()-1,1,0))</f>
        <v/>
      </c>
    </row>
    <row r="678">
      <c r="Y678" s="5">
        <f>IF(D678="","",X678*IF(AND(ISNUMBER(AC678),AC678&gt;0,AC678&lt;1),AC678*100,AC678)/100)</f>
        <v/>
      </c>
      <c r="Z678" s="5">
        <f>IF(D678="","",AB678*AA678/100)</f>
        <v/>
      </c>
      <c r="AA678" s="5">
        <f>IF(D678="","",X678-Y678)</f>
        <v/>
      </c>
      <c r="AD678" s="5">
        <f>IF(D678="","",AA678-Z678)</f>
        <v/>
      </c>
      <c r="AG678">
        <f>IF(D678="","",N(AG677)+IF(MATCH(D678,$D$2:$D$3001,0)=ROW()-1,1,0))</f>
        <v/>
      </c>
    </row>
    <row r="679">
      <c r="Y679" s="5">
        <f>IF(D679="","",X679*IF(AND(ISNUMBER(AC679),AC679&gt;0,AC679&lt;1),AC679*100,AC679)/100)</f>
        <v/>
      </c>
      <c r="Z679" s="5">
        <f>IF(D679="","",AB679*AA679/100)</f>
        <v/>
      </c>
      <c r="AA679" s="5">
        <f>IF(D679="","",X679-Y679)</f>
        <v/>
      </c>
      <c r="AD679" s="5">
        <f>IF(D679="","",AA679-Z679)</f>
        <v/>
      </c>
      <c r="AG679">
        <f>IF(D679="","",N(AG678)+IF(MATCH(D679,$D$2:$D$3001,0)=ROW()-1,1,0))</f>
        <v/>
      </c>
    </row>
    <row r="680">
      <c r="Y680" s="5">
        <f>IF(D680="","",X680*IF(AND(ISNUMBER(AC680),AC680&gt;0,AC680&lt;1),AC680*100,AC680)/100)</f>
        <v/>
      </c>
      <c r="Z680" s="5">
        <f>IF(D680="","",AB680*AA680/100)</f>
        <v/>
      </c>
      <c r="AA680" s="5">
        <f>IF(D680="","",X680-Y680)</f>
        <v/>
      </c>
      <c r="AD680" s="5">
        <f>IF(D680="","",AA680-Z680)</f>
        <v/>
      </c>
      <c r="AG680">
        <f>IF(D680="","",N(AG679)+IF(MATCH(D680,$D$2:$D$3001,0)=ROW()-1,1,0))</f>
        <v/>
      </c>
    </row>
    <row r="681">
      <c r="Y681" s="5">
        <f>IF(D681="","",X681*IF(AND(ISNUMBER(AC681),AC681&gt;0,AC681&lt;1),AC681*100,AC681)/100)</f>
        <v/>
      </c>
      <c r="Z681" s="5">
        <f>IF(D681="","",AB681*AA681/100)</f>
        <v/>
      </c>
      <c r="AA681" s="5">
        <f>IF(D681="","",X681-Y681)</f>
        <v/>
      </c>
      <c r="AD681" s="5">
        <f>IF(D681="","",AA681-Z681)</f>
        <v/>
      </c>
      <c r="AG681">
        <f>IF(D681="","",N(AG680)+IF(MATCH(D681,$D$2:$D$3001,0)=ROW()-1,1,0))</f>
        <v/>
      </c>
    </row>
    <row r="682">
      <c r="Y682" s="5">
        <f>IF(D682="","",X682*IF(AND(ISNUMBER(AC682),AC682&gt;0,AC682&lt;1),AC682*100,AC682)/100)</f>
        <v/>
      </c>
      <c r="Z682" s="5">
        <f>IF(D682="","",AB682*AA682/100)</f>
        <v/>
      </c>
      <c r="AA682" s="5">
        <f>IF(D682="","",X682-Y682)</f>
        <v/>
      </c>
      <c r="AD682" s="5">
        <f>IF(D682="","",AA682-Z682)</f>
        <v/>
      </c>
      <c r="AG682">
        <f>IF(D682="","",N(AG681)+IF(MATCH(D682,$D$2:$D$3001,0)=ROW()-1,1,0))</f>
        <v/>
      </c>
    </row>
    <row r="683">
      <c r="Y683" s="5">
        <f>IF(D683="","",X683*IF(AND(ISNUMBER(AC683),AC683&gt;0,AC683&lt;1),AC683*100,AC683)/100)</f>
        <v/>
      </c>
      <c r="Z683" s="5">
        <f>IF(D683="","",AB683*AA683/100)</f>
        <v/>
      </c>
      <c r="AA683" s="5">
        <f>IF(D683="","",X683-Y683)</f>
        <v/>
      </c>
      <c r="AD683" s="5">
        <f>IF(D683="","",AA683-Z683)</f>
        <v/>
      </c>
      <c r="AG683">
        <f>IF(D683="","",N(AG682)+IF(MATCH(D683,$D$2:$D$3001,0)=ROW()-1,1,0))</f>
        <v/>
      </c>
    </row>
    <row r="684">
      <c r="Y684" s="5">
        <f>IF(D684="","",X684*IF(AND(ISNUMBER(AC684),AC684&gt;0,AC684&lt;1),AC684*100,AC684)/100)</f>
        <v/>
      </c>
      <c r="Z684" s="5">
        <f>IF(D684="","",AB684*AA684/100)</f>
        <v/>
      </c>
      <c r="AA684" s="5">
        <f>IF(D684="","",X684-Y684)</f>
        <v/>
      </c>
      <c r="AD684" s="5">
        <f>IF(D684="","",AA684-Z684)</f>
        <v/>
      </c>
      <c r="AG684">
        <f>IF(D684="","",N(AG683)+IF(MATCH(D684,$D$2:$D$3001,0)=ROW()-1,1,0))</f>
        <v/>
      </c>
    </row>
    <row r="685">
      <c r="Y685" s="5">
        <f>IF(D685="","",X685*IF(AND(ISNUMBER(AC685),AC685&gt;0,AC685&lt;1),AC685*100,AC685)/100)</f>
        <v/>
      </c>
      <c r="Z685" s="5">
        <f>IF(D685="","",AB685*AA685/100)</f>
        <v/>
      </c>
      <c r="AA685" s="5">
        <f>IF(D685="","",X685-Y685)</f>
        <v/>
      </c>
      <c r="AD685" s="5">
        <f>IF(D685="","",AA685-Z685)</f>
        <v/>
      </c>
      <c r="AG685">
        <f>IF(D685="","",N(AG684)+IF(MATCH(D685,$D$2:$D$3001,0)=ROW()-1,1,0))</f>
        <v/>
      </c>
    </row>
    <row r="686">
      <c r="Y686" s="5">
        <f>IF(D686="","",X686*IF(AND(ISNUMBER(AC686),AC686&gt;0,AC686&lt;1),AC686*100,AC686)/100)</f>
        <v/>
      </c>
      <c r="Z686" s="5">
        <f>IF(D686="","",AB686*AA686/100)</f>
        <v/>
      </c>
      <c r="AA686" s="5">
        <f>IF(D686="","",X686-Y686)</f>
        <v/>
      </c>
      <c r="AD686" s="5">
        <f>IF(D686="","",AA686-Z686)</f>
        <v/>
      </c>
      <c r="AG686">
        <f>IF(D686="","",N(AG685)+IF(MATCH(D686,$D$2:$D$3001,0)=ROW()-1,1,0))</f>
        <v/>
      </c>
    </row>
    <row r="687">
      <c r="Y687" s="5">
        <f>IF(D687="","",X687*IF(AND(ISNUMBER(AC687),AC687&gt;0,AC687&lt;1),AC687*100,AC687)/100)</f>
        <v/>
      </c>
      <c r="Z687" s="5">
        <f>IF(D687="","",AB687*AA687/100)</f>
        <v/>
      </c>
      <c r="AA687" s="5">
        <f>IF(D687="","",X687-Y687)</f>
        <v/>
      </c>
      <c r="AD687" s="5">
        <f>IF(D687="","",AA687-Z687)</f>
        <v/>
      </c>
      <c r="AG687">
        <f>IF(D687="","",N(AG686)+IF(MATCH(D687,$D$2:$D$3001,0)=ROW()-1,1,0))</f>
        <v/>
      </c>
    </row>
    <row r="688">
      <c r="Y688" s="5">
        <f>IF(D688="","",X688*IF(AND(ISNUMBER(AC688),AC688&gt;0,AC688&lt;1),AC688*100,AC688)/100)</f>
        <v/>
      </c>
      <c r="Z688" s="5">
        <f>IF(D688="","",AB688*AA688/100)</f>
        <v/>
      </c>
      <c r="AA688" s="5">
        <f>IF(D688="","",X688-Y688)</f>
        <v/>
      </c>
      <c r="AD688" s="5">
        <f>IF(D688="","",AA688-Z688)</f>
        <v/>
      </c>
      <c r="AG688">
        <f>IF(D688="","",N(AG687)+IF(MATCH(D688,$D$2:$D$3001,0)=ROW()-1,1,0))</f>
        <v/>
      </c>
    </row>
    <row r="689">
      <c r="Y689" s="5">
        <f>IF(D689="","",X689*IF(AND(ISNUMBER(AC689),AC689&gt;0,AC689&lt;1),AC689*100,AC689)/100)</f>
        <v/>
      </c>
      <c r="Z689" s="5">
        <f>IF(D689="","",AB689*AA689/100)</f>
        <v/>
      </c>
      <c r="AA689" s="5">
        <f>IF(D689="","",X689-Y689)</f>
        <v/>
      </c>
      <c r="AD689" s="5">
        <f>IF(D689="","",AA689-Z689)</f>
        <v/>
      </c>
      <c r="AG689">
        <f>IF(D689="","",N(AG688)+IF(MATCH(D689,$D$2:$D$3001,0)=ROW()-1,1,0))</f>
        <v/>
      </c>
    </row>
    <row r="690">
      <c r="Y690" s="5">
        <f>IF(D690="","",X690*IF(AND(ISNUMBER(AC690),AC690&gt;0,AC690&lt;1),AC690*100,AC690)/100)</f>
        <v/>
      </c>
      <c r="Z690" s="5">
        <f>IF(D690="","",AB690*AA690/100)</f>
        <v/>
      </c>
      <c r="AA690" s="5">
        <f>IF(D690="","",X690-Y690)</f>
        <v/>
      </c>
      <c r="AD690" s="5">
        <f>IF(D690="","",AA690-Z690)</f>
        <v/>
      </c>
      <c r="AG690">
        <f>IF(D690="","",N(AG689)+IF(MATCH(D690,$D$2:$D$3001,0)=ROW()-1,1,0))</f>
        <v/>
      </c>
    </row>
    <row r="691">
      <c r="Y691" s="5">
        <f>IF(D691="","",X691*IF(AND(ISNUMBER(AC691),AC691&gt;0,AC691&lt;1),AC691*100,AC691)/100)</f>
        <v/>
      </c>
      <c r="Z691" s="5">
        <f>IF(D691="","",AB691*AA691/100)</f>
        <v/>
      </c>
      <c r="AA691" s="5">
        <f>IF(D691="","",X691-Y691)</f>
        <v/>
      </c>
      <c r="AD691" s="5">
        <f>IF(D691="","",AA691-Z691)</f>
        <v/>
      </c>
      <c r="AG691">
        <f>IF(D691="","",N(AG690)+IF(MATCH(D691,$D$2:$D$3001,0)=ROW()-1,1,0))</f>
        <v/>
      </c>
    </row>
    <row r="692">
      <c r="Y692" s="5">
        <f>IF(D692="","",X692*IF(AND(ISNUMBER(AC692),AC692&gt;0,AC692&lt;1),AC692*100,AC692)/100)</f>
        <v/>
      </c>
      <c r="Z692" s="5">
        <f>IF(D692="","",AB692*AA692/100)</f>
        <v/>
      </c>
      <c r="AA692" s="5">
        <f>IF(D692="","",X692-Y692)</f>
        <v/>
      </c>
      <c r="AD692" s="5">
        <f>IF(D692="","",AA692-Z692)</f>
        <v/>
      </c>
      <c r="AG692">
        <f>IF(D692="","",N(AG691)+IF(MATCH(D692,$D$2:$D$3001,0)=ROW()-1,1,0))</f>
        <v/>
      </c>
    </row>
    <row r="693">
      <c r="Y693" s="5">
        <f>IF(D693="","",X693*IF(AND(ISNUMBER(AC693),AC693&gt;0,AC693&lt;1),AC693*100,AC693)/100)</f>
        <v/>
      </c>
      <c r="Z693" s="5">
        <f>IF(D693="","",AB693*AA693/100)</f>
        <v/>
      </c>
      <c r="AA693" s="5">
        <f>IF(D693="","",X693-Y693)</f>
        <v/>
      </c>
      <c r="AD693" s="5">
        <f>IF(D693="","",AA693-Z693)</f>
        <v/>
      </c>
      <c r="AG693">
        <f>IF(D693="","",N(AG692)+IF(MATCH(D693,$D$2:$D$3001,0)=ROW()-1,1,0))</f>
        <v/>
      </c>
    </row>
    <row r="694">
      <c r="Y694" s="5">
        <f>IF(D694="","",X694*IF(AND(ISNUMBER(AC694),AC694&gt;0,AC694&lt;1),AC694*100,AC694)/100)</f>
        <v/>
      </c>
      <c r="Z694" s="5">
        <f>IF(D694="","",AB694*AA694/100)</f>
        <v/>
      </c>
      <c r="AA694" s="5">
        <f>IF(D694="","",X694-Y694)</f>
        <v/>
      </c>
      <c r="AD694" s="5">
        <f>IF(D694="","",AA694-Z694)</f>
        <v/>
      </c>
      <c r="AG694">
        <f>IF(D694="","",N(AG693)+IF(MATCH(D694,$D$2:$D$3001,0)=ROW()-1,1,0))</f>
        <v/>
      </c>
    </row>
    <row r="695">
      <c r="Y695" s="5">
        <f>IF(D695="","",X695*IF(AND(ISNUMBER(AC695),AC695&gt;0,AC695&lt;1),AC695*100,AC695)/100)</f>
        <v/>
      </c>
      <c r="Z695" s="5">
        <f>IF(D695="","",AB695*AA695/100)</f>
        <v/>
      </c>
      <c r="AA695" s="5">
        <f>IF(D695="","",X695-Y695)</f>
        <v/>
      </c>
      <c r="AD695" s="5">
        <f>IF(D695="","",AA695-Z695)</f>
        <v/>
      </c>
      <c r="AG695">
        <f>IF(D695="","",N(AG694)+IF(MATCH(D695,$D$2:$D$3001,0)=ROW()-1,1,0))</f>
        <v/>
      </c>
    </row>
    <row r="696">
      <c r="Y696" s="5">
        <f>IF(D696="","",X696*IF(AND(ISNUMBER(AC696),AC696&gt;0,AC696&lt;1),AC696*100,AC696)/100)</f>
        <v/>
      </c>
      <c r="Z696" s="5">
        <f>IF(D696="","",AB696*AA696/100)</f>
        <v/>
      </c>
      <c r="AA696" s="5">
        <f>IF(D696="","",X696-Y696)</f>
        <v/>
      </c>
      <c r="AD696" s="5">
        <f>IF(D696="","",AA696-Z696)</f>
        <v/>
      </c>
      <c r="AG696">
        <f>IF(D696="","",N(AG695)+IF(MATCH(D696,$D$2:$D$3001,0)=ROW()-1,1,0))</f>
        <v/>
      </c>
    </row>
    <row r="697">
      <c r="Y697" s="5">
        <f>IF(D697="","",X697*IF(AND(ISNUMBER(AC697),AC697&gt;0,AC697&lt;1),AC697*100,AC697)/100)</f>
        <v/>
      </c>
      <c r="Z697" s="5">
        <f>IF(D697="","",AB697*AA697/100)</f>
        <v/>
      </c>
      <c r="AA697" s="5">
        <f>IF(D697="","",X697-Y697)</f>
        <v/>
      </c>
      <c r="AD697" s="5">
        <f>IF(D697="","",AA697-Z697)</f>
        <v/>
      </c>
      <c r="AG697">
        <f>IF(D697="","",N(AG696)+IF(MATCH(D697,$D$2:$D$3001,0)=ROW()-1,1,0))</f>
        <v/>
      </c>
    </row>
    <row r="698">
      <c r="Y698" s="5">
        <f>IF(D698="","",X698*IF(AND(ISNUMBER(AC698),AC698&gt;0,AC698&lt;1),AC698*100,AC698)/100)</f>
        <v/>
      </c>
      <c r="Z698" s="5">
        <f>IF(D698="","",AB698*AA698/100)</f>
        <v/>
      </c>
      <c r="AA698" s="5">
        <f>IF(D698="","",X698-Y698)</f>
        <v/>
      </c>
      <c r="AD698" s="5">
        <f>IF(D698="","",AA698-Z698)</f>
        <v/>
      </c>
      <c r="AG698">
        <f>IF(D698="","",N(AG697)+IF(MATCH(D698,$D$2:$D$3001,0)=ROW()-1,1,0))</f>
        <v/>
      </c>
    </row>
    <row r="699">
      <c r="Y699" s="5">
        <f>IF(D699="","",X699*IF(AND(ISNUMBER(AC699),AC699&gt;0,AC699&lt;1),AC699*100,AC699)/100)</f>
        <v/>
      </c>
      <c r="Z699" s="5">
        <f>IF(D699="","",AB699*AA699/100)</f>
        <v/>
      </c>
      <c r="AA699" s="5">
        <f>IF(D699="","",X699-Y699)</f>
        <v/>
      </c>
      <c r="AD699" s="5">
        <f>IF(D699="","",AA699-Z699)</f>
        <v/>
      </c>
      <c r="AG699">
        <f>IF(D699="","",N(AG698)+IF(MATCH(D699,$D$2:$D$3001,0)=ROW()-1,1,0))</f>
        <v/>
      </c>
    </row>
    <row r="700">
      <c r="Y700" s="5">
        <f>IF(D700="","",X700*IF(AND(ISNUMBER(AC700),AC700&gt;0,AC700&lt;1),AC700*100,AC700)/100)</f>
        <v/>
      </c>
      <c r="Z700" s="5">
        <f>IF(D700="","",AB700*AA700/100)</f>
        <v/>
      </c>
      <c r="AA700" s="5">
        <f>IF(D700="","",X700-Y700)</f>
        <v/>
      </c>
      <c r="AD700" s="5">
        <f>IF(D700="","",AA700-Z700)</f>
        <v/>
      </c>
      <c r="AG700">
        <f>IF(D700="","",N(AG699)+IF(MATCH(D700,$D$2:$D$3001,0)=ROW()-1,1,0))</f>
        <v/>
      </c>
    </row>
    <row r="701">
      <c r="Y701" s="5">
        <f>IF(D701="","",X701*IF(AND(ISNUMBER(AC701),AC701&gt;0,AC701&lt;1),AC701*100,AC701)/100)</f>
        <v/>
      </c>
      <c r="Z701" s="5">
        <f>IF(D701="","",AB701*AA701/100)</f>
        <v/>
      </c>
      <c r="AA701" s="5">
        <f>IF(D701="","",X701-Y701)</f>
        <v/>
      </c>
      <c r="AD701" s="5">
        <f>IF(D701="","",AA701-Z701)</f>
        <v/>
      </c>
      <c r="AG701">
        <f>IF(D701="","",N(AG700)+IF(MATCH(D701,$D$2:$D$3001,0)=ROW()-1,1,0))</f>
        <v/>
      </c>
    </row>
    <row r="702">
      <c r="Y702" s="5">
        <f>IF(D702="","",X702*IF(AND(ISNUMBER(AC702),AC702&gt;0,AC702&lt;1),AC702*100,AC702)/100)</f>
        <v/>
      </c>
      <c r="Z702" s="5">
        <f>IF(D702="","",AB702*AA702/100)</f>
        <v/>
      </c>
      <c r="AA702" s="5">
        <f>IF(D702="","",X702-Y702)</f>
        <v/>
      </c>
      <c r="AD702" s="5">
        <f>IF(D702="","",AA702-Z702)</f>
        <v/>
      </c>
      <c r="AG702">
        <f>IF(D702="","",N(AG701)+IF(MATCH(D702,$D$2:$D$3001,0)=ROW()-1,1,0))</f>
        <v/>
      </c>
    </row>
    <row r="703">
      <c r="Y703" s="5">
        <f>IF(D703="","",X703*IF(AND(ISNUMBER(AC703),AC703&gt;0,AC703&lt;1),AC703*100,AC703)/100)</f>
        <v/>
      </c>
      <c r="Z703" s="5">
        <f>IF(D703="","",AB703*AA703/100)</f>
        <v/>
      </c>
      <c r="AA703" s="5">
        <f>IF(D703="","",X703-Y703)</f>
        <v/>
      </c>
      <c r="AD703" s="5">
        <f>IF(D703="","",AA703-Z703)</f>
        <v/>
      </c>
      <c r="AG703">
        <f>IF(D703="","",N(AG702)+IF(MATCH(D703,$D$2:$D$3001,0)=ROW()-1,1,0))</f>
        <v/>
      </c>
    </row>
    <row r="704">
      <c r="Y704" s="5">
        <f>IF(D704="","",X704*IF(AND(ISNUMBER(AC704),AC704&gt;0,AC704&lt;1),AC704*100,AC704)/100)</f>
        <v/>
      </c>
      <c r="Z704" s="5">
        <f>IF(D704="","",AB704*AA704/100)</f>
        <v/>
      </c>
      <c r="AA704" s="5">
        <f>IF(D704="","",X704-Y704)</f>
        <v/>
      </c>
      <c r="AD704" s="5">
        <f>IF(D704="","",AA704-Z704)</f>
        <v/>
      </c>
      <c r="AG704">
        <f>IF(D704="","",N(AG703)+IF(MATCH(D704,$D$2:$D$3001,0)=ROW()-1,1,0))</f>
        <v/>
      </c>
    </row>
    <row r="705">
      <c r="Y705" s="5">
        <f>IF(D705="","",X705*IF(AND(ISNUMBER(AC705),AC705&gt;0,AC705&lt;1),AC705*100,AC705)/100)</f>
        <v/>
      </c>
      <c r="Z705" s="5">
        <f>IF(D705="","",AB705*AA705/100)</f>
        <v/>
      </c>
      <c r="AA705" s="5">
        <f>IF(D705="","",X705-Y705)</f>
        <v/>
      </c>
      <c r="AD705" s="5">
        <f>IF(D705="","",AA705-Z705)</f>
        <v/>
      </c>
      <c r="AG705">
        <f>IF(D705="","",N(AG704)+IF(MATCH(D705,$D$2:$D$3001,0)=ROW()-1,1,0))</f>
        <v/>
      </c>
    </row>
    <row r="706">
      <c r="Y706" s="5">
        <f>IF(D706="","",X706*IF(AND(ISNUMBER(AC706),AC706&gt;0,AC706&lt;1),AC706*100,AC706)/100)</f>
        <v/>
      </c>
      <c r="Z706" s="5">
        <f>IF(D706="","",AB706*AA706/100)</f>
        <v/>
      </c>
      <c r="AA706" s="5">
        <f>IF(D706="","",X706-Y706)</f>
        <v/>
      </c>
      <c r="AD706" s="5">
        <f>IF(D706="","",AA706-Z706)</f>
        <v/>
      </c>
      <c r="AG706">
        <f>IF(D706="","",N(AG705)+IF(MATCH(D706,$D$2:$D$3001,0)=ROW()-1,1,0))</f>
        <v/>
      </c>
    </row>
    <row r="707">
      <c r="Y707" s="5">
        <f>IF(D707="","",X707*IF(AND(ISNUMBER(AC707),AC707&gt;0,AC707&lt;1),AC707*100,AC707)/100)</f>
        <v/>
      </c>
      <c r="Z707" s="5">
        <f>IF(D707="","",AB707*AA707/100)</f>
        <v/>
      </c>
      <c r="AA707" s="5">
        <f>IF(D707="","",X707-Y707)</f>
        <v/>
      </c>
      <c r="AD707" s="5">
        <f>IF(D707="","",AA707-Z707)</f>
        <v/>
      </c>
      <c r="AG707">
        <f>IF(D707="","",N(AG706)+IF(MATCH(D707,$D$2:$D$3001,0)=ROW()-1,1,0))</f>
        <v/>
      </c>
    </row>
    <row r="708">
      <c r="Y708" s="5">
        <f>IF(D708="","",X708*IF(AND(ISNUMBER(AC708),AC708&gt;0,AC708&lt;1),AC708*100,AC708)/100)</f>
        <v/>
      </c>
      <c r="Z708" s="5">
        <f>IF(D708="","",AB708*AA708/100)</f>
        <v/>
      </c>
      <c r="AA708" s="5">
        <f>IF(D708="","",X708-Y708)</f>
        <v/>
      </c>
      <c r="AD708" s="5">
        <f>IF(D708="","",AA708-Z708)</f>
        <v/>
      </c>
      <c r="AG708">
        <f>IF(D708="","",N(AG707)+IF(MATCH(D708,$D$2:$D$3001,0)=ROW()-1,1,0))</f>
        <v/>
      </c>
    </row>
    <row r="709">
      <c r="Y709" s="5">
        <f>IF(D709="","",X709*IF(AND(ISNUMBER(AC709),AC709&gt;0,AC709&lt;1),AC709*100,AC709)/100)</f>
        <v/>
      </c>
      <c r="Z709" s="5">
        <f>IF(D709="","",AB709*AA709/100)</f>
        <v/>
      </c>
      <c r="AA709" s="5">
        <f>IF(D709="","",X709-Y709)</f>
        <v/>
      </c>
      <c r="AD709" s="5">
        <f>IF(D709="","",AA709-Z709)</f>
        <v/>
      </c>
      <c r="AG709">
        <f>IF(D709="","",N(AG708)+IF(MATCH(D709,$D$2:$D$3001,0)=ROW()-1,1,0))</f>
        <v/>
      </c>
    </row>
    <row r="710">
      <c r="Y710" s="5">
        <f>IF(D710="","",X710*IF(AND(ISNUMBER(AC710),AC710&gt;0,AC710&lt;1),AC710*100,AC710)/100)</f>
        <v/>
      </c>
      <c r="Z710" s="5">
        <f>IF(D710="","",AB710*AA710/100)</f>
        <v/>
      </c>
      <c r="AA710" s="5">
        <f>IF(D710="","",X710-Y710)</f>
        <v/>
      </c>
      <c r="AD710" s="5">
        <f>IF(D710="","",AA710-Z710)</f>
        <v/>
      </c>
      <c r="AG710">
        <f>IF(D710="","",N(AG709)+IF(MATCH(D710,$D$2:$D$3001,0)=ROW()-1,1,0))</f>
        <v/>
      </c>
    </row>
    <row r="711">
      <c r="Y711" s="5">
        <f>IF(D711="","",X711*IF(AND(ISNUMBER(AC711),AC711&gt;0,AC711&lt;1),AC711*100,AC711)/100)</f>
        <v/>
      </c>
      <c r="Z711" s="5">
        <f>IF(D711="","",AB711*AA711/100)</f>
        <v/>
      </c>
      <c r="AA711" s="5">
        <f>IF(D711="","",X711-Y711)</f>
        <v/>
      </c>
      <c r="AD711" s="5">
        <f>IF(D711="","",AA711-Z711)</f>
        <v/>
      </c>
      <c r="AG711">
        <f>IF(D711="","",N(AG710)+IF(MATCH(D711,$D$2:$D$3001,0)=ROW()-1,1,0))</f>
        <v/>
      </c>
    </row>
    <row r="712">
      <c r="Y712" s="5">
        <f>IF(D712="","",X712*IF(AND(ISNUMBER(AC712),AC712&gt;0,AC712&lt;1),AC712*100,AC712)/100)</f>
        <v/>
      </c>
      <c r="Z712" s="5">
        <f>IF(D712="","",AB712*AA712/100)</f>
        <v/>
      </c>
      <c r="AA712" s="5">
        <f>IF(D712="","",X712-Y712)</f>
        <v/>
      </c>
      <c r="AD712" s="5">
        <f>IF(D712="","",AA712-Z712)</f>
        <v/>
      </c>
      <c r="AG712">
        <f>IF(D712="","",N(AG711)+IF(MATCH(D712,$D$2:$D$3001,0)=ROW()-1,1,0))</f>
        <v/>
      </c>
    </row>
    <row r="713">
      <c r="Y713" s="5">
        <f>IF(D713="","",X713*IF(AND(ISNUMBER(AC713),AC713&gt;0,AC713&lt;1),AC713*100,AC713)/100)</f>
        <v/>
      </c>
      <c r="Z713" s="5">
        <f>IF(D713="","",AB713*AA713/100)</f>
        <v/>
      </c>
      <c r="AA713" s="5">
        <f>IF(D713="","",X713-Y713)</f>
        <v/>
      </c>
      <c r="AD713" s="5">
        <f>IF(D713="","",AA713-Z713)</f>
        <v/>
      </c>
      <c r="AG713">
        <f>IF(D713="","",N(AG712)+IF(MATCH(D713,$D$2:$D$3001,0)=ROW()-1,1,0))</f>
        <v/>
      </c>
    </row>
    <row r="714">
      <c r="Y714" s="5">
        <f>IF(D714="","",X714*IF(AND(ISNUMBER(AC714),AC714&gt;0,AC714&lt;1),AC714*100,AC714)/100)</f>
        <v/>
      </c>
      <c r="Z714" s="5">
        <f>IF(D714="","",AB714*AA714/100)</f>
        <v/>
      </c>
      <c r="AA714" s="5">
        <f>IF(D714="","",X714-Y714)</f>
        <v/>
      </c>
      <c r="AD714" s="5">
        <f>IF(D714="","",AA714-Z714)</f>
        <v/>
      </c>
      <c r="AG714">
        <f>IF(D714="","",N(AG713)+IF(MATCH(D714,$D$2:$D$3001,0)=ROW()-1,1,0))</f>
        <v/>
      </c>
    </row>
    <row r="715">
      <c r="Y715" s="5">
        <f>IF(D715="","",X715*IF(AND(ISNUMBER(AC715),AC715&gt;0,AC715&lt;1),AC715*100,AC715)/100)</f>
        <v/>
      </c>
      <c r="Z715" s="5">
        <f>IF(D715="","",AB715*AA715/100)</f>
        <v/>
      </c>
      <c r="AA715" s="5">
        <f>IF(D715="","",X715-Y715)</f>
        <v/>
      </c>
      <c r="AD715" s="5">
        <f>IF(D715="","",AA715-Z715)</f>
        <v/>
      </c>
      <c r="AG715">
        <f>IF(D715="","",N(AG714)+IF(MATCH(D715,$D$2:$D$3001,0)=ROW()-1,1,0))</f>
        <v/>
      </c>
    </row>
    <row r="716">
      <c r="Y716" s="5">
        <f>IF(D716="","",X716*IF(AND(ISNUMBER(AC716),AC716&gt;0,AC716&lt;1),AC716*100,AC716)/100)</f>
        <v/>
      </c>
      <c r="Z716" s="5">
        <f>IF(D716="","",AB716*AA716/100)</f>
        <v/>
      </c>
      <c r="AA716" s="5">
        <f>IF(D716="","",X716-Y716)</f>
        <v/>
      </c>
      <c r="AD716" s="5">
        <f>IF(D716="","",AA716-Z716)</f>
        <v/>
      </c>
      <c r="AG716">
        <f>IF(D716="","",N(AG715)+IF(MATCH(D716,$D$2:$D$3001,0)=ROW()-1,1,0))</f>
        <v/>
      </c>
    </row>
    <row r="717">
      <c r="Y717" s="5">
        <f>IF(D717="","",X717*IF(AND(ISNUMBER(AC717),AC717&gt;0,AC717&lt;1),AC717*100,AC717)/100)</f>
        <v/>
      </c>
      <c r="Z717" s="5">
        <f>IF(D717="","",AB717*AA717/100)</f>
        <v/>
      </c>
      <c r="AA717" s="5">
        <f>IF(D717="","",X717-Y717)</f>
        <v/>
      </c>
      <c r="AD717" s="5">
        <f>IF(D717="","",AA717-Z717)</f>
        <v/>
      </c>
      <c r="AG717">
        <f>IF(D717="","",N(AG716)+IF(MATCH(D717,$D$2:$D$3001,0)=ROW()-1,1,0))</f>
        <v/>
      </c>
    </row>
    <row r="718">
      <c r="Y718" s="5">
        <f>IF(D718="","",X718*IF(AND(ISNUMBER(AC718),AC718&gt;0,AC718&lt;1),AC718*100,AC718)/100)</f>
        <v/>
      </c>
      <c r="Z718" s="5">
        <f>IF(D718="","",AB718*AA718/100)</f>
        <v/>
      </c>
      <c r="AA718" s="5">
        <f>IF(D718="","",X718-Y718)</f>
        <v/>
      </c>
      <c r="AD718" s="5">
        <f>IF(D718="","",AA718-Z718)</f>
        <v/>
      </c>
      <c r="AG718">
        <f>IF(D718="","",N(AG717)+IF(MATCH(D718,$D$2:$D$3001,0)=ROW()-1,1,0))</f>
        <v/>
      </c>
    </row>
    <row r="719">
      <c r="Y719" s="5">
        <f>IF(D719="","",X719*IF(AND(ISNUMBER(AC719),AC719&gt;0,AC719&lt;1),AC719*100,AC719)/100)</f>
        <v/>
      </c>
      <c r="Z719" s="5">
        <f>IF(D719="","",AB719*AA719/100)</f>
        <v/>
      </c>
      <c r="AA719" s="5">
        <f>IF(D719="","",X719-Y719)</f>
        <v/>
      </c>
      <c r="AD719" s="5">
        <f>IF(D719="","",AA719-Z719)</f>
        <v/>
      </c>
      <c r="AG719">
        <f>IF(D719="","",N(AG718)+IF(MATCH(D719,$D$2:$D$3001,0)=ROW()-1,1,0))</f>
        <v/>
      </c>
    </row>
    <row r="720">
      <c r="Y720" s="5">
        <f>IF(D720="","",X720*IF(AND(ISNUMBER(AC720),AC720&gt;0,AC720&lt;1),AC720*100,AC720)/100)</f>
        <v/>
      </c>
      <c r="Z720" s="5">
        <f>IF(D720="","",AB720*AA720/100)</f>
        <v/>
      </c>
      <c r="AA720" s="5">
        <f>IF(D720="","",X720-Y720)</f>
        <v/>
      </c>
      <c r="AD720" s="5">
        <f>IF(D720="","",AA720-Z720)</f>
        <v/>
      </c>
      <c r="AG720">
        <f>IF(D720="","",N(AG719)+IF(MATCH(D720,$D$2:$D$3001,0)=ROW()-1,1,0))</f>
        <v/>
      </c>
    </row>
    <row r="721">
      <c r="Y721" s="5">
        <f>IF(D721="","",X721*IF(AND(ISNUMBER(AC721),AC721&gt;0,AC721&lt;1),AC721*100,AC721)/100)</f>
        <v/>
      </c>
      <c r="Z721" s="5">
        <f>IF(D721="","",AB721*AA721/100)</f>
        <v/>
      </c>
      <c r="AA721" s="5">
        <f>IF(D721="","",X721-Y721)</f>
        <v/>
      </c>
      <c r="AD721" s="5">
        <f>IF(D721="","",AA721-Z721)</f>
        <v/>
      </c>
      <c r="AG721">
        <f>IF(D721="","",N(AG720)+IF(MATCH(D721,$D$2:$D$3001,0)=ROW()-1,1,0))</f>
        <v/>
      </c>
    </row>
    <row r="722">
      <c r="Y722" s="5">
        <f>IF(D722="","",X722*IF(AND(ISNUMBER(AC722),AC722&gt;0,AC722&lt;1),AC722*100,AC722)/100)</f>
        <v/>
      </c>
      <c r="Z722" s="5">
        <f>IF(D722="","",AB722*AA722/100)</f>
        <v/>
      </c>
      <c r="AA722" s="5">
        <f>IF(D722="","",X722-Y722)</f>
        <v/>
      </c>
      <c r="AD722" s="5">
        <f>IF(D722="","",AA722-Z722)</f>
        <v/>
      </c>
      <c r="AG722">
        <f>IF(D722="","",N(AG721)+IF(MATCH(D722,$D$2:$D$3001,0)=ROW()-1,1,0))</f>
        <v/>
      </c>
    </row>
    <row r="723">
      <c r="Y723" s="5">
        <f>IF(D723="","",X723*IF(AND(ISNUMBER(AC723),AC723&gt;0,AC723&lt;1),AC723*100,AC723)/100)</f>
        <v/>
      </c>
      <c r="Z723" s="5">
        <f>IF(D723="","",AB723*AA723/100)</f>
        <v/>
      </c>
      <c r="AA723" s="5">
        <f>IF(D723="","",X723-Y723)</f>
        <v/>
      </c>
      <c r="AD723" s="5">
        <f>IF(D723="","",AA723-Z723)</f>
        <v/>
      </c>
      <c r="AG723">
        <f>IF(D723="","",N(AG722)+IF(MATCH(D723,$D$2:$D$3001,0)=ROW()-1,1,0))</f>
        <v/>
      </c>
    </row>
    <row r="724">
      <c r="Y724" s="5">
        <f>IF(D724="","",X724*IF(AND(ISNUMBER(AC724),AC724&gt;0,AC724&lt;1),AC724*100,AC724)/100)</f>
        <v/>
      </c>
      <c r="Z724" s="5">
        <f>IF(D724="","",AB724*AA724/100)</f>
        <v/>
      </c>
      <c r="AA724" s="5">
        <f>IF(D724="","",X724-Y724)</f>
        <v/>
      </c>
      <c r="AD724" s="5">
        <f>IF(D724="","",AA724-Z724)</f>
        <v/>
      </c>
      <c r="AG724">
        <f>IF(D724="","",N(AG723)+IF(MATCH(D724,$D$2:$D$3001,0)=ROW()-1,1,0))</f>
        <v/>
      </c>
    </row>
    <row r="725">
      <c r="Y725" s="5">
        <f>IF(D725="","",X725*IF(AND(ISNUMBER(AC725),AC725&gt;0,AC725&lt;1),AC725*100,AC725)/100)</f>
        <v/>
      </c>
      <c r="Z725" s="5">
        <f>IF(D725="","",AB725*AA725/100)</f>
        <v/>
      </c>
      <c r="AA725" s="5">
        <f>IF(D725="","",X725-Y725)</f>
        <v/>
      </c>
      <c r="AD725" s="5">
        <f>IF(D725="","",AA725-Z725)</f>
        <v/>
      </c>
      <c r="AG725">
        <f>IF(D725="","",N(AG724)+IF(MATCH(D725,$D$2:$D$3001,0)=ROW()-1,1,0))</f>
        <v/>
      </c>
    </row>
    <row r="726">
      <c r="Y726" s="5">
        <f>IF(D726="","",X726*IF(AND(ISNUMBER(AC726),AC726&gt;0,AC726&lt;1),AC726*100,AC726)/100)</f>
        <v/>
      </c>
      <c r="Z726" s="5">
        <f>IF(D726="","",AB726*AA726/100)</f>
        <v/>
      </c>
      <c r="AA726" s="5">
        <f>IF(D726="","",X726-Y726)</f>
        <v/>
      </c>
      <c r="AD726" s="5">
        <f>IF(D726="","",AA726-Z726)</f>
        <v/>
      </c>
      <c r="AG726">
        <f>IF(D726="","",N(AG725)+IF(MATCH(D726,$D$2:$D$3001,0)=ROW()-1,1,0))</f>
        <v/>
      </c>
    </row>
    <row r="727">
      <c r="Y727" s="5">
        <f>IF(D727="","",X727*IF(AND(ISNUMBER(AC727),AC727&gt;0,AC727&lt;1),AC727*100,AC727)/100)</f>
        <v/>
      </c>
      <c r="Z727" s="5">
        <f>IF(D727="","",AB727*AA727/100)</f>
        <v/>
      </c>
      <c r="AA727" s="5">
        <f>IF(D727="","",X727-Y727)</f>
        <v/>
      </c>
      <c r="AD727" s="5">
        <f>IF(D727="","",AA727-Z727)</f>
        <v/>
      </c>
      <c r="AG727">
        <f>IF(D727="","",N(AG726)+IF(MATCH(D727,$D$2:$D$3001,0)=ROW()-1,1,0))</f>
        <v/>
      </c>
    </row>
    <row r="728">
      <c r="Y728" s="5">
        <f>IF(D728="","",X728*IF(AND(ISNUMBER(AC728),AC728&gt;0,AC728&lt;1),AC728*100,AC728)/100)</f>
        <v/>
      </c>
      <c r="Z728" s="5">
        <f>IF(D728="","",AB728*AA728/100)</f>
        <v/>
      </c>
      <c r="AA728" s="5">
        <f>IF(D728="","",X728-Y728)</f>
        <v/>
      </c>
      <c r="AD728" s="5">
        <f>IF(D728="","",AA728-Z728)</f>
        <v/>
      </c>
      <c r="AG728">
        <f>IF(D728="","",N(AG727)+IF(MATCH(D728,$D$2:$D$3001,0)=ROW()-1,1,0))</f>
        <v/>
      </c>
    </row>
    <row r="729">
      <c r="Y729" s="5">
        <f>IF(D729="","",X729*IF(AND(ISNUMBER(AC729),AC729&gt;0,AC729&lt;1),AC729*100,AC729)/100)</f>
        <v/>
      </c>
      <c r="Z729" s="5">
        <f>IF(D729="","",AB729*AA729/100)</f>
        <v/>
      </c>
      <c r="AA729" s="5">
        <f>IF(D729="","",X729-Y729)</f>
        <v/>
      </c>
      <c r="AD729" s="5">
        <f>IF(D729="","",AA729-Z729)</f>
        <v/>
      </c>
      <c r="AG729">
        <f>IF(D729="","",N(AG728)+IF(MATCH(D729,$D$2:$D$3001,0)=ROW()-1,1,0))</f>
        <v/>
      </c>
    </row>
    <row r="730">
      <c r="Y730" s="5">
        <f>IF(D730="","",X730*IF(AND(ISNUMBER(AC730),AC730&gt;0,AC730&lt;1),AC730*100,AC730)/100)</f>
        <v/>
      </c>
      <c r="Z730" s="5">
        <f>IF(D730="","",AB730*AA730/100)</f>
        <v/>
      </c>
      <c r="AA730" s="5">
        <f>IF(D730="","",X730-Y730)</f>
        <v/>
      </c>
      <c r="AD730" s="5">
        <f>IF(D730="","",AA730-Z730)</f>
        <v/>
      </c>
      <c r="AG730">
        <f>IF(D730="","",N(AG729)+IF(MATCH(D730,$D$2:$D$3001,0)=ROW()-1,1,0))</f>
        <v/>
      </c>
    </row>
    <row r="731">
      <c r="Y731" s="5">
        <f>IF(D731="","",X731*IF(AND(ISNUMBER(AC731),AC731&gt;0,AC731&lt;1),AC731*100,AC731)/100)</f>
        <v/>
      </c>
      <c r="Z731" s="5">
        <f>IF(D731="","",AB731*AA731/100)</f>
        <v/>
      </c>
      <c r="AA731" s="5">
        <f>IF(D731="","",X731-Y731)</f>
        <v/>
      </c>
      <c r="AD731" s="5">
        <f>IF(D731="","",AA731-Z731)</f>
        <v/>
      </c>
      <c r="AG731">
        <f>IF(D731="","",N(AG730)+IF(MATCH(D731,$D$2:$D$3001,0)=ROW()-1,1,0))</f>
        <v/>
      </c>
    </row>
    <row r="732">
      <c r="Y732" s="5">
        <f>IF(D732="","",X732*IF(AND(ISNUMBER(AC732),AC732&gt;0,AC732&lt;1),AC732*100,AC732)/100)</f>
        <v/>
      </c>
      <c r="Z732" s="5">
        <f>IF(D732="","",AB732*AA732/100)</f>
        <v/>
      </c>
      <c r="AA732" s="5">
        <f>IF(D732="","",X732-Y732)</f>
        <v/>
      </c>
      <c r="AD732" s="5">
        <f>IF(D732="","",AA732-Z732)</f>
        <v/>
      </c>
      <c r="AG732">
        <f>IF(D732="","",N(AG731)+IF(MATCH(D732,$D$2:$D$3001,0)=ROW()-1,1,0))</f>
        <v/>
      </c>
    </row>
    <row r="733">
      <c r="Y733" s="5">
        <f>IF(D733="","",X733*IF(AND(ISNUMBER(AC733),AC733&gt;0,AC733&lt;1),AC733*100,AC733)/100)</f>
        <v/>
      </c>
      <c r="Z733" s="5">
        <f>IF(D733="","",AB733*AA733/100)</f>
        <v/>
      </c>
      <c r="AA733" s="5">
        <f>IF(D733="","",X733-Y733)</f>
        <v/>
      </c>
      <c r="AD733" s="5">
        <f>IF(D733="","",AA733-Z733)</f>
        <v/>
      </c>
      <c r="AG733">
        <f>IF(D733="","",N(AG732)+IF(MATCH(D733,$D$2:$D$3001,0)=ROW()-1,1,0))</f>
        <v/>
      </c>
    </row>
    <row r="734">
      <c r="Y734" s="5">
        <f>IF(D734="","",X734*IF(AND(ISNUMBER(AC734),AC734&gt;0,AC734&lt;1),AC734*100,AC734)/100)</f>
        <v/>
      </c>
      <c r="Z734" s="5">
        <f>IF(D734="","",AB734*AA734/100)</f>
        <v/>
      </c>
      <c r="AA734" s="5">
        <f>IF(D734="","",X734-Y734)</f>
        <v/>
      </c>
      <c r="AD734" s="5">
        <f>IF(D734="","",AA734-Z734)</f>
        <v/>
      </c>
      <c r="AG734">
        <f>IF(D734="","",N(AG733)+IF(MATCH(D734,$D$2:$D$3001,0)=ROW()-1,1,0))</f>
        <v/>
      </c>
    </row>
    <row r="735">
      <c r="Y735" s="5">
        <f>IF(D735="","",X735*IF(AND(ISNUMBER(AC735),AC735&gt;0,AC735&lt;1),AC735*100,AC735)/100)</f>
        <v/>
      </c>
      <c r="Z735" s="5">
        <f>IF(D735="","",AB735*AA735/100)</f>
        <v/>
      </c>
      <c r="AA735" s="5">
        <f>IF(D735="","",X735-Y735)</f>
        <v/>
      </c>
      <c r="AD735" s="5">
        <f>IF(D735="","",AA735-Z735)</f>
        <v/>
      </c>
      <c r="AG735">
        <f>IF(D735="","",N(AG734)+IF(MATCH(D735,$D$2:$D$3001,0)=ROW()-1,1,0))</f>
        <v/>
      </c>
    </row>
    <row r="736">
      <c r="Y736" s="5">
        <f>IF(D736="","",X736*IF(AND(ISNUMBER(AC736),AC736&gt;0,AC736&lt;1),AC736*100,AC736)/100)</f>
        <v/>
      </c>
      <c r="Z736" s="5">
        <f>IF(D736="","",AB736*AA736/100)</f>
        <v/>
      </c>
      <c r="AA736" s="5">
        <f>IF(D736="","",X736-Y736)</f>
        <v/>
      </c>
      <c r="AD736" s="5">
        <f>IF(D736="","",AA736-Z736)</f>
        <v/>
      </c>
      <c r="AG736">
        <f>IF(D736="","",N(AG735)+IF(MATCH(D736,$D$2:$D$3001,0)=ROW()-1,1,0))</f>
        <v/>
      </c>
    </row>
    <row r="737">
      <c r="Y737" s="5">
        <f>IF(D737="","",X737*IF(AND(ISNUMBER(AC737),AC737&gt;0,AC737&lt;1),AC737*100,AC737)/100)</f>
        <v/>
      </c>
      <c r="Z737" s="5">
        <f>IF(D737="","",AB737*AA737/100)</f>
        <v/>
      </c>
      <c r="AA737" s="5">
        <f>IF(D737="","",X737-Y737)</f>
        <v/>
      </c>
      <c r="AD737" s="5">
        <f>IF(D737="","",AA737-Z737)</f>
        <v/>
      </c>
      <c r="AG737">
        <f>IF(D737="","",N(AG736)+IF(MATCH(D737,$D$2:$D$3001,0)=ROW()-1,1,0))</f>
        <v/>
      </c>
    </row>
    <row r="738">
      <c r="Y738" s="5">
        <f>IF(D738="","",X738*IF(AND(ISNUMBER(AC738),AC738&gt;0,AC738&lt;1),AC738*100,AC738)/100)</f>
        <v/>
      </c>
      <c r="Z738" s="5">
        <f>IF(D738="","",AB738*AA738/100)</f>
        <v/>
      </c>
      <c r="AA738" s="5">
        <f>IF(D738="","",X738-Y738)</f>
        <v/>
      </c>
      <c r="AD738" s="5">
        <f>IF(D738="","",AA738-Z738)</f>
        <v/>
      </c>
      <c r="AG738">
        <f>IF(D738="","",N(AG737)+IF(MATCH(D738,$D$2:$D$3001,0)=ROW()-1,1,0))</f>
        <v/>
      </c>
    </row>
    <row r="739">
      <c r="Y739" s="5">
        <f>IF(D739="","",X739*IF(AND(ISNUMBER(AC739),AC739&gt;0,AC739&lt;1),AC739*100,AC739)/100)</f>
        <v/>
      </c>
      <c r="Z739" s="5">
        <f>IF(D739="","",AB739*AA739/100)</f>
        <v/>
      </c>
      <c r="AA739" s="5">
        <f>IF(D739="","",X739-Y739)</f>
        <v/>
      </c>
      <c r="AD739" s="5">
        <f>IF(D739="","",AA739-Z739)</f>
        <v/>
      </c>
      <c r="AG739">
        <f>IF(D739="","",N(AG738)+IF(MATCH(D739,$D$2:$D$3001,0)=ROW()-1,1,0))</f>
        <v/>
      </c>
    </row>
    <row r="740">
      <c r="Y740" s="5">
        <f>IF(D740="","",X740*IF(AND(ISNUMBER(AC740),AC740&gt;0,AC740&lt;1),AC740*100,AC740)/100)</f>
        <v/>
      </c>
      <c r="Z740" s="5">
        <f>IF(D740="","",AB740*AA740/100)</f>
        <v/>
      </c>
      <c r="AA740" s="5">
        <f>IF(D740="","",X740-Y740)</f>
        <v/>
      </c>
      <c r="AD740" s="5">
        <f>IF(D740="","",AA740-Z740)</f>
        <v/>
      </c>
      <c r="AG740">
        <f>IF(D740="","",N(AG739)+IF(MATCH(D740,$D$2:$D$3001,0)=ROW()-1,1,0))</f>
        <v/>
      </c>
    </row>
    <row r="741">
      <c r="Y741" s="5">
        <f>IF(D741="","",X741*IF(AND(ISNUMBER(AC741),AC741&gt;0,AC741&lt;1),AC741*100,AC741)/100)</f>
        <v/>
      </c>
      <c r="Z741" s="5">
        <f>IF(D741="","",AB741*AA741/100)</f>
        <v/>
      </c>
      <c r="AA741" s="5">
        <f>IF(D741="","",X741-Y741)</f>
        <v/>
      </c>
      <c r="AD741" s="5">
        <f>IF(D741="","",AA741-Z741)</f>
        <v/>
      </c>
      <c r="AG741">
        <f>IF(D741="","",N(AG740)+IF(MATCH(D741,$D$2:$D$3001,0)=ROW()-1,1,0))</f>
        <v/>
      </c>
    </row>
    <row r="742">
      <c r="Y742" s="5">
        <f>IF(D742="","",X742*IF(AND(ISNUMBER(AC742),AC742&gt;0,AC742&lt;1),AC742*100,AC742)/100)</f>
        <v/>
      </c>
      <c r="Z742" s="5">
        <f>IF(D742="","",AB742*AA742/100)</f>
        <v/>
      </c>
      <c r="AA742" s="5">
        <f>IF(D742="","",X742-Y742)</f>
        <v/>
      </c>
      <c r="AD742" s="5">
        <f>IF(D742="","",AA742-Z742)</f>
        <v/>
      </c>
      <c r="AG742">
        <f>IF(D742="","",N(AG741)+IF(MATCH(D742,$D$2:$D$3001,0)=ROW()-1,1,0))</f>
        <v/>
      </c>
    </row>
    <row r="743">
      <c r="Y743" s="5">
        <f>IF(D743="","",X743*IF(AND(ISNUMBER(AC743),AC743&gt;0,AC743&lt;1),AC743*100,AC743)/100)</f>
        <v/>
      </c>
      <c r="Z743" s="5">
        <f>IF(D743="","",AB743*AA743/100)</f>
        <v/>
      </c>
      <c r="AA743" s="5">
        <f>IF(D743="","",X743-Y743)</f>
        <v/>
      </c>
      <c r="AD743" s="5">
        <f>IF(D743="","",AA743-Z743)</f>
        <v/>
      </c>
      <c r="AG743">
        <f>IF(D743="","",N(AG742)+IF(MATCH(D743,$D$2:$D$3001,0)=ROW()-1,1,0))</f>
        <v/>
      </c>
    </row>
    <row r="744">
      <c r="Y744" s="5">
        <f>IF(D744="","",X744*IF(AND(ISNUMBER(AC744),AC744&gt;0,AC744&lt;1),AC744*100,AC744)/100)</f>
        <v/>
      </c>
      <c r="Z744" s="5">
        <f>IF(D744="","",AB744*AA744/100)</f>
        <v/>
      </c>
      <c r="AA744" s="5">
        <f>IF(D744="","",X744-Y744)</f>
        <v/>
      </c>
      <c r="AD744" s="5">
        <f>IF(D744="","",AA744-Z744)</f>
        <v/>
      </c>
      <c r="AG744">
        <f>IF(D744="","",N(AG743)+IF(MATCH(D744,$D$2:$D$3001,0)=ROW()-1,1,0))</f>
        <v/>
      </c>
    </row>
    <row r="745">
      <c r="Y745" s="5">
        <f>IF(D745="","",X745*IF(AND(ISNUMBER(AC745),AC745&gt;0,AC745&lt;1),AC745*100,AC745)/100)</f>
        <v/>
      </c>
      <c r="Z745" s="5">
        <f>IF(D745="","",AB745*AA745/100)</f>
        <v/>
      </c>
      <c r="AA745" s="5">
        <f>IF(D745="","",X745-Y745)</f>
        <v/>
      </c>
      <c r="AD745" s="5">
        <f>IF(D745="","",AA745-Z745)</f>
        <v/>
      </c>
      <c r="AG745">
        <f>IF(D745="","",N(AG744)+IF(MATCH(D745,$D$2:$D$3001,0)=ROW()-1,1,0))</f>
        <v/>
      </c>
    </row>
    <row r="746">
      <c r="Y746" s="5">
        <f>IF(D746="","",X746*IF(AND(ISNUMBER(AC746),AC746&gt;0,AC746&lt;1),AC746*100,AC746)/100)</f>
        <v/>
      </c>
      <c r="Z746" s="5">
        <f>IF(D746="","",AB746*AA746/100)</f>
        <v/>
      </c>
      <c r="AA746" s="5">
        <f>IF(D746="","",X746-Y746)</f>
        <v/>
      </c>
      <c r="AD746" s="5">
        <f>IF(D746="","",AA746-Z746)</f>
        <v/>
      </c>
      <c r="AG746">
        <f>IF(D746="","",N(AG745)+IF(MATCH(D746,$D$2:$D$3001,0)=ROW()-1,1,0))</f>
        <v/>
      </c>
    </row>
    <row r="747">
      <c r="Y747" s="5">
        <f>IF(D747="","",X747*IF(AND(ISNUMBER(AC747),AC747&gt;0,AC747&lt;1),AC747*100,AC747)/100)</f>
        <v/>
      </c>
      <c r="Z747" s="5">
        <f>IF(D747="","",AB747*AA747/100)</f>
        <v/>
      </c>
      <c r="AA747" s="5">
        <f>IF(D747="","",X747-Y747)</f>
        <v/>
      </c>
      <c r="AD747" s="5">
        <f>IF(D747="","",AA747-Z747)</f>
        <v/>
      </c>
      <c r="AG747">
        <f>IF(D747="","",N(AG746)+IF(MATCH(D747,$D$2:$D$3001,0)=ROW()-1,1,0))</f>
        <v/>
      </c>
    </row>
    <row r="748">
      <c r="Y748" s="5">
        <f>IF(D748="","",X748*IF(AND(ISNUMBER(AC748),AC748&gt;0,AC748&lt;1),AC748*100,AC748)/100)</f>
        <v/>
      </c>
      <c r="Z748" s="5">
        <f>IF(D748="","",AB748*AA748/100)</f>
        <v/>
      </c>
      <c r="AA748" s="5">
        <f>IF(D748="","",X748-Y748)</f>
        <v/>
      </c>
      <c r="AD748" s="5">
        <f>IF(D748="","",AA748-Z748)</f>
        <v/>
      </c>
      <c r="AG748">
        <f>IF(D748="","",N(AG747)+IF(MATCH(D748,$D$2:$D$3001,0)=ROW()-1,1,0))</f>
        <v/>
      </c>
    </row>
    <row r="749">
      <c r="Y749" s="5">
        <f>IF(D749="","",X749*IF(AND(ISNUMBER(AC749),AC749&gt;0,AC749&lt;1),AC749*100,AC749)/100)</f>
        <v/>
      </c>
      <c r="Z749" s="5">
        <f>IF(D749="","",AB749*AA749/100)</f>
        <v/>
      </c>
      <c r="AA749" s="5">
        <f>IF(D749="","",X749-Y749)</f>
        <v/>
      </c>
      <c r="AD749" s="5">
        <f>IF(D749="","",AA749-Z749)</f>
        <v/>
      </c>
      <c r="AG749">
        <f>IF(D749="","",N(AG748)+IF(MATCH(D749,$D$2:$D$3001,0)=ROW()-1,1,0))</f>
        <v/>
      </c>
    </row>
    <row r="750">
      <c r="Y750" s="5">
        <f>IF(D750="","",X750*IF(AND(ISNUMBER(AC750),AC750&gt;0,AC750&lt;1),AC750*100,AC750)/100)</f>
        <v/>
      </c>
      <c r="Z750" s="5">
        <f>IF(D750="","",AB750*AA750/100)</f>
        <v/>
      </c>
      <c r="AA750" s="5">
        <f>IF(D750="","",X750-Y750)</f>
        <v/>
      </c>
      <c r="AD750" s="5">
        <f>IF(D750="","",AA750-Z750)</f>
        <v/>
      </c>
      <c r="AG750">
        <f>IF(D750="","",N(AG749)+IF(MATCH(D750,$D$2:$D$3001,0)=ROW()-1,1,0))</f>
        <v/>
      </c>
    </row>
    <row r="751">
      <c r="Y751" s="5">
        <f>IF(D751="","",X751*IF(AND(ISNUMBER(AC751),AC751&gt;0,AC751&lt;1),AC751*100,AC751)/100)</f>
        <v/>
      </c>
      <c r="Z751" s="5">
        <f>IF(D751="","",AB751*AA751/100)</f>
        <v/>
      </c>
      <c r="AA751" s="5">
        <f>IF(D751="","",X751-Y751)</f>
        <v/>
      </c>
      <c r="AD751" s="5">
        <f>IF(D751="","",AA751-Z751)</f>
        <v/>
      </c>
      <c r="AG751">
        <f>IF(D751="","",N(AG750)+IF(MATCH(D751,$D$2:$D$3001,0)=ROW()-1,1,0))</f>
        <v/>
      </c>
    </row>
    <row r="752">
      <c r="Y752" s="5">
        <f>IF(D752="","",X752*IF(AND(ISNUMBER(AC752),AC752&gt;0,AC752&lt;1),AC752*100,AC752)/100)</f>
        <v/>
      </c>
      <c r="Z752" s="5">
        <f>IF(D752="","",AB752*AA752/100)</f>
        <v/>
      </c>
      <c r="AA752" s="5">
        <f>IF(D752="","",X752-Y752)</f>
        <v/>
      </c>
      <c r="AD752" s="5">
        <f>IF(D752="","",AA752-Z752)</f>
        <v/>
      </c>
      <c r="AG752">
        <f>IF(D752="","",N(AG751)+IF(MATCH(D752,$D$2:$D$3001,0)=ROW()-1,1,0))</f>
        <v/>
      </c>
    </row>
    <row r="753">
      <c r="Y753" s="5">
        <f>IF(D753="","",X753*IF(AND(ISNUMBER(AC753),AC753&gt;0,AC753&lt;1),AC753*100,AC753)/100)</f>
        <v/>
      </c>
      <c r="Z753" s="5">
        <f>IF(D753="","",AB753*AA753/100)</f>
        <v/>
      </c>
      <c r="AA753" s="5">
        <f>IF(D753="","",X753-Y753)</f>
        <v/>
      </c>
      <c r="AD753" s="5">
        <f>IF(D753="","",AA753-Z753)</f>
        <v/>
      </c>
      <c r="AG753">
        <f>IF(D753="","",N(AG752)+IF(MATCH(D753,$D$2:$D$3001,0)=ROW()-1,1,0))</f>
        <v/>
      </c>
    </row>
    <row r="754">
      <c r="Y754" s="5">
        <f>IF(D754="","",X754*IF(AND(ISNUMBER(AC754),AC754&gt;0,AC754&lt;1),AC754*100,AC754)/100)</f>
        <v/>
      </c>
      <c r="Z754" s="5">
        <f>IF(D754="","",AB754*AA754/100)</f>
        <v/>
      </c>
      <c r="AA754" s="5">
        <f>IF(D754="","",X754-Y754)</f>
        <v/>
      </c>
      <c r="AD754" s="5">
        <f>IF(D754="","",AA754-Z754)</f>
        <v/>
      </c>
      <c r="AG754">
        <f>IF(D754="","",N(AG753)+IF(MATCH(D754,$D$2:$D$3001,0)=ROW()-1,1,0))</f>
        <v/>
      </c>
    </row>
    <row r="755">
      <c r="Y755" s="5">
        <f>IF(D755="","",X755*IF(AND(ISNUMBER(AC755),AC755&gt;0,AC755&lt;1),AC755*100,AC755)/100)</f>
        <v/>
      </c>
      <c r="Z755" s="5">
        <f>IF(D755="","",AB755*AA755/100)</f>
        <v/>
      </c>
      <c r="AA755" s="5">
        <f>IF(D755="","",X755-Y755)</f>
        <v/>
      </c>
      <c r="AD755" s="5">
        <f>IF(D755="","",AA755-Z755)</f>
        <v/>
      </c>
      <c r="AG755">
        <f>IF(D755="","",N(AG754)+IF(MATCH(D755,$D$2:$D$3001,0)=ROW()-1,1,0))</f>
        <v/>
      </c>
    </row>
    <row r="756">
      <c r="Y756" s="5">
        <f>IF(D756="","",X756*IF(AND(ISNUMBER(AC756),AC756&gt;0,AC756&lt;1),AC756*100,AC756)/100)</f>
        <v/>
      </c>
      <c r="Z756" s="5">
        <f>IF(D756="","",AB756*AA756/100)</f>
        <v/>
      </c>
      <c r="AA756" s="5">
        <f>IF(D756="","",X756-Y756)</f>
        <v/>
      </c>
      <c r="AD756" s="5">
        <f>IF(D756="","",AA756-Z756)</f>
        <v/>
      </c>
      <c r="AG756">
        <f>IF(D756="","",N(AG755)+IF(MATCH(D756,$D$2:$D$3001,0)=ROW()-1,1,0))</f>
        <v/>
      </c>
    </row>
    <row r="757">
      <c r="Y757" s="5">
        <f>IF(D757="","",X757*IF(AND(ISNUMBER(AC757),AC757&gt;0,AC757&lt;1),AC757*100,AC757)/100)</f>
        <v/>
      </c>
      <c r="Z757" s="5">
        <f>IF(D757="","",AB757*AA757/100)</f>
        <v/>
      </c>
      <c r="AA757" s="5">
        <f>IF(D757="","",X757-Y757)</f>
        <v/>
      </c>
      <c r="AD757" s="5">
        <f>IF(D757="","",AA757-Z757)</f>
        <v/>
      </c>
      <c r="AG757">
        <f>IF(D757="","",N(AG756)+IF(MATCH(D757,$D$2:$D$3001,0)=ROW()-1,1,0))</f>
        <v/>
      </c>
    </row>
    <row r="758">
      <c r="Y758" s="5">
        <f>IF(D758="","",X758*IF(AND(ISNUMBER(AC758),AC758&gt;0,AC758&lt;1),AC758*100,AC758)/100)</f>
        <v/>
      </c>
      <c r="Z758" s="5">
        <f>IF(D758="","",AB758*AA758/100)</f>
        <v/>
      </c>
      <c r="AA758" s="5">
        <f>IF(D758="","",X758-Y758)</f>
        <v/>
      </c>
      <c r="AD758" s="5">
        <f>IF(D758="","",AA758-Z758)</f>
        <v/>
      </c>
      <c r="AG758">
        <f>IF(D758="","",N(AG757)+IF(MATCH(D758,$D$2:$D$3001,0)=ROW()-1,1,0))</f>
        <v/>
      </c>
    </row>
    <row r="759">
      <c r="Y759" s="5">
        <f>IF(D759="","",X759*IF(AND(ISNUMBER(AC759),AC759&gt;0,AC759&lt;1),AC759*100,AC759)/100)</f>
        <v/>
      </c>
      <c r="Z759" s="5">
        <f>IF(D759="","",AB759*AA759/100)</f>
        <v/>
      </c>
      <c r="AA759" s="5">
        <f>IF(D759="","",X759-Y759)</f>
        <v/>
      </c>
      <c r="AD759" s="5">
        <f>IF(D759="","",AA759-Z759)</f>
        <v/>
      </c>
      <c r="AG759">
        <f>IF(D759="","",N(AG758)+IF(MATCH(D759,$D$2:$D$3001,0)=ROW()-1,1,0))</f>
        <v/>
      </c>
    </row>
    <row r="760">
      <c r="Y760" s="5">
        <f>IF(D760="","",X760*IF(AND(ISNUMBER(AC760),AC760&gt;0,AC760&lt;1),AC760*100,AC760)/100)</f>
        <v/>
      </c>
      <c r="Z760" s="5">
        <f>IF(D760="","",AB760*AA760/100)</f>
        <v/>
      </c>
      <c r="AA760" s="5">
        <f>IF(D760="","",X760-Y760)</f>
        <v/>
      </c>
      <c r="AD760" s="5">
        <f>IF(D760="","",AA760-Z760)</f>
        <v/>
      </c>
      <c r="AG760">
        <f>IF(D760="","",N(AG759)+IF(MATCH(D760,$D$2:$D$3001,0)=ROW()-1,1,0))</f>
        <v/>
      </c>
    </row>
    <row r="761">
      <c r="Y761" s="5">
        <f>IF(D761="","",X761*IF(AND(ISNUMBER(AC761),AC761&gt;0,AC761&lt;1),AC761*100,AC761)/100)</f>
        <v/>
      </c>
      <c r="Z761" s="5">
        <f>IF(D761="","",AB761*AA761/100)</f>
        <v/>
      </c>
      <c r="AA761" s="5">
        <f>IF(D761="","",X761-Y761)</f>
        <v/>
      </c>
      <c r="AD761" s="5">
        <f>IF(D761="","",AA761-Z761)</f>
        <v/>
      </c>
      <c r="AG761">
        <f>IF(D761="","",N(AG760)+IF(MATCH(D761,$D$2:$D$3001,0)=ROW()-1,1,0))</f>
        <v/>
      </c>
    </row>
    <row r="762">
      <c r="Y762" s="5">
        <f>IF(D762="","",X762*IF(AND(ISNUMBER(AC762),AC762&gt;0,AC762&lt;1),AC762*100,AC762)/100)</f>
        <v/>
      </c>
      <c r="Z762" s="5">
        <f>IF(D762="","",AB762*AA762/100)</f>
        <v/>
      </c>
      <c r="AA762" s="5">
        <f>IF(D762="","",X762-Y762)</f>
        <v/>
      </c>
      <c r="AD762" s="5">
        <f>IF(D762="","",AA762-Z762)</f>
        <v/>
      </c>
      <c r="AG762">
        <f>IF(D762="","",N(AG761)+IF(MATCH(D762,$D$2:$D$3001,0)=ROW()-1,1,0))</f>
        <v/>
      </c>
    </row>
    <row r="763">
      <c r="Y763" s="5">
        <f>IF(D763="","",X763*IF(AND(ISNUMBER(AC763),AC763&gt;0,AC763&lt;1),AC763*100,AC763)/100)</f>
        <v/>
      </c>
      <c r="Z763" s="5">
        <f>IF(D763="","",AB763*AA763/100)</f>
        <v/>
      </c>
      <c r="AA763" s="5">
        <f>IF(D763="","",X763-Y763)</f>
        <v/>
      </c>
      <c r="AD763" s="5">
        <f>IF(D763="","",AA763-Z763)</f>
        <v/>
      </c>
      <c r="AG763">
        <f>IF(D763="","",N(AG762)+IF(MATCH(D763,$D$2:$D$3001,0)=ROW()-1,1,0))</f>
        <v/>
      </c>
    </row>
    <row r="764">
      <c r="Y764" s="5">
        <f>IF(D764="","",X764*IF(AND(ISNUMBER(AC764),AC764&gt;0,AC764&lt;1),AC764*100,AC764)/100)</f>
        <v/>
      </c>
      <c r="Z764" s="5">
        <f>IF(D764="","",AB764*AA764/100)</f>
        <v/>
      </c>
      <c r="AA764" s="5">
        <f>IF(D764="","",X764-Y764)</f>
        <v/>
      </c>
      <c r="AD764" s="5">
        <f>IF(D764="","",AA764-Z764)</f>
        <v/>
      </c>
      <c r="AG764">
        <f>IF(D764="","",N(AG763)+IF(MATCH(D764,$D$2:$D$3001,0)=ROW()-1,1,0))</f>
        <v/>
      </c>
    </row>
    <row r="765">
      <c r="Y765" s="5">
        <f>IF(D765="","",X765*IF(AND(ISNUMBER(AC765),AC765&gt;0,AC765&lt;1),AC765*100,AC765)/100)</f>
        <v/>
      </c>
      <c r="Z765" s="5">
        <f>IF(D765="","",AB765*AA765/100)</f>
        <v/>
      </c>
      <c r="AA765" s="5">
        <f>IF(D765="","",X765-Y765)</f>
        <v/>
      </c>
      <c r="AD765" s="5">
        <f>IF(D765="","",AA765-Z765)</f>
        <v/>
      </c>
      <c r="AG765">
        <f>IF(D765="","",N(AG764)+IF(MATCH(D765,$D$2:$D$3001,0)=ROW()-1,1,0))</f>
        <v/>
      </c>
    </row>
    <row r="766">
      <c r="Y766" s="5">
        <f>IF(D766="","",X766*IF(AND(ISNUMBER(AC766),AC766&gt;0,AC766&lt;1),AC766*100,AC766)/100)</f>
        <v/>
      </c>
      <c r="Z766" s="5">
        <f>IF(D766="","",AB766*AA766/100)</f>
        <v/>
      </c>
      <c r="AA766" s="5">
        <f>IF(D766="","",X766-Y766)</f>
        <v/>
      </c>
      <c r="AD766" s="5">
        <f>IF(D766="","",AA766-Z766)</f>
        <v/>
      </c>
      <c r="AG766">
        <f>IF(D766="","",N(AG765)+IF(MATCH(D766,$D$2:$D$3001,0)=ROW()-1,1,0))</f>
        <v/>
      </c>
    </row>
    <row r="767">
      <c r="Y767" s="5">
        <f>IF(D767="","",X767*IF(AND(ISNUMBER(AC767),AC767&gt;0,AC767&lt;1),AC767*100,AC767)/100)</f>
        <v/>
      </c>
      <c r="Z767" s="5">
        <f>IF(D767="","",AB767*AA767/100)</f>
        <v/>
      </c>
      <c r="AA767" s="5">
        <f>IF(D767="","",X767-Y767)</f>
        <v/>
      </c>
      <c r="AD767" s="5">
        <f>IF(D767="","",AA767-Z767)</f>
        <v/>
      </c>
      <c r="AG767">
        <f>IF(D767="","",N(AG766)+IF(MATCH(D767,$D$2:$D$3001,0)=ROW()-1,1,0))</f>
        <v/>
      </c>
    </row>
    <row r="768">
      <c r="Y768" s="5">
        <f>IF(D768="","",X768*IF(AND(ISNUMBER(AC768),AC768&gt;0,AC768&lt;1),AC768*100,AC768)/100)</f>
        <v/>
      </c>
      <c r="Z768" s="5">
        <f>IF(D768="","",AB768*AA768/100)</f>
        <v/>
      </c>
      <c r="AA768" s="5">
        <f>IF(D768="","",X768-Y768)</f>
        <v/>
      </c>
      <c r="AD768" s="5">
        <f>IF(D768="","",AA768-Z768)</f>
        <v/>
      </c>
      <c r="AG768">
        <f>IF(D768="","",N(AG767)+IF(MATCH(D768,$D$2:$D$3001,0)=ROW()-1,1,0))</f>
        <v/>
      </c>
    </row>
    <row r="769">
      <c r="Y769" s="5">
        <f>IF(D769="","",X769*IF(AND(ISNUMBER(AC769),AC769&gt;0,AC769&lt;1),AC769*100,AC769)/100)</f>
        <v/>
      </c>
      <c r="Z769" s="5">
        <f>IF(D769="","",AB769*AA769/100)</f>
        <v/>
      </c>
      <c r="AA769" s="5">
        <f>IF(D769="","",X769-Y769)</f>
        <v/>
      </c>
      <c r="AD769" s="5">
        <f>IF(D769="","",AA769-Z769)</f>
        <v/>
      </c>
      <c r="AG769">
        <f>IF(D769="","",N(AG768)+IF(MATCH(D769,$D$2:$D$3001,0)=ROW()-1,1,0))</f>
        <v/>
      </c>
    </row>
    <row r="770">
      <c r="Y770" s="5">
        <f>IF(D770="","",X770*IF(AND(ISNUMBER(AC770),AC770&gt;0,AC770&lt;1),AC770*100,AC770)/100)</f>
        <v/>
      </c>
      <c r="Z770" s="5">
        <f>IF(D770="","",AB770*AA770/100)</f>
        <v/>
      </c>
      <c r="AA770" s="5">
        <f>IF(D770="","",X770-Y770)</f>
        <v/>
      </c>
      <c r="AD770" s="5">
        <f>IF(D770="","",AA770-Z770)</f>
        <v/>
      </c>
      <c r="AG770">
        <f>IF(D770="","",N(AG769)+IF(MATCH(D770,$D$2:$D$3001,0)=ROW()-1,1,0))</f>
        <v/>
      </c>
    </row>
    <row r="771">
      <c r="Y771" s="5">
        <f>IF(D771="","",X771*IF(AND(ISNUMBER(AC771),AC771&gt;0,AC771&lt;1),AC771*100,AC771)/100)</f>
        <v/>
      </c>
      <c r="Z771" s="5">
        <f>IF(D771="","",AB771*AA771/100)</f>
        <v/>
      </c>
      <c r="AA771" s="5">
        <f>IF(D771="","",X771-Y771)</f>
        <v/>
      </c>
      <c r="AD771" s="5">
        <f>IF(D771="","",AA771-Z771)</f>
        <v/>
      </c>
      <c r="AG771">
        <f>IF(D771="","",N(AG770)+IF(MATCH(D771,$D$2:$D$3001,0)=ROW()-1,1,0))</f>
        <v/>
      </c>
    </row>
    <row r="772">
      <c r="Y772" s="5">
        <f>IF(D772="","",X772*IF(AND(ISNUMBER(AC772),AC772&gt;0,AC772&lt;1),AC772*100,AC772)/100)</f>
        <v/>
      </c>
      <c r="Z772" s="5">
        <f>IF(D772="","",AB772*AA772/100)</f>
        <v/>
      </c>
      <c r="AA772" s="5">
        <f>IF(D772="","",X772-Y772)</f>
        <v/>
      </c>
      <c r="AD772" s="5">
        <f>IF(D772="","",AA772-Z772)</f>
        <v/>
      </c>
      <c r="AG772">
        <f>IF(D772="","",N(AG771)+IF(MATCH(D772,$D$2:$D$3001,0)=ROW()-1,1,0))</f>
        <v/>
      </c>
    </row>
    <row r="773">
      <c r="Y773" s="5">
        <f>IF(D773="","",X773*IF(AND(ISNUMBER(AC773),AC773&gt;0,AC773&lt;1),AC773*100,AC773)/100)</f>
        <v/>
      </c>
      <c r="Z773" s="5">
        <f>IF(D773="","",AB773*AA773/100)</f>
        <v/>
      </c>
      <c r="AA773" s="5">
        <f>IF(D773="","",X773-Y773)</f>
        <v/>
      </c>
      <c r="AD773" s="5">
        <f>IF(D773="","",AA773-Z773)</f>
        <v/>
      </c>
      <c r="AG773">
        <f>IF(D773="","",N(AG772)+IF(MATCH(D773,$D$2:$D$3001,0)=ROW()-1,1,0))</f>
        <v/>
      </c>
    </row>
    <row r="774">
      <c r="Y774" s="5">
        <f>IF(D774="","",X774*IF(AND(ISNUMBER(AC774),AC774&gt;0,AC774&lt;1),AC774*100,AC774)/100)</f>
        <v/>
      </c>
      <c r="Z774" s="5">
        <f>IF(D774="","",AB774*AA774/100)</f>
        <v/>
      </c>
      <c r="AA774" s="5">
        <f>IF(D774="","",X774-Y774)</f>
        <v/>
      </c>
      <c r="AD774" s="5">
        <f>IF(D774="","",AA774-Z774)</f>
        <v/>
      </c>
      <c r="AG774">
        <f>IF(D774="","",N(AG773)+IF(MATCH(D774,$D$2:$D$3001,0)=ROW()-1,1,0))</f>
        <v/>
      </c>
    </row>
    <row r="775">
      <c r="Y775" s="5">
        <f>IF(D775="","",X775*IF(AND(ISNUMBER(AC775),AC775&gt;0,AC775&lt;1),AC775*100,AC775)/100)</f>
        <v/>
      </c>
      <c r="Z775" s="5">
        <f>IF(D775="","",AB775*AA775/100)</f>
        <v/>
      </c>
      <c r="AA775" s="5">
        <f>IF(D775="","",X775-Y775)</f>
        <v/>
      </c>
      <c r="AD775" s="5">
        <f>IF(D775="","",AA775-Z775)</f>
        <v/>
      </c>
      <c r="AG775">
        <f>IF(D775="","",N(AG774)+IF(MATCH(D775,$D$2:$D$3001,0)=ROW()-1,1,0))</f>
        <v/>
      </c>
    </row>
    <row r="776">
      <c r="Y776" s="5">
        <f>IF(D776="","",X776*IF(AND(ISNUMBER(AC776),AC776&gt;0,AC776&lt;1),AC776*100,AC776)/100)</f>
        <v/>
      </c>
      <c r="Z776" s="5">
        <f>IF(D776="","",AB776*AA776/100)</f>
        <v/>
      </c>
      <c r="AA776" s="5">
        <f>IF(D776="","",X776-Y776)</f>
        <v/>
      </c>
      <c r="AD776" s="5">
        <f>IF(D776="","",AA776-Z776)</f>
        <v/>
      </c>
      <c r="AG776">
        <f>IF(D776="","",N(AG775)+IF(MATCH(D776,$D$2:$D$3001,0)=ROW()-1,1,0))</f>
        <v/>
      </c>
    </row>
    <row r="777">
      <c r="Y777" s="5">
        <f>IF(D777="","",X777*IF(AND(ISNUMBER(AC777),AC777&gt;0,AC777&lt;1),AC777*100,AC777)/100)</f>
        <v/>
      </c>
      <c r="Z777" s="5">
        <f>IF(D777="","",AB777*AA777/100)</f>
        <v/>
      </c>
      <c r="AA777" s="5">
        <f>IF(D777="","",X777-Y777)</f>
        <v/>
      </c>
      <c r="AD777" s="5">
        <f>IF(D777="","",AA777-Z777)</f>
        <v/>
      </c>
      <c r="AG777">
        <f>IF(D777="","",N(AG776)+IF(MATCH(D777,$D$2:$D$3001,0)=ROW()-1,1,0))</f>
        <v/>
      </c>
    </row>
    <row r="778">
      <c r="Y778" s="5">
        <f>IF(D778="","",X778*IF(AND(ISNUMBER(AC778),AC778&gt;0,AC778&lt;1),AC778*100,AC778)/100)</f>
        <v/>
      </c>
      <c r="Z778" s="5">
        <f>IF(D778="","",AB778*AA778/100)</f>
        <v/>
      </c>
      <c r="AA778" s="5">
        <f>IF(D778="","",X778-Y778)</f>
        <v/>
      </c>
      <c r="AD778" s="5">
        <f>IF(D778="","",AA778-Z778)</f>
        <v/>
      </c>
      <c r="AG778">
        <f>IF(D778="","",N(AG777)+IF(MATCH(D778,$D$2:$D$3001,0)=ROW()-1,1,0))</f>
        <v/>
      </c>
    </row>
    <row r="779">
      <c r="Y779" s="5">
        <f>IF(D779="","",X779*IF(AND(ISNUMBER(AC779),AC779&gt;0,AC779&lt;1),AC779*100,AC779)/100)</f>
        <v/>
      </c>
      <c r="Z779" s="5">
        <f>IF(D779="","",AB779*AA779/100)</f>
        <v/>
      </c>
      <c r="AA779" s="5">
        <f>IF(D779="","",X779-Y779)</f>
        <v/>
      </c>
      <c r="AD779" s="5">
        <f>IF(D779="","",AA779-Z779)</f>
        <v/>
      </c>
      <c r="AG779">
        <f>IF(D779="","",N(AG778)+IF(MATCH(D779,$D$2:$D$3001,0)=ROW()-1,1,0))</f>
        <v/>
      </c>
    </row>
    <row r="780">
      <c r="Y780" s="5">
        <f>IF(D780="","",X780*IF(AND(ISNUMBER(AC780),AC780&gt;0,AC780&lt;1),AC780*100,AC780)/100)</f>
        <v/>
      </c>
      <c r="Z780" s="5">
        <f>IF(D780="","",AB780*AA780/100)</f>
        <v/>
      </c>
      <c r="AA780" s="5">
        <f>IF(D780="","",X780-Y780)</f>
        <v/>
      </c>
      <c r="AD780" s="5">
        <f>IF(D780="","",AA780-Z780)</f>
        <v/>
      </c>
      <c r="AG780">
        <f>IF(D780="","",N(AG779)+IF(MATCH(D780,$D$2:$D$3001,0)=ROW()-1,1,0))</f>
        <v/>
      </c>
    </row>
    <row r="781">
      <c r="Y781" s="5">
        <f>IF(D781="","",X781*IF(AND(ISNUMBER(AC781),AC781&gt;0,AC781&lt;1),AC781*100,AC781)/100)</f>
        <v/>
      </c>
      <c r="Z781" s="5">
        <f>IF(D781="","",AB781*AA781/100)</f>
        <v/>
      </c>
      <c r="AA781" s="5">
        <f>IF(D781="","",X781-Y781)</f>
        <v/>
      </c>
      <c r="AD781" s="5">
        <f>IF(D781="","",AA781-Z781)</f>
        <v/>
      </c>
      <c r="AG781">
        <f>IF(D781="","",N(AG780)+IF(MATCH(D781,$D$2:$D$3001,0)=ROW()-1,1,0))</f>
        <v/>
      </c>
    </row>
    <row r="782">
      <c r="Y782" s="5">
        <f>IF(D782="","",X782*IF(AND(ISNUMBER(AC782),AC782&gt;0,AC782&lt;1),AC782*100,AC782)/100)</f>
        <v/>
      </c>
      <c r="Z782" s="5">
        <f>IF(D782="","",AB782*AA782/100)</f>
        <v/>
      </c>
      <c r="AA782" s="5">
        <f>IF(D782="","",X782-Y782)</f>
        <v/>
      </c>
      <c r="AD782" s="5">
        <f>IF(D782="","",AA782-Z782)</f>
        <v/>
      </c>
      <c r="AG782">
        <f>IF(D782="","",N(AG781)+IF(MATCH(D782,$D$2:$D$3001,0)=ROW()-1,1,0))</f>
        <v/>
      </c>
    </row>
    <row r="783">
      <c r="Y783" s="5">
        <f>IF(D783="","",X783*IF(AND(ISNUMBER(AC783),AC783&gt;0,AC783&lt;1),AC783*100,AC783)/100)</f>
        <v/>
      </c>
      <c r="Z783" s="5">
        <f>IF(D783="","",AB783*AA783/100)</f>
        <v/>
      </c>
      <c r="AA783" s="5">
        <f>IF(D783="","",X783-Y783)</f>
        <v/>
      </c>
      <c r="AD783" s="5">
        <f>IF(D783="","",AA783-Z783)</f>
        <v/>
      </c>
      <c r="AG783">
        <f>IF(D783="","",N(AG782)+IF(MATCH(D783,$D$2:$D$3001,0)=ROW()-1,1,0))</f>
        <v/>
      </c>
    </row>
    <row r="784">
      <c r="Y784" s="5">
        <f>IF(D784="","",X784*IF(AND(ISNUMBER(AC784),AC784&gt;0,AC784&lt;1),AC784*100,AC784)/100)</f>
        <v/>
      </c>
      <c r="Z784" s="5">
        <f>IF(D784="","",AB784*AA784/100)</f>
        <v/>
      </c>
      <c r="AA784" s="5">
        <f>IF(D784="","",X784-Y784)</f>
        <v/>
      </c>
      <c r="AD784" s="5">
        <f>IF(D784="","",AA784-Z784)</f>
        <v/>
      </c>
      <c r="AG784">
        <f>IF(D784="","",N(AG783)+IF(MATCH(D784,$D$2:$D$3001,0)=ROW()-1,1,0))</f>
        <v/>
      </c>
    </row>
    <row r="785">
      <c r="Y785" s="5">
        <f>IF(D785="","",X785*IF(AND(ISNUMBER(AC785),AC785&gt;0,AC785&lt;1),AC785*100,AC785)/100)</f>
        <v/>
      </c>
      <c r="Z785" s="5">
        <f>IF(D785="","",AB785*AA785/100)</f>
        <v/>
      </c>
      <c r="AA785" s="5">
        <f>IF(D785="","",X785-Y785)</f>
        <v/>
      </c>
      <c r="AD785" s="5">
        <f>IF(D785="","",AA785-Z785)</f>
        <v/>
      </c>
      <c r="AG785">
        <f>IF(D785="","",N(AG784)+IF(MATCH(D785,$D$2:$D$3001,0)=ROW()-1,1,0))</f>
        <v/>
      </c>
    </row>
    <row r="786">
      <c r="Y786" s="5">
        <f>IF(D786="","",X786*IF(AND(ISNUMBER(AC786),AC786&gt;0,AC786&lt;1),AC786*100,AC786)/100)</f>
        <v/>
      </c>
      <c r="Z786" s="5">
        <f>IF(D786="","",AB786*AA786/100)</f>
        <v/>
      </c>
      <c r="AA786" s="5">
        <f>IF(D786="","",X786-Y786)</f>
        <v/>
      </c>
      <c r="AD786" s="5">
        <f>IF(D786="","",AA786-Z786)</f>
        <v/>
      </c>
      <c r="AG786">
        <f>IF(D786="","",N(AG785)+IF(MATCH(D786,$D$2:$D$3001,0)=ROW()-1,1,0))</f>
        <v/>
      </c>
    </row>
    <row r="787">
      <c r="Y787" s="5">
        <f>IF(D787="","",X787*IF(AND(ISNUMBER(AC787),AC787&gt;0,AC787&lt;1),AC787*100,AC787)/100)</f>
        <v/>
      </c>
      <c r="Z787" s="5">
        <f>IF(D787="","",AB787*AA787/100)</f>
        <v/>
      </c>
      <c r="AA787" s="5">
        <f>IF(D787="","",X787-Y787)</f>
        <v/>
      </c>
      <c r="AD787" s="5">
        <f>IF(D787="","",AA787-Z787)</f>
        <v/>
      </c>
      <c r="AG787">
        <f>IF(D787="","",N(AG786)+IF(MATCH(D787,$D$2:$D$3001,0)=ROW()-1,1,0))</f>
        <v/>
      </c>
    </row>
    <row r="788">
      <c r="Y788" s="5">
        <f>IF(D788="","",X788*IF(AND(ISNUMBER(AC788),AC788&gt;0,AC788&lt;1),AC788*100,AC788)/100)</f>
        <v/>
      </c>
      <c r="Z788" s="5">
        <f>IF(D788="","",AB788*AA788/100)</f>
        <v/>
      </c>
      <c r="AA788" s="5">
        <f>IF(D788="","",X788-Y788)</f>
        <v/>
      </c>
      <c r="AD788" s="5">
        <f>IF(D788="","",AA788-Z788)</f>
        <v/>
      </c>
      <c r="AG788">
        <f>IF(D788="","",N(AG787)+IF(MATCH(D788,$D$2:$D$3001,0)=ROW()-1,1,0))</f>
        <v/>
      </c>
    </row>
    <row r="789">
      <c r="Y789" s="5">
        <f>IF(D789="","",X789*IF(AND(ISNUMBER(AC789),AC789&gt;0,AC789&lt;1),AC789*100,AC789)/100)</f>
        <v/>
      </c>
      <c r="Z789" s="5">
        <f>IF(D789="","",AB789*AA789/100)</f>
        <v/>
      </c>
      <c r="AA789" s="5">
        <f>IF(D789="","",X789-Y789)</f>
        <v/>
      </c>
      <c r="AD789" s="5">
        <f>IF(D789="","",AA789-Z789)</f>
        <v/>
      </c>
      <c r="AG789">
        <f>IF(D789="","",N(AG788)+IF(MATCH(D789,$D$2:$D$3001,0)=ROW()-1,1,0))</f>
        <v/>
      </c>
    </row>
    <row r="790">
      <c r="Y790" s="5">
        <f>IF(D790="","",X790*IF(AND(ISNUMBER(AC790),AC790&gt;0,AC790&lt;1),AC790*100,AC790)/100)</f>
        <v/>
      </c>
      <c r="Z790" s="5">
        <f>IF(D790="","",AB790*AA790/100)</f>
        <v/>
      </c>
      <c r="AA790" s="5">
        <f>IF(D790="","",X790-Y790)</f>
        <v/>
      </c>
      <c r="AD790" s="5">
        <f>IF(D790="","",AA790-Z790)</f>
        <v/>
      </c>
      <c r="AG790">
        <f>IF(D790="","",N(AG789)+IF(MATCH(D790,$D$2:$D$3001,0)=ROW()-1,1,0))</f>
        <v/>
      </c>
    </row>
    <row r="791">
      <c r="Y791" s="5">
        <f>IF(D791="","",X791*IF(AND(ISNUMBER(AC791),AC791&gt;0,AC791&lt;1),AC791*100,AC791)/100)</f>
        <v/>
      </c>
      <c r="Z791" s="5">
        <f>IF(D791="","",AB791*AA791/100)</f>
        <v/>
      </c>
      <c r="AA791" s="5">
        <f>IF(D791="","",X791-Y791)</f>
        <v/>
      </c>
      <c r="AD791" s="5">
        <f>IF(D791="","",AA791-Z791)</f>
        <v/>
      </c>
      <c r="AG791">
        <f>IF(D791="","",N(AG790)+IF(MATCH(D791,$D$2:$D$3001,0)=ROW()-1,1,0))</f>
        <v/>
      </c>
    </row>
    <row r="792">
      <c r="Y792" s="5">
        <f>IF(D792="","",X792*IF(AND(ISNUMBER(AC792),AC792&gt;0,AC792&lt;1),AC792*100,AC792)/100)</f>
        <v/>
      </c>
      <c r="Z792" s="5">
        <f>IF(D792="","",AB792*AA792/100)</f>
        <v/>
      </c>
      <c r="AA792" s="5">
        <f>IF(D792="","",X792-Y792)</f>
        <v/>
      </c>
      <c r="AD792" s="5">
        <f>IF(D792="","",AA792-Z792)</f>
        <v/>
      </c>
      <c r="AG792">
        <f>IF(D792="","",N(AG791)+IF(MATCH(D792,$D$2:$D$3001,0)=ROW()-1,1,0))</f>
        <v/>
      </c>
    </row>
    <row r="793">
      <c r="Y793" s="5">
        <f>IF(D793="","",X793*IF(AND(ISNUMBER(AC793),AC793&gt;0,AC793&lt;1),AC793*100,AC793)/100)</f>
        <v/>
      </c>
      <c r="Z793" s="5">
        <f>IF(D793="","",AB793*AA793/100)</f>
        <v/>
      </c>
      <c r="AA793" s="5">
        <f>IF(D793="","",X793-Y793)</f>
        <v/>
      </c>
      <c r="AD793" s="5">
        <f>IF(D793="","",AA793-Z793)</f>
        <v/>
      </c>
      <c r="AG793">
        <f>IF(D793="","",N(AG792)+IF(MATCH(D793,$D$2:$D$3001,0)=ROW()-1,1,0))</f>
        <v/>
      </c>
    </row>
    <row r="794">
      <c r="Y794" s="5">
        <f>IF(D794="","",X794*IF(AND(ISNUMBER(AC794),AC794&gt;0,AC794&lt;1),AC794*100,AC794)/100)</f>
        <v/>
      </c>
      <c r="Z794" s="5">
        <f>IF(D794="","",AB794*AA794/100)</f>
        <v/>
      </c>
      <c r="AA794" s="5">
        <f>IF(D794="","",X794-Y794)</f>
        <v/>
      </c>
      <c r="AD794" s="5">
        <f>IF(D794="","",AA794-Z794)</f>
        <v/>
      </c>
      <c r="AG794">
        <f>IF(D794="","",N(AG793)+IF(MATCH(D794,$D$2:$D$3001,0)=ROW()-1,1,0))</f>
        <v/>
      </c>
    </row>
    <row r="795">
      <c r="Y795" s="5">
        <f>IF(D795="","",X795*IF(AND(ISNUMBER(AC795),AC795&gt;0,AC795&lt;1),AC795*100,AC795)/100)</f>
        <v/>
      </c>
      <c r="Z795" s="5">
        <f>IF(D795="","",AB795*AA795/100)</f>
        <v/>
      </c>
      <c r="AA795" s="5">
        <f>IF(D795="","",X795-Y795)</f>
        <v/>
      </c>
      <c r="AD795" s="5">
        <f>IF(D795="","",AA795-Z795)</f>
        <v/>
      </c>
      <c r="AG795">
        <f>IF(D795="","",N(AG794)+IF(MATCH(D795,$D$2:$D$3001,0)=ROW()-1,1,0))</f>
        <v/>
      </c>
    </row>
    <row r="796">
      <c r="Y796" s="5">
        <f>IF(D796="","",X796*IF(AND(ISNUMBER(AC796),AC796&gt;0,AC796&lt;1),AC796*100,AC796)/100)</f>
        <v/>
      </c>
      <c r="Z796" s="5">
        <f>IF(D796="","",AB796*AA796/100)</f>
        <v/>
      </c>
      <c r="AA796" s="5">
        <f>IF(D796="","",X796-Y796)</f>
        <v/>
      </c>
      <c r="AD796" s="5">
        <f>IF(D796="","",AA796-Z796)</f>
        <v/>
      </c>
      <c r="AG796">
        <f>IF(D796="","",N(AG795)+IF(MATCH(D796,$D$2:$D$3001,0)=ROW()-1,1,0))</f>
        <v/>
      </c>
    </row>
    <row r="797">
      <c r="Y797" s="5">
        <f>IF(D797="","",X797*IF(AND(ISNUMBER(AC797),AC797&gt;0,AC797&lt;1),AC797*100,AC797)/100)</f>
        <v/>
      </c>
      <c r="Z797" s="5">
        <f>IF(D797="","",AB797*AA797/100)</f>
        <v/>
      </c>
      <c r="AA797" s="5">
        <f>IF(D797="","",X797-Y797)</f>
        <v/>
      </c>
      <c r="AD797" s="5">
        <f>IF(D797="","",AA797-Z797)</f>
        <v/>
      </c>
      <c r="AG797">
        <f>IF(D797="","",N(AG796)+IF(MATCH(D797,$D$2:$D$3001,0)=ROW()-1,1,0))</f>
        <v/>
      </c>
    </row>
    <row r="798">
      <c r="Y798" s="5">
        <f>IF(D798="","",X798*IF(AND(ISNUMBER(AC798),AC798&gt;0,AC798&lt;1),AC798*100,AC798)/100)</f>
        <v/>
      </c>
      <c r="Z798" s="5">
        <f>IF(D798="","",AB798*AA798/100)</f>
        <v/>
      </c>
      <c r="AA798" s="5">
        <f>IF(D798="","",X798-Y798)</f>
        <v/>
      </c>
      <c r="AD798" s="5">
        <f>IF(D798="","",AA798-Z798)</f>
        <v/>
      </c>
      <c r="AG798">
        <f>IF(D798="","",N(AG797)+IF(MATCH(D798,$D$2:$D$3001,0)=ROW()-1,1,0))</f>
        <v/>
      </c>
    </row>
    <row r="799">
      <c r="Y799" s="5">
        <f>IF(D799="","",X799*IF(AND(ISNUMBER(AC799),AC799&gt;0,AC799&lt;1),AC799*100,AC799)/100)</f>
        <v/>
      </c>
      <c r="Z799" s="5">
        <f>IF(D799="","",AB799*AA799/100)</f>
        <v/>
      </c>
      <c r="AA799" s="5">
        <f>IF(D799="","",X799-Y799)</f>
        <v/>
      </c>
      <c r="AD799" s="5">
        <f>IF(D799="","",AA799-Z799)</f>
        <v/>
      </c>
      <c r="AG799">
        <f>IF(D799="","",N(AG798)+IF(MATCH(D799,$D$2:$D$3001,0)=ROW()-1,1,0))</f>
        <v/>
      </c>
    </row>
    <row r="800">
      <c r="Y800" s="5">
        <f>IF(D800="","",X800*IF(AND(ISNUMBER(AC800),AC800&gt;0,AC800&lt;1),AC800*100,AC800)/100)</f>
        <v/>
      </c>
      <c r="Z800" s="5">
        <f>IF(D800="","",AB800*AA800/100)</f>
        <v/>
      </c>
      <c r="AA800" s="5">
        <f>IF(D800="","",X800-Y800)</f>
        <v/>
      </c>
      <c r="AD800" s="5">
        <f>IF(D800="","",AA800-Z800)</f>
        <v/>
      </c>
      <c r="AG800">
        <f>IF(D800="","",N(AG799)+IF(MATCH(D800,$D$2:$D$3001,0)=ROW()-1,1,0))</f>
        <v/>
      </c>
    </row>
    <row r="801">
      <c r="Y801" s="5">
        <f>IF(D801="","",X801*IF(AND(ISNUMBER(AC801),AC801&gt;0,AC801&lt;1),AC801*100,AC801)/100)</f>
        <v/>
      </c>
      <c r="Z801" s="5">
        <f>IF(D801="","",AB801*AA801/100)</f>
        <v/>
      </c>
      <c r="AA801" s="5">
        <f>IF(D801="","",X801-Y801)</f>
        <v/>
      </c>
      <c r="AD801" s="5">
        <f>IF(D801="","",AA801-Z801)</f>
        <v/>
      </c>
      <c r="AG801">
        <f>IF(D801="","",N(AG800)+IF(MATCH(D801,$D$2:$D$3001,0)=ROW()-1,1,0))</f>
        <v/>
      </c>
    </row>
    <row r="802">
      <c r="Y802" s="5">
        <f>IF(D802="","",X802*IF(AND(ISNUMBER(AC802),AC802&gt;0,AC802&lt;1),AC802*100,AC802)/100)</f>
        <v/>
      </c>
      <c r="Z802" s="5">
        <f>IF(D802="","",AB802*AA802/100)</f>
        <v/>
      </c>
      <c r="AA802" s="5">
        <f>IF(D802="","",X802-Y802)</f>
        <v/>
      </c>
      <c r="AD802" s="5">
        <f>IF(D802="","",AA802-Z802)</f>
        <v/>
      </c>
      <c r="AG802">
        <f>IF(D802="","",N(AG801)+IF(MATCH(D802,$D$2:$D$3001,0)=ROW()-1,1,0))</f>
        <v/>
      </c>
    </row>
    <row r="803">
      <c r="Y803" s="5">
        <f>IF(D803="","",X803*IF(AND(ISNUMBER(AC803),AC803&gt;0,AC803&lt;1),AC803*100,AC803)/100)</f>
        <v/>
      </c>
      <c r="Z803" s="5">
        <f>IF(D803="","",AB803*AA803/100)</f>
        <v/>
      </c>
      <c r="AA803" s="5">
        <f>IF(D803="","",X803-Y803)</f>
        <v/>
      </c>
      <c r="AD803" s="5">
        <f>IF(D803="","",AA803-Z803)</f>
        <v/>
      </c>
      <c r="AG803">
        <f>IF(D803="","",N(AG802)+IF(MATCH(D803,$D$2:$D$3001,0)=ROW()-1,1,0))</f>
        <v/>
      </c>
    </row>
    <row r="804">
      <c r="Y804" s="5">
        <f>IF(D804="","",X804*IF(AND(ISNUMBER(AC804),AC804&gt;0,AC804&lt;1),AC804*100,AC804)/100)</f>
        <v/>
      </c>
      <c r="Z804" s="5">
        <f>IF(D804="","",AB804*AA804/100)</f>
        <v/>
      </c>
      <c r="AA804" s="5">
        <f>IF(D804="","",X804-Y804)</f>
        <v/>
      </c>
      <c r="AD804" s="5">
        <f>IF(D804="","",AA804-Z804)</f>
        <v/>
      </c>
      <c r="AG804">
        <f>IF(D804="","",N(AG803)+IF(MATCH(D804,$D$2:$D$3001,0)=ROW()-1,1,0))</f>
        <v/>
      </c>
    </row>
    <row r="805">
      <c r="Y805" s="5">
        <f>IF(D805="","",X805*IF(AND(ISNUMBER(AC805),AC805&gt;0,AC805&lt;1),AC805*100,AC805)/100)</f>
        <v/>
      </c>
      <c r="Z805" s="5">
        <f>IF(D805="","",AB805*AA805/100)</f>
        <v/>
      </c>
      <c r="AA805" s="5">
        <f>IF(D805="","",X805-Y805)</f>
        <v/>
      </c>
      <c r="AD805" s="5">
        <f>IF(D805="","",AA805-Z805)</f>
        <v/>
      </c>
      <c r="AG805">
        <f>IF(D805="","",N(AG804)+IF(MATCH(D805,$D$2:$D$3001,0)=ROW()-1,1,0))</f>
        <v/>
      </c>
    </row>
    <row r="806">
      <c r="Y806" s="5">
        <f>IF(D806="","",X806*IF(AND(ISNUMBER(AC806),AC806&gt;0,AC806&lt;1),AC806*100,AC806)/100)</f>
        <v/>
      </c>
      <c r="Z806" s="5">
        <f>IF(D806="","",AB806*AA806/100)</f>
        <v/>
      </c>
      <c r="AA806" s="5">
        <f>IF(D806="","",X806-Y806)</f>
        <v/>
      </c>
      <c r="AD806" s="5">
        <f>IF(D806="","",AA806-Z806)</f>
        <v/>
      </c>
      <c r="AG806">
        <f>IF(D806="","",N(AG805)+IF(MATCH(D806,$D$2:$D$3001,0)=ROW()-1,1,0))</f>
        <v/>
      </c>
    </row>
    <row r="807">
      <c r="Y807" s="5">
        <f>IF(D807="","",X807*IF(AND(ISNUMBER(AC807),AC807&gt;0,AC807&lt;1),AC807*100,AC807)/100)</f>
        <v/>
      </c>
      <c r="Z807" s="5">
        <f>IF(D807="","",AB807*AA807/100)</f>
        <v/>
      </c>
      <c r="AA807" s="5">
        <f>IF(D807="","",X807-Y807)</f>
        <v/>
      </c>
      <c r="AD807" s="5">
        <f>IF(D807="","",AA807-Z807)</f>
        <v/>
      </c>
      <c r="AG807">
        <f>IF(D807="","",N(AG806)+IF(MATCH(D807,$D$2:$D$3001,0)=ROW()-1,1,0))</f>
        <v/>
      </c>
    </row>
    <row r="808">
      <c r="Y808" s="5">
        <f>IF(D808="","",X808*IF(AND(ISNUMBER(AC808),AC808&gt;0,AC808&lt;1),AC808*100,AC808)/100)</f>
        <v/>
      </c>
      <c r="Z808" s="5">
        <f>IF(D808="","",AB808*AA808/100)</f>
        <v/>
      </c>
      <c r="AA808" s="5">
        <f>IF(D808="","",X808-Y808)</f>
        <v/>
      </c>
      <c r="AD808" s="5">
        <f>IF(D808="","",AA808-Z808)</f>
        <v/>
      </c>
      <c r="AG808">
        <f>IF(D808="","",N(AG807)+IF(MATCH(D808,$D$2:$D$3001,0)=ROW()-1,1,0))</f>
        <v/>
      </c>
    </row>
    <row r="809">
      <c r="Y809" s="5">
        <f>IF(D809="","",X809*IF(AND(ISNUMBER(AC809),AC809&gt;0,AC809&lt;1),AC809*100,AC809)/100)</f>
        <v/>
      </c>
      <c r="Z809" s="5">
        <f>IF(D809="","",AB809*AA809/100)</f>
        <v/>
      </c>
      <c r="AA809" s="5">
        <f>IF(D809="","",X809-Y809)</f>
        <v/>
      </c>
      <c r="AD809" s="5">
        <f>IF(D809="","",AA809-Z809)</f>
        <v/>
      </c>
      <c r="AG809">
        <f>IF(D809="","",N(AG808)+IF(MATCH(D809,$D$2:$D$3001,0)=ROW()-1,1,0))</f>
        <v/>
      </c>
    </row>
    <row r="810">
      <c r="Y810" s="5">
        <f>IF(D810="","",X810*IF(AND(ISNUMBER(AC810),AC810&gt;0,AC810&lt;1),AC810*100,AC810)/100)</f>
        <v/>
      </c>
      <c r="Z810" s="5">
        <f>IF(D810="","",AB810*AA810/100)</f>
        <v/>
      </c>
      <c r="AA810" s="5">
        <f>IF(D810="","",X810-Y810)</f>
        <v/>
      </c>
      <c r="AD810" s="5">
        <f>IF(D810="","",AA810-Z810)</f>
        <v/>
      </c>
      <c r="AG810">
        <f>IF(D810="","",N(AG809)+IF(MATCH(D810,$D$2:$D$3001,0)=ROW()-1,1,0))</f>
        <v/>
      </c>
    </row>
    <row r="811">
      <c r="Y811" s="5">
        <f>IF(D811="","",X811*IF(AND(ISNUMBER(AC811),AC811&gt;0,AC811&lt;1),AC811*100,AC811)/100)</f>
        <v/>
      </c>
      <c r="Z811" s="5">
        <f>IF(D811="","",AB811*AA811/100)</f>
        <v/>
      </c>
      <c r="AA811" s="5">
        <f>IF(D811="","",X811-Y811)</f>
        <v/>
      </c>
      <c r="AD811" s="5">
        <f>IF(D811="","",AA811-Z811)</f>
        <v/>
      </c>
      <c r="AG811">
        <f>IF(D811="","",N(AG810)+IF(MATCH(D811,$D$2:$D$3001,0)=ROW()-1,1,0))</f>
        <v/>
      </c>
    </row>
    <row r="812">
      <c r="Y812" s="5">
        <f>IF(D812="","",X812*IF(AND(ISNUMBER(AC812),AC812&gt;0,AC812&lt;1),AC812*100,AC812)/100)</f>
        <v/>
      </c>
      <c r="Z812" s="5">
        <f>IF(D812="","",AB812*AA812/100)</f>
        <v/>
      </c>
      <c r="AA812" s="5">
        <f>IF(D812="","",X812-Y812)</f>
        <v/>
      </c>
      <c r="AD812" s="5">
        <f>IF(D812="","",AA812-Z812)</f>
        <v/>
      </c>
      <c r="AG812">
        <f>IF(D812="","",N(AG811)+IF(MATCH(D812,$D$2:$D$3001,0)=ROW()-1,1,0))</f>
        <v/>
      </c>
    </row>
    <row r="813">
      <c r="Y813" s="5">
        <f>IF(D813="","",X813*IF(AND(ISNUMBER(AC813),AC813&gt;0,AC813&lt;1),AC813*100,AC813)/100)</f>
        <v/>
      </c>
      <c r="Z813" s="5">
        <f>IF(D813="","",AB813*AA813/100)</f>
        <v/>
      </c>
      <c r="AA813" s="5">
        <f>IF(D813="","",X813-Y813)</f>
        <v/>
      </c>
      <c r="AD813" s="5">
        <f>IF(D813="","",AA813-Z813)</f>
        <v/>
      </c>
      <c r="AG813">
        <f>IF(D813="","",N(AG812)+IF(MATCH(D813,$D$2:$D$3001,0)=ROW()-1,1,0))</f>
        <v/>
      </c>
    </row>
    <row r="814">
      <c r="Y814" s="5">
        <f>IF(D814="","",X814*IF(AND(ISNUMBER(AC814),AC814&gt;0,AC814&lt;1),AC814*100,AC814)/100)</f>
        <v/>
      </c>
      <c r="Z814" s="5">
        <f>IF(D814="","",AB814*AA814/100)</f>
        <v/>
      </c>
      <c r="AA814" s="5">
        <f>IF(D814="","",X814-Y814)</f>
        <v/>
      </c>
      <c r="AD814" s="5">
        <f>IF(D814="","",AA814-Z814)</f>
        <v/>
      </c>
      <c r="AG814">
        <f>IF(D814="","",N(AG813)+IF(MATCH(D814,$D$2:$D$3001,0)=ROW()-1,1,0))</f>
        <v/>
      </c>
    </row>
    <row r="815">
      <c r="Y815" s="5">
        <f>IF(D815="","",X815*IF(AND(ISNUMBER(AC815),AC815&gt;0,AC815&lt;1),AC815*100,AC815)/100)</f>
        <v/>
      </c>
      <c r="Z815" s="5">
        <f>IF(D815="","",AB815*AA815/100)</f>
        <v/>
      </c>
      <c r="AA815" s="5">
        <f>IF(D815="","",X815-Y815)</f>
        <v/>
      </c>
      <c r="AD815" s="5">
        <f>IF(D815="","",AA815-Z815)</f>
        <v/>
      </c>
      <c r="AG815">
        <f>IF(D815="","",N(AG814)+IF(MATCH(D815,$D$2:$D$3001,0)=ROW()-1,1,0))</f>
        <v/>
      </c>
    </row>
    <row r="816">
      <c r="Y816" s="5">
        <f>IF(D816="","",X816*IF(AND(ISNUMBER(AC816),AC816&gt;0,AC816&lt;1),AC816*100,AC816)/100)</f>
        <v/>
      </c>
      <c r="Z816" s="5">
        <f>IF(D816="","",AB816*AA816/100)</f>
        <v/>
      </c>
      <c r="AA816" s="5">
        <f>IF(D816="","",X816-Y816)</f>
        <v/>
      </c>
      <c r="AD816" s="5">
        <f>IF(D816="","",AA816-Z816)</f>
        <v/>
      </c>
      <c r="AG816">
        <f>IF(D816="","",N(AG815)+IF(MATCH(D816,$D$2:$D$3001,0)=ROW()-1,1,0))</f>
        <v/>
      </c>
    </row>
    <row r="817">
      <c r="Y817" s="5">
        <f>IF(D817="","",X817*IF(AND(ISNUMBER(AC817),AC817&gt;0,AC817&lt;1),AC817*100,AC817)/100)</f>
        <v/>
      </c>
      <c r="Z817" s="5">
        <f>IF(D817="","",AB817*AA817/100)</f>
        <v/>
      </c>
      <c r="AA817" s="5">
        <f>IF(D817="","",X817-Y817)</f>
        <v/>
      </c>
      <c r="AD817" s="5">
        <f>IF(D817="","",AA817-Z817)</f>
        <v/>
      </c>
      <c r="AG817">
        <f>IF(D817="","",N(AG816)+IF(MATCH(D817,$D$2:$D$3001,0)=ROW()-1,1,0))</f>
        <v/>
      </c>
    </row>
    <row r="818">
      <c r="Y818" s="5">
        <f>IF(D818="","",X818*IF(AND(ISNUMBER(AC818),AC818&gt;0,AC818&lt;1),AC818*100,AC818)/100)</f>
        <v/>
      </c>
      <c r="Z818" s="5">
        <f>IF(D818="","",AB818*AA818/100)</f>
        <v/>
      </c>
      <c r="AA818" s="5">
        <f>IF(D818="","",X818-Y818)</f>
        <v/>
      </c>
      <c r="AD818" s="5">
        <f>IF(D818="","",AA818-Z818)</f>
        <v/>
      </c>
      <c r="AG818">
        <f>IF(D818="","",N(AG817)+IF(MATCH(D818,$D$2:$D$3001,0)=ROW()-1,1,0))</f>
        <v/>
      </c>
    </row>
    <row r="819">
      <c r="Y819" s="5">
        <f>IF(D819="","",X819*IF(AND(ISNUMBER(AC819),AC819&gt;0,AC819&lt;1),AC819*100,AC819)/100)</f>
        <v/>
      </c>
      <c r="Z819" s="5">
        <f>IF(D819="","",AB819*AA819/100)</f>
        <v/>
      </c>
      <c r="AA819" s="5">
        <f>IF(D819="","",X819-Y819)</f>
        <v/>
      </c>
      <c r="AD819" s="5">
        <f>IF(D819="","",AA819-Z819)</f>
        <v/>
      </c>
      <c r="AG819">
        <f>IF(D819="","",N(AG818)+IF(MATCH(D819,$D$2:$D$3001,0)=ROW()-1,1,0))</f>
        <v/>
      </c>
    </row>
    <row r="820">
      <c r="Y820" s="5">
        <f>IF(D820="","",X820*IF(AND(ISNUMBER(AC820),AC820&gt;0,AC820&lt;1),AC820*100,AC820)/100)</f>
        <v/>
      </c>
      <c r="Z820" s="5">
        <f>IF(D820="","",AB820*AA820/100)</f>
        <v/>
      </c>
      <c r="AA820" s="5">
        <f>IF(D820="","",X820-Y820)</f>
        <v/>
      </c>
      <c r="AD820" s="5">
        <f>IF(D820="","",AA820-Z820)</f>
        <v/>
      </c>
      <c r="AG820">
        <f>IF(D820="","",N(AG819)+IF(MATCH(D820,$D$2:$D$3001,0)=ROW()-1,1,0))</f>
        <v/>
      </c>
    </row>
    <row r="821">
      <c r="Y821" s="5">
        <f>IF(D821="","",X821*IF(AND(ISNUMBER(AC821),AC821&gt;0,AC821&lt;1),AC821*100,AC821)/100)</f>
        <v/>
      </c>
      <c r="Z821" s="5">
        <f>IF(D821="","",AB821*AA821/100)</f>
        <v/>
      </c>
      <c r="AA821" s="5">
        <f>IF(D821="","",X821-Y821)</f>
        <v/>
      </c>
      <c r="AD821" s="5">
        <f>IF(D821="","",AA821-Z821)</f>
        <v/>
      </c>
      <c r="AG821">
        <f>IF(D821="","",N(AG820)+IF(MATCH(D821,$D$2:$D$3001,0)=ROW()-1,1,0))</f>
        <v/>
      </c>
    </row>
    <row r="822">
      <c r="Y822" s="5">
        <f>IF(D822="","",X822*IF(AND(ISNUMBER(AC822),AC822&gt;0,AC822&lt;1),AC822*100,AC822)/100)</f>
        <v/>
      </c>
      <c r="Z822" s="5">
        <f>IF(D822="","",AB822*AA822/100)</f>
        <v/>
      </c>
      <c r="AA822" s="5">
        <f>IF(D822="","",X822-Y822)</f>
        <v/>
      </c>
      <c r="AD822" s="5">
        <f>IF(D822="","",AA822-Z822)</f>
        <v/>
      </c>
      <c r="AG822">
        <f>IF(D822="","",N(AG821)+IF(MATCH(D822,$D$2:$D$3001,0)=ROW()-1,1,0))</f>
        <v/>
      </c>
    </row>
    <row r="823">
      <c r="Y823" s="5">
        <f>IF(D823="","",X823*IF(AND(ISNUMBER(AC823),AC823&gt;0,AC823&lt;1),AC823*100,AC823)/100)</f>
        <v/>
      </c>
      <c r="Z823" s="5">
        <f>IF(D823="","",AB823*AA823/100)</f>
        <v/>
      </c>
      <c r="AA823" s="5">
        <f>IF(D823="","",X823-Y823)</f>
        <v/>
      </c>
      <c r="AD823" s="5">
        <f>IF(D823="","",AA823-Z823)</f>
        <v/>
      </c>
      <c r="AG823">
        <f>IF(D823="","",N(AG822)+IF(MATCH(D823,$D$2:$D$3001,0)=ROW()-1,1,0))</f>
        <v/>
      </c>
    </row>
    <row r="824">
      <c r="Y824" s="5">
        <f>IF(D824="","",X824*IF(AND(ISNUMBER(AC824),AC824&gt;0,AC824&lt;1),AC824*100,AC824)/100)</f>
        <v/>
      </c>
      <c r="Z824" s="5">
        <f>IF(D824="","",AB824*AA824/100)</f>
        <v/>
      </c>
      <c r="AA824" s="5">
        <f>IF(D824="","",X824-Y824)</f>
        <v/>
      </c>
      <c r="AD824" s="5">
        <f>IF(D824="","",AA824-Z824)</f>
        <v/>
      </c>
      <c r="AG824">
        <f>IF(D824="","",N(AG823)+IF(MATCH(D824,$D$2:$D$3001,0)=ROW()-1,1,0))</f>
        <v/>
      </c>
    </row>
    <row r="825">
      <c r="Y825" s="5">
        <f>IF(D825="","",X825*IF(AND(ISNUMBER(AC825),AC825&gt;0,AC825&lt;1),AC825*100,AC825)/100)</f>
        <v/>
      </c>
      <c r="Z825" s="5">
        <f>IF(D825="","",AB825*AA825/100)</f>
        <v/>
      </c>
      <c r="AA825" s="5">
        <f>IF(D825="","",X825-Y825)</f>
        <v/>
      </c>
      <c r="AD825" s="5">
        <f>IF(D825="","",AA825-Z825)</f>
        <v/>
      </c>
      <c r="AG825">
        <f>IF(D825="","",N(AG824)+IF(MATCH(D825,$D$2:$D$3001,0)=ROW()-1,1,0))</f>
        <v/>
      </c>
    </row>
    <row r="826">
      <c r="Y826" s="5">
        <f>IF(D826="","",X826*IF(AND(ISNUMBER(AC826),AC826&gt;0,AC826&lt;1),AC826*100,AC826)/100)</f>
        <v/>
      </c>
      <c r="Z826" s="5">
        <f>IF(D826="","",AB826*AA826/100)</f>
        <v/>
      </c>
      <c r="AA826" s="5">
        <f>IF(D826="","",X826-Y826)</f>
        <v/>
      </c>
      <c r="AD826" s="5">
        <f>IF(D826="","",AA826-Z826)</f>
        <v/>
      </c>
      <c r="AG826">
        <f>IF(D826="","",N(AG825)+IF(MATCH(D826,$D$2:$D$3001,0)=ROW()-1,1,0))</f>
        <v/>
      </c>
    </row>
    <row r="827">
      <c r="Y827" s="5">
        <f>IF(D827="","",X827*IF(AND(ISNUMBER(AC827),AC827&gt;0,AC827&lt;1),AC827*100,AC827)/100)</f>
        <v/>
      </c>
      <c r="Z827" s="5">
        <f>IF(D827="","",AB827*AA827/100)</f>
        <v/>
      </c>
      <c r="AA827" s="5">
        <f>IF(D827="","",X827-Y827)</f>
        <v/>
      </c>
      <c r="AD827" s="5">
        <f>IF(D827="","",AA827-Z827)</f>
        <v/>
      </c>
      <c r="AG827">
        <f>IF(D827="","",N(AG826)+IF(MATCH(D827,$D$2:$D$3001,0)=ROW()-1,1,0))</f>
        <v/>
      </c>
    </row>
    <row r="828">
      <c r="Y828" s="5">
        <f>IF(D828="","",X828*IF(AND(ISNUMBER(AC828),AC828&gt;0,AC828&lt;1),AC828*100,AC828)/100)</f>
        <v/>
      </c>
      <c r="Z828" s="5">
        <f>IF(D828="","",AB828*AA828/100)</f>
        <v/>
      </c>
      <c r="AA828" s="5">
        <f>IF(D828="","",X828-Y828)</f>
        <v/>
      </c>
      <c r="AD828" s="5">
        <f>IF(D828="","",AA828-Z828)</f>
        <v/>
      </c>
      <c r="AG828">
        <f>IF(D828="","",N(AG827)+IF(MATCH(D828,$D$2:$D$3001,0)=ROW()-1,1,0))</f>
        <v/>
      </c>
    </row>
    <row r="829">
      <c r="Y829" s="5">
        <f>IF(D829="","",X829*IF(AND(ISNUMBER(AC829),AC829&gt;0,AC829&lt;1),AC829*100,AC829)/100)</f>
        <v/>
      </c>
      <c r="Z829" s="5">
        <f>IF(D829="","",AB829*AA829/100)</f>
        <v/>
      </c>
      <c r="AA829" s="5">
        <f>IF(D829="","",X829-Y829)</f>
        <v/>
      </c>
      <c r="AD829" s="5">
        <f>IF(D829="","",AA829-Z829)</f>
        <v/>
      </c>
      <c r="AG829">
        <f>IF(D829="","",N(AG828)+IF(MATCH(D829,$D$2:$D$3001,0)=ROW()-1,1,0))</f>
        <v/>
      </c>
    </row>
    <row r="830">
      <c r="Y830" s="5">
        <f>IF(D830="","",X830*IF(AND(ISNUMBER(AC830),AC830&gt;0,AC830&lt;1),AC830*100,AC830)/100)</f>
        <v/>
      </c>
      <c r="Z830" s="5">
        <f>IF(D830="","",AB830*AA830/100)</f>
        <v/>
      </c>
      <c r="AA830" s="5">
        <f>IF(D830="","",X830-Y830)</f>
        <v/>
      </c>
      <c r="AD830" s="5">
        <f>IF(D830="","",AA830-Z830)</f>
        <v/>
      </c>
      <c r="AG830">
        <f>IF(D830="","",N(AG829)+IF(MATCH(D830,$D$2:$D$3001,0)=ROW()-1,1,0))</f>
        <v/>
      </c>
    </row>
    <row r="831">
      <c r="Y831" s="5">
        <f>IF(D831="","",X831*IF(AND(ISNUMBER(AC831),AC831&gt;0,AC831&lt;1),AC831*100,AC831)/100)</f>
        <v/>
      </c>
      <c r="Z831" s="5">
        <f>IF(D831="","",AB831*AA831/100)</f>
        <v/>
      </c>
      <c r="AA831" s="5">
        <f>IF(D831="","",X831-Y831)</f>
        <v/>
      </c>
      <c r="AD831" s="5">
        <f>IF(D831="","",AA831-Z831)</f>
        <v/>
      </c>
      <c r="AG831">
        <f>IF(D831="","",N(AG830)+IF(MATCH(D831,$D$2:$D$3001,0)=ROW()-1,1,0))</f>
        <v/>
      </c>
    </row>
    <row r="832">
      <c r="Y832" s="5">
        <f>IF(D832="","",X832*IF(AND(ISNUMBER(AC832),AC832&gt;0,AC832&lt;1),AC832*100,AC832)/100)</f>
        <v/>
      </c>
      <c r="Z832" s="5">
        <f>IF(D832="","",AB832*AA832/100)</f>
        <v/>
      </c>
      <c r="AA832" s="5">
        <f>IF(D832="","",X832-Y832)</f>
        <v/>
      </c>
      <c r="AD832" s="5">
        <f>IF(D832="","",AA832-Z832)</f>
        <v/>
      </c>
      <c r="AG832">
        <f>IF(D832="","",N(AG831)+IF(MATCH(D832,$D$2:$D$3001,0)=ROW()-1,1,0))</f>
        <v/>
      </c>
    </row>
    <row r="833">
      <c r="Y833" s="5">
        <f>IF(D833="","",X833*IF(AND(ISNUMBER(AC833),AC833&gt;0,AC833&lt;1),AC833*100,AC833)/100)</f>
        <v/>
      </c>
      <c r="Z833" s="5">
        <f>IF(D833="","",AB833*AA833/100)</f>
        <v/>
      </c>
      <c r="AA833" s="5">
        <f>IF(D833="","",X833-Y833)</f>
        <v/>
      </c>
      <c r="AD833" s="5">
        <f>IF(D833="","",AA833-Z833)</f>
        <v/>
      </c>
      <c r="AG833">
        <f>IF(D833="","",N(AG832)+IF(MATCH(D833,$D$2:$D$3001,0)=ROW()-1,1,0))</f>
        <v/>
      </c>
    </row>
    <row r="834">
      <c r="Y834" s="5">
        <f>IF(D834="","",X834*IF(AND(ISNUMBER(AC834),AC834&gt;0,AC834&lt;1),AC834*100,AC834)/100)</f>
        <v/>
      </c>
      <c r="Z834" s="5">
        <f>IF(D834="","",AB834*AA834/100)</f>
        <v/>
      </c>
      <c r="AA834" s="5">
        <f>IF(D834="","",X834-Y834)</f>
        <v/>
      </c>
      <c r="AD834" s="5">
        <f>IF(D834="","",AA834-Z834)</f>
        <v/>
      </c>
      <c r="AG834">
        <f>IF(D834="","",N(AG833)+IF(MATCH(D834,$D$2:$D$3001,0)=ROW()-1,1,0))</f>
        <v/>
      </c>
    </row>
    <row r="835">
      <c r="Y835" s="5">
        <f>IF(D835="","",X835*IF(AND(ISNUMBER(AC835),AC835&gt;0,AC835&lt;1),AC835*100,AC835)/100)</f>
        <v/>
      </c>
      <c r="Z835" s="5">
        <f>IF(D835="","",AB835*AA835/100)</f>
        <v/>
      </c>
      <c r="AA835" s="5">
        <f>IF(D835="","",X835-Y835)</f>
        <v/>
      </c>
      <c r="AD835" s="5">
        <f>IF(D835="","",AA835-Z835)</f>
        <v/>
      </c>
      <c r="AG835">
        <f>IF(D835="","",N(AG834)+IF(MATCH(D835,$D$2:$D$3001,0)=ROW()-1,1,0))</f>
        <v/>
      </c>
    </row>
    <row r="836">
      <c r="Y836" s="5">
        <f>IF(D836="","",X836*IF(AND(ISNUMBER(AC836),AC836&gt;0,AC836&lt;1),AC836*100,AC836)/100)</f>
        <v/>
      </c>
      <c r="Z836" s="5">
        <f>IF(D836="","",AB836*AA836/100)</f>
        <v/>
      </c>
      <c r="AA836" s="5">
        <f>IF(D836="","",X836-Y836)</f>
        <v/>
      </c>
      <c r="AD836" s="5">
        <f>IF(D836="","",AA836-Z836)</f>
        <v/>
      </c>
      <c r="AG836">
        <f>IF(D836="","",N(AG835)+IF(MATCH(D836,$D$2:$D$3001,0)=ROW()-1,1,0))</f>
        <v/>
      </c>
    </row>
    <row r="837">
      <c r="Y837" s="5">
        <f>IF(D837="","",X837*IF(AND(ISNUMBER(AC837),AC837&gt;0,AC837&lt;1),AC837*100,AC837)/100)</f>
        <v/>
      </c>
      <c r="Z837" s="5">
        <f>IF(D837="","",AB837*AA837/100)</f>
        <v/>
      </c>
      <c r="AA837" s="5">
        <f>IF(D837="","",X837-Y837)</f>
        <v/>
      </c>
      <c r="AD837" s="5">
        <f>IF(D837="","",AA837-Z837)</f>
        <v/>
      </c>
      <c r="AG837">
        <f>IF(D837="","",N(AG836)+IF(MATCH(D837,$D$2:$D$3001,0)=ROW()-1,1,0))</f>
        <v/>
      </c>
    </row>
    <row r="838">
      <c r="Y838" s="5">
        <f>IF(D838="","",X838*IF(AND(ISNUMBER(AC838),AC838&gt;0,AC838&lt;1),AC838*100,AC838)/100)</f>
        <v/>
      </c>
      <c r="Z838" s="5">
        <f>IF(D838="","",AB838*AA838/100)</f>
        <v/>
      </c>
      <c r="AA838" s="5">
        <f>IF(D838="","",X838-Y838)</f>
        <v/>
      </c>
      <c r="AD838" s="5">
        <f>IF(D838="","",AA838-Z838)</f>
        <v/>
      </c>
      <c r="AG838">
        <f>IF(D838="","",N(AG837)+IF(MATCH(D838,$D$2:$D$3001,0)=ROW()-1,1,0))</f>
        <v/>
      </c>
    </row>
    <row r="839">
      <c r="Y839" s="5">
        <f>IF(D839="","",X839*IF(AND(ISNUMBER(AC839),AC839&gt;0,AC839&lt;1),AC839*100,AC839)/100)</f>
        <v/>
      </c>
      <c r="Z839" s="5">
        <f>IF(D839="","",AB839*AA839/100)</f>
        <v/>
      </c>
      <c r="AA839" s="5">
        <f>IF(D839="","",X839-Y839)</f>
        <v/>
      </c>
      <c r="AD839" s="5">
        <f>IF(D839="","",AA839-Z839)</f>
        <v/>
      </c>
      <c r="AG839">
        <f>IF(D839="","",N(AG838)+IF(MATCH(D839,$D$2:$D$3001,0)=ROW()-1,1,0))</f>
        <v/>
      </c>
    </row>
    <row r="840">
      <c r="Y840" s="5">
        <f>IF(D840="","",X840*IF(AND(ISNUMBER(AC840),AC840&gt;0,AC840&lt;1),AC840*100,AC840)/100)</f>
        <v/>
      </c>
      <c r="Z840" s="5">
        <f>IF(D840="","",AB840*AA840/100)</f>
        <v/>
      </c>
      <c r="AA840" s="5">
        <f>IF(D840="","",X840-Y840)</f>
        <v/>
      </c>
      <c r="AD840" s="5">
        <f>IF(D840="","",AA840-Z840)</f>
        <v/>
      </c>
      <c r="AG840">
        <f>IF(D840="","",N(AG839)+IF(MATCH(D840,$D$2:$D$3001,0)=ROW()-1,1,0))</f>
        <v/>
      </c>
    </row>
    <row r="841">
      <c r="Y841" s="5">
        <f>IF(D841="","",X841*IF(AND(ISNUMBER(AC841),AC841&gt;0,AC841&lt;1),AC841*100,AC841)/100)</f>
        <v/>
      </c>
      <c r="Z841" s="5">
        <f>IF(D841="","",AB841*AA841/100)</f>
        <v/>
      </c>
      <c r="AA841" s="5">
        <f>IF(D841="","",X841-Y841)</f>
        <v/>
      </c>
      <c r="AD841" s="5">
        <f>IF(D841="","",AA841-Z841)</f>
        <v/>
      </c>
      <c r="AG841">
        <f>IF(D841="","",N(AG840)+IF(MATCH(D841,$D$2:$D$3001,0)=ROW()-1,1,0))</f>
        <v/>
      </c>
    </row>
    <row r="842">
      <c r="Y842" s="5">
        <f>IF(D842="","",X842*IF(AND(ISNUMBER(AC842),AC842&gt;0,AC842&lt;1),AC842*100,AC842)/100)</f>
        <v/>
      </c>
      <c r="Z842" s="5">
        <f>IF(D842="","",AB842*AA842/100)</f>
        <v/>
      </c>
      <c r="AA842" s="5">
        <f>IF(D842="","",X842-Y842)</f>
        <v/>
      </c>
      <c r="AD842" s="5">
        <f>IF(D842="","",AA842-Z842)</f>
        <v/>
      </c>
      <c r="AG842">
        <f>IF(D842="","",N(AG841)+IF(MATCH(D842,$D$2:$D$3001,0)=ROW()-1,1,0))</f>
        <v/>
      </c>
    </row>
    <row r="843">
      <c r="Y843" s="5">
        <f>IF(D843="","",X843*IF(AND(ISNUMBER(AC843),AC843&gt;0,AC843&lt;1),AC843*100,AC843)/100)</f>
        <v/>
      </c>
      <c r="Z843" s="5">
        <f>IF(D843="","",AB843*AA843/100)</f>
        <v/>
      </c>
      <c r="AA843" s="5">
        <f>IF(D843="","",X843-Y843)</f>
        <v/>
      </c>
      <c r="AD843" s="5">
        <f>IF(D843="","",AA843-Z843)</f>
        <v/>
      </c>
      <c r="AG843">
        <f>IF(D843="","",N(AG842)+IF(MATCH(D843,$D$2:$D$3001,0)=ROW()-1,1,0))</f>
        <v/>
      </c>
    </row>
    <row r="844">
      <c r="Y844" s="5">
        <f>IF(D844="","",X844*IF(AND(ISNUMBER(AC844),AC844&gt;0,AC844&lt;1),AC844*100,AC844)/100)</f>
        <v/>
      </c>
      <c r="Z844" s="5">
        <f>IF(D844="","",AB844*AA844/100)</f>
        <v/>
      </c>
      <c r="AA844" s="5">
        <f>IF(D844="","",X844-Y844)</f>
        <v/>
      </c>
      <c r="AD844" s="5">
        <f>IF(D844="","",AA844-Z844)</f>
        <v/>
      </c>
      <c r="AG844">
        <f>IF(D844="","",N(AG843)+IF(MATCH(D844,$D$2:$D$3001,0)=ROW()-1,1,0))</f>
        <v/>
      </c>
    </row>
    <row r="845">
      <c r="Y845" s="5">
        <f>IF(D845="","",X845*IF(AND(ISNUMBER(AC845),AC845&gt;0,AC845&lt;1),AC845*100,AC845)/100)</f>
        <v/>
      </c>
      <c r="Z845" s="5">
        <f>IF(D845="","",AB845*AA845/100)</f>
        <v/>
      </c>
      <c r="AA845" s="5">
        <f>IF(D845="","",X845-Y845)</f>
        <v/>
      </c>
      <c r="AD845" s="5">
        <f>IF(D845="","",AA845-Z845)</f>
        <v/>
      </c>
      <c r="AG845">
        <f>IF(D845="","",N(AG844)+IF(MATCH(D845,$D$2:$D$3001,0)=ROW()-1,1,0))</f>
        <v/>
      </c>
    </row>
    <row r="846">
      <c r="Y846" s="5">
        <f>IF(D846="","",X846*IF(AND(ISNUMBER(AC846),AC846&gt;0,AC846&lt;1),AC846*100,AC846)/100)</f>
        <v/>
      </c>
      <c r="Z846" s="5">
        <f>IF(D846="","",AB846*AA846/100)</f>
        <v/>
      </c>
      <c r="AA846" s="5">
        <f>IF(D846="","",X846-Y846)</f>
        <v/>
      </c>
      <c r="AD846" s="5">
        <f>IF(D846="","",AA846-Z846)</f>
        <v/>
      </c>
      <c r="AG846">
        <f>IF(D846="","",N(AG845)+IF(MATCH(D846,$D$2:$D$3001,0)=ROW()-1,1,0))</f>
        <v/>
      </c>
    </row>
    <row r="847">
      <c r="Y847" s="5">
        <f>IF(D847="","",X847*IF(AND(ISNUMBER(AC847),AC847&gt;0,AC847&lt;1),AC847*100,AC847)/100)</f>
        <v/>
      </c>
      <c r="Z847" s="5">
        <f>IF(D847="","",AB847*AA847/100)</f>
        <v/>
      </c>
      <c r="AA847" s="5">
        <f>IF(D847="","",X847-Y847)</f>
        <v/>
      </c>
      <c r="AD847" s="5">
        <f>IF(D847="","",AA847-Z847)</f>
        <v/>
      </c>
      <c r="AG847">
        <f>IF(D847="","",N(AG846)+IF(MATCH(D847,$D$2:$D$3001,0)=ROW()-1,1,0))</f>
        <v/>
      </c>
    </row>
    <row r="848">
      <c r="Y848" s="5">
        <f>IF(D848="","",X848*IF(AND(ISNUMBER(AC848),AC848&gt;0,AC848&lt;1),AC848*100,AC848)/100)</f>
        <v/>
      </c>
      <c r="Z848" s="5">
        <f>IF(D848="","",AB848*AA848/100)</f>
        <v/>
      </c>
      <c r="AA848" s="5">
        <f>IF(D848="","",X848-Y848)</f>
        <v/>
      </c>
      <c r="AD848" s="5">
        <f>IF(D848="","",AA848-Z848)</f>
        <v/>
      </c>
      <c r="AG848">
        <f>IF(D848="","",N(AG847)+IF(MATCH(D848,$D$2:$D$3001,0)=ROW()-1,1,0))</f>
        <v/>
      </c>
    </row>
    <row r="849">
      <c r="Y849" s="5">
        <f>IF(D849="","",X849*IF(AND(ISNUMBER(AC849),AC849&gt;0,AC849&lt;1),AC849*100,AC849)/100)</f>
        <v/>
      </c>
      <c r="Z849" s="5">
        <f>IF(D849="","",AB849*AA849/100)</f>
        <v/>
      </c>
      <c r="AA849" s="5">
        <f>IF(D849="","",X849-Y849)</f>
        <v/>
      </c>
      <c r="AD849" s="5">
        <f>IF(D849="","",AA849-Z849)</f>
        <v/>
      </c>
      <c r="AG849">
        <f>IF(D849="","",N(AG848)+IF(MATCH(D849,$D$2:$D$3001,0)=ROW()-1,1,0))</f>
        <v/>
      </c>
    </row>
    <row r="850">
      <c r="Y850" s="5">
        <f>IF(D850="","",X850*IF(AND(ISNUMBER(AC850),AC850&gt;0,AC850&lt;1),AC850*100,AC850)/100)</f>
        <v/>
      </c>
      <c r="Z850" s="5">
        <f>IF(D850="","",AB850*AA850/100)</f>
        <v/>
      </c>
      <c r="AA850" s="5">
        <f>IF(D850="","",X850-Y850)</f>
        <v/>
      </c>
      <c r="AD850" s="5">
        <f>IF(D850="","",AA850-Z850)</f>
        <v/>
      </c>
      <c r="AG850">
        <f>IF(D850="","",N(AG849)+IF(MATCH(D850,$D$2:$D$3001,0)=ROW()-1,1,0))</f>
        <v/>
      </c>
    </row>
    <row r="851">
      <c r="Y851" s="5">
        <f>IF(D851="","",X851*IF(AND(ISNUMBER(AC851),AC851&gt;0,AC851&lt;1),AC851*100,AC851)/100)</f>
        <v/>
      </c>
      <c r="Z851" s="5">
        <f>IF(D851="","",AB851*AA851/100)</f>
        <v/>
      </c>
      <c r="AA851" s="5">
        <f>IF(D851="","",X851-Y851)</f>
        <v/>
      </c>
      <c r="AD851" s="5">
        <f>IF(D851="","",AA851-Z851)</f>
        <v/>
      </c>
      <c r="AG851">
        <f>IF(D851="","",N(AG850)+IF(MATCH(D851,$D$2:$D$3001,0)=ROW()-1,1,0))</f>
        <v/>
      </c>
    </row>
    <row r="852">
      <c r="Y852" s="5">
        <f>IF(D852="","",X852*IF(AND(ISNUMBER(AC852),AC852&gt;0,AC852&lt;1),AC852*100,AC852)/100)</f>
        <v/>
      </c>
      <c r="Z852" s="5">
        <f>IF(D852="","",AB852*AA852/100)</f>
        <v/>
      </c>
      <c r="AA852" s="5">
        <f>IF(D852="","",X852-Y852)</f>
        <v/>
      </c>
      <c r="AD852" s="5">
        <f>IF(D852="","",AA852-Z852)</f>
        <v/>
      </c>
      <c r="AG852">
        <f>IF(D852="","",N(AG851)+IF(MATCH(D852,$D$2:$D$3001,0)=ROW()-1,1,0))</f>
        <v/>
      </c>
    </row>
    <row r="853">
      <c r="Y853" s="5">
        <f>IF(D853="","",X853*IF(AND(ISNUMBER(AC853),AC853&gt;0,AC853&lt;1),AC853*100,AC853)/100)</f>
        <v/>
      </c>
      <c r="Z853" s="5">
        <f>IF(D853="","",AB853*AA853/100)</f>
        <v/>
      </c>
      <c r="AA853" s="5">
        <f>IF(D853="","",X853-Y853)</f>
        <v/>
      </c>
      <c r="AD853" s="5">
        <f>IF(D853="","",AA853-Z853)</f>
        <v/>
      </c>
      <c r="AG853">
        <f>IF(D853="","",N(AG852)+IF(MATCH(D853,$D$2:$D$3001,0)=ROW()-1,1,0))</f>
        <v/>
      </c>
    </row>
    <row r="854">
      <c r="Y854" s="5">
        <f>IF(D854="","",X854*IF(AND(ISNUMBER(AC854),AC854&gt;0,AC854&lt;1),AC854*100,AC854)/100)</f>
        <v/>
      </c>
      <c r="Z854" s="5">
        <f>IF(D854="","",AB854*AA854/100)</f>
        <v/>
      </c>
      <c r="AA854" s="5">
        <f>IF(D854="","",X854-Y854)</f>
        <v/>
      </c>
      <c r="AD854" s="5">
        <f>IF(D854="","",AA854-Z854)</f>
        <v/>
      </c>
      <c r="AG854">
        <f>IF(D854="","",N(AG853)+IF(MATCH(D854,$D$2:$D$3001,0)=ROW()-1,1,0))</f>
        <v/>
      </c>
    </row>
    <row r="855">
      <c r="Y855" s="5">
        <f>IF(D855="","",X855*IF(AND(ISNUMBER(AC855),AC855&gt;0,AC855&lt;1),AC855*100,AC855)/100)</f>
        <v/>
      </c>
      <c r="Z855" s="5">
        <f>IF(D855="","",AB855*AA855/100)</f>
        <v/>
      </c>
      <c r="AA855" s="5">
        <f>IF(D855="","",X855-Y855)</f>
        <v/>
      </c>
      <c r="AD855" s="5">
        <f>IF(D855="","",AA855-Z855)</f>
        <v/>
      </c>
      <c r="AG855">
        <f>IF(D855="","",N(AG854)+IF(MATCH(D855,$D$2:$D$3001,0)=ROW()-1,1,0))</f>
        <v/>
      </c>
    </row>
    <row r="856">
      <c r="Y856" s="5">
        <f>IF(D856="","",X856*IF(AND(ISNUMBER(AC856),AC856&gt;0,AC856&lt;1),AC856*100,AC856)/100)</f>
        <v/>
      </c>
      <c r="Z856" s="5">
        <f>IF(D856="","",AB856*AA856/100)</f>
        <v/>
      </c>
      <c r="AA856" s="5">
        <f>IF(D856="","",X856-Y856)</f>
        <v/>
      </c>
      <c r="AD856" s="5">
        <f>IF(D856="","",AA856-Z856)</f>
        <v/>
      </c>
      <c r="AG856">
        <f>IF(D856="","",N(AG855)+IF(MATCH(D856,$D$2:$D$3001,0)=ROW()-1,1,0))</f>
        <v/>
      </c>
    </row>
    <row r="857">
      <c r="Y857" s="5">
        <f>IF(D857="","",X857*IF(AND(ISNUMBER(AC857),AC857&gt;0,AC857&lt;1),AC857*100,AC857)/100)</f>
        <v/>
      </c>
      <c r="Z857" s="5">
        <f>IF(D857="","",AB857*AA857/100)</f>
        <v/>
      </c>
      <c r="AA857" s="5">
        <f>IF(D857="","",X857-Y857)</f>
        <v/>
      </c>
      <c r="AD857" s="5">
        <f>IF(D857="","",AA857-Z857)</f>
        <v/>
      </c>
      <c r="AG857">
        <f>IF(D857="","",N(AG856)+IF(MATCH(D857,$D$2:$D$3001,0)=ROW()-1,1,0))</f>
        <v/>
      </c>
    </row>
    <row r="858">
      <c r="Y858" s="5">
        <f>IF(D858="","",X858*IF(AND(ISNUMBER(AC858),AC858&gt;0,AC858&lt;1),AC858*100,AC858)/100)</f>
        <v/>
      </c>
      <c r="Z858" s="5">
        <f>IF(D858="","",AB858*AA858/100)</f>
        <v/>
      </c>
      <c r="AA858" s="5">
        <f>IF(D858="","",X858-Y858)</f>
        <v/>
      </c>
      <c r="AD858" s="5">
        <f>IF(D858="","",AA858-Z858)</f>
        <v/>
      </c>
      <c r="AG858">
        <f>IF(D858="","",N(AG857)+IF(MATCH(D858,$D$2:$D$3001,0)=ROW()-1,1,0))</f>
        <v/>
      </c>
    </row>
    <row r="859">
      <c r="Y859" s="5">
        <f>IF(D859="","",X859*IF(AND(ISNUMBER(AC859),AC859&gt;0,AC859&lt;1),AC859*100,AC859)/100)</f>
        <v/>
      </c>
      <c r="Z859" s="5">
        <f>IF(D859="","",AB859*AA859/100)</f>
        <v/>
      </c>
      <c r="AA859" s="5">
        <f>IF(D859="","",X859-Y859)</f>
        <v/>
      </c>
      <c r="AD859" s="5">
        <f>IF(D859="","",AA859-Z859)</f>
        <v/>
      </c>
      <c r="AG859">
        <f>IF(D859="","",N(AG858)+IF(MATCH(D859,$D$2:$D$3001,0)=ROW()-1,1,0))</f>
        <v/>
      </c>
    </row>
    <row r="860">
      <c r="Y860" s="5">
        <f>IF(D860="","",X860*IF(AND(ISNUMBER(AC860),AC860&gt;0,AC860&lt;1),AC860*100,AC860)/100)</f>
        <v/>
      </c>
      <c r="Z860" s="5">
        <f>IF(D860="","",AB860*AA860/100)</f>
        <v/>
      </c>
      <c r="AA860" s="5">
        <f>IF(D860="","",X860-Y860)</f>
        <v/>
      </c>
      <c r="AD860" s="5">
        <f>IF(D860="","",AA860-Z860)</f>
        <v/>
      </c>
      <c r="AG860">
        <f>IF(D860="","",N(AG859)+IF(MATCH(D860,$D$2:$D$3001,0)=ROW()-1,1,0))</f>
        <v/>
      </c>
    </row>
    <row r="861">
      <c r="Y861" s="5">
        <f>IF(D861="","",X861*IF(AND(ISNUMBER(AC861),AC861&gt;0,AC861&lt;1),AC861*100,AC861)/100)</f>
        <v/>
      </c>
      <c r="Z861" s="5">
        <f>IF(D861="","",AB861*AA861/100)</f>
        <v/>
      </c>
      <c r="AA861" s="5">
        <f>IF(D861="","",X861-Y861)</f>
        <v/>
      </c>
      <c r="AD861" s="5">
        <f>IF(D861="","",AA861-Z861)</f>
        <v/>
      </c>
      <c r="AG861">
        <f>IF(D861="","",N(AG860)+IF(MATCH(D861,$D$2:$D$3001,0)=ROW()-1,1,0))</f>
        <v/>
      </c>
    </row>
    <row r="862">
      <c r="Y862" s="5">
        <f>IF(D862="","",X862*IF(AND(ISNUMBER(AC862),AC862&gt;0,AC862&lt;1),AC862*100,AC862)/100)</f>
        <v/>
      </c>
      <c r="Z862" s="5">
        <f>IF(D862="","",AB862*AA862/100)</f>
        <v/>
      </c>
      <c r="AA862" s="5">
        <f>IF(D862="","",X862-Y862)</f>
        <v/>
      </c>
      <c r="AD862" s="5">
        <f>IF(D862="","",AA862-Z862)</f>
        <v/>
      </c>
      <c r="AG862">
        <f>IF(D862="","",N(AG861)+IF(MATCH(D862,$D$2:$D$3001,0)=ROW()-1,1,0))</f>
        <v/>
      </c>
    </row>
    <row r="863">
      <c r="Y863" s="5">
        <f>IF(D863="","",X863*IF(AND(ISNUMBER(AC863),AC863&gt;0,AC863&lt;1),AC863*100,AC863)/100)</f>
        <v/>
      </c>
      <c r="Z863" s="5">
        <f>IF(D863="","",AB863*AA863/100)</f>
        <v/>
      </c>
      <c r="AA863" s="5">
        <f>IF(D863="","",X863-Y863)</f>
        <v/>
      </c>
      <c r="AD863" s="5">
        <f>IF(D863="","",AA863-Z863)</f>
        <v/>
      </c>
      <c r="AG863">
        <f>IF(D863="","",N(AG862)+IF(MATCH(D863,$D$2:$D$3001,0)=ROW()-1,1,0))</f>
        <v/>
      </c>
    </row>
    <row r="864">
      <c r="Y864" s="5">
        <f>IF(D864="","",X864*IF(AND(ISNUMBER(AC864),AC864&gt;0,AC864&lt;1),AC864*100,AC864)/100)</f>
        <v/>
      </c>
      <c r="Z864" s="5">
        <f>IF(D864="","",AB864*AA864/100)</f>
        <v/>
      </c>
      <c r="AA864" s="5">
        <f>IF(D864="","",X864-Y864)</f>
        <v/>
      </c>
      <c r="AD864" s="5">
        <f>IF(D864="","",AA864-Z864)</f>
        <v/>
      </c>
      <c r="AG864">
        <f>IF(D864="","",N(AG863)+IF(MATCH(D864,$D$2:$D$3001,0)=ROW()-1,1,0))</f>
        <v/>
      </c>
    </row>
    <row r="865">
      <c r="Y865" s="5">
        <f>IF(D865="","",X865*IF(AND(ISNUMBER(AC865),AC865&gt;0,AC865&lt;1),AC865*100,AC865)/100)</f>
        <v/>
      </c>
      <c r="Z865" s="5">
        <f>IF(D865="","",AB865*AA865/100)</f>
        <v/>
      </c>
      <c r="AA865" s="5">
        <f>IF(D865="","",X865-Y865)</f>
        <v/>
      </c>
      <c r="AD865" s="5">
        <f>IF(D865="","",AA865-Z865)</f>
        <v/>
      </c>
      <c r="AG865">
        <f>IF(D865="","",N(AG864)+IF(MATCH(D865,$D$2:$D$3001,0)=ROW()-1,1,0))</f>
        <v/>
      </c>
    </row>
    <row r="866">
      <c r="Y866" s="5">
        <f>IF(D866="","",X866*IF(AND(ISNUMBER(AC866),AC866&gt;0,AC866&lt;1),AC866*100,AC866)/100)</f>
        <v/>
      </c>
      <c r="Z866" s="5">
        <f>IF(D866="","",AB866*AA866/100)</f>
        <v/>
      </c>
      <c r="AA866" s="5">
        <f>IF(D866="","",X866-Y866)</f>
        <v/>
      </c>
      <c r="AD866" s="5">
        <f>IF(D866="","",AA866-Z866)</f>
        <v/>
      </c>
      <c r="AG866">
        <f>IF(D866="","",N(AG865)+IF(MATCH(D866,$D$2:$D$3001,0)=ROW()-1,1,0))</f>
        <v/>
      </c>
    </row>
    <row r="867">
      <c r="Y867" s="5">
        <f>IF(D867="","",X867*IF(AND(ISNUMBER(AC867),AC867&gt;0,AC867&lt;1),AC867*100,AC867)/100)</f>
        <v/>
      </c>
      <c r="Z867" s="5">
        <f>IF(D867="","",AB867*AA867/100)</f>
        <v/>
      </c>
      <c r="AA867" s="5">
        <f>IF(D867="","",X867-Y867)</f>
        <v/>
      </c>
      <c r="AD867" s="5">
        <f>IF(D867="","",AA867-Z867)</f>
        <v/>
      </c>
      <c r="AG867">
        <f>IF(D867="","",N(AG866)+IF(MATCH(D867,$D$2:$D$3001,0)=ROW()-1,1,0))</f>
        <v/>
      </c>
    </row>
    <row r="868">
      <c r="Y868" s="5">
        <f>IF(D868="","",X868*IF(AND(ISNUMBER(AC868),AC868&gt;0,AC868&lt;1),AC868*100,AC868)/100)</f>
        <v/>
      </c>
      <c r="Z868" s="5">
        <f>IF(D868="","",AB868*AA868/100)</f>
        <v/>
      </c>
      <c r="AA868" s="5">
        <f>IF(D868="","",X868-Y868)</f>
        <v/>
      </c>
      <c r="AD868" s="5">
        <f>IF(D868="","",AA868-Z868)</f>
        <v/>
      </c>
      <c r="AG868">
        <f>IF(D868="","",N(AG867)+IF(MATCH(D868,$D$2:$D$3001,0)=ROW()-1,1,0))</f>
        <v/>
      </c>
    </row>
    <row r="869">
      <c r="Y869" s="5">
        <f>IF(D869="","",X869*IF(AND(ISNUMBER(AC869),AC869&gt;0,AC869&lt;1),AC869*100,AC869)/100)</f>
        <v/>
      </c>
      <c r="Z869" s="5">
        <f>IF(D869="","",AB869*AA869/100)</f>
        <v/>
      </c>
      <c r="AA869" s="5">
        <f>IF(D869="","",X869-Y869)</f>
        <v/>
      </c>
      <c r="AD869" s="5">
        <f>IF(D869="","",AA869-Z869)</f>
        <v/>
      </c>
      <c r="AG869">
        <f>IF(D869="","",N(AG868)+IF(MATCH(D869,$D$2:$D$3001,0)=ROW()-1,1,0))</f>
        <v/>
      </c>
    </row>
    <row r="870">
      <c r="Y870" s="5">
        <f>IF(D870="","",X870*IF(AND(ISNUMBER(AC870),AC870&gt;0,AC870&lt;1),AC870*100,AC870)/100)</f>
        <v/>
      </c>
      <c r="Z870" s="5">
        <f>IF(D870="","",AB870*AA870/100)</f>
        <v/>
      </c>
      <c r="AA870" s="5">
        <f>IF(D870="","",X870-Y870)</f>
        <v/>
      </c>
      <c r="AD870" s="5">
        <f>IF(D870="","",AA870-Z870)</f>
        <v/>
      </c>
      <c r="AG870">
        <f>IF(D870="","",N(AG869)+IF(MATCH(D870,$D$2:$D$3001,0)=ROW()-1,1,0))</f>
        <v/>
      </c>
    </row>
    <row r="871">
      <c r="Y871" s="5">
        <f>IF(D871="","",X871*IF(AND(ISNUMBER(AC871),AC871&gt;0,AC871&lt;1),AC871*100,AC871)/100)</f>
        <v/>
      </c>
      <c r="Z871" s="5">
        <f>IF(D871="","",AB871*AA871/100)</f>
        <v/>
      </c>
      <c r="AA871" s="5">
        <f>IF(D871="","",X871-Y871)</f>
        <v/>
      </c>
      <c r="AD871" s="5">
        <f>IF(D871="","",AA871-Z871)</f>
        <v/>
      </c>
      <c r="AG871">
        <f>IF(D871="","",N(AG870)+IF(MATCH(D871,$D$2:$D$3001,0)=ROW()-1,1,0))</f>
        <v/>
      </c>
    </row>
    <row r="872">
      <c r="Y872" s="5">
        <f>IF(D872="","",X872*IF(AND(ISNUMBER(AC872),AC872&gt;0,AC872&lt;1),AC872*100,AC872)/100)</f>
        <v/>
      </c>
      <c r="Z872" s="5">
        <f>IF(D872="","",AB872*AA872/100)</f>
        <v/>
      </c>
      <c r="AA872" s="5">
        <f>IF(D872="","",X872-Y872)</f>
        <v/>
      </c>
      <c r="AD872" s="5">
        <f>IF(D872="","",AA872-Z872)</f>
        <v/>
      </c>
      <c r="AG872">
        <f>IF(D872="","",N(AG871)+IF(MATCH(D872,$D$2:$D$3001,0)=ROW()-1,1,0))</f>
        <v/>
      </c>
    </row>
    <row r="873">
      <c r="Y873" s="5">
        <f>IF(D873="","",X873*IF(AND(ISNUMBER(AC873),AC873&gt;0,AC873&lt;1),AC873*100,AC873)/100)</f>
        <v/>
      </c>
      <c r="Z873" s="5">
        <f>IF(D873="","",AB873*AA873/100)</f>
        <v/>
      </c>
      <c r="AA873" s="5">
        <f>IF(D873="","",X873-Y873)</f>
        <v/>
      </c>
      <c r="AD873" s="5">
        <f>IF(D873="","",AA873-Z873)</f>
        <v/>
      </c>
      <c r="AG873">
        <f>IF(D873="","",N(AG872)+IF(MATCH(D873,$D$2:$D$3001,0)=ROW()-1,1,0))</f>
        <v/>
      </c>
    </row>
    <row r="874">
      <c r="Y874" s="5">
        <f>IF(D874="","",X874*IF(AND(ISNUMBER(AC874),AC874&gt;0,AC874&lt;1),AC874*100,AC874)/100)</f>
        <v/>
      </c>
      <c r="Z874" s="5">
        <f>IF(D874="","",AB874*AA874/100)</f>
        <v/>
      </c>
      <c r="AA874" s="5">
        <f>IF(D874="","",X874-Y874)</f>
        <v/>
      </c>
      <c r="AD874" s="5">
        <f>IF(D874="","",AA874-Z874)</f>
        <v/>
      </c>
      <c r="AG874">
        <f>IF(D874="","",N(AG873)+IF(MATCH(D874,$D$2:$D$3001,0)=ROW()-1,1,0))</f>
        <v/>
      </c>
    </row>
    <row r="875">
      <c r="Y875" s="5">
        <f>IF(D875="","",X875*IF(AND(ISNUMBER(AC875),AC875&gt;0,AC875&lt;1),AC875*100,AC875)/100)</f>
        <v/>
      </c>
      <c r="Z875" s="5">
        <f>IF(D875="","",AB875*AA875/100)</f>
        <v/>
      </c>
      <c r="AA875" s="5">
        <f>IF(D875="","",X875-Y875)</f>
        <v/>
      </c>
      <c r="AD875" s="5">
        <f>IF(D875="","",AA875-Z875)</f>
        <v/>
      </c>
      <c r="AG875">
        <f>IF(D875="","",N(AG874)+IF(MATCH(D875,$D$2:$D$3001,0)=ROW()-1,1,0))</f>
        <v/>
      </c>
    </row>
    <row r="876">
      <c r="Y876" s="5">
        <f>IF(D876="","",X876*IF(AND(ISNUMBER(AC876),AC876&gt;0,AC876&lt;1),AC876*100,AC876)/100)</f>
        <v/>
      </c>
      <c r="Z876" s="5">
        <f>IF(D876="","",AB876*AA876/100)</f>
        <v/>
      </c>
      <c r="AA876" s="5">
        <f>IF(D876="","",X876-Y876)</f>
        <v/>
      </c>
      <c r="AD876" s="5">
        <f>IF(D876="","",AA876-Z876)</f>
        <v/>
      </c>
      <c r="AG876">
        <f>IF(D876="","",N(AG875)+IF(MATCH(D876,$D$2:$D$3001,0)=ROW()-1,1,0))</f>
        <v/>
      </c>
    </row>
    <row r="877">
      <c r="Y877" s="5">
        <f>IF(D877="","",X877*IF(AND(ISNUMBER(AC877),AC877&gt;0,AC877&lt;1),AC877*100,AC877)/100)</f>
        <v/>
      </c>
      <c r="Z877" s="5">
        <f>IF(D877="","",AB877*AA877/100)</f>
        <v/>
      </c>
      <c r="AA877" s="5">
        <f>IF(D877="","",X877-Y877)</f>
        <v/>
      </c>
      <c r="AD877" s="5">
        <f>IF(D877="","",AA877-Z877)</f>
        <v/>
      </c>
      <c r="AG877">
        <f>IF(D877="","",N(AG876)+IF(MATCH(D877,$D$2:$D$3001,0)=ROW()-1,1,0))</f>
        <v/>
      </c>
    </row>
    <row r="878">
      <c r="Y878" s="5">
        <f>IF(D878="","",X878*IF(AND(ISNUMBER(AC878),AC878&gt;0,AC878&lt;1),AC878*100,AC878)/100)</f>
        <v/>
      </c>
      <c r="Z878" s="5">
        <f>IF(D878="","",AB878*AA878/100)</f>
        <v/>
      </c>
      <c r="AA878" s="5">
        <f>IF(D878="","",X878-Y878)</f>
        <v/>
      </c>
      <c r="AD878" s="5">
        <f>IF(D878="","",AA878-Z878)</f>
        <v/>
      </c>
      <c r="AG878">
        <f>IF(D878="","",N(AG877)+IF(MATCH(D878,$D$2:$D$3001,0)=ROW()-1,1,0))</f>
        <v/>
      </c>
    </row>
    <row r="879">
      <c r="Y879" s="5">
        <f>IF(D879="","",X879*IF(AND(ISNUMBER(AC879),AC879&gt;0,AC879&lt;1),AC879*100,AC879)/100)</f>
        <v/>
      </c>
      <c r="Z879" s="5">
        <f>IF(D879="","",AB879*AA879/100)</f>
        <v/>
      </c>
      <c r="AA879" s="5">
        <f>IF(D879="","",X879-Y879)</f>
        <v/>
      </c>
      <c r="AD879" s="5">
        <f>IF(D879="","",AA879-Z879)</f>
        <v/>
      </c>
      <c r="AG879">
        <f>IF(D879="","",N(AG878)+IF(MATCH(D879,$D$2:$D$3001,0)=ROW()-1,1,0))</f>
        <v/>
      </c>
    </row>
    <row r="880">
      <c r="Y880" s="5">
        <f>IF(D880="","",X880*IF(AND(ISNUMBER(AC880),AC880&gt;0,AC880&lt;1),AC880*100,AC880)/100)</f>
        <v/>
      </c>
      <c r="Z880" s="5">
        <f>IF(D880="","",AB880*AA880/100)</f>
        <v/>
      </c>
      <c r="AA880" s="5">
        <f>IF(D880="","",X880-Y880)</f>
        <v/>
      </c>
      <c r="AD880" s="5">
        <f>IF(D880="","",AA880-Z880)</f>
        <v/>
      </c>
      <c r="AG880">
        <f>IF(D880="","",N(AG879)+IF(MATCH(D880,$D$2:$D$3001,0)=ROW()-1,1,0))</f>
        <v/>
      </c>
    </row>
    <row r="881">
      <c r="Y881" s="5">
        <f>IF(D881="","",X881*IF(AND(ISNUMBER(AC881),AC881&gt;0,AC881&lt;1),AC881*100,AC881)/100)</f>
        <v/>
      </c>
      <c r="Z881" s="5">
        <f>IF(D881="","",AB881*AA881/100)</f>
        <v/>
      </c>
      <c r="AA881" s="5">
        <f>IF(D881="","",X881-Y881)</f>
        <v/>
      </c>
      <c r="AD881" s="5">
        <f>IF(D881="","",AA881-Z881)</f>
        <v/>
      </c>
      <c r="AG881">
        <f>IF(D881="","",N(AG880)+IF(MATCH(D881,$D$2:$D$3001,0)=ROW()-1,1,0))</f>
        <v/>
      </c>
    </row>
    <row r="882">
      <c r="Y882" s="5">
        <f>IF(D882="","",X882*IF(AND(ISNUMBER(AC882),AC882&gt;0,AC882&lt;1),AC882*100,AC882)/100)</f>
        <v/>
      </c>
      <c r="Z882" s="5">
        <f>IF(D882="","",AB882*AA882/100)</f>
        <v/>
      </c>
      <c r="AA882" s="5">
        <f>IF(D882="","",X882-Y882)</f>
        <v/>
      </c>
      <c r="AD882" s="5">
        <f>IF(D882="","",AA882-Z882)</f>
        <v/>
      </c>
      <c r="AG882">
        <f>IF(D882="","",N(AG881)+IF(MATCH(D882,$D$2:$D$3001,0)=ROW()-1,1,0))</f>
        <v/>
      </c>
    </row>
    <row r="883">
      <c r="Y883" s="5">
        <f>IF(D883="","",X883*IF(AND(ISNUMBER(AC883),AC883&gt;0,AC883&lt;1),AC883*100,AC883)/100)</f>
        <v/>
      </c>
      <c r="Z883" s="5">
        <f>IF(D883="","",AB883*AA883/100)</f>
        <v/>
      </c>
      <c r="AA883" s="5">
        <f>IF(D883="","",X883-Y883)</f>
        <v/>
      </c>
      <c r="AD883" s="5">
        <f>IF(D883="","",AA883-Z883)</f>
        <v/>
      </c>
      <c r="AG883">
        <f>IF(D883="","",N(AG882)+IF(MATCH(D883,$D$2:$D$3001,0)=ROW()-1,1,0))</f>
        <v/>
      </c>
    </row>
    <row r="884">
      <c r="Y884" s="5">
        <f>IF(D884="","",X884*IF(AND(ISNUMBER(AC884),AC884&gt;0,AC884&lt;1),AC884*100,AC884)/100)</f>
        <v/>
      </c>
      <c r="Z884" s="5">
        <f>IF(D884="","",AB884*AA884/100)</f>
        <v/>
      </c>
      <c r="AA884" s="5">
        <f>IF(D884="","",X884-Y884)</f>
        <v/>
      </c>
      <c r="AD884" s="5">
        <f>IF(D884="","",AA884-Z884)</f>
        <v/>
      </c>
      <c r="AG884">
        <f>IF(D884="","",N(AG883)+IF(MATCH(D884,$D$2:$D$3001,0)=ROW()-1,1,0))</f>
        <v/>
      </c>
    </row>
    <row r="885">
      <c r="Y885" s="5">
        <f>IF(D885="","",X885*IF(AND(ISNUMBER(AC885),AC885&gt;0,AC885&lt;1),AC885*100,AC885)/100)</f>
        <v/>
      </c>
      <c r="Z885" s="5">
        <f>IF(D885="","",AB885*AA885/100)</f>
        <v/>
      </c>
      <c r="AA885" s="5">
        <f>IF(D885="","",X885-Y885)</f>
        <v/>
      </c>
      <c r="AD885" s="5">
        <f>IF(D885="","",AA885-Z885)</f>
        <v/>
      </c>
      <c r="AG885">
        <f>IF(D885="","",N(AG884)+IF(MATCH(D885,$D$2:$D$3001,0)=ROW()-1,1,0))</f>
        <v/>
      </c>
    </row>
    <row r="886">
      <c r="Y886" s="5">
        <f>IF(D886="","",X886*IF(AND(ISNUMBER(AC886),AC886&gt;0,AC886&lt;1),AC886*100,AC886)/100)</f>
        <v/>
      </c>
      <c r="Z886" s="5">
        <f>IF(D886="","",AB886*AA886/100)</f>
        <v/>
      </c>
      <c r="AA886" s="5">
        <f>IF(D886="","",X886-Y886)</f>
        <v/>
      </c>
      <c r="AD886" s="5">
        <f>IF(D886="","",AA886-Z886)</f>
        <v/>
      </c>
      <c r="AG886">
        <f>IF(D886="","",N(AG885)+IF(MATCH(D886,$D$2:$D$3001,0)=ROW()-1,1,0))</f>
        <v/>
      </c>
    </row>
    <row r="887">
      <c r="Y887" s="5">
        <f>IF(D887="","",X887*IF(AND(ISNUMBER(AC887),AC887&gt;0,AC887&lt;1),AC887*100,AC887)/100)</f>
        <v/>
      </c>
      <c r="Z887" s="5">
        <f>IF(D887="","",AB887*AA887/100)</f>
        <v/>
      </c>
      <c r="AA887" s="5">
        <f>IF(D887="","",X887-Y887)</f>
        <v/>
      </c>
      <c r="AD887" s="5">
        <f>IF(D887="","",AA887-Z887)</f>
        <v/>
      </c>
      <c r="AG887">
        <f>IF(D887="","",N(AG886)+IF(MATCH(D887,$D$2:$D$3001,0)=ROW()-1,1,0))</f>
        <v/>
      </c>
    </row>
    <row r="888">
      <c r="Y888" s="5">
        <f>IF(D888="","",X888*IF(AND(ISNUMBER(AC888),AC888&gt;0,AC888&lt;1),AC888*100,AC888)/100)</f>
        <v/>
      </c>
      <c r="Z888" s="5">
        <f>IF(D888="","",AB888*AA888/100)</f>
        <v/>
      </c>
      <c r="AA888" s="5">
        <f>IF(D888="","",X888-Y888)</f>
        <v/>
      </c>
      <c r="AD888" s="5">
        <f>IF(D888="","",AA888-Z888)</f>
        <v/>
      </c>
      <c r="AG888">
        <f>IF(D888="","",N(AG887)+IF(MATCH(D888,$D$2:$D$3001,0)=ROW()-1,1,0))</f>
        <v/>
      </c>
    </row>
    <row r="889">
      <c r="Y889" s="5">
        <f>IF(D889="","",X889*IF(AND(ISNUMBER(AC889),AC889&gt;0,AC889&lt;1),AC889*100,AC889)/100)</f>
        <v/>
      </c>
      <c r="Z889" s="5">
        <f>IF(D889="","",AB889*AA889/100)</f>
        <v/>
      </c>
      <c r="AA889" s="5">
        <f>IF(D889="","",X889-Y889)</f>
        <v/>
      </c>
      <c r="AD889" s="5">
        <f>IF(D889="","",AA889-Z889)</f>
        <v/>
      </c>
      <c r="AG889">
        <f>IF(D889="","",N(AG888)+IF(MATCH(D889,$D$2:$D$3001,0)=ROW()-1,1,0))</f>
        <v/>
      </c>
    </row>
    <row r="890">
      <c r="Y890" s="5">
        <f>IF(D890="","",X890*IF(AND(ISNUMBER(AC890),AC890&gt;0,AC890&lt;1),AC890*100,AC890)/100)</f>
        <v/>
      </c>
      <c r="Z890" s="5">
        <f>IF(D890="","",AB890*AA890/100)</f>
        <v/>
      </c>
      <c r="AA890" s="5">
        <f>IF(D890="","",X890-Y890)</f>
        <v/>
      </c>
      <c r="AD890" s="5">
        <f>IF(D890="","",AA890-Z890)</f>
        <v/>
      </c>
      <c r="AG890">
        <f>IF(D890="","",N(AG889)+IF(MATCH(D890,$D$2:$D$3001,0)=ROW()-1,1,0))</f>
        <v/>
      </c>
    </row>
    <row r="891">
      <c r="Y891" s="5">
        <f>IF(D891="","",X891*IF(AND(ISNUMBER(AC891),AC891&gt;0,AC891&lt;1),AC891*100,AC891)/100)</f>
        <v/>
      </c>
      <c r="Z891" s="5">
        <f>IF(D891="","",AB891*AA891/100)</f>
        <v/>
      </c>
      <c r="AA891" s="5">
        <f>IF(D891="","",X891-Y891)</f>
        <v/>
      </c>
      <c r="AD891" s="5">
        <f>IF(D891="","",AA891-Z891)</f>
        <v/>
      </c>
      <c r="AG891">
        <f>IF(D891="","",N(AG890)+IF(MATCH(D891,$D$2:$D$3001,0)=ROW()-1,1,0))</f>
        <v/>
      </c>
    </row>
    <row r="892">
      <c r="Y892" s="5">
        <f>IF(D892="","",X892*IF(AND(ISNUMBER(AC892),AC892&gt;0,AC892&lt;1),AC892*100,AC892)/100)</f>
        <v/>
      </c>
      <c r="Z892" s="5">
        <f>IF(D892="","",AB892*AA892/100)</f>
        <v/>
      </c>
      <c r="AA892" s="5">
        <f>IF(D892="","",X892-Y892)</f>
        <v/>
      </c>
      <c r="AD892" s="5">
        <f>IF(D892="","",AA892-Z892)</f>
        <v/>
      </c>
      <c r="AG892">
        <f>IF(D892="","",N(AG891)+IF(MATCH(D892,$D$2:$D$3001,0)=ROW()-1,1,0))</f>
        <v/>
      </c>
    </row>
    <row r="893">
      <c r="Y893" s="5">
        <f>IF(D893="","",X893*IF(AND(ISNUMBER(AC893),AC893&gt;0,AC893&lt;1),AC893*100,AC893)/100)</f>
        <v/>
      </c>
      <c r="Z893" s="5">
        <f>IF(D893="","",AB893*AA893/100)</f>
        <v/>
      </c>
      <c r="AA893" s="5">
        <f>IF(D893="","",X893-Y893)</f>
        <v/>
      </c>
      <c r="AD893" s="5">
        <f>IF(D893="","",AA893-Z893)</f>
        <v/>
      </c>
      <c r="AG893">
        <f>IF(D893="","",N(AG892)+IF(MATCH(D893,$D$2:$D$3001,0)=ROW()-1,1,0))</f>
        <v/>
      </c>
    </row>
    <row r="894">
      <c r="Y894" s="5">
        <f>IF(D894="","",X894*IF(AND(ISNUMBER(AC894),AC894&gt;0,AC894&lt;1),AC894*100,AC894)/100)</f>
        <v/>
      </c>
      <c r="Z894" s="5">
        <f>IF(D894="","",AB894*AA894/100)</f>
        <v/>
      </c>
      <c r="AA894" s="5">
        <f>IF(D894="","",X894-Y894)</f>
        <v/>
      </c>
      <c r="AD894" s="5">
        <f>IF(D894="","",AA894-Z894)</f>
        <v/>
      </c>
      <c r="AG894">
        <f>IF(D894="","",N(AG893)+IF(MATCH(D894,$D$2:$D$3001,0)=ROW()-1,1,0))</f>
        <v/>
      </c>
    </row>
    <row r="895">
      <c r="Y895" s="5">
        <f>IF(D895="","",X895*IF(AND(ISNUMBER(AC895),AC895&gt;0,AC895&lt;1),AC895*100,AC895)/100)</f>
        <v/>
      </c>
      <c r="Z895" s="5">
        <f>IF(D895="","",AB895*AA895/100)</f>
        <v/>
      </c>
      <c r="AA895" s="5">
        <f>IF(D895="","",X895-Y895)</f>
        <v/>
      </c>
      <c r="AD895" s="5">
        <f>IF(D895="","",AA895-Z895)</f>
        <v/>
      </c>
      <c r="AG895">
        <f>IF(D895="","",N(AG894)+IF(MATCH(D895,$D$2:$D$3001,0)=ROW()-1,1,0))</f>
        <v/>
      </c>
    </row>
    <row r="896">
      <c r="Y896" s="5">
        <f>IF(D896="","",X896*IF(AND(ISNUMBER(AC896),AC896&gt;0,AC896&lt;1),AC896*100,AC896)/100)</f>
        <v/>
      </c>
      <c r="Z896" s="5">
        <f>IF(D896="","",AB896*AA896/100)</f>
        <v/>
      </c>
      <c r="AA896" s="5">
        <f>IF(D896="","",X896-Y896)</f>
        <v/>
      </c>
      <c r="AD896" s="5">
        <f>IF(D896="","",AA896-Z896)</f>
        <v/>
      </c>
      <c r="AG896">
        <f>IF(D896="","",N(AG895)+IF(MATCH(D896,$D$2:$D$3001,0)=ROW()-1,1,0))</f>
        <v/>
      </c>
    </row>
    <row r="897">
      <c r="Y897" s="5">
        <f>IF(D897="","",X897*IF(AND(ISNUMBER(AC897),AC897&gt;0,AC897&lt;1),AC897*100,AC897)/100)</f>
        <v/>
      </c>
      <c r="Z897" s="5">
        <f>IF(D897="","",AB897*AA897/100)</f>
        <v/>
      </c>
      <c r="AA897" s="5">
        <f>IF(D897="","",X897-Y897)</f>
        <v/>
      </c>
      <c r="AD897" s="5">
        <f>IF(D897="","",AA897-Z897)</f>
        <v/>
      </c>
      <c r="AG897">
        <f>IF(D897="","",N(AG896)+IF(MATCH(D897,$D$2:$D$3001,0)=ROW()-1,1,0))</f>
        <v/>
      </c>
    </row>
    <row r="898">
      <c r="Y898" s="5">
        <f>IF(D898="","",X898*IF(AND(ISNUMBER(AC898),AC898&gt;0,AC898&lt;1),AC898*100,AC898)/100)</f>
        <v/>
      </c>
      <c r="Z898" s="5">
        <f>IF(D898="","",AB898*AA898/100)</f>
        <v/>
      </c>
      <c r="AA898" s="5">
        <f>IF(D898="","",X898-Y898)</f>
        <v/>
      </c>
      <c r="AD898" s="5">
        <f>IF(D898="","",AA898-Z898)</f>
        <v/>
      </c>
      <c r="AG898">
        <f>IF(D898="","",N(AG897)+IF(MATCH(D898,$D$2:$D$3001,0)=ROW()-1,1,0))</f>
        <v/>
      </c>
    </row>
    <row r="899">
      <c r="Y899" s="5">
        <f>IF(D899="","",X899*IF(AND(ISNUMBER(AC899),AC899&gt;0,AC899&lt;1),AC899*100,AC899)/100)</f>
        <v/>
      </c>
      <c r="Z899" s="5">
        <f>IF(D899="","",AB899*AA899/100)</f>
        <v/>
      </c>
      <c r="AA899" s="5">
        <f>IF(D899="","",X899-Y899)</f>
        <v/>
      </c>
      <c r="AD899" s="5">
        <f>IF(D899="","",AA899-Z899)</f>
        <v/>
      </c>
      <c r="AG899">
        <f>IF(D899="","",N(AG898)+IF(MATCH(D899,$D$2:$D$3001,0)=ROW()-1,1,0))</f>
        <v/>
      </c>
    </row>
    <row r="900">
      <c r="Y900" s="5">
        <f>IF(D900="","",X900*IF(AND(ISNUMBER(AC900),AC900&gt;0,AC900&lt;1),AC900*100,AC900)/100)</f>
        <v/>
      </c>
      <c r="Z900" s="5">
        <f>IF(D900="","",AB900*AA900/100)</f>
        <v/>
      </c>
      <c r="AA900" s="5">
        <f>IF(D900="","",X900-Y900)</f>
        <v/>
      </c>
      <c r="AD900" s="5">
        <f>IF(D900="","",AA900-Z900)</f>
        <v/>
      </c>
      <c r="AG900">
        <f>IF(D900="","",N(AG899)+IF(MATCH(D900,$D$2:$D$3001,0)=ROW()-1,1,0))</f>
        <v/>
      </c>
    </row>
    <row r="901">
      <c r="Y901" s="5">
        <f>IF(D901="","",X901*IF(AND(ISNUMBER(AC901),AC901&gt;0,AC901&lt;1),AC901*100,AC901)/100)</f>
        <v/>
      </c>
      <c r="Z901" s="5">
        <f>IF(D901="","",AB901*AA901/100)</f>
        <v/>
      </c>
      <c r="AA901" s="5">
        <f>IF(D901="","",X901-Y901)</f>
        <v/>
      </c>
      <c r="AD901" s="5">
        <f>IF(D901="","",AA901-Z901)</f>
        <v/>
      </c>
      <c r="AG901">
        <f>IF(D901="","",N(AG900)+IF(MATCH(D901,$D$2:$D$3001,0)=ROW()-1,1,0))</f>
        <v/>
      </c>
    </row>
    <row r="902">
      <c r="Y902" s="5">
        <f>IF(D902="","",X902*IF(AND(ISNUMBER(AC902),AC902&gt;0,AC902&lt;1),AC902*100,AC902)/100)</f>
        <v/>
      </c>
      <c r="Z902" s="5">
        <f>IF(D902="","",AB902*AA902/100)</f>
        <v/>
      </c>
      <c r="AA902" s="5">
        <f>IF(D902="","",X902-Y902)</f>
        <v/>
      </c>
      <c r="AD902" s="5">
        <f>IF(D902="","",AA902-Z902)</f>
        <v/>
      </c>
      <c r="AG902">
        <f>IF(D902="","",N(AG901)+IF(MATCH(D902,$D$2:$D$3001,0)=ROW()-1,1,0))</f>
        <v/>
      </c>
    </row>
    <row r="903">
      <c r="Y903" s="5">
        <f>IF(D903="","",X903*IF(AND(ISNUMBER(AC903),AC903&gt;0,AC903&lt;1),AC903*100,AC903)/100)</f>
        <v/>
      </c>
      <c r="Z903" s="5">
        <f>IF(D903="","",AB903*AA903/100)</f>
        <v/>
      </c>
      <c r="AA903" s="5">
        <f>IF(D903="","",X903-Y903)</f>
        <v/>
      </c>
      <c r="AD903" s="5">
        <f>IF(D903="","",AA903-Z903)</f>
        <v/>
      </c>
      <c r="AG903">
        <f>IF(D903="","",N(AG902)+IF(MATCH(D903,$D$2:$D$3001,0)=ROW()-1,1,0))</f>
        <v/>
      </c>
    </row>
    <row r="904">
      <c r="Y904" s="5">
        <f>IF(D904="","",X904*IF(AND(ISNUMBER(AC904),AC904&gt;0,AC904&lt;1),AC904*100,AC904)/100)</f>
        <v/>
      </c>
      <c r="Z904" s="5">
        <f>IF(D904="","",AB904*AA904/100)</f>
        <v/>
      </c>
      <c r="AA904" s="5">
        <f>IF(D904="","",X904-Y904)</f>
        <v/>
      </c>
      <c r="AD904" s="5">
        <f>IF(D904="","",AA904-Z904)</f>
        <v/>
      </c>
      <c r="AG904">
        <f>IF(D904="","",N(AG903)+IF(MATCH(D904,$D$2:$D$3001,0)=ROW()-1,1,0))</f>
        <v/>
      </c>
    </row>
    <row r="905">
      <c r="Y905" s="5">
        <f>IF(D905="","",X905*IF(AND(ISNUMBER(AC905),AC905&gt;0,AC905&lt;1),AC905*100,AC905)/100)</f>
        <v/>
      </c>
      <c r="Z905" s="5">
        <f>IF(D905="","",AB905*AA905/100)</f>
        <v/>
      </c>
      <c r="AA905" s="5">
        <f>IF(D905="","",X905-Y905)</f>
        <v/>
      </c>
      <c r="AD905" s="5">
        <f>IF(D905="","",AA905-Z905)</f>
        <v/>
      </c>
      <c r="AG905">
        <f>IF(D905="","",N(AG904)+IF(MATCH(D905,$D$2:$D$3001,0)=ROW()-1,1,0))</f>
        <v/>
      </c>
    </row>
    <row r="906">
      <c r="Y906" s="5">
        <f>IF(D906="","",X906*IF(AND(ISNUMBER(AC906),AC906&gt;0,AC906&lt;1),AC906*100,AC906)/100)</f>
        <v/>
      </c>
      <c r="Z906" s="5">
        <f>IF(D906="","",AB906*AA906/100)</f>
        <v/>
      </c>
      <c r="AA906" s="5">
        <f>IF(D906="","",X906-Y906)</f>
        <v/>
      </c>
      <c r="AD906" s="5">
        <f>IF(D906="","",AA906-Z906)</f>
        <v/>
      </c>
      <c r="AG906">
        <f>IF(D906="","",N(AG905)+IF(MATCH(D906,$D$2:$D$3001,0)=ROW()-1,1,0))</f>
        <v/>
      </c>
    </row>
    <row r="907">
      <c r="Y907" s="5">
        <f>IF(D907="","",X907*IF(AND(ISNUMBER(AC907),AC907&gt;0,AC907&lt;1),AC907*100,AC907)/100)</f>
        <v/>
      </c>
      <c r="Z907" s="5">
        <f>IF(D907="","",AB907*AA907/100)</f>
        <v/>
      </c>
      <c r="AA907" s="5">
        <f>IF(D907="","",X907-Y907)</f>
        <v/>
      </c>
      <c r="AD907" s="5">
        <f>IF(D907="","",AA907-Z907)</f>
        <v/>
      </c>
      <c r="AG907">
        <f>IF(D907="","",N(AG906)+IF(MATCH(D907,$D$2:$D$3001,0)=ROW()-1,1,0))</f>
        <v/>
      </c>
    </row>
    <row r="908">
      <c r="Y908" s="5">
        <f>IF(D908="","",X908*IF(AND(ISNUMBER(AC908),AC908&gt;0,AC908&lt;1),AC908*100,AC908)/100)</f>
        <v/>
      </c>
      <c r="Z908" s="5">
        <f>IF(D908="","",AB908*AA908/100)</f>
        <v/>
      </c>
      <c r="AA908" s="5">
        <f>IF(D908="","",X908-Y908)</f>
        <v/>
      </c>
      <c r="AD908" s="5">
        <f>IF(D908="","",AA908-Z908)</f>
        <v/>
      </c>
      <c r="AG908">
        <f>IF(D908="","",N(AG907)+IF(MATCH(D908,$D$2:$D$3001,0)=ROW()-1,1,0))</f>
        <v/>
      </c>
    </row>
    <row r="909">
      <c r="Y909" s="5">
        <f>IF(D909="","",X909*IF(AND(ISNUMBER(AC909),AC909&gt;0,AC909&lt;1),AC909*100,AC909)/100)</f>
        <v/>
      </c>
      <c r="Z909" s="5">
        <f>IF(D909="","",AB909*AA909/100)</f>
        <v/>
      </c>
      <c r="AA909" s="5">
        <f>IF(D909="","",X909-Y909)</f>
        <v/>
      </c>
      <c r="AD909" s="5">
        <f>IF(D909="","",AA909-Z909)</f>
        <v/>
      </c>
      <c r="AG909">
        <f>IF(D909="","",N(AG908)+IF(MATCH(D909,$D$2:$D$3001,0)=ROW()-1,1,0))</f>
        <v/>
      </c>
    </row>
    <row r="910">
      <c r="Y910" s="5">
        <f>IF(D910="","",X910*IF(AND(ISNUMBER(AC910),AC910&gt;0,AC910&lt;1),AC910*100,AC910)/100)</f>
        <v/>
      </c>
      <c r="Z910" s="5">
        <f>IF(D910="","",AB910*AA910/100)</f>
        <v/>
      </c>
      <c r="AA910" s="5">
        <f>IF(D910="","",X910-Y910)</f>
        <v/>
      </c>
      <c r="AD910" s="5">
        <f>IF(D910="","",AA910-Z910)</f>
        <v/>
      </c>
      <c r="AG910">
        <f>IF(D910="","",N(AG909)+IF(MATCH(D910,$D$2:$D$3001,0)=ROW()-1,1,0))</f>
        <v/>
      </c>
    </row>
    <row r="911">
      <c r="Y911" s="5">
        <f>IF(D911="","",X911*IF(AND(ISNUMBER(AC911),AC911&gt;0,AC911&lt;1),AC911*100,AC911)/100)</f>
        <v/>
      </c>
      <c r="Z911" s="5">
        <f>IF(D911="","",AB911*AA911/100)</f>
        <v/>
      </c>
      <c r="AA911" s="5">
        <f>IF(D911="","",X911-Y911)</f>
        <v/>
      </c>
      <c r="AD911" s="5">
        <f>IF(D911="","",AA911-Z911)</f>
        <v/>
      </c>
      <c r="AG911">
        <f>IF(D911="","",N(AG910)+IF(MATCH(D911,$D$2:$D$3001,0)=ROW()-1,1,0))</f>
        <v/>
      </c>
    </row>
    <row r="912">
      <c r="Y912" s="5">
        <f>IF(D912="","",X912*IF(AND(ISNUMBER(AC912),AC912&gt;0,AC912&lt;1),AC912*100,AC912)/100)</f>
        <v/>
      </c>
      <c r="Z912" s="5">
        <f>IF(D912="","",AB912*AA912/100)</f>
        <v/>
      </c>
      <c r="AA912" s="5">
        <f>IF(D912="","",X912-Y912)</f>
        <v/>
      </c>
      <c r="AD912" s="5">
        <f>IF(D912="","",AA912-Z912)</f>
        <v/>
      </c>
      <c r="AG912">
        <f>IF(D912="","",N(AG911)+IF(MATCH(D912,$D$2:$D$3001,0)=ROW()-1,1,0))</f>
        <v/>
      </c>
    </row>
    <row r="913">
      <c r="Y913" s="5">
        <f>IF(D913="","",X913*IF(AND(ISNUMBER(AC913),AC913&gt;0,AC913&lt;1),AC913*100,AC913)/100)</f>
        <v/>
      </c>
      <c r="Z913" s="5">
        <f>IF(D913="","",AB913*AA913/100)</f>
        <v/>
      </c>
      <c r="AA913" s="5">
        <f>IF(D913="","",X913-Y913)</f>
        <v/>
      </c>
      <c r="AD913" s="5">
        <f>IF(D913="","",AA913-Z913)</f>
        <v/>
      </c>
      <c r="AG913">
        <f>IF(D913="","",N(AG912)+IF(MATCH(D913,$D$2:$D$3001,0)=ROW()-1,1,0))</f>
        <v/>
      </c>
    </row>
    <row r="914">
      <c r="Y914" s="5">
        <f>IF(D914="","",X914*IF(AND(ISNUMBER(AC914),AC914&gt;0,AC914&lt;1),AC914*100,AC914)/100)</f>
        <v/>
      </c>
      <c r="Z914" s="5">
        <f>IF(D914="","",AB914*AA914/100)</f>
        <v/>
      </c>
      <c r="AA914" s="5">
        <f>IF(D914="","",X914-Y914)</f>
        <v/>
      </c>
      <c r="AD914" s="5">
        <f>IF(D914="","",AA914-Z914)</f>
        <v/>
      </c>
      <c r="AG914">
        <f>IF(D914="","",N(AG913)+IF(MATCH(D914,$D$2:$D$3001,0)=ROW()-1,1,0))</f>
        <v/>
      </c>
    </row>
    <row r="915">
      <c r="Y915" s="5">
        <f>IF(D915="","",X915*IF(AND(ISNUMBER(AC915),AC915&gt;0,AC915&lt;1),AC915*100,AC915)/100)</f>
        <v/>
      </c>
      <c r="Z915" s="5">
        <f>IF(D915="","",AB915*AA915/100)</f>
        <v/>
      </c>
      <c r="AA915" s="5">
        <f>IF(D915="","",X915-Y915)</f>
        <v/>
      </c>
      <c r="AD915" s="5">
        <f>IF(D915="","",AA915-Z915)</f>
        <v/>
      </c>
      <c r="AG915">
        <f>IF(D915="","",N(AG914)+IF(MATCH(D915,$D$2:$D$3001,0)=ROW()-1,1,0))</f>
        <v/>
      </c>
    </row>
    <row r="916">
      <c r="Y916" s="5">
        <f>IF(D916="","",X916*IF(AND(ISNUMBER(AC916),AC916&gt;0,AC916&lt;1),AC916*100,AC916)/100)</f>
        <v/>
      </c>
      <c r="Z916" s="5">
        <f>IF(D916="","",AB916*AA916/100)</f>
        <v/>
      </c>
      <c r="AA916" s="5">
        <f>IF(D916="","",X916-Y916)</f>
        <v/>
      </c>
      <c r="AD916" s="5">
        <f>IF(D916="","",AA916-Z916)</f>
        <v/>
      </c>
      <c r="AG916">
        <f>IF(D916="","",N(AG915)+IF(MATCH(D916,$D$2:$D$3001,0)=ROW()-1,1,0))</f>
        <v/>
      </c>
    </row>
    <row r="917">
      <c r="Y917" s="5">
        <f>IF(D917="","",X917*IF(AND(ISNUMBER(AC917),AC917&gt;0,AC917&lt;1),AC917*100,AC917)/100)</f>
        <v/>
      </c>
      <c r="Z917" s="5">
        <f>IF(D917="","",AB917*AA917/100)</f>
        <v/>
      </c>
      <c r="AA917" s="5">
        <f>IF(D917="","",X917-Y917)</f>
        <v/>
      </c>
      <c r="AD917" s="5">
        <f>IF(D917="","",AA917-Z917)</f>
        <v/>
      </c>
      <c r="AG917">
        <f>IF(D917="","",N(AG916)+IF(MATCH(D917,$D$2:$D$3001,0)=ROW()-1,1,0))</f>
        <v/>
      </c>
    </row>
    <row r="918">
      <c r="Y918" s="5">
        <f>IF(D918="","",X918*IF(AND(ISNUMBER(AC918),AC918&gt;0,AC918&lt;1),AC918*100,AC918)/100)</f>
        <v/>
      </c>
      <c r="Z918" s="5">
        <f>IF(D918="","",AB918*AA918/100)</f>
        <v/>
      </c>
      <c r="AA918" s="5">
        <f>IF(D918="","",X918-Y918)</f>
        <v/>
      </c>
      <c r="AD918" s="5">
        <f>IF(D918="","",AA918-Z918)</f>
        <v/>
      </c>
      <c r="AG918">
        <f>IF(D918="","",N(AG917)+IF(MATCH(D918,$D$2:$D$3001,0)=ROW()-1,1,0))</f>
        <v/>
      </c>
    </row>
    <row r="919">
      <c r="Y919" s="5">
        <f>IF(D919="","",X919*IF(AND(ISNUMBER(AC919),AC919&gt;0,AC919&lt;1),AC919*100,AC919)/100)</f>
        <v/>
      </c>
      <c r="Z919" s="5">
        <f>IF(D919="","",AB919*AA919/100)</f>
        <v/>
      </c>
      <c r="AA919" s="5">
        <f>IF(D919="","",X919-Y919)</f>
        <v/>
      </c>
      <c r="AD919" s="5">
        <f>IF(D919="","",AA919-Z919)</f>
        <v/>
      </c>
      <c r="AG919">
        <f>IF(D919="","",N(AG918)+IF(MATCH(D919,$D$2:$D$3001,0)=ROW()-1,1,0))</f>
        <v/>
      </c>
    </row>
    <row r="920">
      <c r="Y920" s="5">
        <f>IF(D920="","",X920*IF(AND(ISNUMBER(AC920),AC920&gt;0,AC920&lt;1),AC920*100,AC920)/100)</f>
        <v/>
      </c>
      <c r="Z920" s="5">
        <f>IF(D920="","",AB920*AA920/100)</f>
        <v/>
      </c>
      <c r="AA920" s="5">
        <f>IF(D920="","",X920-Y920)</f>
        <v/>
      </c>
      <c r="AD920" s="5">
        <f>IF(D920="","",AA920-Z920)</f>
        <v/>
      </c>
      <c r="AG920">
        <f>IF(D920="","",N(AG919)+IF(MATCH(D920,$D$2:$D$3001,0)=ROW()-1,1,0))</f>
        <v/>
      </c>
    </row>
    <row r="921">
      <c r="Y921" s="5">
        <f>IF(D921="","",X921*IF(AND(ISNUMBER(AC921),AC921&gt;0,AC921&lt;1),AC921*100,AC921)/100)</f>
        <v/>
      </c>
      <c r="Z921" s="5">
        <f>IF(D921="","",AB921*AA921/100)</f>
        <v/>
      </c>
      <c r="AA921" s="5">
        <f>IF(D921="","",X921-Y921)</f>
        <v/>
      </c>
      <c r="AD921" s="5">
        <f>IF(D921="","",AA921-Z921)</f>
        <v/>
      </c>
      <c r="AG921">
        <f>IF(D921="","",N(AG920)+IF(MATCH(D921,$D$2:$D$3001,0)=ROW()-1,1,0))</f>
        <v/>
      </c>
    </row>
    <row r="922">
      <c r="Y922" s="5">
        <f>IF(D922="","",X922*IF(AND(ISNUMBER(AC922),AC922&gt;0,AC922&lt;1),AC922*100,AC922)/100)</f>
        <v/>
      </c>
      <c r="Z922" s="5">
        <f>IF(D922="","",AB922*AA922/100)</f>
        <v/>
      </c>
      <c r="AA922" s="5">
        <f>IF(D922="","",X922-Y922)</f>
        <v/>
      </c>
      <c r="AD922" s="5">
        <f>IF(D922="","",AA922-Z922)</f>
        <v/>
      </c>
      <c r="AG922">
        <f>IF(D922="","",N(AG921)+IF(MATCH(D922,$D$2:$D$3001,0)=ROW()-1,1,0))</f>
        <v/>
      </c>
    </row>
    <row r="923">
      <c r="Y923" s="5">
        <f>IF(D923="","",X923*IF(AND(ISNUMBER(AC923),AC923&gt;0,AC923&lt;1),AC923*100,AC923)/100)</f>
        <v/>
      </c>
      <c r="Z923" s="5">
        <f>IF(D923="","",AB923*AA923/100)</f>
        <v/>
      </c>
      <c r="AA923" s="5">
        <f>IF(D923="","",X923-Y923)</f>
        <v/>
      </c>
      <c r="AD923" s="5">
        <f>IF(D923="","",AA923-Z923)</f>
        <v/>
      </c>
      <c r="AG923">
        <f>IF(D923="","",N(AG922)+IF(MATCH(D923,$D$2:$D$3001,0)=ROW()-1,1,0))</f>
        <v/>
      </c>
    </row>
    <row r="924">
      <c r="Y924" s="5">
        <f>IF(D924="","",X924*IF(AND(ISNUMBER(AC924),AC924&gt;0,AC924&lt;1),AC924*100,AC924)/100)</f>
        <v/>
      </c>
      <c r="Z924" s="5">
        <f>IF(D924="","",AB924*AA924/100)</f>
        <v/>
      </c>
      <c r="AA924" s="5">
        <f>IF(D924="","",X924-Y924)</f>
        <v/>
      </c>
      <c r="AD924" s="5">
        <f>IF(D924="","",AA924-Z924)</f>
        <v/>
      </c>
      <c r="AG924">
        <f>IF(D924="","",N(AG923)+IF(MATCH(D924,$D$2:$D$3001,0)=ROW()-1,1,0))</f>
        <v/>
      </c>
    </row>
    <row r="925">
      <c r="Y925" s="5">
        <f>IF(D925="","",X925*IF(AND(ISNUMBER(AC925),AC925&gt;0,AC925&lt;1),AC925*100,AC925)/100)</f>
        <v/>
      </c>
      <c r="Z925" s="5">
        <f>IF(D925="","",AB925*AA925/100)</f>
        <v/>
      </c>
      <c r="AA925" s="5">
        <f>IF(D925="","",X925-Y925)</f>
        <v/>
      </c>
      <c r="AD925" s="5">
        <f>IF(D925="","",AA925-Z925)</f>
        <v/>
      </c>
      <c r="AG925">
        <f>IF(D925="","",N(AG924)+IF(MATCH(D925,$D$2:$D$3001,0)=ROW()-1,1,0))</f>
        <v/>
      </c>
    </row>
    <row r="926">
      <c r="Y926" s="5">
        <f>IF(D926="","",X926*IF(AND(ISNUMBER(AC926),AC926&gt;0,AC926&lt;1),AC926*100,AC926)/100)</f>
        <v/>
      </c>
      <c r="Z926" s="5">
        <f>IF(D926="","",AB926*AA926/100)</f>
        <v/>
      </c>
      <c r="AA926" s="5">
        <f>IF(D926="","",X926-Y926)</f>
        <v/>
      </c>
      <c r="AD926" s="5">
        <f>IF(D926="","",AA926-Z926)</f>
        <v/>
      </c>
      <c r="AG926">
        <f>IF(D926="","",N(AG925)+IF(MATCH(D926,$D$2:$D$3001,0)=ROW()-1,1,0))</f>
        <v/>
      </c>
    </row>
    <row r="927">
      <c r="Y927" s="5">
        <f>IF(D927="","",X927*IF(AND(ISNUMBER(AC927),AC927&gt;0,AC927&lt;1),AC927*100,AC927)/100)</f>
        <v/>
      </c>
      <c r="Z927" s="5">
        <f>IF(D927="","",AB927*AA927/100)</f>
        <v/>
      </c>
      <c r="AA927" s="5">
        <f>IF(D927="","",X927-Y927)</f>
        <v/>
      </c>
      <c r="AD927" s="5">
        <f>IF(D927="","",AA927-Z927)</f>
        <v/>
      </c>
      <c r="AG927">
        <f>IF(D927="","",N(AG926)+IF(MATCH(D927,$D$2:$D$3001,0)=ROW()-1,1,0))</f>
        <v/>
      </c>
    </row>
    <row r="928">
      <c r="Y928" s="5">
        <f>IF(D928="","",X928*IF(AND(ISNUMBER(AC928),AC928&gt;0,AC928&lt;1),AC928*100,AC928)/100)</f>
        <v/>
      </c>
      <c r="Z928" s="5">
        <f>IF(D928="","",AB928*AA928/100)</f>
        <v/>
      </c>
      <c r="AA928" s="5">
        <f>IF(D928="","",X928-Y928)</f>
        <v/>
      </c>
      <c r="AD928" s="5">
        <f>IF(D928="","",AA928-Z928)</f>
        <v/>
      </c>
      <c r="AG928">
        <f>IF(D928="","",N(AG927)+IF(MATCH(D928,$D$2:$D$3001,0)=ROW()-1,1,0))</f>
        <v/>
      </c>
    </row>
    <row r="929">
      <c r="Y929" s="5">
        <f>IF(D929="","",X929*IF(AND(ISNUMBER(AC929),AC929&gt;0,AC929&lt;1),AC929*100,AC929)/100)</f>
        <v/>
      </c>
      <c r="Z929" s="5">
        <f>IF(D929="","",AB929*AA929/100)</f>
        <v/>
      </c>
      <c r="AA929" s="5">
        <f>IF(D929="","",X929-Y929)</f>
        <v/>
      </c>
      <c r="AD929" s="5">
        <f>IF(D929="","",AA929-Z929)</f>
        <v/>
      </c>
      <c r="AG929">
        <f>IF(D929="","",N(AG928)+IF(MATCH(D929,$D$2:$D$3001,0)=ROW()-1,1,0))</f>
        <v/>
      </c>
    </row>
    <row r="930">
      <c r="Y930" s="5">
        <f>IF(D930="","",X930*IF(AND(ISNUMBER(AC930),AC930&gt;0,AC930&lt;1),AC930*100,AC930)/100)</f>
        <v/>
      </c>
      <c r="Z930" s="5">
        <f>IF(D930="","",AB930*AA930/100)</f>
        <v/>
      </c>
      <c r="AA930" s="5">
        <f>IF(D930="","",X930-Y930)</f>
        <v/>
      </c>
      <c r="AD930" s="5">
        <f>IF(D930="","",AA930-Z930)</f>
        <v/>
      </c>
      <c r="AG930">
        <f>IF(D930="","",N(AG929)+IF(MATCH(D930,$D$2:$D$3001,0)=ROW()-1,1,0))</f>
        <v/>
      </c>
    </row>
    <row r="931">
      <c r="Y931" s="5">
        <f>IF(D931="","",X931*IF(AND(ISNUMBER(AC931),AC931&gt;0,AC931&lt;1),AC931*100,AC931)/100)</f>
        <v/>
      </c>
      <c r="Z931" s="5">
        <f>IF(D931="","",AB931*AA931/100)</f>
        <v/>
      </c>
      <c r="AA931" s="5">
        <f>IF(D931="","",X931-Y931)</f>
        <v/>
      </c>
      <c r="AD931" s="5">
        <f>IF(D931="","",AA931-Z931)</f>
        <v/>
      </c>
      <c r="AG931">
        <f>IF(D931="","",N(AG930)+IF(MATCH(D931,$D$2:$D$3001,0)=ROW()-1,1,0))</f>
        <v/>
      </c>
    </row>
    <row r="932">
      <c r="Y932" s="5">
        <f>IF(D932="","",X932*IF(AND(ISNUMBER(AC932),AC932&gt;0,AC932&lt;1),AC932*100,AC932)/100)</f>
        <v/>
      </c>
      <c r="Z932" s="5">
        <f>IF(D932="","",AB932*AA932/100)</f>
        <v/>
      </c>
      <c r="AA932" s="5">
        <f>IF(D932="","",X932-Y932)</f>
        <v/>
      </c>
      <c r="AD932" s="5">
        <f>IF(D932="","",AA932-Z932)</f>
        <v/>
      </c>
      <c r="AG932">
        <f>IF(D932="","",N(AG931)+IF(MATCH(D932,$D$2:$D$3001,0)=ROW()-1,1,0))</f>
        <v/>
      </c>
    </row>
    <row r="933">
      <c r="Y933" s="5">
        <f>IF(D933="","",X933*IF(AND(ISNUMBER(AC933),AC933&gt;0,AC933&lt;1),AC933*100,AC933)/100)</f>
        <v/>
      </c>
      <c r="Z933" s="5">
        <f>IF(D933="","",AB933*AA933/100)</f>
        <v/>
      </c>
      <c r="AA933" s="5">
        <f>IF(D933="","",X933-Y933)</f>
        <v/>
      </c>
      <c r="AD933" s="5">
        <f>IF(D933="","",AA933-Z933)</f>
        <v/>
      </c>
      <c r="AG933">
        <f>IF(D933="","",N(AG932)+IF(MATCH(D933,$D$2:$D$3001,0)=ROW()-1,1,0))</f>
        <v/>
      </c>
    </row>
    <row r="934">
      <c r="Y934" s="5">
        <f>IF(D934="","",X934*IF(AND(ISNUMBER(AC934),AC934&gt;0,AC934&lt;1),AC934*100,AC934)/100)</f>
        <v/>
      </c>
      <c r="Z934" s="5">
        <f>IF(D934="","",AB934*AA934/100)</f>
        <v/>
      </c>
      <c r="AA934" s="5">
        <f>IF(D934="","",X934-Y934)</f>
        <v/>
      </c>
      <c r="AD934" s="5">
        <f>IF(D934="","",AA934-Z934)</f>
        <v/>
      </c>
      <c r="AG934">
        <f>IF(D934="","",N(AG933)+IF(MATCH(D934,$D$2:$D$3001,0)=ROW()-1,1,0))</f>
        <v/>
      </c>
    </row>
    <row r="935">
      <c r="Y935" s="5">
        <f>IF(D935="","",X935*IF(AND(ISNUMBER(AC935),AC935&gt;0,AC935&lt;1),AC935*100,AC935)/100)</f>
        <v/>
      </c>
      <c r="Z935" s="5">
        <f>IF(D935="","",AB935*AA935/100)</f>
        <v/>
      </c>
      <c r="AA935" s="5">
        <f>IF(D935="","",X935-Y935)</f>
        <v/>
      </c>
      <c r="AD935" s="5">
        <f>IF(D935="","",AA935-Z935)</f>
        <v/>
      </c>
      <c r="AG935">
        <f>IF(D935="","",N(AG934)+IF(MATCH(D935,$D$2:$D$3001,0)=ROW()-1,1,0))</f>
        <v/>
      </c>
    </row>
    <row r="936">
      <c r="Y936" s="5">
        <f>IF(D936="","",X936*IF(AND(ISNUMBER(AC936),AC936&gt;0,AC936&lt;1),AC936*100,AC936)/100)</f>
        <v/>
      </c>
      <c r="Z936" s="5">
        <f>IF(D936="","",AB936*AA936/100)</f>
        <v/>
      </c>
      <c r="AA936" s="5">
        <f>IF(D936="","",X936-Y936)</f>
        <v/>
      </c>
      <c r="AD936" s="5">
        <f>IF(D936="","",AA936-Z936)</f>
        <v/>
      </c>
      <c r="AG936">
        <f>IF(D936="","",N(AG935)+IF(MATCH(D936,$D$2:$D$3001,0)=ROW()-1,1,0))</f>
        <v/>
      </c>
    </row>
    <row r="937">
      <c r="Y937" s="5">
        <f>IF(D937="","",X937*IF(AND(ISNUMBER(AC937),AC937&gt;0,AC937&lt;1),AC937*100,AC937)/100)</f>
        <v/>
      </c>
      <c r="Z937" s="5">
        <f>IF(D937="","",AB937*AA937/100)</f>
        <v/>
      </c>
      <c r="AA937" s="5">
        <f>IF(D937="","",X937-Y937)</f>
        <v/>
      </c>
      <c r="AD937" s="5">
        <f>IF(D937="","",AA937-Z937)</f>
        <v/>
      </c>
      <c r="AG937">
        <f>IF(D937="","",N(AG936)+IF(MATCH(D937,$D$2:$D$3001,0)=ROW()-1,1,0))</f>
        <v/>
      </c>
    </row>
    <row r="938">
      <c r="Y938" s="5">
        <f>IF(D938="","",X938*IF(AND(ISNUMBER(AC938),AC938&gt;0,AC938&lt;1),AC938*100,AC938)/100)</f>
        <v/>
      </c>
      <c r="Z938" s="5">
        <f>IF(D938="","",AB938*AA938/100)</f>
        <v/>
      </c>
      <c r="AA938" s="5">
        <f>IF(D938="","",X938-Y938)</f>
        <v/>
      </c>
      <c r="AD938" s="5">
        <f>IF(D938="","",AA938-Z938)</f>
        <v/>
      </c>
      <c r="AG938">
        <f>IF(D938="","",N(AG937)+IF(MATCH(D938,$D$2:$D$3001,0)=ROW()-1,1,0))</f>
        <v/>
      </c>
    </row>
    <row r="939">
      <c r="Y939" s="5">
        <f>IF(D939="","",X939*IF(AND(ISNUMBER(AC939),AC939&gt;0,AC939&lt;1),AC939*100,AC939)/100)</f>
        <v/>
      </c>
      <c r="Z939" s="5">
        <f>IF(D939="","",AB939*AA939/100)</f>
        <v/>
      </c>
      <c r="AA939" s="5">
        <f>IF(D939="","",X939-Y939)</f>
        <v/>
      </c>
      <c r="AD939" s="5">
        <f>IF(D939="","",AA939-Z939)</f>
        <v/>
      </c>
      <c r="AG939">
        <f>IF(D939="","",N(AG938)+IF(MATCH(D939,$D$2:$D$3001,0)=ROW()-1,1,0))</f>
        <v/>
      </c>
    </row>
    <row r="940">
      <c r="Y940" s="5">
        <f>IF(D940="","",X940*IF(AND(ISNUMBER(AC940),AC940&gt;0,AC940&lt;1),AC940*100,AC940)/100)</f>
        <v/>
      </c>
      <c r="Z940" s="5">
        <f>IF(D940="","",AB940*AA940/100)</f>
        <v/>
      </c>
      <c r="AA940" s="5">
        <f>IF(D940="","",X940-Y940)</f>
        <v/>
      </c>
      <c r="AD940" s="5">
        <f>IF(D940="","",AA940-Z940)</f>
        <v/>
      </c>
      <c r="AG940">
        <f>IF(D940="","",N(AG939)+IF(MATCH(D940,$D$2:$D$3001,0)=ROW()-1,1,0))</f>
        <v/>
      </c>
    </row>
    <row r="941">
      <c r="Y941" s="5">
        <f>IF(D941="","",X941*IF(AND(ISNUMBER(AC941),AC941&gt;0,AC941&lt;1),AC941*100,AC941)/100)</f>
        <v/>
      </c>
      <c r="Z941" s="5">
        <f>IF(D941="","",AB941*AA941/100)</f>
        <v/>
      </c>
      <c r="AA941" s="5">
        <f>IF(D941="","",X941-Y941)</f>
        <v/>
      </c>
      <c r="AD941" s="5">
        <f>IF(D941="","",AA941-Z941)</f>
        <v/>
      </c>
      <c r="AG941">
        <f>IF(D941="","",N(AG940)+IF(MATCH(D941,$D$2:$D$3001,0)=ROW()-1,1,0))</f>
        <v/>
      </c>
    </row>
    <row r="942">
      <c r="Y942" s="5">
        <f>IF(D942="","",X942*IF(AND(ISNUMBER(AC942),AC942&gt;0,AC942&lt;1),AC942*100,AC942)/100)</f>
        <v/>
      </c>
      <c r="Z942" s="5">
        <f>IF(D942="","",AB942*AA942/100)</f>
        <v/>
      </c>
      <c r="AA942" s="5">
        <f>IF(D942="","",X942-Y942)</f>
        <v/>
      </c>
      <c r="AD942" s="5">
        <f>IF(D942="","",AA942-Z942)</f>
        <v/>
      </c>
      <c r="AG942">
        <f>IF(D942="","",N(AG941)+IF(MATCH(D942,$D$2:$D$3001,0)=ROW()-1,1,0))</f>
        <v/>
      </c>
    </row>
    <row r="943">
      <c r="Y943" s="5">
        <f>IF(D943="","",X943*IF(AND(ISNUMBER(AC943),AC943&gt;0,AC943&lt;1),AC943*100,AC943)/100)</f>
        <v/>
      </c>
      <c r="Z943" s="5">
        <f>IF(D943="","",AB943*AA943/100)</f>
        <v/>
      </c>
      <c r="AA943" s="5">
        <f>IF(D943="","",X943-Y943)</f>
        <v/>
      </c>
      <c r="AD943" s="5">
        <f>IF(D943="","",AA943-Z943)</f>
        <v/>
      </c>
      <c r="AG943">
        <f>IF(D943="","",N(AG942)+IF(MATCH(D943,$D$2:$D$3001,0)=ROW()-1,1,0))</f>
        <v/>
      </c>
    </row>
    <row r="944">
      <c r="Y944" s="5">
        <f>IF(D944="","",X944*IF(AND(ISNUMBER(AC944),AC944&gt;0,AC944&lt;1),AC944*100,AC944)/100)</f>
        <v/>
      </c>
      <c r="Z944" s="5">
        <f>IF(D944="","",AB944*AA944/100)</f>
        <v/>
      </c>
      <c r="AA944" s="5">
        <f>IF(D944="","",X944-Y944)</f>
        <v/>
      </c>
      <c r="AD944" s="5">
        <f>IF(D944="","",AA944-Z944)</f>
        <v/>
      </c>
      <c r="AG944">
        <f>IF(D944="","",N(AG943)+IF(MATCH(D944,$D$2:$D$3001,0)=ROW()-1,1,0))</f>
        <v/>
      </c>
    </row>
    <row r="945">
      <c r="Y945" s="5">
        <f>IF(D945="","",X945*IF(AND(ISNUMBER(AC945),AC945&gt;0,AC945&lt;1),AC945*100,AC945)/100)</f>
        <v/>
      </c>
      <c r="Z945" s="5">
        <f>IF(D945="","",AB945*AA945/100)</f>
        <v/>
      </c>
      <c r="AA945" s="5">
        <f>IF(D945="","",X945-Y945)</f>
        <v/>
      </c>
      <c r="AD945" s="5">
        <f>IF(D945="","",AA945-Z945)</f>
        <v/>
      </c>
      <c r="AG945">
        <f>IF(D945="","",N(AG944)+IF(MATCH(D945,$D$2:$D$3001,0)=ROW()-1,1,0))</f>
        <v/>
      </c>
    </row>
    <row r="946">
      <c r="Y946" s="5">
        <f>IF(D946="","",X946*IF(AND(ISNUMBER(AC946),AC946&gt;0,AC946&lt;1),AC946*100,AC946)/100)</f>
        <v/>
      </c>
      <c r="Z946" s="5">
        <f>IF(D946="","",AB946*AA946/100)</f>
        <v/>
      </c>
      <c r="AA946" s="5">
        <f>IF(D946="","",X946-Y946)</f>
        <v/>
      </c>
      <c r="AD946" s="5">
        <f>IF(D946="","",AA946-Z946)</f>
        <v/>
      </c>
      <c r="AG946">
        <f>IF(D946="","",N(AG945)+IF(MATCH(D946,$D$2:$D$3001,0)=ROW()-1,1,0))</f>
        <v/>
      </c>
    </row>
    <row r="947">
      <c r="Y947" s="5">
        <f>IF(D947="","",X947*IF(AND(ISNUMBER(AC947),AC947&gt;0,AC947&lt;1),AC947*100,AC947)/100)</f>
        <v/>
      </c>
      <c r="Z947" s="5">
        <f>IF(D947="","",AB947*AA947/100)</f>
        <v/>
      </c>
      <c r="AA947" s="5">
        <f>IF(D947="","",X947-Y947)</f>
        <v/>
      </c>
      <c r="AD947" s="5">
        <f>IF(D947="","",AA947-Z947)</f>
        <v/>
      </c>
      <c r="AG947">
        <f>IF(D947="","",N(AG946)+IF(MATCH(D947,$D$2:$D$3001,0)=ROW()-1,1,0))</f>
        <v/>
      </c>
    </row>
    <row r="948">
      <c r="Y948" s="5">
        <f>IF(D948="","",X948*IF(AND(ISNUMBER(AC948),AC948&gt;0,AC948&lt;1),AC948*100,AC948)/100)</f>
        <v/>
      </c>
      <c r="Z948" s="5">
        <f>IF(D948="","",AB948*AA948/100)</f>
        <v/>
      </c>
      <c r="AA948" s="5">
        <f>IF(D948="","",X948-Y948)</f>
        <v/>
      </c>
      <c r="AD948" s="5">
        <f>IF(D948="","",AA948-Z948)</f>
        <v/>
      </c>
      <c r="AG948">
        <f>IF(D948="","",N(AG947)+IF(MATCH(D948,$D$2:$D$3001,0)=ROW()-1,1,0))</f>
        <v/>
      </c>
    </row>
    <row r="949">
      <c r="Y949" s="5">
        <f>IF(D949="","",X949*IF(AND(ISNUMBER(AC949),AC949&gt;0,AC949&lt;1),AC949*100,AC949)/100)</f>
        <v/>
      </c>
      <c r="Z949" s="5">
        <f>IF(D949="","",AB949*AA949/100)</f>
        <v/>
      </c>
      <c r="AA949" s="5">
        <f>IF(D949="","",X949-Y949)</f>
        <v/>
      </c>
      <c r="AD949" s="5">
        <f>IF(D949="","",AA949-Z949)</f>
        <v/>
      </c>
      <c r="AG949">
        <f>IF(D949="","",N(AG948)+IF(MATCH(D949,$D$2:$D$3001,0)=ROW()-1,1,0))</f>
        <v/>
      </c>
    </row>
    <row r="950">
      <c r="Y950" s="5">
        <f>IF(D950="","",X950*IF(AND(ISNUMBER(AC950),AC950&gt;0,AC950&lt;1),AC950*100,AC950)/100)</f>
        <v/>
      </c>
      <c r="Z950" s="5">
        <f>IF(D950="","",AB950*AA950/100)</f>
        <v/>
      </c>
      <c r="AA950" s="5">
        <f>IF(D950="","",X950-Y950)</f>
        <v/>
      </c>
      <c r="AD950" s="5">
        <f>IF(D950="","",AA950-Z950)</f>
        <v/>
      </c>
      <c r="AG950">
        <f>IF(D950="","",N(AG949)+IF(MATCH(D950,$D$2:$D$3001,0)=ROW()-1,1,0))</f>
        <v/>
      </c>
    </row>
    <row r="951">
      <c r="Y951" s="5">
        <f>IF(D951="","",X951*IF(AND(ISNUMBER(AC951),AC951&gt;0,AC951&lt;1),AC951*100,AC951)/100)</f>
        <v/>
      </c>
      <c r="Z951" s="5">
        <f>IF(D951="","",AB951*AA951/100)</f>
        <v/>
      </c>
      <c r="AA951" s="5">
        <f>IF(D951="","",X951-Y951)</f>
        <v/>
      </c>
      <c r="AD951" s="5">
        <f>IF(D951="","",AA951-Z951)</f>
        <v/>
      </c>
      <c r="AG951">
        <f>IF(D951="","",N(AG950)+IF(MATCH(D951,$D$2:$D$3001,0)=ROW()-1,1,0))</f>
        <v/>
      </c>
    </row>
    <row r="952">
      <c r="Y952" s="5">
        <f>IF(D952="","",X952*IF(AND(ISNUMBER(AC952),AC952&gt;0,AC952&lt;1),AC952*100,AC952)/100)</f>
        <v/>
      </c>
      <c r="Z952" s="5">
        <f>IF(D952="","",AB952*AA952/100)</f>
        <v/>
      </c>
      <c r="AA952" s="5">
        <f>IF(D952="","",X952-Y952)</f>
        <v/>
      </c>
      <c r="AD952" s="5">
        <f>IF(D952="","",AA952-Z952)</f>
        <v/>
      </c>
      <c r="AG952">
        <f>IF(D952="","",N(AG951)+IF(MATCH(D952,$D$2:$D$3001,0)=ROW()-1,1,0))</f>
        <v/>
      </c>
    </row>
    <row r="953">
      <c r="Y953" s="5">
        <f>IF(D953="","",X953*IF(AND(ISNUMBER(AC953),AC953&gt;0,AC953&lt;1),AC953*100,AC953)/100)</f>
        <v/>
      </c>
      <c r="Z953" s="5">
        <f>IF(D953="","",AB953*AA953/100)</f>
        <v/>
      </c>
      <c r="AA953" s="5">
        <f>IF(D953="","",X953-Y953)</f>
        <v/>
      </c>
      <c r="AD953" s="5">
        <f>IF(D953="","",AA953-Z953)</f>
        <v/>
      </c>
      <c r="AG953">
        <f>IF(D953="","",N(AG952)+IF(MATCH(D953,$D$2:$D$3001,0)=ROW()-1,1,0))</f>
        <v/>
      </c>
    </row>
    <row r="954">
      <c r="Y954" s="5">
        <f>IF(D954="","",X954*IF(AND(ISNUMBER(AC954),AC954&gt;0,AC954&lt;1),AC954*100,AC954)/100)</f>
        <v/>
      </c>
      <c r="Z954" s="5">
        <f>IF(D954="","",AB954*AA954/100)</f>
        <v/>
      </c>
      <c r="AA954" s="5">
        <f>IF(D954="","",X954-Y954)</f>
        <v/>
      </c>
      <c r="AD954" s="5">
        <f>IF(D954="","",AA954-Z954)</f>
        <v/>
      </c>
      <c r="AG954">
        <f>IF(D954="","",N(AG953)+IF(MATCH(D954,$D$2:$D$3001,0)=ROW()-1,1,0))</f>
        <v/>
      </c>
    </row>
    <row r="955">
      <c r="Y955" s="5">
        <f>IF(D955="","",X955*IF(AND(ISNUMBER(AC955),AC955&gt;0,AC955&lt;1),AC955*100,AC955)/100)</f>
        <v/>
      </c>
      <c r="Z955" s="5">
        <f>IF(D955="","",AB955*AA955/100)</f>
        <v/>
      </c>
      <c r="AA955" s="5">
        <f>IF(D955="","",X955-Y955)</f>
        <v/>
      </c>
      <c r="AD955" s="5">
        <f>IF(D955="","",AA955-Z955)</f>
        <v/>
      </c>
      <c r="AG955">
        <f>IF(D955="","",N(AG954)+IF(MATCH(D955,$D$2:$D$3001,0)=ROW()-1,1,0))</f>
        <v/>
      </c>
    </row>
    <row r="956">
      <c r="Y956" s="5">
        <f>IF(D956="","",X956*IF(AND(ISNUMBER(AC956),AC956&gt;0,AC956&lt;1),AC956*100,AC956)/100)</f>
        <v/>
      </c>
      <c r="Z956" s="5">
        <f>IF(D956="","",AB956*AA956/100)</f>
        <v/>
      </c>
      <c r="AA956" s="5">
        <f>IF(D956="","",X956-Y956)</f>
        <v/>
      </c>
      <c r="AD956" s="5">
        <f>IF(D956="","",AA956-Z956)</f>
        <v/>
      </c>
      <c r="AG956">
        <f>IF(D956="","",N(AG955)+IF(MATCH(D956,$D$2:$D$3001,0)=ROW()-1,1,0))</f>
        <v/>
      </c>
    </row>
    <row r="957">
      <c r="Y957" s="5">
        <f>IF(D957="","",X957*IF(AND(ISNUMBER(AC957),AC957&gt;0,AC957&lt;1),AC957*100,AC957)/100)</f>
        <v/>
      </c>
      <c r="Z957" s="5">
        <f>IF(D957="","",AB957*AA957/100)</f>
        <v/>
      </c>
      <c r="AA957" s="5">
        <f>IF(D957="","",X957-Y957)</f>
        <v/>
      </c>
      <c r="AD957" s="5">
        <f>IF(D957="","",AA957-Z957)</f>
        <v/>
      </c>
      <c r="AG957">
        <f>IF(D957="","",N(AG956)+IF(MATCH(D957,$D$2:$D$3001,0)=ROW()-1,1,0))</f>
        <v/>
      </c>
    </row>
    <row r="958">
      <c r="Y958" s="5">
        <f>IF(D958="","",X958*IF(AND(ISNUMBER(AC958),AC958&gt;0,AC958&lt;1),AC958*100,AC958)/100)</f>
        <v/>
      </c>
      <c r="Z958" s="5">
        <f>IF(D958="","",AB958*AA958/100)</f>
        <v/>
      </c>
      <c r="AA958" s="5">
        <f>IF(D958="","",X958-Y958)</f>
        <v/>
      </c>
      <c r="AD958" s="5">
        <f>IF(D958="","",AA958-Z958)</f>
        <v/>
      </c>
      <c r="AG958">
        <f>IF(D958="","",N(AG957)+IF(MATCH(D958,$D$2:$D$3001,0)=ROW()-1,1,0))</f>
        <v/>
      </c>
    </row>
    <row r="959">
      <c r="Y959" s="5">
        <f>IF(D959="","",X959*IF(AND(ISNUMBER(AC959),AC959&gt;0,AC959&lt;1),AC959*100,AC959)/100)</f>
        <v/>
      </c>
      <c r="Z959" s="5">
        <f>IF(D959="","",AB959*AA959/100)</f>
        <v/>
      </c>
      <c r="AA959" s="5">
        <f>IF(D959="","",X959-Y959)</f>
        <v/>
      </c>
      <c r="AD959" s="5">
        <f>IF(D959="","",AA959-Z959)</f>
        <v/>
      </c>
      <c r="AG959">
        <f>IF(D959="","",N(AG958)+IF(MATCH(D959,$D$2:$D$3001,0)=ROW()-1,1,0))</f>
        <v/>
      </c>
    </row>
    <row r="960">
      <c r="Y960" s="5">
        <f>IF(D960="","",X960*IF(AND(ISNUMBER(AC960),AC960&gt;0,AC960&lt;1),AC960*100,AC960)/100)</f>
        <v/>
      </c>
      <c r="Z960" s="5">
        <f>IF(D960="","",AB960*AA960/100)</f>
        <v/>
      </c>
      <c r="AA960" s="5">
        <f>IF(D960="","",X960-Y960)</f>
        <v/>
      </c>
      <c r="AD960" s="5">
        <f>IF(D960="","",AA960-Z960)</f>
        <v/>
      </c>
      <c r="AG960">
        <f>IF(D960="","",N(AG959)+IF(MATCH(D960,$D$2:$D$3001,0)=ROW()-1,1,0))</f>
        <v/>
      </c>
    </row>
    <row r="961">
      <c r="Y961" s="5">
        <f>IF(D961="","",X961*IF(AND(ISNUMBER(AC961),AC961&gt;0,AC961&lt;1),AC961*100,AC961)/100)</f>
        <v/>
      </c>
      <c r="Z961" s="5">
        <f>IF(D961="","",AB961*AA961/100)</f>
        <v/>
      </c>
      <c r="AA961" s="5">
        <f>IF(D961="","",X961-Y961)</f>
        <v/>
      </c>
      <c r="AD961" s="5">
        <f>IF(D961="","",AA961-Z961)</f>
        <v/>
      </c>
      <c r="AG961">
        <f>IF(D961="","",N(AG960)+IF(MATCH(D961,$D$2:$D$3001,0)=ROW()-1,1,0))</f>
        <v/>
      </c>
    </row>
    <row r="962">
      <c r="Y962" s="5">
        <f>IF(D962="","",X962*IF(AND(ISNUMBER(AC962),AC962&gt;0,AC962&lt;1),AC962*100,AC962)/100)</f>
        <v/>
      </c>
      <c r="Z962" s="5">
        <f>IF(D962="","",AB962*AA962/100)</f>
        <v/>
      </c>
      <c r="AA962" s="5">
        <f>IF(D962="","",X962-Y962)</f>
        <v/>
      </c>
      <c r="AD962" s="5">
        <f>IF(D962="","",AA962-Z962)</f>
        <v/>
      </c>
      <c r="AG962">
        <f>IF(D962="","",N(AG961)+IF(MATCH(D962,$D$2:$D$3001,0)=ROW()-1,1,0))</f>
        <v/>
      </c>
    </row>
    <row r="963">
      <c r="Y963" s="5">
        <f>IF(D963="","",X963*IF(AND(ISNUMBER(AC963),AC963&gt;0,AC963&lt;1),AC963*100,AC963)/100)</f>
        <v/>
      </c>
      <c r="Z963" s="5">
        <f>IF(D963="","",AB963*AA963/100)</f>
        <v/>
      </c>
      <c r="AA963" s="5">
        <f>IF(D963="","",X963-Y963)</f>
        <v/>
      </c>
      <c r="AD963" s="5">
        <f>IF(D963="","",AA963-Z963)</f>
        <v/>
      </c>
      <c r="AG963">
        <f>IF(D963="","",N(AG962)+IF(MATCH(D963,$D$2:$D$3001,0)=ROW()-1,1,0))</f>
        <v/>
      </c>
    </row>
    <row r="964">
      <c r="Y964" s="5">
        <f>IF(D964="","",X964*IF(AND(ISNUMBER(AC964),AC964&gt;0,AC964&lt;1),AC964*100,AC964)/100)</f>
        <v/>
      </c>
      <c r="Z964" s="5">
        <f>IF(D964="","",AB964*AA964/100)</f>
        <v/>
      </c>
      <c r="AA964" s="5">
        <f>IF(D964="","",X964-Y964)</f>
        <v/>
      </c>
      <c r="AD964" s="5">
        <f>IF(D964="","",AA964-Z964)</f>
        <v/>
      </c>
      <c r="AG964">
        <f>IF(D964="","",N(AG963)+IF(MATCH(D964,$D$2:$D$3001,0)=ROW()-1,1,0))</f>
        <v/>
      </c>
    </row>
    <row r="965">
      <c r="Y965" s="5">
        <f>IF(D965="","",X965*IF(AND(ISNUMBER(AC965),AC965&gt;0,AC965&lt;1),AC965*100,AC965)/100)</f>
        <v/>
      </c>
      <c r="Z965" s="5">
        <f>IF(D965="","",AB965*AA965/100)</f>
        <v/>
      </c>
      <c r="AA965" s="5">
        <f>IF(D965="","",X965-Y965)</f>
        <v/>
      </c>
      <c r="AD965" s="5">
        <f>IF(D965="","",AA965-Z965)</f>
        <v/>
      </c>
      <c r="AG965">
        <f>IF(D965="","",N(AG964)+IF(MATCH(D965,$D$2:$D$3001,0)=ROW()-1,1,0))</f>
        <v/>
      </c>
    </row>
    <row r="966">
      <c r="Y966" s="5">
        <f>IF(D966="","",X966*IF(AND(ISNUMBER(AC966),AC966&gt;0,AC966&lt;1),AC966*100,AC966)/100)</f>
        <v/>
      </c>
      <c r="Z966" s="5">
        <f>IF(D966="","",AB966*AA966/100)</f>
        <v/>
      </c>
      <c r="AA966" s="5">
        <f>IF(D966="","",X966-Y966)</f>
        <v/>
      </c>
      <c r="AD966" s="5">
        <f>IF(D966="","",AA966-Z966)</f>
        <v/>
      </c>
      <c r="AG966">
        <f>IF(D966="","",N(AG965)+IF(MATCH(D966,$D$2:$D$3001,0)=ROW()-1,1,0))</f>
        <v/>
      </c>
    </row>
    <row r="967">
      <c r="Y967" s="5">
        <f>IF(D967="","",X967*IF(AND(ISNUMBER(AC967),AC967&gt;0,AC967&lt;1),AC967*100,AC967)/100)</f>
        <v/>
      </c>
      <c r="Z967" s="5">
        <f>IF(D967="","",AB967*AA967/100)</f>
        <v/>
      </c>
      <c r="AA967" s="5">
        <f>IF(D967="","",X967-Y967)</f>
        <v/>
      </c>
      <c r="AD967" s="5">
        <f>IF(D967="","",AA967-Z967)</f>
        <v/>
      </c>
      <c r="AG967">
        <f>IF(D967="","",N(AG966)+IF(MATCH(D967,$D$2:$D$3001,0)=ROW()-1,1,0))</f>
        <v/>
      </c>
    </row>
    <row r="968">
      <c r="Y968" s="5">
        <f>IF(D968="","",X968*IF(AND(ISNUMBER(AC968),AC968&gt;0,AC968&lt;1),AC968*100,AC968)/100)</f>
        <v/>
      </c>
      <c r="Z968" s="5">
        <f>IF(D968="","",AB968*AA968/100)</f>
        <v/>
      </c>
      <c r="AA968" s="5">
        <f>IF(D968="","",X968-Y968)</f>
        <v/>
      </c>
      <c r="AD968" s="5">
        <f>IF(D968="","",AA968-Z968)</f>
        <v/>
      </c>
      <c r="AG968">
        <f>IF(D968="","",N(AG967)+IF(MATCH(D968,$D$2:$D$3001,0)=ROW()-1,1,0))</f>
        <v/>
      </c>
    </row>
    <row r="969">
      <c r="Y969" s="5">
        <f>IF(D969="","",X969*IF(AND(ISNUMBER(AC969),AC969&gt;0,AC969&lt;1),AC969*100,AC969)/100)</f>
        <v/>
      </c>
      <c r="Z969" s="5">
        <f>IF(D969="","",AB969*AA969/100)</f>
        <v/>
      </c>
      <c r="AA969" s="5">
        <f>IF(D969="","",X969-Y969)</f>
        <v/>
      </c>
      <c r="AD969" s="5">
        <f>IF(D969="","",AA969-Z969)</f>
        <v/>
      </c>
      <c r="AG969">
        <f>IF(D969="","",N(AG968)+IF(MATCH(D969,$D$2:$D$3001,0)=ROW()-1,1,0))</f>
        <v/>
      </c>
    </row>
    <row r="970">
      <c r="Y970" s="5">
        <f>IF(D970="","",X970*IF(AND(ISNUMBER(AC970),AC970&gt;0,AC970&lt;1),AC970*100,AC970)/100)</f>
        <v/>
      </c>
      <c r="Z970" s="5">
        <f>IF(D970="","",AB970*AA970/100)</f>
        <v/>
      </c>
      <c r="AA970" s="5">
        <f>IF(D970="","",X970-Y970)</f>
        <v/>
      </c>
      <c r="AD970" s="5">
        <f>IF(D970="","",AA970-Z970)</f>
        <v/>
      </c>
      <c r="AG970">
        <f>IF(D970="","",N(AG969)+IF(MATCH(D970,$D$2:$D$3001,0)=ROW()-1,1,0))</f>
        <v/>
      </c>
    </row>
    <row r="971">
      <c r="Y971" s="5">
        <f>IF(D971="","",X971*IF(AND(ISNUMBER(AC971),AC971&gt;0,AC971&lt;1),AC971*100,AC971)/100)</f>
        <v/>
      </c>
      <c r="Z971" s="5">
        <f>IF(D971="","",AB971*AA971/100)</f>
        <v/>
      </c>
      <c r="AA971" s="5">
        <f>IF(D971="","",X971-Y971)</f>
        <v/>
      </c>
      <c r="AD971" s="5">
        <f>IF(D971="","",AA971-Z971)</f>
        <v/>
      </c>
      <c r="AG971">
        <f>IF(D971="","",N(AG970)+IF(MATCH(D971,$D$2:$D$3001,0)=ROW()-1,1,0))</f>
        <v/>
      </c>
    </row>
    <row r="972">
      <c r="Y972" s="5">
        <f>IF(D972="","",X972*IF(AND(ISNUMBER(AC972),AC972&gt;0,AC972&lt;1),AC972*100,AC972)/100)</f>
        <v/>
      </c>
      <c r="Z972" s="5">
        <f>IF(D972="","",AB972*AA972/100)</f>
        <v/>
      </c>
      <c r="AA972" s="5">
        <f>IF(D972="","",X972-Y972)</f>
        <v/>
      </c>
      <c r="AD972" s="5">
        <f>IF(D972="","",AA972-Z972)</f>
        <v/>
      </c>
      <c r="AG972">
        <f>IF(D972="","",N(AG971)+IF(MATCH(D972,$D$2:$D$3001,0)=ROW()-1,1,0))</f>
        <v/>
      </c>
    </row>
    <row r="973">
      <c r="Y973" s="5">
        <f>IF(D973="","",X973*IF(AND(ISNUMBER(AC973),AC973&gt;0,AC973&lt;1),AC973*100,AC973)/100)</f>
        <v/>
      </c>
      <c r="Z973" s="5">
        <f>IF(D973="","",AB973*AA973/100)</f>
        <v/>
      </c>
      <c r="AA973" s="5">
        <f>IF(D973="","",X973-Y973)</f>
        <v/>
      </c>
      <c r="AD973" s="5">
        <f>IF(D973="","",AA973-Z973)</f>
        <v/>
      </c>
      <c r="AG973">
        <f>IF(D973="","",N(AG972)+IF(MATCH(D973,$D$2:$D$3001,0)=ROW()-1,1,0))</f>
        <v/>
      </c>
    </row>
    <row r="974">
      <c r="Y974" s="5">
        <f>IF(D974="","",X974*IF(AND(ISNUMBER(AC974),AC974&gt;0,AC974&lt;1),AC974*100,AC974)/100)</f>
        <v/>
      </c>
      <c r="Z974" s="5">
        <f>IF(D974="","",AB974*AA974/100)</f>
        <v/>
      </c>
      <c r="AA974" s="5">
        <f>IF(D974="","",X974-Y974)</f>
        <v/>
      </c>
      <c r="AD974" s="5">
        <f>IF(D974="","",AA974-Z974)</f>
        <v/>
      </c>
      <c r="AG974">
        <f>IF(D974="","",N(AG973)+IF(MATCH(D974,$D$2:$D$3001,0)=ROW()-1,1,0))</f>
        <v/>
      </c>
    </row>
    <row r="975">
      <c r="Y975" s="5">
        <f>IF(D975="","",X975*IF(AND(ISNUMBER(AC975),AC975&gt;0,AC975&lt;1),AC975*100,AC975)/100)</f>
        <v/>
      </c>
      <c r="Z975" s="5">
        <f>IF(D975="","",AB975*AA975/100)</f>
        <v/>
      </c>
      <c r="AA975" s="5">
        <f>IF(D975="","",X975-Y975)</f>
        <v/>
      </c>
      <c r="AD975" s="5">
        <f>IF(D975="","",AA975-Z975)</f>
        <v/>
      </c>
      <c r="AG975">
        <f>IF(D975="","",N(AG974)+IF(MATCH(D975,$D$2:$D$3001,0)=ROW()-1,1,0))</f>
        <v/>
      </c>
    </row>
    <row r="976">
      <c r="Y976" s="5">
        <f>IF(D976="","",X976*IF(AND(ISNUMBER(AC976),AC976&gt;0,AC976&lt;1),AC976*100,AC976)/100)</f>
        <v/>
      </c>
      <c r="Z976" s="5">
        <f>IF(D976="","",AB976*AA976/100)</f>
        <v/>
      </c>
      <c r="AA976" s="5">
        <f>IF(D976="","",X976-Y976)</f>
        <v/>
      </c>
      <c r="AD976" s="5">
        <f>IF(D976="","",AA976-Z976)</f>
        <v/>
      </c>
      <c r="AG976">
        <f>IF(D976="","",N(AG975)+IF(MATCH(D976,$D$2:$D$3001,0)=ROW()-1,1,0))</f>
        <v/>
      </c>
    </row>
    <row r="977">
      <c r="Y977" s="5">
        <f>IF(D977="","",X977*IF(AND(ISNUMBER(AC977),AC977&gt;0,AC977&lt;1),AC977*100,AC977)/100)</f>
        <v/>
      </c>
      <c r="Z977" s="5">
        <f>IF(D977="","",AB977*AA977/100)</f>
        <v/>
      </c>
      <c r="AA977" s="5">
        <f>IF(D977="","",X977-Y977)</f>
        <v/>
      </c>
      <c r="AD977" s="5">
        <f>IF(D977="","",AA977-Z977)</f>
        <v/>
      </c>
      <c r="AG977">
        <f>IF(D977="","",N(AG976)+IF(MATCH(D977,$D$2:$D$3001,0)=ROW()-1,1,0))</f>
        <v/>
      </c>
    </row>
    <row r="978">
      <c r="Y978" s="5">
        <f>IF(D978="","",X978*IF(AND(ISNUMBER(AC978),AC978&gt;0,AC978&lt;1),AC978*100,AC978)/100)</f>
        <v/>
      </c>
      <c r="Z978" s="5">
        <f>IF(D978="","",AB978*AA978/100)</f>
        <v/>
      </c>
      <c r="AA978" s="5">
        <f>IF(D978="","",X978-Y978)</f>
        <v/>
      </c>
      <c r="AD978" s="5">
        <f>IF(D978="","",AA978-Z978)</f>
        <v/>
      </c>
      <c r="AG978">
        <f>IF(D978="","",N(AG977)+IF(MATCH(D978,$D$2:$D$3001,0)=ROW()-1,1,0))</f>
        <v/>
      </c>
    </row>
    <row r="979">
      <c r="Y979" s="5">
        <f>IF(D979="","",X979*IF(AND(ISNUMBER(AC979),AC979&gt;0,AC979&lt;1),AC979*100,AC979)/100)</f>
        <v/>
      </c>
      <c r="Z979" s="5">
        <f>IF(D979="","",AB979*AA979/100)</f>
        <v/>
      </c>
      <c r="AA979" s="5">
        <f>IF(D979="","",X979-Y979)</f>
        <v/>
      </c>
      <c r="AD979" s="5">
        <f>IF(D979="","",AA979-Z979)</f>
        <v/>
      </c>
      <c r="AG979">
        <f>IF(D979="","",N(AG978)+IF(MATCH(D979,$D$2:$D$3001,0)=ROW()-1,1,0))</f>
        <v/>
      </c>
    </row>
    <row r="980">
      <c r="Y980" s="5">
        <f>IF(D980="","",X980*IF(AND(ISNUMBER(AC980),AC980&gt;0,AC980&lt;1),AC980*100,AC980)/100)</f>
        <v/>
      </c>
      <c r="Z980" s="5">
        <f>IF(D980="","",AB980*AA980/100)</f>
        <v/>
      </c>
      <c r="AA980" s="5">
        <f>IF(D980="","",X980-Y980)</f>
        <v/>
      </c>
      <c r="AD980" s="5">
        <f>IF(D980="","",AA980-Z980)</f>
        <v/>
      </c>
      <c r="AG980">
        <f>IF(D980="","",N(AG979)+IF(MATCH(D980,$D$2:$D$3001,0)=ROW()-1,1,0))</f>
        <v/>
      </c>
    </row>
    <row r="981">
      <c r="Y981" s="5">
        <f>IF(D981="","",X981*IF(AND(ISNUMBER(AC981),AC981&gt;0,AC981&lt;1),AC981*100,AC981)/100)</f>
        <v/>
      </c>
      <c r="Z981" s="5">
        <f>IF(D981="","",AB981*AA981/100)</f>
        <v/>
      </c>
      <c r="AA981" s="5">
        <f>IF(D981="","",X981-Y981)</f>
        <v/>
      </c>
      <c r="AD981" s="5">
        <f>IF(D981="","",AA981-Z981)</f>
        <v/>
      </c>
      <c r="AG981">
        <f>IF(D981="","",N(AG980)+IF(MATCH(D981,$D$2:$D$3001,0)=ROW()-1,1,0))</f>
        <v/>
      </c>
    </row>
    <row r="982">
      <c r="Y982" s="5">
        <f>IF(D982="","",X982*IF(AND(ISNUMBER(AC982),AC982&gt;0,AC982&lt;1),AC982*100,AC982)/100)</f>
        <v/>
      </c>
      <c r="Z982" s="5">
        <f>IF(D982="","",AB982*AA982/100)</f>
        <v/>
      </c>
      <c r="AA982" s="5">
        <f>IF(D982="","",X982-Y982)</f>
        <v/>
      </c>
      <c r="AD982" s="5">
        <f>IF(D982="","",AA982-Z982)</f>
        <v/>
      </c>
      <c r="AG982">
        <f>IF(D982="","",N(AG981)+IF(MATCH(D982,$D$2:$D$3001,0)=ROW()-1,1,0))</f>
        <v/>
      </c>
    </row>
    <row r="983">
      <c r="Y983" s="5">
        <f>IF(D983="","",X983*IF(AND(ISNUMBER(AC983),AC983&gt;0,AC983&lt;1),AC983*100,AC983)/100)</f>
        <v/>
      </c>
      <c r="Z983" s="5">
        <f>IF(D983="","",AB983*AA983/100)</f>
        <v/>
      </c>
      <c r="AA983" s="5">
        <f>IF(D983="","",X983-Y983)</f>
        <v/>
      </c>
      <c r="AD983" s="5">
        <f>IF(D983="","",AA983-Z983)</f>
        <v/>
      </c>
      <c r="AG983">
        <f>IF(D983="","",N(AG982)+IF(MATCH(D983,$D$2:$D$3001,0)=ROW()-1,1,0))</f>
        <v/>
      </c>
    </row>
    <row r="984">
      <c r="Y984" s="5">
        <f>IF(D984="","",X984*IF(AND(ISNUMBER(AC984),AC984&gt;0,AC984&lt;1),AC984*100,AC984)/100)</f>
        <v/>
      </c>
      <c r="Z984" s="5">
        <f>IF(D984="","",AB984*AA984/100)</f>
        <v/>
      </c>
      <c r="AA984" s="5">
        <f>IF(D984="","",X984-Y984)</f>
        <v/>
      </c>
      <c r="AD984" s="5">
        <f>IF(D984="","",AA984-Z984)</f>
        <v/>
      </c>
      <c r="AG984">
        <f>IF(D984="","",N(AG983)+IF(MATCH(D984,$D$2:$D$3001,0)=ROW()-1,1,0))</f>
        <v/>
      </c>
    </row>
    <row r="985">
      <c r="Y985" s="5">
        <f>IF(D985="","",X985*IF(AND(ISNUMBER(AC985),AC985&gt;0,AC985&lt;1),AC985*100,AC985)/100)</f>
        <v/>
      </c>
      <c r="Z985" s="5">
        <f>IF(D985="","",AB985*AA985/100)</f>
        <v/>
      </c>
      <c r="AA985" s="5">
        <f>IF(D985="","",X985-Y985)</f>
        <v/>
      </c>
      <c r="AD985" s="5">
        <f>IF(D985="","",AA985-Z985)</f>
        <v/>
      </c>
      <c r="AG985">
        <f>IF(D985="","",N(AG984)+IF(MATCH(D985,$D$2:$D$3001,0)=ROW()-1,1,0))</f>
        <v/>
      </c>
    </row>
    <row r="986">
      <c r="Y986" s="5">
        <f>IF(D986="","",X986*IF(AND(ISNUMBER(AC986),AC986&gt;0,AC986&lt;1),AC986*100,AC986)/100)</f>
        <v/>
      </c>
      <c r="Z986" s="5">
        <f>IF(D986="","",AB986*AA986/100)</f>
        <v/>
      </c>
      <c r="AA986" s="5">
        <f>IF(D986="","",X986-Y986)</f>
        <v/>
      </c>
      <c r="AD986" s="5">
        <f>IF(D986="","",AA986-Z986)</f>
        <v/>
      </c>
      <c r="AG986">
        <f>IF(D986="","",N(AG985)+IF(MATCH(D986,$D$2:$D$3001,0)=ROW()-1,1,0))</f>
        <v/>
      </c>
    </row>
    <row r="987">
      <c r="Y987" s="5">
        <f>IF(D987="","",X987*IF(AND(ISNUMBER(AC987),AC987&gt;0,AC987&lt;1),AC987*100,AC987)/100)</f>
        <v/>
      </c>
      <c r="Z987" s="5">
        <f>IF(D987="","",AB987*AA987/100)</f>
        <v/>
      </c>
      <c r="AA987" s="5">
        <f>IF(D987="","",X987-Y987)</f>
        <v/>
      </c>
      <c r="AD987" s="5">
        <f>IF(D987="","",AA987-Z987)</f>
        <v/>
      </c>
      <c r="AG987">
        <f>IF(D987="","",N(AG986)+IF(MATCH(D987,$D$2:$D$3001,0)=ROW()-1,1,0))</f>
        <v/>
      </c>
    </row>
    <row r="988">
      <c r="Y988" s="5">
        <f>IF(D988="","",X988*IF(AND(ISNUMBER(AC988),AC988&gt;0,AC988&lt;1),AC988*100,AC988)/100)</f>
        <v/>
      </c>
      <c r="Z988" s="5">
        <f>IF(D988="","",AB988*AA988/100)</f>
        <v/>
      </c>
      <c r="AA988" s="5">
        <f>IF(D988="","",X988-Y988)</f>
        <v/>
      </c>
      <c r="AD988" s="5">
        <f>IF(D988="","",AA988-Z988)</f>
        <v/>
      </c>
      <c r="AG988">
        <f>IF(D988="","",N(AG987)+IF(MATCH(D988,$D$2:$D$3001,0)=ROW()-1,1,0))</f>
        <v/>
      </c>
    </row>
    <row r="989">
      <c r="Y989" s="5">
        <f>IF(D989="","",X989*IF(AND(ISNUMBER(AC989),AC989&gt;0,AC989&lt;1),AC989*100,AC989)/100)</f>
        <v/>
      </c>
      <c r="Z989" s="5">
        <f>IF(D989="","",AB989*AA989/100)</f>
        <v/>
      </c>
      <c r="AA989" s="5">
        <f>IF(D989="","",X989-Y989)</f>
        <v/>
      </c>
      <c r="AD989" s="5">
        <f>IF(D989="","",AA989-Z989)</f>
        <v/>
      </c>
      <c r="AG989">
        <f>IF(D989="","",N(AG988)+IF(MATCH(D989,$D$2:$D$3001,0)=ROW()-1,1,0))</f>
        <v/>
      </c>
    </row>
    <row r="990">
      <c r="Y990" s="5">
        <f>IF(D990="","",X990*IF(AND(ISNUMBER(AC990),AC990&gt;0,AC990&lt;1),AC990*100,AC990)/100)</f>
        <v/>
      </c>
      <c r="Z990" s="5">
        <f>IF(D990="","",AB990*AA990/100)</f>
        <v/>
      </c>
      <c r="AA990" s="5">
        <f>IF(D990="","",X990-Y990)</f>
        <v/>
      </c>
      <c r="AD990" s="5">
        <f>IF(D990="","",AA990-Z990)</f>
        <v/>
      </c>
      <c r="AG990">
        <f>IF(D990="","",N(AG989)+IF(MATCH(D990,$D$2:$D$3001,0)=ROW()-1,1,0))</f>
        <v/>
      </c>
    </row>
    <row r="991">
      <c r="Y991" s="5">
        <f>IF(D991="","",X991*IF(AND(ISNUMBER(AC991),AC991&gt;0,AC991&lt;1),AC991*100,AC991)/100)</f>
        <v/>
      </c>
      <c r="Z991" s="5">
        <f>IF(D991="","",AB991*AA991/100)</f>
        <v/>
      </c>
      <c r="AA991" s="5">
        <f>IF(D991="","",X991-Y991)</f>
        <v/>
      </c>
      <c r="AD991" s="5">
        <f>IF(D991="","",AA991-Z991)</f>
        <v/>
      </c>
      <c r="AG991">
        <f>IF(D991="","",N(AG990)+IF(MATCH(D991,$D$2:$D$3001,0)=ROW()-1,1,0))</f>
        <v/>
      </c>
    </row>
    <row r="992">
      <c r="Y992" s="5">
        <f>IF(D992="","",X992*IF(AND(ISNUMBER(AC992),AC992&gt;0,AC992&lt;1),AC992*100,AC992)/100)</f>
        <v/>
      </c>
      <c r="Z992" s="5">
        <f>IF(D992="","",AB992*AA992/100)</f>
        <v/>
      </c>
      <c r="AA992" s="5">
        <f>IF(D992="","",X992-Y992)</f>
        <v/>
      </c>
      <c r="AD992" s="5">
        <f>IF(D992="","",AA992-Z992)</f>
        <v/>
      </c>
      <c r="AG992">
        <f>IF(D992="","",N(AG991)+IF(MATCH(D992,$D$2:$D$3001,0)=ROW()-1,1,0))</f>
        <v/>
      </c>
    </row>
    <row r="993">
      <c r="Y993" s="5">
        <f>IF(D993="","",X993*IF(AND(ISNUMBER(AC993),AC993&gt;0,AC993&lt;1),AC993*100,AC993)/100)</f>
        <v/>
      </c>
      <c r="Z993" s="5">
        <f>IF(D993="","",AB993*AA993/100)</f>
        <v/>
      </c>
      <c r="AA993" s="5">
        <f>IF(D993="","",X993-Y993)</f>
        <v/>
      </c>
      <c r="AD993" s="5">
        <f>IF(D993="","",AA993-Z993)</f>
        <v/>
      </c>
      <c r="AG993">
        <f>IF(D993="","",N(AG992)+IF(MATCH(D993,$D$2:$D$3001,0)=ROW()-1,1,0))</f>
        <v/>
      </c>
    </row>
    <row r="994">
      <c r="Y994" s="5">
        <f>IF(D994="","",X994*IF(AND(ISNUMBER(AC994),AC994&gt;0,AC994&lt;1),AC994*100,AC994)/100)</f>
        <v/>
      </c>
      <c r="Z994" s="5">
        <f>IF(D994="","",AB994*AA994/100)</f>
        <v/>
      </c>
      <c r="AA994" s="5">
        <f>IF(D994="","",X994-Y994)</f>
        <v/>
      </c>
      <c r="AD994" s="5">
        <f>IF(D994="","",AA994-Z994)</f>
        <v/>
      </c>
      <c r="AG994">
        <f>IF(D994="","",N(AG993)+IF(MATCH(D994,$D$2:$D$3001,0)=ROW()-1,1,0))</f>
        <v/>
      </c>
    </row>
    <row r="995">
      <c r="Y995" s="5">
        <f>IF(D995="","",X995*IF(AND(ISNUMBER(AC995),AC995&gt;0,AC995&lt;1),AC995*100,AC995)/100)</f>
        <v/>
      </c>
      <c r="Z995" s="5">
        <f>IF(D995="","",AB995*AA995/100)</f>
        <v/>
      </c>
      <c r="AA995" s="5">
        <f>IF(D995="","",X995-Y995)</f>
        <v/>
      </c>
      <c r="AD995" s="5">
        <f>IF(D995="","",AA995-Z995)</f>
        <v/>
      </c>
      <c r="AG995">
        <f>IF(D995="","",N(AG994)+IF(MATCH(D995,$D$2:$D$3001,0)=ROW()-1,1,0))</f>
        <v/>
      </c>
    </row>
    <row r="996">
      <c r="Y996" s="5">
        <f>IF(D996="","",X996*IF(AND(ISNUMBER(AC996),AC996&gt;0,AC996&lt;1),AC996*100,AC996)/100)</f>
        <v/>
      </c>
      <c r="Z996" s="5">
        <f>IF(D996="","",AB996*AA996/100)</f>
        <v/>
      </c>
      <c r="AA996" s="5">
        <f>IF(D996="","",X996-Y996)</f>
        <v/>
      </c>
      <c r="AD996" s="5">
        <f>IF(D996="","",AA996-Z996)</f>
        <v/>
      </c>
      <c r="AG996">
        <f>IF(D996="","",N(AG995)+IF(MATCH(D996,$D$2:$D$3001,0)=ROW()-1,1,0))</f>
        <v/>
      </c>
    </row>
    <row r="997">
      <c r="Y997" s="5">
        <f>IF(D997="","",X997*IF(AND(ISNUMBER(AC997),AC997&gt;0,AC997&lt;1),AC997*100,AC997)/100)</f>
        <v/>
      </c>
      <c r="Z997" s="5">
        <f>IF(D997="","",AB997*AA997/100)</f>
        <v/>
      </c>
      <c r="AA997" s="5">
        <f>IF(D997="","",X997-Y997)</f>
        <v/>
      </c>
      <c r="AD997" s="5">
        <f>IF(D997="","",AA997-Z997)</f>
        <v/>
      </c>
      <c r="AG997">
        <f>IF(D997="","",N(AG996)+IF(MATCH(D997,$D$2:$D$3001,0)=ROW()-1,1,0))</f>
        <v/>
      </c>
    </row>
    <row r="998">
      <c r="Y998" s="5">
        <f>IF(D998="","",X998*IF(AND(ISNUMBER(AC998),AC998&gt;0,AC998&lt;1),AC998*100,AC998)/100)</f>
        <v/>
      </c>
      <c r="Z998" s="5">
        <f>IF(D998="","",AB998*AA998/100)</f>
        <v/>
      </c>
      <c r="AA998" s="5">
        <f>IF(D998="","",X998-Y998)</f>
        <v/>
      </c>
      <c r="AD998" s="5">
        <f>IF(D998="","",AA998-Z998)</f>
        <v/>
      </c>
      <c r="AG998">
        <f>IF(D998="","",N(AG997)+IF(MATCH(D998,$D$2:$D$3001,0)=ROW()-1,1,0))</f>
        <v/>
      </c>
    </row>
    <row r="999">
      <c r="Y999" s="5">
        <f>IF(D999="","",X999*IF(AND(ISNUMBER(AC999),AC999&gt;0,AC999&lt;1),AC999*100,AC999)/100)</f>
        <v/>
      </c>
      <c r="Z999" s="5">
        <f>IF(D999="","",AB999*AA999/100)</f>
        <v/>
      </c>
      <c r="AA999" s="5">
        <f>IF(D999="","",X999-Y999)</f>
        <v/>
      </c>
      <c r="AD999" s="5">
        <f>IF(D999="","",AA999-Z999)</f>
        <v/>
      </c>
      <c r="AG999">
        <f>IF(D999="","",N(AG998)+IF(MATCH(D999,$D$2:$D$3001,0)=ROW()-1,1,0))</f>
        <v/>
      </c>
    </row>
    <row r="1000">
      <c r="Y1000" s="5">
        <f>IF(D1000="","",X1000*IF(AND(ISNUMBER(AC1000),AC1000&gt;0,AC1000&lt;1),AC1000*100,AC1000)/100)</f>
        <v/>
      </c>
      <c r="Z1000" s="5">
        <f>IF(D1000="","",AB1000*AA1000/100)</f>
        <v/>
      </c>
      <c r="AA1000" s="5">
        <f>IF(D1000="","",X1000-Y1000)</f>
        <v/>
      </c>
      <c r="AD1000" s="5">
        <f>IF(D1000="","",AA1000-Z1000)</f>
        <v/>
      </c>
      <c r="AG1000">
        <f>IF(D1000="","",N(AG999)+IF(MATCH(D1000,$D$2:$D$3001,0)=ROW()-1,1,0))</f>
        <v/>
      </c>
    </row>
    <row r="1001">
      <c r="Y1001" s="5">
        <f>IF(D1001="","",X1001*IF(AND(ISNUMBER(AC1001),AC1001&gt;0,AC1001&lt;1),AC1001*100,AC1001)/100)</f>
        <v/>
      </c>
      <c r="Z1001" s="5">
        <f>IF(D1001="","",AB1001*AA1001/100)</f>
        <v/>
      </c>
      <c r="AA1001" s="5">
        <f>IF(D1001="","",X1001-Y1001)</f>
        <v/>
      </c>
      <c r="AD1001" s="5">
        <f>IF(D1001="","",AA1001-Z1001)</f>
        <v/>
      </c>
      <c r="AG1001">
        <f>IF(D1001="","",N(AG1000)+IF(MATCH(D1001,$D$2:$D$3001,0)=ROW()-1,1,0))</f>
        <v/>
      </c>
    </row>
    <row r="1002">
      <c r="Y1002" s="5">
        <f>IF(D1002="","",X1002*IF(AND(ISNUMBER(AC1002),AC1002&gt;0,AC1002&lt;1),AC1002*100,AC1002)/100)</f>
        <v/>
      </c>
      <c r="Z1002" s="5">
        <f>IF(D1002="","",AB1002*AA1002/100)</f>
        <v/>
      </c>
      <c r="AA1002" s="5">
        <f>IF(D1002="","",X1002-Y1002)</f>
        <v/>
      </c>
      <c r="AD1002" s="5">
        <f>IF(D1002="","",AA1002-Z1002)</f>
        <v/>
      </c>
      <c r="AG1002">
        <f>IF(D1002="","",N(AG1001)+IF(MATCH(D1002,$D$2:$D$3001,0)=ROW()-1,1,0))</f>
        <v/>
      </c>
    </row>
    <row r="1003">
      <c r="Y1003" s="5">
        <f>IF(D1003="","",X1003*IF(AND(ISNUMBER(AC1003),AC1003&gt;0,AC1003&lt;1),AC1003*100,AC1003)/100)</f>
        <v/>
      </c>
      <c r="Z1003" s="5">
        <f>IF(D1003="","",AB1003*AA1003/100)</f>
        <v/>
      </c>
      <c r="AA1003" s="5">
        <f>IF(D1003="","",X1003-Y1003)</f>
        <v/>
      </c>
      <c r="AD1003" s="5">
        <f>IF(D1003="","",AA1003-Z1003)</f>
        <v/>
      </c>
      <c r="AG1003">
        <f>IF(D1003="","",N(AG1002)+IF(MATCH(D1003,$D$2:$D$3001,0)=ROW()-1,1,0))</f>
        <v/>
      </c>
    </row>
    <row r="1004">
      <c r="Y1004" s="5">
        <f>IF(D1004="","",X1004*IF(AND(ISNUMBER(AC1004),AC1004&gt;0,AC1004&lt;1),AC1004*100,AC1004)/100)</f>
        <v/>
      </c>
      <c r="Z1004" s="5">
        <f>IF(D1004="","",AB1004*AA1004/100)</f>
        <v/>
      </c>
      <c r="AA1004" s="5">
        <f>IF(D1004="","",X1004-Y1004)</f>
        <v/>
      </c>
      <c r="AD1004" s="5">
        <f>IF(D1004="","",AA1004-Z1004)</f>
        <v/>
      </c>
      <c r="AG1004">
        <f>IF(D1004="","",N(AG1003)+IF(MATCH(D1004,$D$2:$D$3001,0)=ROW()-1,1,0))</f>
        <v/>
      </c>
    </row>
    <row r="1005">
      <c r="Y1005" s="5">
        <f>IF(D1005="","",X1005*IF(AND(ISNUMBER(AC1005),AC1005&gt;0,AC1005&lt;1),AC1005*100,AC1005)/100)</f>
        <v/>
      </c>
      <c r="Z1005" s="5">
        <f>IF(D1005="","",AB1005*AA1005/100)</f>
        <v/>
      </c>
      <c r="AA1005" s="5">
        <f>IF(D1005="","",X1005-Y1005)</f>
        <v/>
      </c>
      <c r="AD1005" s="5">
        <f>IF(D1005="","",AA1005-Z1005)</f>
        <v/>
      </c>
      <c r="AG1005">
        <f>IF(D1005="","",N(AG1004)+IF(MATCH(D1005,$D$2:$D$3001,0)=ROW()-1,1,0))</f>
        <v/>
      </c>
    </row>
    <row r="1006">
      <c r="Y1006" s="5">
        <f>IF(D1006="","",X1006*IF(AND(ISNUMBER(AC1006),AC1006&gt;0,AC1006&lt;1),AC1006*100,AC1006)/100)</f>
        <v/>
      </c>
      <c r="Z1006" s="5">
        <f>IF(D1006="","",AB1006*AA1006/100)</f>
        <v/>
      </c>
      <c r="AA1006" s="5">
        <f>IF(D1006="","",X1006-Y1006)</f>
        <v/>
      </c>
      <c r="AD1006" s="5">
        <f>IF(D1006="","",AA1006-Z1006)</f>
        <v/>
      </c>
      <c r="AG1006">
        <f>IF(D1006="","",N(AG1005)+IF(MATCH(D1006,$D$2:$D$3001,0)=ROW()-1,1,0))</f>
        <v/>
      </c>
    </row>
    <row r="1007">
      <c r="Y1007" s="5">
        <f>IF(D1007="","",X1007*IF(AND(ISNUMBER(AC1007),AC1007&gt;0,AC1007&lt;1),AC1007*100,AC1007)/100)</f>
        <v/>
      </c>
      <c r="Z1007" s="5">
        <f>IF(D1007="","",AB1007*AA1007/100)</f>
        <v/>
      </c>
      <c r="AA1007" s="5">
        <f>IF(D1007="","",X1007-Y1007)</f>
        <v/>
      </c>
      <c r="AD1007" s="5">
        <f>IF(D1007="","",AA1007-Z1007)</f>
        <v/>
      </c>
      <c r="AG1007">
        <f>IF(D1007="","",N(AG1006)+IF(MATCH(D1007,$D$2:$D$3001,0)=ROW()-1,1,0))</f>
        <v/>
      </c>
    </row>
    <row r="1008">
      <c r="Y1008" s="5">
        <f>IF(D1008="","",X1008*IF(AND(ISNUMBER(AC1008),AC1008&gt;0,AC1008&lt;1),AC1008*100,AC1008)/100)</f>
        <v/>
      </c>
      <c r="Z1008" s="5">
        <f>IF(D1008="","",AB1008*AA1008/100)</f>
        <v/>
      </c>
      <c r="AA1008" s="5">
        <f>IF(D1008="","",X1008-Y1008)</f>
        <v/>
      </c>
      <c r="AD1008" s="5">
        <f>IF(D1008="","",AA1008-Z1008)</f>
        <v/>
      </c>
      <c r="AG1008">
        <f>IF(D1008="","",N(AG1007)+IF(MATCH(D1008,$D$2:$D$3001,0)=ROW()-1,1,0))</f>
        <v/>
      </c>
    </row>
    <row r="1009">
      <c r="Y1009" s="5">
        <f>IF(D1009="","",X1009*IF(AND(ISNUMBER(AC1009),AC1009&gt;0,AC1009&lt;1),AC1009*100,AC1009)/100)</f>
        <v/>
      </c>
      <c r="Z1009" s="5">
        <f>IF(D1009="","",AB1009*AA1009/100)</f>
        <v/>
      </c>
      <c r="AA1009" s="5">
        <f>IF(D1009="","",X1009-Y1009)</f>
        <v/>
      </c>
      <c r="AD1009" s="5">
        <f>IF(D1009="","",AA1009-Z1009)</f>
        <v/>
      </c>
      <c r="AG1009">
        <f>IF(D1009="","",N(AG1008)+IF(MATCH(D1009,$D$2:$D$3001,0)=ROW()-1,1,0))</f>
        <v/>
      </c>
    </row>
    <row r="1010">
      <c r="Y1010" s="5">
        <f>IF(D1010="","",X1010*IF(AND(ISNUMBER(AC1010),AC1010&gt;0,AC1010&lt;1),AC1010*100,AC1010)/100)</f>
        <v/>
      </c>
      <c r="Z1010" s="5">
        <f>IF(D1010="","",AB1010*AA1010/100)</f>
        <v/>
      </c>
      <c r="AA1010" s="5">
        <f>IF(D1010="","",X1010-Y1010)</f>
        <v/>
      </c>
      <c r="AD1010" s="5">
        <f>IF(D1010="","",AA1010-Z1010)</f>
        <v/>
      </c>
      <c r="AG1010">
        <f>IF(D1010="","",N(AG1009)+IF(MATCH(D1010,$D$2:$D$3001,0)=ROW()-1,1,0))</f>
        <v/>
      </c>
    </row>
    <row r="1011">
      <c r="Y1011" s="5">
        <f>IF(D1011="","",X1011*IF(AND(ISNUMBER(AC1011),AC1011&gt;0,AC1011&lt;1),AC1011*100,AC1011)/100)</f>
        <v/>
      </c>
      <c r="Z1011" s="5">
        <f>IF(D1011="","",AB1011*AA1011/100)</f>
        <v/>
      </c>
      <c r="AA1011" s="5">
        <f>IF(D1011="","",X1011-Y1011)</f>
        <v/>
      </c>
      <c r="AD1011" s="5">
        <f>IF(D1011="","",AA1011-Z1011)</f>
        <v/>
      </c>
      <c r="AG1011">
        <f>IF(D1011="","",N(AG1010)+IF(MATCH(D1011,$D$2:$D$3001,0)=ROW()-1,1,0))</f>
        <v/>
      </c>
    </row>
    <row r="1012">
      <c r="Y1012" s="5">
        <f>IF(D1012="","",X1012*IF(AND(ISNUMBER(AC1012),AC1012&gt;0,AC1012&lt;1),AC1012*100,AC1012)/100)</f>
        <v/>
      </c>
      <c r="Z1012" s="5">
        <f>IF(D1012="","",AB1012*AA1012/100)</f>
        <v/>
      </c>
      <c r="AA1012" s="5">
        <f>IF(D1012="","",X1012-Y1012)</f>
        <v/>
      </c>
      <c r="AD1012" s="5">
        <f>IF(D1012="","",AA1012-Z1012)</f>
        <v/>
      </c>
      <c r="AG1012">
        <f>IF(D1012="","",N(AG1011)+IF(MATCH(D1012,$D$2:$D$3001,0)=ROW()-1,1,0))</f>
        <v/>
      </c>
    </row>
    <row r="1013">
      <c r="Y1013" s="5">
        <f>IF(D1013="","",X1013*IF(AND(ISNUMBER(AC1013),AC1013&gt;0,AC1013&lt;1),AC1013*100,AC1013)/100)</f>
        <v/>
      </c>
      <c r="Z1013" s="5">
        <f>IF(D1013="","",AB1013*AA1013/100)</f>
        <v/>
      </c>
      <c r="AA1013" s="5">
        <f>IF(D1013="","",X1013-Y1013)</f>
        <v/>
      </c>
      <c r="AD1013" s="5">
        <f>IF(D1013="","",AA1013-Z1013)</f>
        <v/>
      </c>
      <c r="AG1013">
        <f>IF(D1013="","",N(AG1012)+IF(MATCH(D1013,$D$2:$D$3001,0)=ROW()-1,1,0))</f>
        <v/>
      </c>
    </row>
    <row r="1014">
      <c r="Y1014" s="5">
        <f>IF(D1014="","",X1014*IF(AND(ISNUMBER(AC1014),AC1014&gt;0,AC1014&lt;1),AC1014*100,AC1014)/100)</f>
        <v/>
      </c>
      <c r="Z1014" s="5">
        <f>IF(D1014="","",AB1014*AA1014/100)</f>
        <v/>
      </c>
      <c r="AA1014" s="5">
        <f>IF(D1014="","",X1014-Y1014)</f>
        <v/>
      </c>
      <c r="AD1014" s="5">
        <f>IF(D1014="","",AA1014-Z1014)</f>
        <v/>
      </c>
      <c r="AG1014">
        <f>IF(D1014="","",N(AG1013)+IF(MATCH(D1014,$D$2:$D$3001,0)=ROW()-1,1,0))</f>
        <v/>
      </c>
    </row>
    <row r="1015">
      <c r="Y1015" s="5">
        <f>IF(D1015="","",X1015*IF(AND(ISNUMBER(AC1015),AC1015&gt;0,AC1015&lt;1),AC1015*100,AC1015)/100)</f>
        <v/>
      </c>
      <c r="Z1015" s="5">
        <f>IF(D1015="","",AB1015*AA1015/100)</f>
        <v/>
      </c>
      <c r="AA1015" s="5">
        <f>IF(D1015="","",X1015-Y1015)</f>
        <v/>
      </c>
      <c r="AD1015" s="5">
        <f>IF(D1015="","",AA1015-Z1015)</f>
        <v/>
      </c>
      <c r="AG1015">
        <f>IF(D1015="","",N(AG1014)+IF(MATCH(D1015,$D$2:$D$3001,0)=ROW()-1,1,0))</f>
        <v/>
      </c>
    </row>
    <row r="1016">
      <c r="Y1016" s="5">
        <f>IF(D1016="","",X1016*IF(AND(ISNUMBER(AC1016),AC1016&gt;0,AC1016&lt;1),AC1016*100,AC1016)/100)</f>
        <v/>
      </c>
      <c r="Z1016" s="5">
        <f>IF(D1016="","",AB1016*AA1016/100)</f>
        <v/>
      </c>
      <c r="AA1016" s="5">
        <f>IF(D1016="","",X1016-Y1016)</f>
        <v/>
      </c>
      <c r="AD1016" s="5">
        <f>IF(D1016="","",AA1016-Z1016)</f>
        <v/>
      </c>
      <c r="AG1016">
        <f>IF(D1016="","",N(AG1015)+IF(MATCH(D1016,$D$2:$D$3001,0)=ROW()-1,1,0))</f>
        <v/>
      </c>
    </row>
    <row r="1017">
      <c r="Y1017" s="5">
        <f>IF(D1017="","",X1017*IF(AND(ISNUMBER(AC1017),AC1017&gt;0,AC1017&lt;1),AC1017*100,AC1017)/100)</f>
        <v/>
      </c>
      <c r="Z1017" s="5">
        <f>IF(D1017="","",AB1017*AA1017/100)</f>
        <v/>
      </c>
      <c r="AA1017" s="5">
        <f>IF(D1017="","",X1017-Y1017)</f>
        <v/>
      </c>
      <c r="AD1017" s="5">
        <f>IF(D1017="","",AA1017-Z1017)</f>
        <v/>
      </c>
      <c r="AG1017">
        <f>IF(D1017="","",N(AG1016)+IF(MATCH(D1017,$D$2:$D$3001,0)=ROW()-1,1,0))</f>
        <v/>
      </c>
    </row>
    <row r="1018">
      <c r="Y1018" s="5">
        <f>IF(D1018="","",X1018*IF(AND(ISNUMBER(AC1018),AC1018&gt;0,AC1018&lt;1),AC1018*100,AC1018)/100)</f>
        <v/>
      </c>
      <c r="Z1018" s="5">
        <f>IF(D1018="","",AB1018*AA1018/100)</f>
        <v/>
      </c>
      <c r="AA1018" s="5">
        <f>IF(D1018="","",X1018-Y1018)</f>
        <v/>
      </c>
      <c r="AD1018" s="5">
        <f>IF(D1018="","",AA1018-Z1018)</f>
        <v/>
      </c>
      <c r="AG1018">
        <f>IF(D1018="","",N(AG1017)+IF(MATCH(D1018,$D$2:$D$3001,0)=ROW()-1,1,0))</f>
        <v/>
      </c>
    </row>
    <row r="1019">
      <c r="Y1019" s="5">
        <f>IF(D1019="","",X1019*IF(AND(ISNUMBER(AC1019),AC1019&gt;0,AC1019&lt;1),AC1019*100,AC1019)/100)</f>
        <v/>
      </c>
      <c r="Z1019" s="5">
        <f>IF(D1019="","",AB1019*AA1019/100)</f>
        <v/>
      </c>
      <c r="AA1019" s="5">
        <f>IF(D1019="","",X1019-Y1019)</f>
        <v/>
      </c>
      <c r="AD1019" s="5">
        <f>IF(D1019="","",AA1019-Z1019)</f>
        <v/>
      </c>
      <c r="AG1019">
        <f>IF(D1019="","",N(AG1018)+IF(MATCH(D1019,$D$2:$D$3001,0)=ROW()-1,1,0))</f>
        <v/>
      </c>
    </row>
    <row r="1020">
      <c r="Y1020" s="5">
        <f>IF(D1020="","",X1020*IF(AND(ISNUMBER(AC1020),AC1020&gt;0,AC1020&lt;1),AC1020*100,AC1020)/100)</f>
        <v/>
      </c>
      <c r="Z1020" s="5">
        <f>IF(D1020="","",AB1020*AA1020/100)</f>
        <v/>
      </c>
      <c r="AA1020" s="5">
        <f>IF(D1020="","",X1020-Y1020)</f>
        <v/>
      </c>
      <c r="AD1020" s="5">
        <f>IF(D1020="","",AA1020-Z1020)</f>
        <v/>
      </c>
      <c r="AG1020">
        <f>IF(D1020="","",N(AG1019)+IF(MATCH(D1020,$D$2:$D$3001,0)=ROW()-1,1,0))</f>
        <v/>
      </c>
    </row>
    <row r="1021">
      <c r="Y1021" s="5">
        <f>IF(D1021="","",X1021*IF(AND(ISNUMBER(AC1021),AC1021&gt;0,AC1021&lt;1),AC1021*100,AC1021)/100)</f>
        <v/>
      </c>
      <c r="Z1021" s="5">
        <f>IF(D1021="","",AB1021*AA1021/100)</f>
        <v/>
      </c>
      <c r="AA1021" s="5">
        <f>IF(D1021="","",X1021-Y1021)</f>
        <v/>
      </c>
      <c r="AD1021" s="5">
        <f>IF(D1021="","",AA1021-Z1021)</f>
        <v/>
      </c>
      <c r="AG1021">
        <f>IF(D1021="","",N(AG1020)+IF(MATCH(D1021,$D$2:$D$3001,0)=ROW()-1,1,0))</f>
        <v/>
      </c>
    </row>
    <row r="1022">
      <c r="Y1022" s="5">
        <f>IF(D1022="","",X1022*IF(AND(ISNUMBER(AC1022),AC1022&gt;0,AC1022&lt;1),AC1022*100,AC1022)/100)</f>
        <v/>
      </c>
      <c r="Z1022" s="5">
        <f>IF(D1022="","",AB1022*AA1022/100)</f>
        <v/>
      </c>
      <c r="AA1022" s="5">
        <f>IF(D1022="","",X1022-Y1022)</f>
        <v/>
      </c>
      <c r="AD1022" s="5">
        <f>IF(D1022="","",AA1022-Z1022)</f>
        <v/>
      </c>
      <c r="AG1022">
        <f>IF(D1022="","",N(AG1021)+IF(MATCH(D1022,$D$2:$D$3001,0)=ROW()-1,1,0))</f>
        <v/>
      </c>
    </row>
    <row r="1023">
      <c r="Y1023" s="5">
        <f>IF(D1023="","",X1023*IF(AND(ISNUMBER(AC1023),AC1023&gt;0,AC1023&lt;1),AC1023*100,AC1023)/100)</f>
        <v/>
      </c>
      <c r="Z1023" s="5">
        <f>IF(D1023="","",AB1023*AA1023/100)</f>
        <v/>
      </c>
      <c r="AA1023" s="5">
        <f>IF(D1023="","",X1023-Y1023)</f>
        <v/>
      </c>
      <c r="AD1023" s="5">
        <f>IF(D1023="","",AA1023-Z1023)</f>
        <v/>
      </c>
      <c r="AG1023">
        <f>IF(D1023="","",N(AG1022)+IF(MATCH(D1023,$D$2:$D$3001,0)=ROW()-1,1,0))</f>
        <v/>
      </c>
    </row>
    <row r="1024">
      <c r="Y1024" s="5">
        <f>IF(D1024="","",X1024*IF(AND(ISNUMBER(AC1024),AC1024&gt;0,AC1024&lt;1),AC1024*100,AC1024)/100)</f>
        <v/>
      </c>
      <c r="Z1024" s="5">
        <f>IF(D1024="","",AB1024*AA1024/100)</f>
        <v/>
      </c>
      <c r="AA1024" s="5">
        <f>IF(D1024="","",X1024-Y1024)</f>
        <v/>
      </c>
      <c r="AD1024" s="5">
        <f>IF(D1024="","",AA1024-Z1024)</f>
        <v/>
      </c>
      <c r="AG1024">
        <f>IF(D1024="","",N(AG1023)+IF(MATCH(D1024,$D$2:$D$3001,0)=ROW()-1,1,0))</f>
        <v/>
      </c>
    </row>
    <row r="1025">
      <c r="Y1025" s="5">
        <f>IF(D1025="","",X1025*IF(AND(ISNUMBER(AC1025),AC1025&gt;0,AC1025&lt;1),AC1025*100,AC1025)/100)</f>
        <v/>
      </c>
      <c r="Z1025" s="5">
        <f>IF(D1025="","",AB1025*AA1025/100)</f>
        <v/>
      </c>
      <c r="AA1025" s="5">
        <f>IF(D1025="","",X1025-Y1025)</f>
        <v/>
      </c>
      <c r="AD1025" s="5">
        <f>IF(D1025="","",AA1025-Z1025)</f>
        <v/>
      </c>
      <c r="AG1025">
        <f>IF(D1025="","",N(AG1024)+IF(MATCH(D1025,$D$2:$D$3001,0)=ROW()-1,1,0))</f>
        <v/>
      </c>
    </row>
    <row r="1026">
      <c r="Y1026" s="5">
        <f>IF(D1026="","",X1026*IF(AND(ISNUMBER(AC1026),AC1026&gt;0,AC1026&lt;1),AC1026*100,AC1026)/100)</f>
        <v/>
      </c>
      <c r="Z1026" s="5">
        <f>IF(D1026="","",AB1026*AA1026/100)</f>
        <v/>
      </c>
      <c r="AA1026" s="5">
        <f>IF(D1026="","",X1026-Y1026)</f>
        <v/>
      </c>
      <c r="AD1026" s="5">
        <f>IF(D1026="","",AA1026-Z1026)</f>
        <v/>
      </c>
      <c r="AG1026">
        <f>IF(D1026="","",N(AG1025)+IF(MATCH(D1026,$D$2:$D$3001,0)=ROW()-1,1,0))</f>
        <v/>
      </c>
    </row>
    <row r="1027">
      <c r="Y1027" s="5">
        <f>IF(D1027="","",X1027*IF(AND(ISNUMBER(AC1027),AC1027&gt;0,AC1027&lt;1),AC1027*100,AC1027)/100)</f>
        <v/>
      </c>
      <c r="Z1027" s="5">
        <f>IF(D1027="","",AB1027*AA1027/100)</f>
        <v/>
      </c>
      <c r="AA1027" s="5">
        <f>IF(D1027="","",X1027-Y1027)</f>
        <v/>
      </c>
      <c r="AD1027" s="5">
        <f>IF(D1027="","",AA1027-Z1027)</f>
        <v/>
      </c>
      <c r="AG1027">
        <f>IF(D1027="","",N(AG1026)+IF(MATCH(D1027,$D$2:$D$3001,0)=ROW()-1,1,0))</f>
        <v/>
      </c>
    </row>
    <row r="1028">
      <c r="Y1028" s="5">
        <f>IF(D1028="","",X1028*IF(AND(ISNUMBER(AC1028),AC1028&gt;0,AC1028&lt;1),AC1028*100,AC1028)/100)</f>
        <v/>
      </c>
      <c r="Z1028" s="5">
        <f>IF(D1028="","",AB1028*AA1028/100)</f>
        <v/>
      </c>
      <c r="AA1028" s="5">
        <f>IF(D1028="","",X1028-Y1028)</f>
        <v/>
      </c>
      <c r="AD1028" s="5">
        <f>IF(D1028="","",AA1028-Z1028)</f>
        <v/>
      </c>
      <c r="AG1028">
        <f>IF(D1028="","",N(AG1027)+IF(MATCH(D1028,$D$2:$D$3001,0)=ROW()-1,1,0))</f>
        <v/>
      </c>
    </row>
    <row r="1029">
      <c r="Y1029" s="5">
        <f>IF(D1029="","",X1029*IF(AND(ISNUMBER(AC1029),AC1029&gt;0,AC1029&lt;1),AC1029*100,AC1029)/100)</f>
        <v/>
      </c>
      <c r="Z1029" s="5">
        <f>IF(D1029="","",AB1029*AA1029/100)</f>
        <v/>
      </c>
      <c r="AA1029" s="5">
        <f>IF(D1029="","",X1029-Y1029)</f>
        <v/>
      </c>
      <c r="AD1029" s="5">
        <f>IF(D1029="","",AA1029-Z1029)</f>
        <v/>
      </c>
      <c r="AG1029">
        <f>IF(D1029="","",N(AG1028)+IF(MATCH(D1029,$D$2:$D$3001,0)=ROW()-1,1,0))</f>
        <v/>
      </c>
    </row>
    <row r="1030">
      <c r="Y1030" s="5">
        <f>IF(D1030="","",X1030*IF(AND(ISNUMBER(AC1030),AC1030&gt;0,AC1030&lt;1),AC1030*100,AC1030)/100)</f>
        <v/>
      </c>
      <c r="Z1030" s="5">
        <f>IF(D1030="","",AB1030*AA1030/100)</f>
        <v/>
      </c>
      <c r="AA1030" s="5">
        <f>IF(D1030="","",X1030-Y1030)</f>
        <v/>
      </c>
      <c r="AD1030" s="5">
        <f>IF(D1030="","",AA1030-Z1030)</f>
        <v/>
      </c>
      <c r="AG1030">
        <f>IF(D1030="","",N(AG1029)+IF(MATCH(D1030,$D$2:$D$3001,0)=ROW()-1,1,0))</f>
        <v/>
      </c>
    </row>
    <row r="1031">
      <c r="Y1031" s="5">
        <f>IF(D1031="","",X1031*IF(AND(ISNUMBER(AC1031),AC1031&gt;0,AC1031&lt;1),AC1031*100,AC1031)/100)</f>
        <v/>
      </c>
      <c r="Z1031" s="5">
        <f>IF(D1031="","",AB1031*AA1031/100)</f>
        <v/>
      </c>
      <c r="AA1031" s="5">
        <f>IF(D1031="","",X1031-Y1031)</f>
        <v/>
      </c>
      <c r="AD1031" s="5">
        <f>IF(D1031="","",AA1031-Z1031)</f>
        <v/>
      </c>
      <c r="AG1031">
        <f>IF(D1031="","",N(AG1030)+IF(MATCH(D1031,$D$2:$D$3001,0)=ROW()-1,1,0))</f>
        <v/>
      </c>
    </row>
    <row r="1032">
      <c r="Y1032" s="5">
        <f>IF(D1032="","",X1032*IF(AND(ISNUMBER(AC1032),AC1032&gt;0,AC1032&lt;1),AC1032*100,AC1032)/100)</f>
        <v/>
      </c>
      <c r="Z1032" s="5">
        <f>IF(D1032="","",AB1032*AA1032/100)</f>
        <v/>
      </c>
      <c r="AA1032" s="5">
        <f>IF(D1032="","",X1032-Y1032)</f>
        <v/>
      </c>
      <c r="AD1032" s="5">
        <f>IF(D1032="","",AA1032-Z1032)</f>
        <v/>
      </c>
      <c r="AG1032">
        <f>IF(D1032="","",N(AG1031)+IF(MATCH(D1032,$D$2:$D$3001,0)=ROW()-1,1,0))</f>
        <v/>
      </c>
    </row>
    <row r="1033">
      <c r="Y1033" s="5">
        <f>IF(D1033="","",X1033*IF(AND(ISNUMBER(AC1033),AC1033&gt;0,AC1033&lt;1),AC1033*100,AC1033)/100)</f>
        <v/>
      </c>
      <c r="Z1033" s="5">
        <f>IF(D1033="","",AB1033*AA1033/100)</f>
        <v/>
      </c>
      <c r="AA1033" s="5">
        <f>IF(D1033="","",X1033-Y1033)</f>
        <v/>
      </c>
      <c r="AD1033" s="5">
        <f>IF(D1033="","",AA1033-Z1033)</f>
        <v/>
      </c>
      <c r="AG1033">
        <f>IF(D1033="","",N(AG1032)+IF(MATCH(D1033,$D$2:$D$3001,0)=ROW()-1,1,0))</f>
        <v/>
      </c>
    </row>
    <row r="1034">
      <c r="Y1034" s="5">
        <f>IF(D1034="","",X1034*IF(AND(ISNUMBER(AC1034),AC1034&gt;0,AC1034&lt;1),AC1034*100,AC1034)/100)</f>
        <v/>
      </c>
      <c r="Z1034" s="5">
        <f>IF(D1034="","",AB1034*AA1034/100)</f>
        <v/>
      </c>
      <c r="AA1034" s="5">
        <f>IF(D1034="","",X1034-Y1034)</f>
        <v/>
      </c>
      <c r="AD1034" s="5">
        <f>IF(D1034="","",AA1034-Z1034)</f>
        <v/>
      </c>
      <c r="AG1034">
        <f>IF(D1034="","",N(AG1033)+IF(MATCH(D1034,$D$2:$D$3001,0)=ROW()-1,1,0))</f>
        <v/>
      </c>
    </row>
    <row r="1035">
      <c r="Y1035" s="5">
        <f>IF(D1035="","",X1035*IF(AND(ISNUMBER(AC1035),AC1035&gt;0,AC1035&lt;1),AC1035*100,AC1035)/100)</f>
        <v/>
      </c>
      <c r="Z1035" s="5">
        <f>IF(D1035="","",AB1035*AA1035/100)</f>
        <v/>
      </c>
      <c r="AA1035" s="5">
        <f>IF(D1035="","",X1035-Y1035)</f>
        <v/>
      </c>
      <c r="AD1035" s="5">
        <f>IF(D1035="","",AA1035-Z1035)</f>
        <v/>
      </c>
      <c r="AG1035">
        <f>IF(D1035="","",N(AG1034)+IF(MATCH(D1035,$D$2:$D$3001,0)=ROW()-1,1,0))</f>
        <v/>
      </c>
    </row>
    <row r="1036">
      <c r="Y1036" s="5">
        <f>IF(D1036="","",X1036*IF(AND(ISNUMBER(AC1036),AC1036&gt;0,AC1036&lt;1),AC1036*100,AC1036)/100)</f>
        <v/>
      </c>
      <c r="Z1036" s="5">
        <f>IF(D1036="","",AB1036*AA1036/100)</f>
        <v/>
      </c>
      <c r="AA1036" s="5">
        <f>IF(D1036="","",X1036-Y1036)</f>
        <v/>
      </c>
      <c r="AD1036" s="5">
        <f>IF(D1036="","",AA1036-Z1036)</f>
        <v/>
      </c>
      <c r="AG1036">
        <f>IF(D1036="","",N(AG1035)+IF(MATCH(D1036,$D$2:$D$3001,0)=ROW()-1,1,0))</f>
        <v/>
      </c>
    </row>
    <row r="1037">
      <c r="Y1037" s="5">
        <f>IF(D1037="","",X1037*IF(AND(ISNUMBER(AC1037),AC1037&gt;0,AC1037&lt;1),AC1037*100,AC1037)/100)</f>
        <v/>
      </c>
      <c r="Z1037" s="5">
        <f>IF(D1037="","",AB1037*AA1037/100)</f>
        <v/>
      </c>
      <c r="AA1037" s="5">
        <f>IF(D1037="","",X1037-Y1037)</f>
        <v/>
      </c>
      <c r="AD1037" s="5">
        <f>IF(D1037="","",AA1037-Z1037)</f>
        <v/>
      </c>
      <c r="AG1037">
        <f>IF(D1037="","",N(AG1036)+IF(MATCH(D1037,$D$2:$D$3001,0)=ROW()-1,1,0))</f>
        <v/>
      </c>
    </row>
    <row r="1038">
      <c r="Y1038" s="5">
        <f>IF(D1038="","",X1038*IF(AND(ISNUMBER(AC1038),AC1038&gt;0,AC1038&lt;1),AC1038*100,AC1038)/100)</f>
        <v/>
      </c>
      <c r="Z1038" s="5">
        <f>IF(D1038="","",AB1038*AA1038/100)</f>
        <v/>
      </c>
      <c r="AA1038" s="5">
        <f>IF(D1038="","",X1038-Y1038)</f>
        <v/>
      </c>
      <c r="AD1038" s="5">
        <f>IF(D1038="","",AA1038-Z1038)</f>
        <v/>
      </c>
      <c r="AG1038">
        <f>IF(D1038="","",N(AG1037)+IF(MATCH(D1038,$D$2:$D$3001,0)=ROW()-1,1,0))</f>
        <v/>
      </c>
    </row>
    <row r="1039">
      <c r="Y1039" s="5">
        <f>IF(D1039="","",X1039*IF(AND(ISNUMBER(AC1039),AC1039&gt;0,AC1039&lt;1),AC1039*100,AC1039)/100)</f>
        <v/>
      </c>
      <c r="Z1039" s="5">
        <f>IF(D1039="","",AB1039*AA1039/100)</f>
        <v/>
      </c>
      <c r="AA1039" s="5">
        <f>IF(D1039="","",X1039-Y1039)</f>
        <v/>
      </c>
      <c r="AD1039" s="5">
        <f>IF(D1039="","",AA1039-Z1039)</f>
        <v/>
      </c>
      <c r="AG1039">
        <f>IF(D1039="","",N(AG1038)+IF(MATCH(D1039,$D$2:$D$3001,0)=ROW()-1,1,0))</f>
        <v/>
      </c>
    </row>
    <row r="1040">
      <c r="Y1040" s="5">
        <f>IF(D1040="","",X1040*IF(AND(ISNUMBER(AC1040),AC1040&gt;0,AC1040&lt;1),AC1040*100,AC1040)/100)</f>
        <v/>
      </c>
      <c r="Z1040" s="5">
        <f>IF(D1040="","",AB1040*AA1040/100)</f>
        <v/>
      </c>
      <c r="AA1040" s="5">
        <f>IF(D1040="","",X1040-Y1040)</f>
        <v/>
      </c>
      <c r="AD1040" s="5">
        <f>IF(D1040="","",AA1040-Z1040)</f>
        <v/>
      </c>
      <c r="AG1040">
        <f>IF(D1040="","",N(AG1039)+IF(MATCH(D1040,$D$2:$D$3001,0)=ROW()-1,1,0))</f>
        <v/>
      </c>
    </row>
    <row r="1041">
      <c r="Y1041" s="5">
        <f>IF(D1041="","",X1041*IF(AND(ISNUMBER(AC1041),AC1041&gt;0,AC1041&lt;1),AC1041*100,AC1041)/100)</f>
        <v/>
      </c>
      <c r="Z1041" s="5">
        <f>IF(D1041="","",AB1041*AA1041/100)</f>
        <v/>
      </c>
      <c r="AA1041" s="5">
        <f>IF(D1041="","",X1041-Y1041)</f>
        <v/>
      </c>
      <c r="AD1041" s="5">
        <f>IF(D1041="","",AA1041-Z1041)</f>
        <v/>
      </c>
      <c r="AG1041">
        <f>IF(D1041="","",N(AG1040)+IF(MATCH(D1041,$D$2:$D$3001,0)=ROW()-1,1,0))</f>
        <v/>
      </c>
    </row>
    <row r="1042">
      <c r="Y1042" s="5">
        <f>IF(D1042="","",X1042*IF(AND(ISNUMBER(AC1042),AC1042&gt;0,AC1042&lt;1),AC1042*100,AC1042)/100)</f>
        <v/>
      </c>
      <c r="Z1042" s="5">
        <f>IF(D1042="","",AB1042*AA1042/100)</f>
        <v/>
      </c>
      <c r="AA1042" s="5">
        <f>IF(D1042="","",X1042-Y1042)</f>
        <v/>
      </c>
      <c r="AD1042" s="5">
        <f>IF(D1042="","",AA1042-Z1042)</f>
        <v/>
      </c>
      <c r="AG1042">
        <f>IF(D1042="","",N(AG1041)+IF(MATCH(D1042,$D$2:$D$3001,0)=ROW()-1,1,0))</f>
        <v/>
      </c>
    </row>
    <row r="1043">
      <c r="Y1043" s="5">
        <f>IF(D1043="","",X1043*IF(AND(ISNUMBER(AC1043),AC1043&gt;0,AC1043&lt;1),AC1043*100,AC1043)/100)</f>
        <v/>
      </c>
      <c r="Z1043" s="5">
        <f>IF(D1043="","",AB1043*AA1043/100)</f>
        <v/>
      </c>
      <c r="AA1043" s="5">
        <f>IF(D1043="","",X1043-Y1043)</f>
        <v/>
      </c>
      <c r="AD1043" s="5">
        <f>IF(D1043="","",AA1043-Z1043)</f>
        <v/>
      </c>
      <c r="AG1043">
        <f>IF(D1043="","",N(AG1042)+IF(MATCH(D1043,$D$2:$D$3001,0)=ROW()-1,1,0))</f>
        <v/>
      </c>
    </row>
    <row r="1044">
      <c r="Y1044" s="5">
        <f>IF(D1044="","",X1044*IF(AND(ISNUMBER(AC1044),AC1044&gt;0,AC1044&lt;1),AC1044*100,AC1044)/100)</f>
        <v/>
      </c>
      <c r="Z1044" s="5">
        <f>IF(D1044="","",AB1044*AA1044/100)</f>
        <v/>
      </c>
      <c r="AA1044" s="5">
        <f>IF(D1044="","",X1044-Y1044)</f>
        <v/>
      </c>
      <c r="AD1044" s="5">
        <f>IF(D1044="","",AA1044-Z1044)</f>
        <v/>
      </c>
      <c r="AG1044">
        <f>IF(D1044="","",N(AG1043)+IF(MATCH(D1044,$D$2:$D$3001,0)=ROW()-1,1,0))</f>
        <v/>
      </c>
    </row>
    <row r="1045">
      <c r="Y1045" s="5">
        <f>IF(D1045="","",X1045*IF(AND(ISNUMBER(AC1045),AC1045&gt;0,AC1045&lt;1),AC1045*100,AC1045)/100)</f>
        <v/>
      </c>
      <c r="Z1045" s="5">
        <f>IF(D1045="","",AB1045*AA1045/100)</f>
        <v/>
      </c>
      <c r="AA1045" s="5">
        <f>IF(D1045="","",X1045-Y1045)</f>
        <v/>
      </c>
      <c r="AD1045" s="5">
        <f>IF(D1045="","",AA1045-Z1045)</f>
        <v/>
      </c>
      <c r="AG1045">
        <f>IF(D1045="","",N(AG1044)+IF(MATCH(D1045,$D$2:$D$3001,0)=ROW()-1,1,0))</f>
        <v/>
      </c>
    </row>
    <row r="1046">
      <c r="Y1046" s="5">
        <f>IF(D1046="","",X1046*IF(AND(ISNUMBER(AC1046),AC1046&gt;0,AC1046&lt;1),AC1046*100,AC1046)/100)</f>
        <v/>
      </c>
      <c r="Z1046" s="5">
        <f>IF(D1046="","",AB1046*AA1046/100)</f>
        <v/>
      </c>
      <c r="AA1046" s="5">
        <f>IF(D1046="","",X1046-Y1046)</f>
        <v/>
      </c>
      <c r="AD1046" s="5">
        <f>IF(D1046="","",AA1046-Z1046)</f>
        <v/>
      </c>
      <c r="AG1046">
        <f>IF(D1046="","",N(AG1045)+IF(MATCH(D1046,$D$2:$D$3001,0)=ROW()-1,1,0))</f>
        <v/>
      </c>
    </row>
    <row r="1047">
      <c r="Y1047" s="5">
        <f>IF(D1047="","",X1047*IF(AND(ISNUMBER(AC1047),AC1047&gt;0,AC1047&lt;1),AC1047*100,AC1047)/100)</f>
        <v/>
      </c>
      <c r="Z1047" s="5">
        <f>IF(D1047="","",AB1047*AA1047/100)</f>
        <v/>
      </c>
      <c r="AA1047" s="5">
        <f>IF(D1047="","",X1047-Y1047)</f>
        <v/>
      </c>
      <c r="AD1047" s="5">
        <f>IF(D1047="","",AA1047-Z1047)</f>
        <v/>
      </c>
      <c r="AG1047">
        <f>IF(D1047="","",N(AG1046)+IF(MATCH(D1047,$D$2:$D$3001,0)=ROW()-1,1,0))</f>
        <v/>
      </c>
    </row>
    <row r="1048">
      <c r="Y1048" s="5">
        <f>IF(D1048="","",X1048*IF(AND(ISNUMBER(AC1048),AC1048&gt;0,AC1048&lt;1),AC1048*100,AC1048)/100)</f>
        <v/>
      </c>
      <c r="Z1048" s="5">
        <f>IF(D1048="","",AB1048*AA1048/100)</f>
        <v/>
      </c>
      <c r="AA1048" s="5">
        <f>IF(D1048="","",X1048-Y1048)</f>
        <v/>
      </c>
      <c r="AD1048" s="5">
        <f>IF(D1048="","",AA1048-Z1048)</f>
        <v/>
      </c>
      <c r="AG1048">
        <f>IF(D1048="","",N(AG1047)+IF(MATCH(D1048,$D$2:$D$3001,0)=ROW()-1,1,0))</f>
        <v/>
      </c>
    </row>
    <row r="1049">
      <c r="Y1049" s="5">
        <f>IF(D1049="","",X1049*IF(AND(ISNUMBER(AC1049),AC1049&gt;0,AC1049&lt;1),AC1049*100,AC1049)/100)</f>
        <v/>
      </c>
      <c r="Z1049" s="5">
        <f>IF(D1049="","",AB1049*AA1049/100)</f>
        <v/>
      </c>
      <c r="AA1049" s="5">
        <f>IF(D1049="","",X1049-Y1049)</f>
        <v/>
      </c>
      <c r="AD1049" s="5">
        <f>IF(D1049="","",AA1049-Z1049)</f>
        <v/>
      </c>
      <c r="AG1049">
        <f>IF(D1049="","",N(AG1048)+IF(MATCH(D1049,$D$2:$D$3001,0)=ROW()-1,1,0))</f>
        <v/>
      </c>
    </row>
    <row r="1050">
      <c r="Y1050" s="5">
        <f>IF(D1050="","",X1050*IF(AND(ISNUMBER(AC1050),AC1050&gt;0,AC1050&lt;1),AC1050*100,AC1050)/100)</f>
        <v/>
      </c>
      <c r="Z1050" s="5">
        <f>IF(D1050="","",AB1050*AA1050/100)</f>
        <v/>
      </c>
      <c r="AA1050" s="5">
        <f>IF(D1050="","",X1050-Y1050)</f>
        <v/>
      </c>
      <c r="AD1050" s="5">
        <f>IF(D1050="","",AA1050-Z1050)</f>
        <v/>
      </c>
      <c r="AG1050">
        <f>IF(D1050="","",N(AG1049)+IF(MATCH(D1050,$D$2:$D$3001,0)=ROW()-1,1,0))</f>
        <v/>
      </c>
    </row>
    <row r="1051">
      <c r="Y1051" s="5">
        <f>IF(D1051="","",X1051*IF(AND(ISNUMBER(AC1051),AC1051&gt;0,AC1051&lt;1),AC1051*100,AC1051)/100)</f>
        <v/>
      </c>
      <c r="Z1051" s="5">
        <f>IF(D1051="","",AB1051*AA1051/100)</f>
        <v/>
      </c>
      <c r="AA1051" s="5">
        <f>IF(D1051="","",X1051-Y1051)</f>
        <v/>
      </c>
      <c r="AD1051" s="5">
        <f>IF(D1051="","",AA1051-Z1051)</f>
        <v/>
      </c>
      <c r="AG1051">
        <f>IF(D1051="","",N(AG1050)+IF(MATCH(D1051,$D$2:$D$3001,0)=ROW()-1,1,0))</f>
        <v/>
      </c>
    </row>
    <row r="1052">
      <c r="Y1052" s="5">
        <f>IF(D1052="","",X1052*IF(AND(ISNUMBER(AC1052),AC1052&gt;0,AC1052&lt;1),AC1052*100,AC1052)/100)</f>
        <v/>
      </c>
      <c r="Z1052" s="5">
        <f>IF(D1052="","",AB1052*AA1052/100)</f>
        <v/>
      </c>
      <c r="AA1052" s="5">
        <f>IF(D1052="","",X1052-Y1052)</f>
        <v/>
      </c>
      <c r="AD1052" s="5">
        <f>IF(D1052="","",AA1052-Z1052)</f>
        <v/>
      </c>
      <c r="AG1052">
        <f>IF(D1052="","",N(AG1051)+IF(MATCH(D1052,$D$2:$D$3001,0)=ROW()-1,1,0))</f>
        <v/>
      </c>
    </row>
    <row r="1053">
      <c r="Y1053" s="5">
        <f>IF(D1053="","",X1053*IF(AND(ISNUMBER(AC1053),AC1053&gt;0,AC1053&lt;1),AC1053*100,AC1053)/100)</f>
        <v/>
      </c>
      <c r="Z1053" s="5">
        <f>IF(D1053="","",AB1053*AA1053/100)</f>
        <v/>
      </c>
      <c r="AA1053" s="5">
        <f>IF(D1053="","",X1053-Y1053)</f>
        <v/>
      </c>
      <c r="AD1053" s="5">
        <f>IF(D1053="","",AA1053-Z1053)</f>
        <v/>
      </c>
      <c r="AG1053">
        <f>IF(D1053="","",N(AG1052)+IF(MATCH(D1053,$D$2:$D$3001,0)=ROW()-1,1,0))</f>
        <v/>
      </c>
    </row>
    <row r="1054">
      <c r="Y1054" s="5">
        <f>IF(D1054="","",X1054*IF(AND(ISNUMBER(AC1054),AC1054&gt;0,AC1054&lt;1),AC1054*100,AC1054)/100)</f>
        <v/>
      </c>
      <c r="Z1054" s="5">
        <f>IF(D1054="","",AB1054*AA1054/100)</f>
        <v/>
      </c>
      <c r="AA1054" s="5">
        <f>IF(D1054="","",X1054-Y1054)</f>
        <v/>
      </c>
      <c r="AD1054" s="5">
        <f>IF(D1054="","",AA1054-Z1054)</f>
        <v/>
      </c>
      <c r="AG1054">
        <f>IF(D1054="","",N(AG1053)+IF(MATCH(D1054,$D$2:$D$3001,0)=ROW()-1,1,0))</f>
        <v/>
      </c>
    </row>
    <row r="1055">
      <c r="Y1055" s="5">
        <f>IF(D1055="","",X1055*IF(AND(ISNUMBER(AC1055),AC1055&gt;0,AC1055&lt;1),AC1055*100,AC1055)/100)</f>
        <v/>
      </c>
      <c r="Z1055" s="5">
        <f>IF(D1055="","",AB1055*AA1055/100)</f>
        <v/>
      </c>
      <c r="AA1055" s="5">
        <f>IF(D1055="","",X1055-Y1055)</f>
        <v/>
      </c>
      <c r="AD1055" s="5">
        <f>IF(D1055="","",AA1055-Z1055)</f>
        <v/>
      </c>
      <c r="AG1055">
        <f>IF(D1055="","",N(AG1054)+IF(MATCH(D1055,$D$2:$D$3001,0)=ROW()-1,1,0))</f>
        <v/>
      </c>
    </row>
    <row r="1056">
      <c r="Y1056" s="5">
        <f>IF(D1056="","",X1056*IF(AND(ISNUMBER(AC1056),AC1056&gt;0,AC1056&lt;1),AC1056*100,AC1056)/100)</f>
        <v/>
      </c>
      <c r="Z1056" s="5">
        <f>IF(D1056="","",AB1056*AA1056/100)</f>
        <v/>
      </c>
      <c r="AA1056" s="5">
        <f>IF(D1056="","",X1056-Y1056)</f>
        <v/>
      </c>
      <c r="AD1056" s="5">
        <f>IF(D1056="","",AA1056-Z1056)</f>
        <v/>
      </c>
      <c r="AG1056">
        <f>IF(D1056="","",N(AG1055)+IF(MATCH(D1056,$D$2:$D$3001,0)=ROW()-1,1,0))</f>
        <v/>
      </c>
    </row>
    <row r="1057">
      <c r="Y1057" s="5">
        <f>IF(D1057="","",X1057*IF(AND(ISNUMBER(AC1057),AC1057&gt;0,AC1057&lt;1),AC1057*100,AC1057)/100)</f>
        <v/>
      </c>
      <c r="Z1057" s="5">
        <f>IF(D1057="","",AB1057*AA1057/100)</f>
        <v/>
      </c>
      <c r="AA1057" s="5">
        <f>IF(D1057="","",X1057-Y1057)</f>
        <v/>
      </c>
      <c r="AD1057" s="5">
        <f>IF(D1057="","",AA1057-Z1057)</f>
        <v/>
      </c>
      <c r="AG1057">
        <f>IF(D1057="","",N(AG1056)+IF(MATCH(D1057,$D$2:$D$3001,0)=ROW()-1,1,0))</f>
        <v/>
      </c>
    </row>
    <row r="1058">
      <c r="Y1058" s="5">
        <f>IF(D1058="","",X1058*IF(AND(ISNUMBER(AC1058),AC1058&gt;0,AC1058&lt;1),AC1058*100,AC1058)/100)</f>
        <v/>
      </c>
      <c r="Z1058" s="5">
        <f>IF(D1058="","",AB1058*AA1058/100)</f>
        <v/>
      </c>
      <c r="AA1058" s="5">
        <f>IF(D1058="","",X1058-Y1058)</f>
        <v/>
      </c>
      <c r="AD1058" s="5">
        <f>IF(D1058="","",AA1058-Z1058)</f>
        <v/>
      </c>
      <c r="AG1058">
        <f>IF(D1058="","",N(AG1057)+IF(MATCH(D1058,$D$2:$D$3001,0)=ROW()-1,1,0))</f>
        <v/>
      </c>
    </row>
    <row r="1059">
      <c r="Y1059" s="5">
        <f>IF(D1059="","",X1059*IF(AND(ISNUMBER(AC1059),AC1059&gt;0,AC1059&lt;1),AC1059*100,AC1059)/100)</f>
        <v/>
      </c>
      <c r="Z1059" s="5">
        <f>IF(D1059="","",AB1059*AA1059/100)</f>
        <v/>
      </c>
      <c r="AA1059" s="5">
        <f>IF(D1059="","",X1059-Y1059)</f>
        <v/>
      </c>
      <c r="AD1059" s="5">
        <f>IF(D1059="","",AA1059-Z1059)</f>
        <v/>
      </c>
      <c r="AG1059">
        <f>IF(D1059="","",N(AG1058)+IF(MATCH(D1059,$D$2:$D$3001,0)=ROW()-1,1,0))</f>
        <v/>
      </c>
    </row>
    <row r="1060">
      <c r="Y1060" s="5">
        <f>IF(D1060="","",X1060*IF(AND(ISNUMBER(AC1060),AC1060&gt;0,AC1060&lt;1),AC1060*100,AC1060)/100)</f>
        <v/>
      </c>
      <c r="Z1060" s="5">
        <f>IF(D1060="","",AB1060*AA1060/100)</f>
        <v/>
      </c>
      <c r="AA1060" s="5">
        <f>IF(D1060="","",X1060-Y1060)</f>
        <v/>
      </c>
      <c r="AD1060" s="5">
        <f>IF(D1060="","",AA1060-Z1060)</f>
        <v/>
      </c>
      <c r="AG1060">
        <f>IF(D1060="","",N(AG1059)+IF(MATCH(D1060,$D$2:$D$3001,0)=ROW()-1,1,0))</f>
        <v/>
      </c>
    </row>
    <row r="1061">
      <c r="Y1061" s="5">
        <f>IF(D1061="","",X1061*IF(AND(ISNUMBER(AC1061),AC1061&gt;0,AC1061&lt;1),AC1061*100,AC1061)/100)</f>
        <v/>
      </c>
      <c r="Z1061" s="5">
        <f>IF(D1061="","",AB1061*AA1061/100)</f>
        <v/>
      </c>
      <c r="AA1061" s="5">
        <f>IF(D1061="","",X1061-Y1061)</f>
        <v/>
      </c>
      <c r="AD1061" s="5">
        <f>IF(D1061="","",AA1061-Z1061)</f>
        <v/>
      </c>
      <c r="AG1061">
        <f>IF(D1061="","",N(AG1060)+IF(MATCH(D1061,$D$2:$D$3001,0)=ROW()-1,1,0))</f>
        <v/>
      </c>
    </row>
    <row r="1062">
      <c r="Y1062" s="5">
        <f>IF(D1062="","",X1062*IF(AND(ISNUMBER(AC1062),AC1062&gt;0,AC1062&lt;1),AC1062*100,AC1062)/100)</f>
        <v/>
      </c>
      <c r="Z1062" s="5">
        <f>IF(D1062="","",AB1062*AA1062/100)</f>
        <v/>
      </c>
      <c r="AA1062" s="5">
        <f>IF(D1062="","",X1062-Y1062)</f>
        <v/>
      </c>
      <c r="AD1062" s="5">
        <f>IF(D1062="","",AA1062-Z1062)</f>
        <v/>
      </c>
      <c r="AG1062">
        <f>IF(D1062="","",N(AG1061)+IF(MATCH(D1062,$D$2:$D$3001,0)=ROW()-1,1,0))</f>
        <v/>
      </c>
    </row>
    <row r="1063">
      <c r="Y1063" s="5">
        <f>IF(D1063="","",X1063*IF(AND(ISNUMBER(AC1063),AC1063&gt;0,AC1063&lt;1),AC1063*100,AC1063)/100)</f>
        <v/>
      </c>
      <c r="Z1063" s="5">
        <f>IF(D1063="","",AB1063*AA1063/100)</f>
        <v/>
      </c>
      <c r="AA1063" s="5">
        <f>IF(D1063="","",X1063-Y1063)</f>
        <v/>
      </c>
      <c r="AD1063" s="5">
        <f>IF(D1063="","",AA1063-Z1063)</f>
        <v/>
      </c>
      <c r="AG1063">
        <f>IF(D1063="","",N(AG1062)+IF(MATCH(D1063,$D$2:$D$3001,0)=ROW()-1,1,0))</f>
        <v/>
      </c>
    </row>
    <row r="1064">
      <c r="Y1064" s="5">
        <f>IF(D1064="","",X1064*IF(AND(ISNUMBER(AC1064),AC1064&gt;0,AC1064&lt;1),AC1064*100,AC1064)/100)</f>
        <v/>
      </c>
      <c r="Z1064" s="5">
        <f>IF(D1064="","",AB1064*AA1064/100)</f>
        <v/>
      </c>
      <c r="AA1064" s="5">
        <f>IF(D1064="","",X1064-Y1064)</f>
        <v/>
      </c>
      <c r="AD1064" s="5">
        <f>IF(D1064="","",AA1064-Z1064)</f>
        <v/>
      </c>
      <c r="AG1064">
        <f>IF(D1064="","",N(AG1063)+IF(MATCH(D1064,$D$2:$D$3001,0)=ROW()-1,1,0))</f>
        <v/>
      </c>
    </row>
    <row r="1065">
      <c r="Y1065" s="5">
        <f>IF(D1065="","",X1065*IF(AND(ISNUMBER(AC1065),AC1065&gt;0,AC1065&lt;1),AC1065*100,AC1065)/100)</f>
        <v/>
      </c>
      <c r="Z1065" s="5">
        <f>IF(D1065="","",AB1065*AA1065/100)</f>
        <v/>
      </c>
      <c r="AA1065" s="5">
        <f>IF(D1065="","",X1065-Y1065)</f>
        <v/>
      </c>
      <c r="AD1065" s="5">
        <f>IF(D1065="","",AA1065-Z1065)</f>
        <v/>
      </c>
      <c r="AG1065">
        <f>IF(D1065="","",N(AG1064)+IF(MATCH(D1065,$D$2:$D$3001,0)=ROW()-1,1,0))</f>
        <v/>
      </c>
    </row>
    <row r="1066">
      <c r="Y1066" s="5">
        <f>IF(D1066="","",X1066*IF(AND(ISNUMBER(AC1066),AC1066&gt;0,AC1066&lt;1),AC1066*100,AC1066)/100)</f>
        <v/>
      </c>
      <c r="Z1066" s="5">
        <f>IF(D1066="","",AB1066*AA1066/100)</f>
        <v/>
      </c>
      <c r="AA1066" s="5">
        <f>IF(D1066="","",X1066-Y1066)</f>
        <v/>
      </c>
      <c r="AD1066" s="5">
        <f>IF(D1066="","",AA1066-Z1066)</f>
        <v/>
      </c>
      <c r="AG1066">
        <f>IF(D1066="","",N(AG1065)+IF(MATCH(D1066,$D$2:$D$3001,0)=ROW()-1,1,0))</f>
        <v/>
      </c>
    </row>
    <row r="1067">
      <c r="Y1067" s="5">
        <f>IF(D1067="","",X1067*IF(AND(ISNUMBER(AC1067),AC1067&gt;0,AC1067&lt;1),AC1067*100,AC1067)/100)</f>
        <v/>
      </c>
      <c r="Z1067" s="5">
        <f>IF(D1067="","",AB1067*AA1067/100)</f>
        <v/>
      </c>
      <c r="AA1067" s="5">
        <f>IF(D1067="","",X1067-Y1067)</f>
        <v/>
      </c>
      <c r="AD1067" s="5">
        <f>IF(D1067="","",AA1067-Z1067)</f>
        <v/>
      </c>
      <c r="AG1067">
        <f>IF(D1067="","",N(AG1066)+IF(MATCH(D1067,$D$2:$D$3001,0)=ROW()-1,1,0))</f>
        <v/>
      </c>
    </row>
    <row r="1068">
      <c r="Y1068" s="5">
        <f>IF(D1068="","",X1068*IF(AND(ISNUMBER(AC1068),AC1068&gt;0,AC1068&lt;1),AC1068*100,AC1068)/100)</f>
        <v/>
      </c>
      <c r="Z1068" s="5">
        <f>IF(D1068="","",AB1068*AA1068/100)</f>
        <v/>
      </c>
      <c r="AA1068" s="5">
        <f>IF(D1068="","",X1068-Y1068)</f>
        <v/>
      </c>
      <c r="AD1068" s="5">
        <f>IF(D1068="","",AA1068-Z1068)</f>
        <v/>
      </c>
      <c r="AG1068">
        <f>IF(D1068="","",N(AG1067)+IF(MATCH(D1068,$D$2:$D$3001,0)=ROW()-1,1,0))</f>
        <v/>
      </c>
    </row>
    <row r="1069">
      <c r="Y1069" s="5">
        <f>IF(D1069="","",X1069*IF(AND(ISNUMBER(AC1069),AC1069&gt;0,AC1069&lt;1),AC1069*100,AC1069)/100)</f>
        <v/>
      </c>
      <c r="Z1069" s="5">
        <f>IF(D1069="","",AB1069*AA1069/100)</f>
        <v/>
      </c>
      <c r="AA1069" s="5">
        <f>IF(D1069="","",X1069-Y1069)</f>
        <v/>
      </c>
      <c r="AD1069" s="5">
        <f>IF(D1069="","",AA1069-Z1069)</f>
        <v/>
      </c>
      <c r="AG1069">
        <f>IF(D1069="","",N(AG1068)+IF(MATCH(D1069,$D$2:$D$3001,0)=ROW()-1,1,0))</f>
        <v/>
      </c>
    </row>
    <row r="1070">
      <c r="Y1070" s="5">
        <f>IF(D1070="","",X1070*IF(AND(ISNUMBER(AC1070),AC1070&gt;0,AC1070&lt;1),AC1070*100,AC1070)/100)</f>
        <v/>
      </c>
      <c r="Z1070" s="5">
        <f>IF(D1070="","",AB1070*AA1070/100)</f>
        <v/>
      </c>
      <c r="AA1070" s="5">
        <f>IF(D1070="","",X1070-Y1070)</f>
        <v/>
      </c>
      <c r="AD1070" s="5">
        <f>IF(D1070="","",AA1070-Z1070)</f>
        <v/>
      </c>
      <c r="AG1070">
        <f>IF(D1070="","",N(AG1069)+IF(MATCH(D1070,$D$2:$D$3001,0)=ROW()-1,1,0))</f>
        <v/>
      </c>
    </row>
    <row r="1071">
      <c r="Y1071" s="5">
        <f>IF(D1071="","",X1071*IF(AND(ISNUMBER(AC1071),AC1071&gt;0,AC1071&lt;1),AC1071*100,AC1071)/100)</f>
        <v/>
      </c>
      <c r="Z1071" s="5">
        <f>IF(D1071="","",AB1071*AA1071/100)</f>
        <v/>
      </c>
      <c r="AA1071" s="5">
        <f>IF(D1071="","",X1071-Y1071)</f>
        <v/>
      </c>
      <c r="AD1071" s="5">
        <f>IF(D1071="","",AA1071-Z1071)</f>
        <v/>
      </c>
      <c r="AG1071">
        <f>IF(D1071="","",N(AG1070)+IF(MATCH(D1071,$D$2:$D$3001,0)=ROW()-1,1,0))</f>
        <v/>
      </c>
    </row>
    <row r="1072">
      <c r="Y1072" s="5">
        <f>IF(D1072="","",X1072*IF(AND(ISNUMBER(AC1072),AC1072&gt;0,AC1072&lt;1),AC1072*100,AC1072)/100)</f>
        <v/>
      </c>
      <c r="Z1072" s="5">
        <f>IF(D1072="","",AB1072*AA1072/100)</f>
        <v/>
      </c>
      <c r="AA1072" s="5">
        <f>IF(D1072="","",X1072-Y1072)</f>
        <v/>
      </c>
      <c r="AD1072" s="5">
        <f>IF(D1072="","",AA1072-Z1072)</f>
        <v/>
      </c>
      <c r="AG1072">
        <f>IF(D1072="","",N(AG1071)+IF(MATCH(D1072,$D$2:$D$3001,0)=ROW()-1,1,0))</f>
        <v/>
      </c>
    </row>
    <row r="1073">
      <c r="Y1073" s="5">
        <f>IF(D1073="","",X1073*IF(AND(ISNUMBER(AC1073),AC1073&gt;0,AC1073&lt;1),AC1073*100,AC1073)/100)</f>
        <v/>
      </c>
      <c r="Z1073" s="5">
        <f>IF(D1073="","",AB1073*AA1073/100)</f>
        <v/>
      </c>
      <c r="AA1073" s="5">
        <f>IF(D1073="","",X1073-Y1073)</f>
        <v/>
      </c>
      <c r="AD1073" s="5">
        <f>IF(D1073="","",AA1073-Z1073)</f>
        <v/>
      </c>
      <c r="AG1073">
        <f>IF(D1073="","",N(AG1072)+IF(MATCH(D1073,$D$2:$D$3001,0)=ROW()-1,1,0))</f>
        <v/>
      </c>
    </row>
    <row r="1074">
      <c r="Y1074" s="5">
        <f>IF(D1074="","",X1074*IF(AND(ISNUMBER(AC1074),AC1074&gt;0,AC1074&lt;1),AC1074*100,AC1074)/100)</f>
        <v/>
      </c>
      <c r="Z1074" s="5">
        <f>IF(D1074="","",AB1074*AA1074/100)</f>
        <v/>
      </c>
      <c r="AA1074" s="5">
        <f>IF(D1074="","",X1074-Y1074)</f>
        <v/>
      </c>
      <c r="AD1074" s="5">
        <f>IF(D1074="","",AA1074-Z1074)</f>
        <v/>
      </c>
      <c r="AG1074">
        <f>IF(D1074="","",N(AG1073)+IF(MATCH(D1074,$D$2:$D$3001,0)=ROW()-1,1,0))</f>
        <v/>
      </c>
    </row>
    <row r="1075">
      <c r="Y1075" s="5">
        <f>IF(D1075="","",X1075*IF(AND(ISNUMBER(AC1075),AC1075&gt;0,AC1075&lt;1),AC1075*100,AC1075)/100)</f>
        <v/>
      </c>
      <c r="Z1075" s="5">
        <f>IF(D1075="","",AB1075*AA1075/100)</f>
        <v/>
      </c>
      <c r="AA1075" s="5">
        <f>IF(D1075="","",X1075-Y1075)</f>
        <v/>
      </c>
      <c r="AD1075" s="5">
        <f>IF(D1075="","",AA1075-Z1075)</f>
        <v/>
      </c>
      <c r="AG1075">
        <f>IF(D1075="","",N(AG1074)+IF(MATCH(D1075,$D$2:$D$3001,0)=ROW()-1,1,0))</f>
        <v/>
      </c>
    </row>
    <row r="1076">
      <c r="Y1076" s="5">
        <f>IF(D1076="","",X1076*IF(AND(ISNUMBER(AC1076),AC1076&gt;0,AC1076&lt;1),AC1076*100,AC1076)/100)</f>
        <v/>
      </c>
      <c r="Z1076" s="5">
        <f>IF(D1076="","",AB1076*AA1076/100)</f>
        <v/>
      </c>
      <c r="AA1076" s="5">
        <f>IF(D1076="","",X1076-Y1076)</f>
        <v/>
      </c>
      <c r="AD1076" s="5">
        <f>IF(D1076="","",AA1076-Z1076)</f>
        <v/>
      </c>
      <c r="AG1076">
        <f>IF(D1076="","",N(AG1075)+IF(MATCH(D1076,$D$2:$D$3001,0)=ROW()-1,1,0))</f>
        <v/>
      </c>
    </row>
    <row r="1077">
      <c r="Y1077" s="5">
        <f>IF(D1077="","",X1077*IF(AND(ISNUMBER(AC1077),AC1077&gt;0,AC1077&lt;1),AC1077*100,AC1077)/100)</f>
        <v/>
      </c>
      <c r="Z1077" s="5">
        <f>IF(D1077="","",AB1077*AA1077/100)</f>
        <v/>
      </c>
      <c r="AA1077" s="5">
        <f>IF(D1077="","",X1077-Y1077)</f>
        <v/>
      </c>
      <c r="AD1077" s="5">
        <f>IF(D1077="","",AA1077-Z1077)</f>
        <v/>
      </c>
      <c r="AG1077">
        <f>IF(D1077="","",N(AG1076)+IF(MATCH(D1077,$D$2:$D$3001,0)=ROW()-1,1,0))</f>
        <v/>
      </c>
    </row>
    <row r="1078">
      <c r="Y1078" s="5">
        <f>IF(D1078="","",X1078*IF(AND(ISNUMBER(AC1078),AC1078&gt;0,AC1078&lt;1),AC1078*100,AC1078)/100)</f>
        <v/>
      </c>
      <c r="Z1078" s="5">
        <f>IF(D1078="","",AB1078*AA1078/100)</f>
        <v/>
      </c>
      <c r="AA1078" s="5">
        <f>IF(D1078="","",X1078-Y1078)</f>
        <v/>
      </c>
      <c r="AD1078" s="5">
        <f>IF(D1078="","",AA1078-Z1078)</f>
        <v/>
      </c>
      <c r="AG1078">
        <f>IF(D1078="","",N(AG1077)+IF(MATCH(D1078,$D$2:$D$3001,0)=ROW()-1,1,0))</f>
        <v/>
      </c>
    </row>
    <row r="1079">
      <c r="Y1079" s="5">
        <f>IF(D1079="","",X1079*IF(AND(ISNUMBER(AC1079),AC1079&gt;0,AC1079&lt;1),AC1079*100,AC1079)/100)</f>
        <v/>
      </c>
      <c r="Z1079" s="5">
        <f>IF(D1079="","",AB1079*AA1079/100)</f>
        <v/>
      </c>
      <c r="AA1079" s="5">
        <f>IF(D1079="","",X1079-Y1079)</f>
        <v/>
      </c>
      <c r="AD1079" s="5">
        <f>IF(D1079="","",AA1079-Z1079)</f>
        <v/>
      </c>
      <c r="AG1079">
        <f>IF(D1079="","",N(AG1078)+IF(MATCH(D1079,$D$2:$D$3001,0)=ROW()-1,1,0))</f>
        <v/>
      </c>
    </row>
    <row r="1080">
      <c r="Y1080" s="5">
        <f>IF(D1080="","",X1080*IF(AND(ISNUMBER(AC1080),AC1080&gt;0,AC1080&lt;1),AC1080*100,AC1080)/100)</f>
        <v/>
      </c>
      <c r="Z1080" s="5">
        <f>IF(D1080="","",AB1080*AA1080/100)</f>
        <v/>
      </c>
      <c r="AA1080" s="5">
        <f>IF(D1080="","",X1080-Y1080)</f>
        <v/>
      </c>
      <c r="AD1080" s="5">
        <f>IF(D1080="","",AA1080-Z1080)</f>
        <v/>
      </c>
      <c r="AG1080">
        <f>IF(D1080="","",N(AG1079)+IF(MATCH(D1080,$D$2:$D$3001,0)=ROW()-1,1,0))</f>
        <v/>
      </c>
    </row>
    <row r="1081">
      <c r="Y1081" s="5">
        <f>IF(D1081="","",X1081*IF(AND(ISNUMBER(AC1081),AC1081&gt;0,AC1081&lt;1),AC1081*100,AC1081)/100)</f>
        <v/>
      </c>
      <c r="Z1081" s="5">
        <f>IF(D1081="","",AB1081*AA1081/100)</f>
        <v/>
      </c>
      <c r="AA1081" s="5">
        <f>IF(D1081="","",X1081-Y1081)</f>
        <v/>
      </c>
      <c r="AD1081" s="5">
        <f>IF(D1081="","",AA1081-Z1081)</f>
        <v/>
      </c>
      <c r="AG1081">
        <f>IF(D1081="","",N(AG1080)+IF(MATCH(D1081,$D$2:$D$3001,0)=ROW()-1,1,0))</f>
        <v/>
      </c>
    </row>
    <row r="1082">
      <c r="Y1082" s="5">
        <f>IF(D1082="","",X1082*IF(AND(ISNUMBER(AC1082),AC1082&gt;0,AC1082&lt;1),AC1082*100,AC1082)/100)</f>
        <v/>
      </c>
      <c r="Z1082" s="5">
        <f>IF(D1082="","",AB1082*AA1082/100)</f>
        <v/>
      </c>
      <c r="AA1082" s="5">
        <f>IF(D1082="","",X1082-Y1082)</f>
        <v/>
      </c>
      <c r="AD1082" s="5">
        <f>IF(D1082="","",AA1082-Z1082)</f>
        <v/>
      </c>
      <c r="AG1082">
        <f>IF(D1082="","",N(AG1081)+IF(MATCH(D1082,$D$2:$D$3001,0)=ROW()-1,1,0))</f>
        <v/>
      </c>
    </row>
    <row r="1083">
      <c r="Y1083" s="5">
        <f>IF(D1083="","",X1083*IF(AND(ISNUMBER(AC1083),AC1083&gt;0,AC1083&lt;1),AC1083*100,AC1083)/100)</f>
        <v/>
      </c>
      <c r="Z1083" s="5">
        <f>IF(D1083="","",AB1083*AA1083/100)</f>
        <v/>
      </c>
      <c r="AA1083" s="5">
        <f>IF(D1083="","",X1083-Y1083)</f>
        <v/>
      </c>
      <c r="AD1083" s="5">
        <f>IF(D1083="","",AA1083-Z1083)</f>
        <v/>
      </c>
      <c r="AG1083">
        <f>IF(D1083="","",N(AG1082)+IF(MATCH(D1083,$D$2:$D$3001,0)=ROW()-1,1,0))</f>
        <v/>
      </c>
    </row>
    <row r="1084">
      <c r="Y1084" s="5">
        <f>IF(D1084="","",X1084*IF(AND(ISNUMBER(AC1084),AC1084&gt;0,AC1084&lt;1),AC1084*100,AC1084)/100)</f>
        <v/>
      </c>
      <c r="Z1084" s="5">
        <f>IF(D1084="","",AB1084*AA1084/100)</f>
        <v/>
      </c>
      <c r="AA1084" s="5">
        <f>IF(D1084="","",X1084-Y1084)</f>
        <v/>
      </c>
      <c r="AD1084" s="5">
        <f>IF(D1084="","",AA1084-Z1084)</f>
        <v/>
      </c>
      <c r="AG1084">
        <f>IF(D1084="","",N(AG1083)+IF(MATCH(D1084,$D$2:$D$3001,0)=ROW()-1,1,0))</f>
        <v/>
      </c>
    </row>
    <row r="1085">
      <c r="Y1085" s="5">
        <f>IF(D1085="","",X1085*IF(AND(ISNUMBER(AC1085),AC1085&gt;0,AC1085&lt;1),AC1085*100,AC1085)/100)</f>
        <v/>
      </c>
      <c r="Z1085" s="5">
        <f>IF(D1085="","",AB1085*AA1085/100)</f>
        <v/>
      </c>
      <c r="AA1085" s="5">
        <f>IF(D1085="","",X1085-Y1085)</f>
        <v/>
      </c>
      <c r="AD1085" s="5">
        <f>IF(D1085="","",AA1085-Z1085)</f>
        <v/>
      </c>
      <c r="AG1085">
        <f>IF(D1085="","",N(AG1084)+IF(MATCH(D1085,$D$2:$D$3001,0)=ROW()-1,1,0))</f>
        <v/>
      </c>
    </row>
    <row r="1086">
      <c r="Y1086" s="5">
        <f>IF(D1086="","",X1086*IF(AND(ISNUMBER(AC1086),AC1086&gt;0,AC1086&lt;1),AC1086*100,AC1086)/100)</f>
        <v/>
      </c>
      <c r="Z1086" s="5">
        <f>IF(D1086="","",AB1086*AA1086/100)</f>
        <v/>
      </c>
      <c r="AA1086" s="5">
        <f>IF(D1086="","",X1086-Y1086)</f>
        <v/>
      </c>
      <c r="AD1086" s="5">
        <f>IF(D1086="","",AA1086-Z1086)</f>
        <v/>
      </c>
      <c r="AG1086">
        <f>IF(D1086="","",N(AG1085)+IF(MATCH(D1086,$D$2:$D$3001,0)=ROW()-1,1,0))</f>
        <v/>
      </c>
    </row>
    <row r="1087">
      <c r="Y1087" s="5">
        <f>IF(D1087="","",X1087*IF(AND(ISNUMBER(AC1087),AC1087&gt;0,AC1087&lt;1),AC1087*100,AC1087)/100)</f>
        <v/>
      </c>
      <c r="Z1087" s="5">
        <f>IF(D1087="","",AB1087*AA1087/100)</f>
        <v/>
      </c>
      <c r="AA1087" s="5">
        <f>IF(D1087="","",X1087-Y1087)</f>
        <v/>
      </c>
      <c r="AD1087" s="5">
        <f>IF(D1087="","",AA1087-Z1087)</f>
        <v/>
      </c>
      <c r="AG1087">
        <f>IF(D1087="","",N(AG1086)+IF(MATCH(D1087,$D$2:$D$3001,0)=ROW()-1,1,0))</f>
        <v/>
      </c>
    </row>
    <row r="1088">
      <c r="Y1088" s="5">
        <f>IF(D1088="","",X1088*IF(AND(ISNUMBER(AC1088),AC1088&gt;0,AC1088&lt;1),AC1088*100,AC1088)/100)</f>
        <v/>
      </c>
      <c r="Z1088" s="5">
        <f>IF(D1088="","",AB1088*AA1088/100)</f>
        <v/>
      </c>
      <c r="AA1088" s="5">
        <f>IF(D1088="","",X1088-Y1088)</f>
        <v/>
      </c>
      <c r="AD1088" s="5">
        <f>IF(D1088="","",AA1088-Z1088)</f>
        <v/>
      </c>
      <c r="AG1088">
        <f>IF(D1088="","",N(AG1087)+IF(MATCH(D1088,$D$2:$D$3001,0)=ROW()-1,1,0))</f>
        <v/>
      </c>
    </row>
    <row r="1089">
      <c r="Y1089" s="5">
        <f>IF(D1089="","",X1089*IF(AND(ISNUMBER(AC1089),AC1089&gt;0,AC1089&lt;1),AC1089*100,AC1089)/100)</f>
        <v/>
      </c>
      <c r="Z1089" s="5">
        <f>IF(D1089="","",AB1089*AA1089/100)</f>
        <v/>
      </c>
      <c r="AA1089" s="5">
        <f>IF(D1089="","",X1089-Y1089)</f>
        <v/>
      </c>
      <c r="AD1089" s="5">
        <f>IF(D1089="","",AA1089-Z1089)</f>
        <v/>
      </c>
      <c r="AG1089">
        <f>IF(D1089="","",N(AG1088)+IF(MATCH(D1089,$D$2:$D$3001,0)=ROW()-1,1,0))</f>
        <v/>
      </c>
    </row>
    <row r="1090">
      <c r="Y1090" s="5">
        <f>IF(D1090="","",X1090*IF(AND(ISNUMBER(AC1090),AC1090&gt;0,AC1090&lt;1),AC1090*100,AC1090)/100)</f>
        <v/>
      </c>
      <c r="Z1090" s="5">
        <f>IF(D1090="","",AB1090*AA1090/100)</f>
        <v/>
      </c>
      <c r="AA1090" s="5">
        <f>IF(D1090="","",X1090-Y1090)</f>
        <v/>
      </c>
      <c r="AD1090" s="5">
        <f>IF(D1090="","",AA1090-Z1090)</f>
        <v/>
      </c>
      <c r="AG1090">
        <f>IF(D1090="","",N(AG1089)+IF(MATCH(D1090,$D$2:$D$3001,0)=ROW()-1,1,0))</f>
        <v/>
      </c>
    </row>
    <row r="1091">
      <c r="Y1091" s="5">
        <f>IF(D1091="","",X1091*IF(AND(ISNUMBER(AC1091),AC1091&gt;0,AC1091&lt;1),AC1091*100,AC1091)/100)</f>
        <v/>
      </c>
      <c r="Z1091" s="5">
        <f>IF(D1091="","",AB1091*AA1091/100)</f>
        <v/>
      </c>
      <c r="AA1091" s="5">
        <f>IF(D1091="","",X1091-Y1091)</f>
        <v/>
      </c>
      <c r="AD1091" s="5">
        <f>IF(D1091="","",AA1091-Z1091)</f>
        <v/>
      </c>
      <c r="AG1091">
        <f>IF(D1091="","",N(AG1090)+IF(MATCH(D1091,$D$2:$D$3001,0)=ROW()-1,1,0))</f>
        <v/>
      </c>
    </row>
    <row r="1092">
      <c r="Y1092" s="5">
        <f>IF(D1092="","",X1092*IF(AND(ISNUMBER(AC1092),AC1092&gt;0,AC1092&lt;1),AC1092*100,AC1092)/100)</f>
        <v/>
      </c>
      <c r="Z1092" s="5">
        <f>IF(D1092="","",AB1092*AA1092/100)</f>
        <v/>
      </c>
      <c r="AA1092" s="5">
        <f>IF(D1092="","",X1092-Y1092)</f>
        <v/>
      </c>
      <c r="AD1092" s="5">
        <f>IF(D1092="","",AA1092-Z1092)</f>
        <v/>
      </c>
      <c r="AG1092">
        <f>IF(D1092="","",N(AG1091)+IF(MATCH(D1092,$D$2:$D$3001,0)=ROW()-1,1,0))</f>
        <v/>
      </c>
    </row>
    <row r="1093">
      <c r="Y1093" s="5">
        <f>IF(D1093="","",X1093*IF(AND(ISNUMBER(AC1093),AC1093&gt;0,AC1093&lt;1),AC1093*100,AC1093)/100)</f>
        <v/>
      </c>
      <c r="Z1093" s="5">
        <f>IF(D1093="","",AB1093*AA1093/100)</f>
        <v/>
      </c>
      <c r="AA1093" s="5">
        <f>IF(D1093="","",X1093-Y1093)</f>
        <v/>
      </c>
      <c r="AD1093" s="5">
        <f>IF(D1093="","",AA1093-Z1093)</f>
        <v/>
      </c>
      <c r="AG1093">
        <f>IF(D1093="","",N(AG1092)+IF(MATCH(D1093,$D$2:$D$3001,0)=ROW()-1,1,0))</f>
        <v/>
      </c>
    </row>
    <row r="1094">
      <c r="Y1094" s="5">
        <f>IF(D1094="","",X1094*IF(AND(ISNUMBER(AC1094),AC1094&gt;0,AC1094&lt;1),AC1094*100,AC1094)/100)</f>
        <v/>
      </c>
      <c r="Z1094" s="5">
        <f>IF(D1094="","",AB1094*AA1094/100)</f>
        <v/>
      </c>
      <c r="AA1094" s="5">
        <f>IF(D1094="","",X1094-Y1094)</f>
        <v/>
      </c>
      <c r="AD1094" s="5">
        <f>IF(D1094="","",AA1094-Z1094)</f>
        <v/>
      </c>
      <c r="AG1094">
        <f>IF(D1094="","",N(AG1093)+IF(MATCH(D1094,$D$2:$D$3001,0)=ROW()-1,1,0))</f>
        <v/>
      </c>
    </row>
    <row r="1095">
      <c r="Y1095" s="5">
        <f>IF(D1095="","",X1095*IF(AND(ISNUMBER(AC1095),AC1095&gt;0,AC1095&lt;1),AC1095*100,AC1095)/100)</f>
        <v/>
      </c>
      <c r="Z1095" s="5">
        <f>IF(D1095="","",AB1095*AA1095/100)</f>
        <v/>
      </c>
      <c r="AA1095" s="5">
        <f>IF(D1095="","",X1095-Y1095)</f>
        <v/>
      </c>
      <c r="AD1095" s="5">
        <f>IF(D1095="","",AA1095-Z1095)</f>
        <v/>
      </c>
      <c r="AG1095">
        <f>IF(D1095="","",N(AG1094)+IF(MATCH(D1095,$D$2:$D$3001,0)=ROW()-1,1,0))</f>
        <v/>
      </c>
    </row>
    <row r="1096">
      <c r="Y1096" s="5">
        <f>IF(D1096="","",X1096*IF(AND(ISNUMBER(AC1096),AC1096&gt;0,AC1096&lt;1),AC1096*100,AC1096)/100)</f>
        <v/>
      </c>
      <c r="Z1096" s="5">
        <f>IF(D1096="","",AB1096*AA1096/100)</f>
        <v/>
      </c>
      <c r="AA1096" s="5">
        <f>IF(D1096="","",X1096-Y1096)</f>
        <v/>
      </c>
      <c r="AD1096" s="5">
        <f>IF(D1096="","",AA1096-Z1096)</f>
        <v/>
      </c>
      <c r="AG1096">
        <f>IF(D1096="","",N(AG1095)+IF(MATCH(D1096,$D$2:$D$3001,0)=ROW()-1,1,0))</f>
        <v/>
      </c>
    </row>
    <row r="1097">
      <c r="Y1097" s="5">
        <f>IF(D1097="","",X1097*IF(AND(ISNUMBER(AC1097),AC1097&gt;0,AC1097&lt;1),AC1097*100,AC1097)/100)</f>
        <v/>
      </c>
      <c r="Z1097" s="5">
        <f>IF(D1097="","",AB1097*AA1097/100)</f>
        <v/>
      </c>
      <c r="AA1097" s="5">
        <f>IF(D1097="","",X1097-Y1097)</f>
        <v/>
      </c>
      <c r="AD1097" s="5">
        <f>IF(D1097="","",AA1097-Z1097)</f>
        <v/>
      </c>
      <c r="AG1097">
        <f>IF(D1097="","",N(AG1096)+IF(MATCH(D1097,$D$2:$D$3001,0)=ROW()-1,1,0))</f>
        <v/>
      </c>
    </row>
    <row r="1098">
      <c r="Y1098" s="5">
        <f>IF(D1098="","",X1098*IF(AND(ISNUMBER(AC1098),AC1098&gt;0,AC1098&lt;1),AC1098*100,AC1098)/100)</f>
        <v/>
      </c>
      <c r="Z1098" s="5">
        <f>IF(D1098="","",AB1098*AA1098/100)</f>
        <v/>
      </c>
      <c r="AA1098" s="5">
        <f>IF(D1098="","",X1098-Y1098)</f>
        <v/>
      </c>
      <c r="AD1098" s="5">
        <f>IF(D1098="","",AA1098-Z1098)</f>
        <v/>
      </c>
      <c r="AG1098">
        <f>IF(D1098="","",N(AG1097)+IF(MATCH(D1098,$D$2:$D$3001,0)=ROW()-1,1,0))</f>
        <v/>
      </c>
    </row>
    <row r="1099">
      <c r="Y1099" s="5">
        <f>IF(D1099="","",X1099*IF(AND(ISNUMBER(AC1099),AC1099&gt;0,AC1099&lt;1),AC1099*100,AC1099)/100)</f>
        <v/>
      </c>
      <c r="Z1099" s="5">
        <f>IF(D1099="","",AB1099*AA1099/100)</f>
        <v/>
      </c>
      <c r="AA1099" s="5">
        <f>IF(D1099="","",X1099-Y1099)</f>
        <v/>
      </c>
      <c r="AD1099" s="5">
        <f>IF(D1099="","",AA1099-Z1099)</f>
        <v/>
      </c>
      <c r="AG1099">
        <f>IF(D1099="","",N(AG1098)+IF(MATCH(D1099,$D$2:$D$3001,0)=ROW()-1,1,0))</f>
        <v/>
      </c>
    </row>
    <row r="1100">
      <c r="Y1100" s="5">
        <f>IF(D1100="","",X1100*IF(AND(ISNUMBER(AC1100),AC1100&gt;0,AC1100&lt;1),AC1100*100,AC1100)/100)</f>
        <v/>
      </c>
      <c r="Z1100" s="5">
        <f>IF(D1100="","",AB1100*AA1100/100)</f>
        <v/>
      </c>
      <c r="AA1100" s="5">
        <f>IF(D1100="","",X1100-Y1100)</f>
        <v/>
      </c>
      <c r="AD1100" s="5">
        <f>IF(D1100="","",AA1100-Z1100)</f>
        <v/>
      </c>
      <c r="AG1100">
        <f>IF(D1100="","",N(AG1099)+IF(MATCH(D1100,$D$2:$D$3001,0)=ROW()-1,1,0))</f>
        <v/>
      </c>
    </row>
    <row r="1101">
      <c r="Y1101" s="5">
        <f>IF(D1101="","",X1101*IF(AND(ISNUMBER(AC1101),AC1101&gt;0,AC1101&lt;1),AC1101*100,AC1101)/100)</f>
        <v/>
      </c>
      <c r="Z1101" s="5">
        <f>IF(D1101="","",AB1101*AA1101/100)</f>
        <v/>
      </c>
      <c r="AA1101" s="5">
        <f>IF(D1101="","",X1101-Y1101)</f>
        <v/>
      </c>
      <c r="AD1101" s="5">
        <f>IF(D1101="","",AA1101-Z1101)</f>
        <v/>
      </c>
      <c r="AG1101">
        <f>IF(D1101="","",N(AG1100)+IF(MATCH(D1101,$D$2:$D$3001,0)=ROW()-1,1,0))</f>
        <v/>
      </c>
    </row>
    <row r="1102">
      <c r="Y1102" s="5">
        <f>IF(D1102="","",X1102*IF(AND(ISNUMBER(AC1102),AC1102&gt;0,AC1102&lt;1),AC1102*100,AC1102)/100)</f>
        <v/>
      </c>
      <c r="Z1102" s="5">
        <f>IF(D1102="","",AB1102*AA1102/100)</f>
        <v/>
      </c>
      <c r="AA1102" s="5">
        <f>IF(D1102="","",X1102-Y1102)</f>
        <v/>
      </c>
      <c r="AD1102" s="5">
        <f>IF(D1102="","",AA1102-Z1102)</f>
        <v/>
      </c>
      <c r="AG1102">
        <f>IF(D1102="","",N(AG1101)+IF(MATCH(D1102,$D$2:$D$3001,0)=ROW()-1,1,0))</f>
        <v/>
      </c>
    </row>
    <row r="1103">
      <c r="Y1103" s="5">
        <f>IF(D1103="","",X1103*IF(AND(ISNUMBER(AC1103),AC1103&gt;0,AC1103&lt;1),AC1103*100,AC1103)/100)</f>
        <v/>
      </c>
      <c r="Z1103" s="5">
        <f>IF(D1103="","",AB1103*AA1103/100)</f>
        <v/>
      </c>
      <c r="AA1103" s="5">
        <f>IF(D1103="","",X1103-Y1103)</f>
        <v/>
      </c>
      <c r="AD1103" s="5">
        <f>IF(D1103="","",AA1103-Z1103)</f>
        <v/>
      </c>
      <c r="AG1103">
        <f>IF(D1103="","",N(AG1102)+IF(MATCH(D1103,$D$2:$D$3001,0)=ROW()-1,1,0))</f>
        <v/>
      </c>
    </row>
    <row r="1104">
      <c r="Y1104" s="5">
        <f>IF(D1104="","",X1104*IF(AND(ISNUMBER(AC1104),AC1104&gt;0,AC1104&lt;1),AC1104*100,AC1104)/100)</f>
        <v/>
      </c>
      <c r="Z1104" s="5">
        <f>IF(D1104="","",AB1104*AA1104/100)</f>
        <v/>
      </c>
      <c r="AA1104" s="5">
        <f>IF(D1104="","",X1104-Y1104)</f>
        <v/>
      </c>
      <c r="AD1104" s="5">
        <f>IF(D1104="","",AA1104-Z1104)</f>
        <v/>
      </c>
      <c r="AG1104">
        <f>IF(D1104="","",N(AG1103)+IF(MATCH(D1104,$D$2:$D$3001,0)=ROW()-1,1,0))</f>
        <v/>
      </c>
    </row>
    <row r="1105">
      <c r="Y1105" s="5">
        <f>IF(D1105="","",X1105*IF(AND(ISNUMBER(AC1105),AC1105&gt;0,AC1105&lt;1),AC1105*100,AC1105)/100)</f>
        <v/>
      </c>
      <c r="Z1105" s="5">
        <f>IF(D1105="","",AB1105*AA1105/100)</f>
        <v/>
      </c>
      <c r="AA1105" s="5">
        <f>IF(D1105="","",X1105-Y1105)</f>
        <v/>
      </c>
      <c r="AD1105" s="5">
        <f>IF(D1105="","",AA1105-Z1105)</f>
        <v/>
      </c>
      <c r="AG1105">
        <f>IF(D1105="","",N(AG1104)+IF(MATCH(D1105,$D$2:$D$3001,0)=ROW()-1,1,0))</f>
        <v/>
      </c>
    </row>
    <row r="1106">
      <c r="Y1106" s="5">
        <f>IF(D1106="","",X1106*IF(AND(ISNUMBER(AC1106),AC1106&gt;0,AC1106&lt;1),AC1106*100,AC1106)/100)</f>
        <v/>
      </c>
      <c r="Z1106" s="5">
        <f>IF(D1106="","",AB1106*AA1106/100)</f>
        <v/>
      </c>
      <c r="AA1106" s="5">
        <f>IF(D1106="","",X1106-Y1106)</f>
        <v/>
      </c>
      <c r="AD1106" s="5">
        <f>IF(D1106="","",AA1106-Z1106)</f>
        <v/>
      </c>
      <c r="AG1106">
        <f>IF(D1106="","",N(AG1105)+IF(MATCH(D1106,$D$2:$D$3001,0)=ROW()-1,1,0))</f>
        <v/>
      </c>
    </row>
    <row r="1107">
      <c r="Y1107" s="5">
        <f>IF(D1107="","",X1107*IF(AND(ISNUMBER(AC1107),AC1107&gt;0,AC1107&lt;1),AC1107*100,AC1107)/100)</f>
        <v/>
      </c>
      <c r="Z1107" s="5">
        <f>IF(D1107="","",AB1107*AA1107/100)</f>
        <v/>
      </c>
      <c r="AA1107" s="5">
        <f>IF(D1107="","",X1107-Y1107)</f>
        <v/>
      </c>
      <c r="AD1107" s="5">
        <f>IF(D1107="","",AA1107-Z1107)</f>
        <v/>
      </c>
      <c r="AG1107">
        <f>IF(D1107="","",N(AG1106)+IF(MATCH(D1107,$D$2:$D$3001,0)=ROW()-1,1,0))</f>
        <v/>
      </c>
    </row>
    <row r="1108">
      <c r="Y1108" s="5">
        <f>IF(D1108="","",X1108*IF(AND(ISNUMBER(AC1108),AC1108&gt;0,AC1108&lt;1),AC1108*100,AC1108)/100)</f>
        <v/>
      </c>
      <c r="Z1108" s="5">
        <f>IF(D1108="","",AB1108*AA1108/100)</f>
        <v/>
      </c>
      <c r="AA1108" s="5">
        <f>IF(D1108="","",X1108-Y1108)</f>
        <v/>
      </c>
      <c r="AD1108" s="5">
        <f>IF(D1108="","",AA1108-Z1108)</f>
        <v/>
      </c>
      <c r="AG1108">
        <f>IF(D1108="","",N(AG1107)+IF(MATCH(D1108,$D$2:$D$3001,0)=ROW()-1,1,0))</f>
        <v/>
      </c>
    </row>
    <row r="1109">
      <c r="Y1109" s="5">
        <f>IF(D1109="","",X1109*IF(AND(ISNUMBER(AC1109),AC1109&gt;0,AC1109&lt;1),AC1109*100,AC1109)/100)</f>
        <v/>
      </c>
      <c r="Z1109" s="5">
        <f>IF(D1109="","",AB1109*AA1109/100)</f>
        <v/>
      </c>
      <c r="AA1109" s="5">
        <f>IF(D1109="","",X1109-Y1109)</f>
        <v/>
      </c>
      <c r="AD1109" s="5">
        <f>IF(D1109="","",AA1109-Z1109)</f>
        <v/>
      </c>
      <c r="AG1109">
        <f>IF(D1109="","",N(AG1108)+IF(MATCH(D1109,$D$2:$D$3001,0)=ROW()-1,1,0))</f>
        <v/>
      </c>
    </row>
    <row r="1110">
      <c r="Y1110" s="5">
        <f>IF(D1110="","",X1110*IF(AND(ISNUMBER(AC1110),AC1110&gt;0,AC1110&lt;1),AC1110*100,AC1110)/100)</f>
        <v/>
      </c>
      <c r="Z1110" s="5">
        <f>IF(D1110="","",AB1110*AA1110/100)</f>
        <v/>
      </c>
      <c r="AA1110" s="5">
        <f>IF(D1110="","",X1110-Y1110)</f>
        <v/>
      </c>
      <c r="AD1110" s="5">
        <f>IF(D1110="","",AA1110-Z1110)</f>
        <v/>
      </c>
      <c r="AG1110">
        <f>IF(D1110="","",N(AG1109)+IF(MATCH(D1110,$D$2:$D$3001,0)=ROW()-1,1,0))</f>
        <v/>
      </c>
    </row>
    <row r="1111">
      <c r="Y1111" s="5">
        <f>IF(D1111="","",X1111*IF(AND(ISNUMBER(AC1111),AC1111&gt;0,AC1111&lt;1),AC1111*100,AC1111)/100)</f>
        <v/>
      </c>
      <c r="Z1111" s="5">
        <f>IF(D1111="","",AB1111*AA1111/100)</f>
        <v/>
      </c>
      <c r="AA1111" s="5">
        <f>IF(D1111="","",X1111-Y1111)</f>
        <v/>
      </c>
      <c r="AD1111" s="5">
        <f>IF(D1111="","",AA1111-Z1111)</f>
        <v/>
      </c>
      <c r="AG1111">
        <f>IF(D1111="","",N(AG1110)+IF(MATCH(D1111,$D$2:$D$3001,0)=ROW()-1,1,0))</f>
        <v/>
      </c>
    </row>
    <row r="1112">
      <c r="Y1112" s="5">
        <f>IF(D1112="","",X1112*IF(AND(ISNUMBER(AC1112),AC1112&gt;0,AC1112&lt;1),AC1112*100,AC1112)/100)</f>
        <v/>
      </c>
      <c r="Z1112" s="5">
        <f>IF(D1112="","",AB1112*AA1112/100)</f>
        <v/>
      </c>
      <c r="AA1112" s="5">
        <f>IF(D1112="","",X1112-Y1112)</f>
        <v/>
      </c>
      <c r="AD1112" s="5">
        <f>IF(D1112="","",AA1112-Z1112)</f>
        <v/>
      </c>
      <c r="AG1112">
        <f>IF(D1112="","",N(AG1111)+IF(MATCH(D1112,$D$2:$D$3001,0)=ROW()-1,1,0))</f>
        <v/>
      </c>
    </row>
    <row r="1113">
      <c r="Y1113" s="5">
        <f>IF(D1113="","",X1113*IF(AND(ISNUMBER(AC1113),AC1113&gt;0,AC1113&lt;1),AC1113*100,AC1113)/100)</f>
        <v/>
      </c>
      <c r="Z1113" s="5">
        <f>IF(D1113="","",AB1113*AA1113/100)</f>
        <v/>
      </c>
      <c r="AA1113" s="5">
        <f>IF(D1113="","",X1113-Y1113)</f>
        <v/>
      </c>
      <c r="AD1113" s="5">
        <f>IF(D1113="","",AA1113-Z1113)</f>
        <v/>
      </c>
      <c r="AG1113">
        <f>IF(D1113="","",N(AG1112)+IF(MATCH(D1113,$D$2:$D$3001,0)=ROW()-1,1,0))</f>
        <v/>
      </c>
    </row>
    <row r="1114">
      <c r="Y1114" s="5">
        <f>IF(D1114="","",X1114*IF(AND(ISNUMBER(AC1114),AC1114&gt;0,AC1114&lt;1),AC1114*100,AC1114)/100)</f>
        <v/>
      </c>
      <c r="Z1114" s="5">
        <f>IF(D1114="","",AB1114*AA1114/100)</f>
        <v/>
      </c>
      <c r="AA1114" s="5">
        <f>IF(D1114="","",X1114-Y1114)</f>
        <v/>
      </c>
      <c r="AD1114" s="5">
        <f>IF(D1114="","",AA1114-Z1114)</f>
        <v/>
      </c>
      <c r="AG1114">
        <f>IF(D1114="","",N(AG1113)+IF(MATCH(D1114,$D$2:$D$3001,0)=ROW()-1,1,0))</f>
        <v/>
      </c>
    </row>
    <row r="1115">
      <c r="Y1115" s="5">
        <f>IF(D1115="","",X1115*IF(AND(ISNUMBER(AC1115),AC1115&gt;0,AC1115&lt;1),AC1115*100,AC1115)/100)</f>
        <v/>
      </c>
      <c r="Z1115" s="5">
        <f>IF(D1115="","",AB1115*AA1115/100)</f>
        <v/>
      </c>
      <c r="AA1115" s="5">
        <f>IF(D1115="","",X1115-Y1115)</f>
        <v/>
      </c>
      <c r="AD1115" s="5">
        <f>IF(D1115="","",AA1115-Z1115)</f>
        <v/>
      </c>
      <c r="AG1115">
        <f>IF(D1115="","",N(AG1114)+IF(MATCH(D1115,$D$2:$D$3001,0)=ROW()-1,1,0))</f>
        <v/>
      </c>
    </row>
    <row r="1116">
      <c r="Y1116" s="5">
        <f>IF(D1116="","",X1116*IF(AND(ISNUMBER(AC1116),AC1116&gt;0,AC1116&lt;1),AC1116*100,AC1116)/100)</f>
        <v/>
      </c>
      <c r="Z1116" s="5">
        <f>IF(D1116="","",AB1116*AA1116/100)</f>
        <v/>
      </c>
      <c r="AA1116" s="5">
        <f>IF(D1116="","",X1116-Y1116)</f>
        <v/>
      </c>
      <c r="AD1116" s="5">
        <f>IF(D1116="","",AA1116-Z1116)</f>
        <v/>
      </c>
      <c r="AG1116">
        <f>IF(D1116="","",N(AG1115)+IF(MATCH(D1116,$D$2:$D$3001,0)=ROW()-1,1,0))</f>
        <v/>
      </c>
    </row>
    <row r="1117">
      <c r="Y1117" s="5">
        <f>IF(D1117="","",X1117*IF(AND(ISNUMBER(AC1117),AC1117&gt;0,AC1117&lt;1),AC1117*100,AC1117)/100)</f>
        <v/>
      </c>
      <c r="Z1117" s="5">
        <f>IF(D1117="","",AB1117*AA1117/100)</f>
        <v/>
      </c>
      <c r="AA1117" s="5">
        <f>IF(D1117="","",X1117-Y1117)</f>
        <v/>
      </c>
      <c r="AD1117" s="5">
        <f>IF(D1117="","",AA1117-Z1117)</f>
        <v/>
      </c>
      <c r="AG1117">
        <f>IF(D1117="","",N(AG1116)+IF(MATCH(D1117,$D$2:$D$3001,0)=ROW()-1,1,0))</f>
        <v/>
      </c>
    </row>
    <row r="1118">
      <c r="Y1118" s="5">
        <f>IF(D1118="","",X1118*IF(AND(ISNUMBER(AC1118),AC1118&gt;0,AC1118&lt;1),AC1118*100,AC1118)/100)</f>
        <v/>
      </c>
      <c r="Z1118" s="5">
        <f>IF(D1118="","",AB1118*AA1118/100)</f>
        <v/>
      </c>
      <c r="AA1118" s="5">
        <f>IF(D1118="","",X1118-Y1118)</f>
        <v/>
      </c>
      <c r="AD1118" s="5">
        <f>IF(D1118="","",AA1118-Z1118)</f>
        <v/>
      </c>
      <c r="AG1118">
        <f>IF(D1118="","",N(AG1117)+IF(MATCH(D1118,$D$2:$D$3001,0)=ROW()-1,1,0))</f>
        <v/>
      </c>
    </row>
    <row r="1119">
      <c r="Y1119" s="5">
        <f>IF(D1119="","",X1119*IF(AND(ISNUMBER(AC1119),AC1119&gt;0,AC1119&lt;1),AC1119*100,AC1119)/100)</f>
        <v/>
      </c>
      <c r="Z1119" s="5">
        <f>IF(D1119="","",AB1119*AA1119/100)</f>
        <v/>
      </c>
      <c r="AA1119" s="5">
        <f>IF(D1119="","",X1119-Y1119)</f>
        <v/>
      </c>
      <c r="AD1119" s="5">
        <f>IF(D1119="","",AA1119-Z1119)</f>
        <v/>
      </c>
      <c r="AG1119">
        <f>IF(D1119="","",N(AG1118)+IF(MATCH(D1119,$D$2:$D$3001,0)=ROW()-1,1,0))</f>
        <v/>
      </c>
    </row>
    <row r="1120">
      <c r="Y1120" s="5">
        <f>IF(D1120="","",X1120*IF(AND(ISNUMBER(AC1120),AC1120&gt;0,AC1120&lt;1),AC1120*100,AC1120)/100)</f>
        <v/>
      </c>
      <c r="Z1120" s="5">
        <f>IF(D1120="","",AB1120*AA1120/100)</f>
        <v/>
      </c>
      <c r="AA1120" s="5">
        <f>IF(D1120="","",X1120-Y1120)</f>
        <v/>
      </c>
      <c r="AD1120" s="5">
        <f>IF(D1120="","",AA1120-Z1120)</f>
        <v/>
      </c>
      <c r="AG1120">
        <f>IF(D1120="","",N(AG1119)+IF(MATCH(D1120,$D$2:$D$3001,0)=ROW()-1,1,0))</f>
        <v/>
      </c>
    </row>
    <row r="1121">
      <c r="Y1121" s="5">
        <f>IF(D1121="","",X1121*IF(AND(ISNUMBER(AC1121),AC1121&gt;0,AC1121&lt;1),AC1121*100,AC1121)/100)</f>
        <v/>
      </c>
      <c r="Z1121" s="5">
        <f>IF(D1121="","",AB1121*AA1121/100)</f>
        <v/>
      </c>
      <c r="AA1121" s="5">
        <f>IF(D1121="","",X1121-Y1121)</f>
        <v/>
      </c>
      <c r="AD1121" s="5">
        <f>IF(D1121="","",AA1121-Z1121)</f>
        <v/>
      </c>
      <c r="AG1121">
        <f>IF(D1121="","",N(AG1120)+IF(MATCH(D1121,$D$2:$D$3001,0)=ROW()-1,1,0))</f>
        <v/>
      </c>
    </row>
    <row r="1122">
      <c r="Y1122" s="5">
        <f>IF(D1122="","",X1122*IF(AND(ISNUMBER(AC1122),AC1122&gt;0,AC1122&lt;1),AC1122*100,AC1122)/100)</f>
        <v/>
      </c>
      <c r="Z1122" s="5">
        <f>IF(D1122="","",AB1122*AA1122/100)</f>
        <v/>
      </c>
      <c r="AA1122" s="5">
        <f>IF(D1122="","",X1122-Y1122)</f>
        <v/>
      </c>
      <c r="AD1122" s="5">
        <f>IF(D1122="","",AA1122-Z1122)</f>
        <v/>
      </c>
      <c r="AG1122">
        <f>IF(D1122="","",N(AG1121)+IF(MATCH(D1122,$D$2:$D$3001,0)=ROW()-1,1,0))</f>
        <v/>
      </c>
    </row>
    <row r="1123">
      <c r="Y1123" s="5">
        <f>IF(D1123="","",X1123*IF(AND(ISNUMBER(AC1123),AC1123&gt;0,AC1123&lt;1),AC1123*100,AC1123)/100)</f>
        <v/>
      </c>
      <c r="Z1123" s="5">
        <f>IF(D1123="","",AB1123*AA1123/100)</f>
        <v/>
      </c>
      <c r="AA1123" s="5">
        <f>IF(D1123="","",X1123-Y1123)</f>
        <v/>
      </c>
      <c r="AD1123" s="5">
        <f>IF(D1123="","",AA1123-Z1123)</f>
        <v/>
      </c>
      <c r="AG1123">
        <f>IF(D1123="","",N(AG1122)+IF(MATCH(D1123,$D$2:$D$3001,0)=ROW()-1,1,0))</f>
        <v/>
      </c>
    </row>
    <row r="1124">
      <c r="Y1124" s="5">
        <f>IF(D1124="","",X1124*IF(AND(ISNUMBER(AC1124),AC1124&gt;0,AC1124&lt;1),AC1124*100,AC1124)/100)</f>
        <v/>
      </c>
      <c r="Z1124" s="5">
        <f>IF(D1124="","",AB1124*AA1124/100)</f>
        <v/>
      </c>
      <c r="AA1124" s="5">
        <f>IF(D1124="","",X1124-Y1124)</f>
        <v/>
      </c>
      <c r="AD1124" s="5">
        <f>IF(D1124="","",AA1124-Z1124)</f>
        <v/>
      </c>
      <c r="AG1124">
        <f>IF(D1124="","",N(AG1123)+IF(MATCH(D1124,$D$2:$D$3001,0)=ROW()-1,1,0))</f>
        <v/>
      </c>
    </row>
    <row r="1125">
      <c r="Y1125" s="5">
        <f>IF(D1125="","",X1125*IF(AND(ISNUMBER(AC1125),AC1125&gt;0,AC1125&lt;1),AC1125*100,AC1125)/100)</f>
        <v/>
      </c>
      <c r="Z1125" s="5">
        <f>IF(D1125="","",AB1125*AA1125/100)</f>
        <v/>
      </c>
      <c r="AA1125" s="5">
        <f>IF(D1125="","",X1125-Y1125)</f>
        <v/>
      </c>
      <c r="AD1125" s="5">
        <f>IF(D1125="","",AA1125-Z1125)</f>
        <v/>
      </c>
      <c r="AG1125">
        <f>IF(D1125="","",N(AG1124)+IF(MATCH(D1125,$D$2:$D$3001,0)=ROW()-1,1,0))</f>
        <v/>
      </c>
    </row>
    <row r="1126">
      <c r="Y1126" s="5">
        <f>IF(D1126="","",X1126*IF(AND(ISNUMBER(AC1126),AC1126&gt;0,AC1126&lt;1),AC1126*100,AC1126)/100)</f>
        <v/>
      </c>
      <c r="Z1126" s="5">
        <f>IF(D1126="","",AB1126*AA1126/100)</f>
        <v/>
      </c>
      <c r="AA1126" s="5">
        <f>IF(D1126="","",X1126-Y1126)</f>
        <v/>
      </c>
      <c r="AD1126" s="5">
        <f>IF(D1126="","",AA1126-Z1126)</f>
        <v/>
      </c>
      <c r="AG1126">
        <f>IF(D1126="","",N(AG1125)+IF(MATCH(D1126,$D$2:$D$3001,0)=ROW()-1,1,0))</f>
        <v/>
      </c>
    </row>
    <row r="1127">
      <c r="Y1127" s="5">
        <f>IF(D1127="","",X1127*IF(AND(ISNUMBER(AC1127),AC1127&gt;0,AC1127&lt;1),AC1127*100,AC1127)/100)</f>
        <v/>
      </c>
      <c r="Z1127" s="5">
        <f>IF(D1127="","",AB1127*AA1127/100)</f>
        <v/>
      </c>
      <c r="AA1127" s="5">
        <f>IF(D1127="","",X1127-Y1127)</f>
        <v/>
      </c>
      <c r="AD1127" s="5">
        <f>IF(D1127="","",AA1127-Z1127)</f>
        <v/>
      </c>
      <c r="AG1127">
        <f>IF(D1127="","",N(AG1126)+IF(MATCH(D1127,$D$2:$D$3001,0)=ROW()-1,1,0))</f>
        <v/>
      </c>
    </row>
    <row r="1128">
      <c r="Y1128" s="5">
        <f>IF(D1128="","",X1128*IF(AND(ISNUMBER(AC1128),AC1128&gt;0,AC1128&lt;1),AC1128*100,AC1128)/100)</f>
        <v/>
      </c>
      <c r="Z1128" s="5">
        <f>IF(D1128="","",AB1128*AA1128/100)</f>
        <v/>
      </c>
      <c r="AA1128" s="5">
        <f>IF(D1128="","",X1128-Y1128)</f>
        <v/>
      </c>
      <c r="AD1128" s="5">
        <f>IF(D1128="","",AA1128-Z1128)</f>
        <v/>
      </c>
      <c r="AG1128">
        <f>IF(D1128="","",N(AG1127)+IF(MATCH(D1128,$D$2:$D$3001,0)=ROW()-1,1,0))</f>
        <v/>
      </c>
    </row>
    <row r="1129">
      <c r="Y1129" s="5">
        <f>IF(D1129="","",X1129*IF(AND(ISNUMBER(AC1129),AC1129&gt;0,AC1129&lt;1),AC1129*100,AC1129)/100)</f>
        <v/>
      </c>
      <c r="Z1129" s="5">
        <f>IF(D1129="","",AB1129*AA1129/100)</f>
        <v/>
      </c>
      <c r="AA1129" s="5">
        <f>IF(D1129="","",X1129-Y1129)</f>
        <v/>
      </c>
      <c r="AD1129" s="5">
        <f>IF(D1129="","",AA1129-Z1129)</f>
        <v/>
      </c>
      <c r="AG1129">
        <f>IF(D1129="","",N(AG1128)+IF(MATCH(D1129,$D$2:$D$3001,0)=ROW()-1,1,0))</f>
        <v/>
      </c>
    </row>
    <row r="1130">
      <c r="Y1130" s="5">
        <f>IF(D1130="","",X1130*IF(AND(ISNUMBER(AC1130),AC1130&gt;0,AC1130&lt;1),AC1130*100,AC1130)/100)</f>
        <v/>
      </c>
      <c r="Z1130" s="5">
        <f>IF(D1130="","",AB1130*AA1130/100)</f>
        <v/>
      </c>
      <c r="AA1130" s="5">
        <f>IF(D1130="","",X1130-Y1130)</f>
        <v/>
      </c>
      <c r="AD1130" s="5">
        <f>IF(D1130="","",AA1130-Z1130)</f>
        <v/>
      </c>
      <c r="AG1130">
        <f>IF(D1130="","",N(AG1129)+IF(MATCH(D1130,$D$2:$D$3001,0)=ROW()-1,1,0))</f>
        <v/>
      </c>
    </row>
    <row r="1131">
      <c r="Y1131" s="5">
        <f>IF(D1131="","",X1131*IF(AND(ISNUMBER(AC1131),AC1131&gt;0,AC1131&lt;1),AC1131*100,AC1131)/100)</f>
        <v/>
      </c>
      <c r="Z1131" s="5">
        <f>IF(D1131="","",AB1131*AA1131/100)</f>
        <v/>
      </c>
      <c r="AA1131" s="5">
        <f>IF(D1131="","",X1131-Y1131)</f>
        <v/>
      </c>
      <c r="AD1131" s="5">
        <f>IF(D1131="","",AA1131-Z1131)</f>
        <v/>
      </c>
      <c r="AG1131">
        <f>IF(D1131="","",N(AG1130)+IF(MATCH(D1131,$D$2:$D$3001,0)=ROW()-1,1,0))</f>
        <v/>
      </c>
    </row>
    <row r="1132">
      <c r="Y1132" s="5">
        <f>IF(D1132="","",X1132*IF(AND(ISNUMBER(AC1132),AC1132&gt;0,AC1132&lt;1),AC1132*100,AC1132)/100)</f>
        <v/>
      </c>
      <c r="Z1132" s="5">
        <f>IF(D1132="","",AB1132*AA1132/100)</f>
        <v/>
      </c>
      <c r="AA1132" s="5">
        <f>IF(D1132="","",X1132-Y1132)</f>
        <v/>
      </c>
      <c r="AD1132" s="5">
        <f>IF(D1132="","",AA1132-Z1132)</f>
        <v/>
      </c>
      <c r="AG1132">
        <f>IF(D1132="","",N(AG1131)+IF(MATCH(D1132,$D$2:$D$3001,0)=ROW()-1,1,0))</f>
        <v/>
      </c>
    </row>
    <row r="1133">
      <c r="Y1133" s="5">
        <f>IF(D1133="","",X1133*IF(AND(ISNUMBER(AC1133),AC1133&gt;0,AC1133&lt;1),AC1133*100,AC1133)/100)</f>
        <v/>
      </c>
      <c r="Z1133" s="5">
        <f>IF(D1133="","",AB1133*AA1133/100)</f>
        <v/>
      </c>
      <c r="AA1133" s="5">
        <f>IF(D1133="","",X1133-Y1133)</f>
        <v/>
      </c>
      <c r="AD1133" s="5">
        <f>IF(D1133="","",AA1133-Z1133)</f>
        <v/>
      </c>
      <c r="AG1133">
        <f>IF(D1133="","",N(AG1132)+IF(MATCH(D1133,$D$2:$D$3001,0)=ROW()-1,1,0))</f>
        <v/>
      </c>
    </row>
    <row r="1134">
      <c r="Y1134" s="5">
        <f>IF(D1134="","",X1134*IF(AND(ISNUMBER(AC1134),AC1134&gt;0,AC1134&lt;1),AC1134*100,AC1134)/100)</f>
        <v/>
      </c>
      <c r="Z1134" s="5">
        <f>IF(D1134="","",AB1134*AA1134/100)</f>
        <v/>
      </c>
      <c r="AA1134" s="5">
        <f>IF(D1134="","",X1134-Y1134)</f>
        <v/>
      </c>
      <c r="AD1134" s="5">
        <f>IF(D1134="","",AA1134-Z1134)</f>
        <v/>
      </c>
      <c r="AG1134">
        <f>IF(D1134="","",N(AG1133)+IF(MATCH(D1134,$D$2:$D$3001,0)=ROW()-1,1,0))</f>
        <v/>
      </c>
    </row>
    <row r="1135">
      <c r="Y1135" s="5">
        <f>IF(D1135="","",X1135*IF(AND(ISNUMBER(AC1135),AC1135&gt;0,AC1135&lt;1),AC1135*100,AC1135)/100)</f>
        <v/>
      </c>
      <c r="Z1135" s="5">
        <f>IF(D1135="","",AB1135*AA1135/100)</f>
        <v/>
      </c>
      <c r="AA1135" s="5">
        <f>IF(D1135="","",X1135-Y1135)</f>
        <v/>
      </c>
      <c r="AD1135" s="5">
        <f>IF(D1135="","",AA1135-Z1135)</f>
        <v/>
      </c>
      <c r="AG1135">
        <f>IF(D1135="","",N(AG1134)+IF(MATCH(D1135,$D$2:$D$3001,0)=ROW()-1,1,0))</f>
        <v/>
      </c>
    </row>
    <row r="1136">
      <c r="Y1136" s="5">
        <f>IF(D1136="","",X1136*IF(AND(ISNUMBER(AC1136),AC1136&gt;0,AC1136&lt;1),AC1136*100,AC1136)/100)</f>
        <v/>
      </c>
      <c r="Z1136" s="5">
        <f>IF(D1136="","",AB1136*AA1136/100)</f>
        <v/>
      </c>
      <c r="AA1136" s="5">
        <f>IF(D1136="","",X1136-Y1136)</f>
        <v/>
      </c>
      <c r="AD1136" s="5">
        <f>IF(D1136="","",AA1136-Z1136)</f>
        <v/>
      </c>
      <c r="AG1136">
        <f>IF(D1136="","",N(AG1135)+IF(MATCH(D1136,$D$2:$D$3001,0)=ROW()-1,1,0))</f>
        <v/>
      </c>
    </row>
    <row r="1137">
      <c r="Y1137" s="5">
        <f>IF(D1137="","",X1137*IF(AND(ISNUMBER(AC1137),AC1137&gt;0,AC1137&lt;1),AC1137*100,AC1137)/100)</f>
        <v/>
      </c>
      <c r="Z1137" s="5">
        <f>IF(D1137="","",AB1137*AA1137/100)</f>
        <v/>
      </c>
      <c r="AA1137" s="5">
        <f>IF(D1137="","",X1137-Y1137)</f>
        <v/>
      </c>
      <c r="AD1137" s="5">
        <f>IF(D1137="","",AA1137-Z1137)</f>
        <v/>
      </c>
      <c r="AG1137">
        <f>IF(D1137="","",N(AG1136)+IF(MATCH(D1137,$D$2:$D$3001,0)=ROW()-1,1,0))</f>
        <v/>
      </c>
    </row>
    <row r="1138">
      <c r="Y1138" s="5">
        <f>IF(D1138="","",X1138*IF(AND(ISNUMBER(AC1138),AC1138&gt;0,AC1138&lt;1),AC1138*100,AC1138)/100)</f>
        <v/>
      </c>
      <c r="Z1138" s="5">
        <f>IF(D1138="","",AB1138*AA1138/100)</f>
        <v/>
      </c>
      <c r="AA1138" s="5">
        <f>IF(D1138="","",X1138-Y1138)</f>
        <v/>
      </c>
      <c r="AD1138" s="5">
        <f>IF(D1138="","",AA1138-Z1138)</f>
        <v/>
      </c>
      <c r="AG1138">
        <f>IF(D1138="","",N(AG1137)+IF(MATCH(D1138,$D$2:$D$3001,0)=ROW()-1,1,0))</f>
        <v/>
      </c>
    </row>
    <row r="1139">
      <c r="Y1139" s="5">
        <f>IF(D1139="","",X1139*IF(AND(ISNUMBER(AC1139),AC1139&gt;0,AC1139&lt;1),AC1139*100,AC1139)/100)</f>
        <v/>
      </c>
      <c r="Z1139" s="5">
        <f>IF(D1139="","",AB1139*AA1139/100)</f>
        <v/>
      </c>
      <c r="AA1139" s="5">
        <f>IF(D1139="","",X1139-Y1139)</f>
        <v/>
      </c>
      <c r="AD1139" s="5">
        <f>IF(D1139="","",AA1139-Z1139)</f>
        <v/>
      </c>
      <c r="AG1139">
        <f>IF(D1139="","",N(AG1138)+IF(MATCH(D1139,$D$2:$D$3001,0)=ROW()-1,1,0))</f>
        <v/>
      </c>
    </row>
    <row r="1140">
      <c r="Y1140" s="5">
        <f>IF(D1140="","",X1140*IF(AND(ISNUMBER(AC1140),AC1140&gt;0,AC1140&lt;1),AC1140*100,AC1140)/100)</f>
        <v/>
      </c>
      <c r="Z1140" s="5">
        <f>IF(D1140="","",AB1140*AA1140/100)</f>
        <v/>
      </c>
      <c r="AA1140" s="5">
        <f>IF(D1140="","",X1140-Y1140)</f>
        <v/>
      </c>
      <c r="AD1140" s="5">
        <f>IF(D1140="","",AA1140-Z1140)</f>
        <v/>
      </c>
      <c r="AG1140">
        <f>IF(D1140="","",N(AG1139)+IF(MATCH(D1140,$D$2:$D$3001,0)=ROW()-1,1,0))</f>
        <v/>
      </c>
    </row>
    <row r="1141">
      <c r="Y1141" s="5">
        <f>IF(D1141="","",X1141*IF(AND(ISNUMBER(AC1141),AC1141&gt;0,AC1141&lt;1),AC1141*100,AC1141)/100)</f>
        <v/>
      </c>
      <c r="Z1141" s="5">
        <f>IF(D1141="","",AB1141*AA1141/100)</f>
        <v/>
      </c>
      <c r="AA1141" s="5">
        <f>IF(D1141="","",X1141-Y1141)</f>
        <v/>
      </c>
      <c r="AD1141" s="5">
        <f>IF(D1141="","",AA1141-Z1141)</f>
        <v/>
      </c>
      <c r="AG1141">
        <f>IF(D1141="","",N(AG1140)+IF(MATCH(D1141,$D$2:$D$3001,0)=ROW()-1,1,0))</f>
        <v/>
      </c>
    </row>
    <row r="1142">
      <c r="Y1142" s="5">
        <f>IF(D1142="","",X1142*IF(AND(ISNUMBER(AC1142),AC1142&gt;0,AC1142&lt;1),AC1142*100,AC1142)/100)</f>
        <v/>
      </c>
      <c r="Z1142" s="5">
        <f>IF(D1142="","",AB1142*AA1142/100)</f>
        <v/>
      </c>
      <c r="AA1142" s="5">
        <f>IF(D1142="","",X1142-Y1142)</f>
        <v/>
      </c>
      <c r="AD1142" s="5">
        <f>IF(D1142="","",AA1142-Z1142)</f>
        <v/>
      </c>
      <c r="AG1142">
        <f>IF(D1142="","",N(AG1141)+IF(MATCH(D1142,$D$2:$D$3001,0)=ROW()-1,1,0))</f>
        <v/>
      </c>
    </row>
    <row r="1143">
      <c r="Y1143" s="5">
        <f>IF(D1143="","",X1143*IF(AND(ISNUMBER(AC1143),AC1143&gt;0,AC1143&lt;1),AC1143*100,AC1143)/100)</f>
        <v/>
      </c>
      <c r="Z1143" s="5">
        <f>IF(D1143="","",AB1143*AA1143/100)</f>
        <v/>
      </c>
      <c r="AA1143" s="5">
        <f>IF(D1143="","",X1143-Y1143)</f>
        <v/>
      </c>
      <c r="AD1143" s="5">
        <f>IF(D1143="","",AA1143-Z1143)</f>
        <v/>
      </c>
      <c r="AG1143">
        <f>IF(D1143="","",N(AG1142)+IF(MATCH(D1143,$D$2:$D$3001,0)=ROW()-1,1,0))</f>
        <v/>
      </c>
    </row>
    <row r="1144">
      <c r="Y1144" s="5">
        <f>IF(D1144="","",X1144*IF(AND(ISNUMBER(AC1144),AC1144&gt;0,AC1144&lt;1),AC1144*100,AC1144)/100)</f>
        <v/>
      </c>
      <c r="Z1144" s="5">
        <f>IF(D1144="","",AB1144*AA1144/100)</f>
        <v/>
      </c>
      <c r="AA1144" s="5">
        <f>IF(D1144="","",X1144-Y1144)</f>
        <v/>
      </c>
      <c r="AD1144" s="5">
        <f>IF(D1144="","",AA1144-Z1144)</f>
        <v/>
      </c>
      <c r="AG1144">
        <f>IF(D1144="","",N(AG1143)+IF(MATCH(D1144,$D$2:$D$3001,0)=ROW()-1,1,0))</f>
        <v/>
      </c>
    </row>
    <row r="1145">
      <c r="Y1145" s="5">
        <f>IF(D1145="","",X1145*IF(AND(ISNUMBER(AC1145),AC1145&gt;0,AC1145&lt;1),AC1145*100,AC1145)/100)</f>
        <v/>
      </c>
      <c r="Z1145" s="5">
        <f>IF(D1145="","",AB1145*AA1145/100)</f>
        <v/>
      </c>
      <c r="AA1145" s="5">
        <f>IF(D1145="","",X1145-Y1145)</f>
        <v/>
      </c>
      <c r="AD1145" s="5">
        <f>IF(D1145="","",AA1145-Z1145)</f>
        <v/>
      </c>
      <c r="AG1145">
        <f>IF(D1145="","",N(AG1144)+IF(MATCH(D1145,$D$2:$D$3001,0)=ROW()-1,1,0))</f>
        <v/>
      </c>
    </row>
    <row r="1146">
      <c r="Y1146" s="5">
        <f>IF(D1146="","",X1146*IF(AND(ISNUMBER(AC1146),AC1146&gt;0,AC1146&lt;1),AC1146*100,AC1146)/100)</f>
        <v/>
      </c>
      <c r="Z1146" s="5">
        <f>IF(D1146="","",AB1146*AA1146/100)</f>
        <v/>
      </c>
      <c r="AA1146" s="5">
        <f>IF(D1146="","",X1146-Y1146)</f>
        <v/>
      </c>
      <c r="AD1146" s="5">
        <f>IF(D1146="","",AA1146-Z1146)</f>
        <v/>
      </c>
      <c r="AG1146">
        <f>IF(D1146="","",N(AG1145)+IF(MATCH(D1146,$D$2:$D$3001,0)=ROW()-1,1,0))</f>
        <v/>
      </c>
    </row>
    <row r="1147">
      <c r="Y1147" s="5">
        <f>IF(D1147="","",X1147*IF(AND(ISNUMBER(AC1147),AC1147&gt;0,AC1147&lt;1),AC1147*100,AC1147)/100)</f>
        <v/>
      </c>
      <c r="Z1147" s="5">
        <f>IF(D1147="","",AB1147*AA1147/100)</f>
        <v/>
      </c>
      <c r="AA1147" s="5">
        <f>IF(D1147="","",X1147-Y1147)</f>
        <v/>
      </c>
      <c r="AD1147" s="5">
        <f>IF(D1147="","",AA1147-Z1147)</f>
        <v/>
      </c>
      <c r="AG1147">
        <f>IF(D1147="","",N(AG1146)+IF(MATCH(D1147,$D$2:$D$3001,0)=ROW()-1,1,0))</f>
        <v/>
      </c>
    </row>
    <row r="1148">
      <c r="Y1148" s="5">
        <f>IF(D1148="","",X1148*IF(AND(ISNUMBER(AC1148),AC1148&gt;0,AC1148&lt;1),AC1148*100,AC1148)/100)</f>
        <v/>
      </c>
      <c r="Z1148" s="5">
        <f>IF(D1148="","",AB1148*AA1148/100)</f>
        <v/>
      </c>
      <c r="AA1148" s="5">
        <f>IF(D1148="","",X1148-Y1148)</f>
        <v/>
      </c>
      <c r="AD1148" s="5">
        <f>IF(D1148="","",AA1148-Z1148)</f>
        <v/>
      </c>
      <c r="AG1148">
        <f>IF(D1148="","",N(AG1147)+IF(MATCH(D1148,$D$2:$D$3001,0)=ROW()-1,1,0))</f>
        <v/>
      </c>
    </row>
    <row r="1149">
      <c r="Y1149" s="5">
        <f>IF(D1149="","",X1149*IF(AND(ISNUMBER(AC1149),AC1149&gt;0,AC1149&lt;1),AC1149*100,AC1149)/100)</f>
        <v/>
      </c>
      <c r="Z1149" s="5">
        <f>IF(D1149="","",AB1149*AA1149/100)</f>
        <v/>
      </c>
      <c r="AA1149" s="5">
        <f>IF(D1149="","",X1149-Y1149)</f>
        <v/>
      </c>
      <c r="AD1149" s="5">
        <f>IF(D1149="","",AA1149-Z1149)</f>
        <v/>
      </c>
      <c r="AG1149">
        <f>IF(D1149="","",N(AG1148)+IF(MATCH(D1149,$D$2:$D$3001,0)=ROW()-1,1,0))</f>
        <v/>
      </c>
    </row>
    <row r="1150">
      <c r="Y1150" s="5">
        <f>IF(D1150="","",X1150*IF(AND(ISNUMBER(AC1150),AC1150&gt;0,AC1150&lt;1),AC1150*100,AC1150)/100)</f>
        <v/>
      </c>
      <c r="Z1150" s="5">
        <f>IF(D1150="","",AB1150*AA1150/100)</f>
        <v/>
      </c>
      <c r="AA1150" s="5">
        <f>IF(D1150="","",X1150-Y1150)</f>
        <v/>
      </c>
      <c r="AD1150" s="5">
        <f>IF(D1150="","",AA1150-Z1150)</f>
        <v/>
      </c>
      <c r="AG1150">
        <f>IF(D1150="","",N(AG1149)+IF(MATCH(D1150,$D$2:$D$3001,0)=ROW()-1,1,0))</f>
        <v/>
      </c>
    </row>
    <row r="1151">
      <c r="Y1151" s="5">
        <f>IF(D1151="","",X1151*IF(AND(ISNUMBER(AC1151),AC1151&gt;0,AC1151&lt;1),AC1151*100,AC1151)/100)</f>
        <v/>
      </c>
      <c r="Z1151" s="5">
        <f>IF(D1151="","",AB1151*AA1151/100)</f>
        <v/>
      </c>
      <c r="AA1151" s="5">
        <f>IF(D1151="","",X1151-Y1151)</f>
        <v/>
      </c>
      <c r="AD1151" s="5">
        <f>IF(D1151="","",AA1151-Z1151)</f>
        <v/>
      </c>
      <c r="AG1151">
        <f>IF(D1151="","",N(AG1150)+IF(MATCH(D1151,$D$2:$D$3001,0)=ROW()-1,1,0))</f>
        <v/>
      </c>
    </row>
    <row r="1152">
      <c r="Y1152" s="5">
        <f>IF(D1152="","",X1152*IF(AND(ISNUMBER(AC1152),AC1152&gt;0,AC1152&lt;1),AC1152*100,AC1152)/100)</f>
        <v/>
      </c>
      <c r="Z1152" s="5">
        <f>IF(D1152="","",AB1152*AA1152/100)</f>
        <v/>
      </c>
      <c r="AA1152" s="5">
        <f>IF(D1152="","",X1152-Y1152)</f>
        <v/>
      </c>
      <c r="AD1152" s="5">
        <f>IF(D1152="","",AA1152-Z1152)</f>
        <v/>
      </c>
      <c r="AG1152">
        <f>IF(D1152="","",N(AG1151)+IF(MATCH(D1152,$D$2:$D$3001,0)=ROW()-1,1,0))</f>
        <v/>
      </c>
    </row>
    <row r="1153">
      <c r="Y1153" s="5">
        <f>IF(D1153="","",X1153*IF(AND(ISNUMBER(AC1153),AC1153&gt;0,AC1153&lt;1),AC1153*100,AC1153)/100)</f>
        <v/>
      </c>
      <c r="Z1153" s="5">
        <f>IF(D1153="","",AB1153*AA1153/100)</f>
        <v/>
      </c>
      <c r="AA1153" s="5">
        <f>IF(D1153="","",X1153-Y1153)</f>
        <v/>
      </c>
      <c r="AD1153" s="5">
        <f>IF(D1153="","",AA1153-Z1153)</f>
        <v/>
      </c>
      <c r="AG1153">
        <f>IF(D1153="","",N(AG1152)+IF(MATCH(D1153,$D$2:$D$3001,0)=ROW()-1,1,0))</f>
        <v/>
      </c>
    </row>
    <row r="1154">
      <c r="Y1154" s="5">
        <f>IF(D1154="","",X1154*IF(AND(ISNUMBER(AC1154),AC1154&gt;0,AC1154&lt;1),AC1154*100,AC1154)/100)</f>
        <v/>
      </c>
      <c r="Z1154" s="5">
        <f>IF(D1154="","",AB1154*AA1154/100)</f>
        <v/>
      </c>
      <c r="AA1154" s="5">
        <f>IF(D1154="","",X1154-Y1154)</f>
        <v/>
      </c>
      <c r="AD1154" s="5">
        <f>IF(D1154="","",AA1154-Z1154)</f>
        <v/>
      </c>
      <c r="AG1154">
        <f>IF(D1154="","",N(AG1153)+IF(MATCH(D1154,$D$2:$D$3001,0)=ROW()-1,1,0))</f>
        <v/>
      </c>
    </row>
    <row r="1155">
      <c r="Y1155" s="5">
        <f>IF(D1155="","",X1155*IF(AND(ISNUMBER(AC1155),AC1155&gt;0,AC1155&lt;1),AC1155*100,AC1155)/100)</f>
        <v/>
      </c>
      <c r="Z1155" s="5">
        <f>IF(D1155="","",AB1155*AA1155/100)</f>
        <v/>
      </c>
      <c r="AA1155" s="5">
        <f>IF(D1155="","",X1155-Y1155)</f>
        <v/>
      </c>
      <c r="AD1155" s="5">
        <f>IF(D1155="","",AA1155-Z1155)</f>
        <v/>
      </c>
      <c r="AG1155">
        <f>IF(D1155="","",N(AG1154)+IF(MATCH(D1155,$D$2:$D$3001,0)=ROW()-1,1,0))</f>
        <v/>
      </c>
    </row>
    <row r="1156">
      <c r="Y1156" s="5">
        <f>IF(D1156="","",X1156*IF(AND(ISNUMBER(AC1156),AC1156&gt;0,AC1156&lt;1),AC1156*100,AC1156)/100)</f>
        <v/>
      </c>
      <c r="Z1156" s="5">
        <f>IF(D1156="","",AB1156*AA1156/100)</f>
        <v/>
      </c>
      <c r="AA1156" s="5">
        <f>IF(D1156="","",X1156-Y1156)</f>
        <v/>
      </c>
      <c r="AD1156" s="5">
        <f>IF(D1156="","",AA1156-Z1156)</f>
        <v/>
      </c>
      <c r="AG1156">
        <f>IF(D1156="","",N(AG1155)+IF(MATCH(D1156,$D$2:$D$3001,0)=ROW()-1,1,0))</f>
        <v/>
      </c>
    </row>
    <row r="1157">
      <c r="Y1157" s="5">
        <f>IF(D1157="","",X1157*IF(AND(ISNUMBER(AC1157),AC1157&gt;0,AC1157&lt;1),AC1157*100,AC1157)/100)</f>
        <v/>
      </c>
      <c r="Z1157" s="5">
        <f>IF(D1157="","",AB1157*AA1157/100)</f>
        <v/>
      </c>
      <c r="AA1157" s="5">
        <f>IF(D1157="","",X1157-Y1157)</f>
        <v/>
      </c>
      <c r="AD1157" s="5">
        <f>IF(D1157="","",AA1157-Z1157)</f>
        <v/>
      </c>
      <c r="AG1157">
        <f>IF(D1157="","",N(AG1156)+IF(MATCH(D1157,$D$2:$D$3001,0)=ROW()-1,1,0))</f>
        <v/>
      </c>
    </row>
    <row r="1158">
      <c r="Y1158" s="5">
        <f>IF(D1158="","",X1158*IF(AND(ISNUMBER(AC1158),AC1158&gt;0,AC1158&lt;1),AC1158*100,AC1158)/100)</f>
        <v/>
      </c>
      <c r="Z1158" s="5">
        <f>IF(D1158="","",AB1158*AA1158/100)</f>
        <v/>
      </c>
      <c r="AA1158" s="5">
        <f>IF(D1158="","",X1158-Y1158)</f>
        <v/>
      </c>
      <c r="AD1158" s="5">
        <f>IF(D1158="","",AA1158-Z1158)</f>
        <v/>
      </c>
      <c r="AG1158">
        <f>IF(D1158="","",N(AG1157)+IF(MATCH(D1158,$D$2:$D$3001,0)=ROW()-1,1,0))</f>
        <v/>
      </c>
    </row>
    <row r="1159">
      <c r="Y1159" s="5">
        <f>IF(D1159="","",X1159*IF(AND(ISNUMBER(AC1159),AC1159&gt;0,AC1159&lt;1),AC1159*100,AC1159)/100)</f>
        <v/>
      </c>
      <c r="Z1159" s="5">
        <f>IF(D1159="","",AB1159*AA1159/100)</f>
        <v/>
      </c>
      <c r="AA1159" s="5">
        <f>IF(D1159="","",X1159-Y1159)</f>
        <v/>
      </c>
      <c r="AD1159" s="5">
        <f>IF(D1159="","",AA1159-Z1159)</f>
        <v/>
      </c>
      <c r="AG1159">
        <f>IF(D1159="","",N(AG1158)+IF(MATCH(D1159,$D$2:$D$3001,0)=ROW()-1,1,0))</f>
        <v/>
      </c>
    </row>
    <row r="1160">
      <c r="Y1160" s="5">
        <f>IF(D1160="","",X1160*IF(AND(ISNUMBER(AC1160),AC1160&gt;0,AC1160&lt;1),AC1160*100,AC1160)/100)</f>
        <v/>
      </c>
      <c r="Z1160" s="5">
        <f>IF(D1160="","",AB1160*AA1160/100)</f>
        <v/>
      </c>
      <c r="AA1160" s="5">
        <f>IF(D1160="","",X1160-Y1160)</f>
        <v/>
      </c>
      <c r="AD1160" s="5">
        <f>IF(D1160="","",AA1160-Z1160)</f>
        <v/>
      </c>
      <c r="AG1160">
        <f>IF(D1160="","",N(AG1159)+IF(MATCH(D1160,$D$2:$D$3001,0)=ROW()-1,1,0))</f>
        <v/>
      </c>
    </row>
    <row r="1161">
      <c r="Y1161" s="5">
        <f>IF(D1161="","",X1161*IF(AND(ISNUMBER(AC1161),AC1161&gt;0,AC1161&lt;1),AC1161*100,AC1161)/100)</f>
        <v/>
      </c>
      <c r="Z1161" s="5">
        <f>IF(D1161="","",AB1161*AA1161/100)</f>
        <v/>
      </c>
      <c r="AA1161" s="5">
        <f>IF(D1161="","",X1161-Y1161)</f>
        <v/>
      </c>
      <c r="AD1161" s="5">
        <f>IF(D1161="","",AA1161-Z1161)</f>
        <v/>
      </c>
      <c r="AG1161">
        <f>IF(D1161="","",N(AG1160)+IF(MATCH(D1161,$D$2:$D$3001,0)=ROW()-1,1,0))</f>
        <v/>
      </c>
    </row>
    <row r="1162">
      <c r="Y1162" s="5">
        <f>IF(D1162="","",X1162*IF(AND(ISNUMBER(AC1162),AC1162&gt;0,AC1162&lt;1),AC1162*100,AC1162)/100)</f>
        <v/>
      </c>
      <c r="Z1162" s="5">
        <f>IF(D1162="","",AB1162*AA1162/100)</f>
        <v/>
      </c>
      <c r="AA1162" s="5">
        <f>IF(D1162="","",X1162-Y1162)</f>
        <v/>
      </c>
      <c r="AD1162" s="5">
        <f>IF(D1162="","",AA1162-Z1162)</f>
        <v/>
      </c>
      <c r="AG1162">
        <f>IF(D1162="","",N(AG1161)+IF(MATCH(D1162,$D$2:$D$3001,0)=ROW()-1,1,0))</f>
        <v/>
      </c>
    </row>
    <row r="1163">
      <c r="Y1163" s="5">
        <f>IF(D1163="","",X1163*IF(AND(ISNUMBER(AC1163),AC1163&gt;0,AC1163&lt;1),AC1163*100,AC1163)/100)</f>
        <v/>
      </c>
      <c r="Z1163" s="5">
        <f>IF(D1163="","",AB1163*AA1163/100)</f>
        <v/>
      </c>
      <c r="AA1163" s="5">
        <f>IF(D1163="","",X1163-Y1163)</f>
        <v/>
      </c>
      <c r="AD1163" s="5">
        <f>IF(D1163="","",AA1163-Z1163)</f>
        <v/>
      </c>
      <c r="AG1163">
        <f>IF(D1163="","",N(AG1162)+IF(MATCH(D1163,$D$2:$D$3001,0)=ROW()-1,1,0))</f>
        <v/>
      </c>
    </row>
    <row r="1164">
      <c r="Y1164" s="5">
        <f>IF(D1164="","",X1164*IF(AND(ISNUMBER(AC1164),AC1164&gt;0,AC1164&lt;1),AC1164*100,AC1164)/100)</f>
        <v/>
      </c>
      <c r="Z1164" s="5">
        <f>IF(D1164="","",AB1164*AA1164/100)</f>
        <v/>
      </c>
      <c r="AA1164" s="5">
        <f>IF(D1164="","",X1164-Y1164)</f>
        <v/>
      </c>
      <c r="AD1164" s="5">
        <f>IF(D1164="","",AA1164-Z1164)</f>
        <v/>
      </c>
      <c r="AG1164">
        <f>IF(D1164="","",N(AG1163)+IF(MATCH(D1164,$D$2:$D$3001,0)=ROW()-1,1,0))</f>
        <v/>
      </c>
    </row>
    <row r="1165">
      <c r="Y1165" s="5">
        <f>IF(D1165="","",X1165*IF(AND(ISNUMBER(AC1165),AC1165&gt;0,AC1165&lt;1),AC1165*100,AC1165)/100)</f>
        <v/>
      </c>
      <c r="Z1165" s="5">
        <f>IF(D1165="","",AB1165*AA1165/100)</f>
        <v/>
      </c>
      <c r="AA1165" s="5">
        <f>IF(D1165="","",X1165-Y1165)</f>
        <v/>
      </c>
      <c r="AD1165" s="5">
        <f>IF(D1165="","",AA1165-Z1165)</f>
        <v/>
      </c>
      <c r="AG1165">
        <f>IF(D1165="","",N(AG1164)+IF(MATCH(D1165,$D$2:$D$3001,0)=ROW()-1,1,0))</f>
        <v/>
      </c>
    </row>
    <row r="1166">
      <c r="Y1166" s="5">
        <f>IF(D1166="","",X1166*IF(AND(ISNUMBER(AC1166),AC1166&gt;0,AC1166&lt;1),AC1166*100,AC1166)/100)</f>
        <v/>
      </c>
      <c r="Z1166" s="5">
        <f>IF(D1166="","",AB1166*AA1166/100)</f>
        <v/>
      </c>
      <c r="AA1166" s="5">
        <f>IF(D1166="","",X1166-Y1166)</f>
        <v/>
      </c>
      <c r="AD1166" s="5">
        <f>IF(D1166="","",AA1166-Z1166)</f>
        <v/>
      </c>
      <c r="AG1166">
        <f>IF(D1166="","",N(AG1165)+IF(MATCH(D1166,$D$2:$D$3001,0)=ROW()-1,1,0))</f>
        <v/>
      </c>
    </row>
    <row r="1167">
      <c r="Y1167" s="5">
        <f>IF(D1167="","",X1167*IF(AND(ISNUMBER(AC1167),AC1167&gt;0,AC1167&lt;1),AC1167*100,AC1167)/100)</f>
        <v/>
      </c>
      <c r="Z1167" s="5">
        <f>IF(D1167="","",AB1167*AA1167/100)</f>
        <v/>
      </c>
      <c r="AA1167" s="5">
        <f>IF(D1167="","",X1167-Y1167)</f>
        <v/>
      </c>
      <c r="AD1167" s="5">
        <f>IF(D1167="","",AA1167-Z1167)</f>
        <v/>
      </c>
      <c r="AG1167">
        <f>IF(D1167="","",N(AG1166)+IF(MATCH(D1167,$D$2:$D$3001,0)=ROW()-1,1,0))</f>
        <v/>
      </c>
    </row>
    <row r="1168">
      <c r="Y1168" s="5">
        <f>IF(D1168="","",X1168*IF(AND(ISNUMBER(AC1168),AC1168&gt;0,AC1168&lt;1),AC1168*100,AC1168)/100)</f>
        <v/>
      </c>
      <c r="Z1168" s="5">
        <f>IF(D1168="","",AB1168*AA1168/100)</f>
        <v/>
      </c>
      <c r="AA1168" s="5">
        <f>IF(D1168="","",X1168-Y1168)</f>
        <v/>
      </c>
      <c r="AD1168" s="5">
        <f>IF(D1168="","",AA1168-Z1168)</f>
        <v/>
      </c>
      <c r="AG1168">
        <f>IF(D1168="","",N(AG1167)+IF(MATCH(D1168,$D$2:$D$3001,0)=ROW()-1,1,0))</f>
        <v/>
      </c>
    </row>
    <row r="1169">
      <c r="Y1169" s="5">
        <f>IF(D1169="","",X1169*IF(AND(ISNUMBER(AC1169),AC1169&gt;0,AC1169&lt;1),AC1169*100,AC1169)/100)</f>
        <v/>
      </c>
      <c r="Z1169" s="5">
        <f>IF(D1169="","",AB1169*AA1169/100)</f>
        <v/>
      </c>
      <c r="AA1169" s="5">
        <f>IF(D1169="","",X1169-Y1169)</f>
        <v/>
      </c>
      <c r="AD1169" s="5">
        <f>IF(D1169="","",AA1169-Z1169)</f>
        <v/>
      </c>
      <c r="AG1169">
        <f>IF(D1169="","",N(AG1168)+IF(MATCH(D1169,$D$2:$D$3001,0)=ROW()-1,1,0))</f>
        <v/>
      </c>
    </row>
    <row r="1170">
      <c r="Y1170" s="5">
        <f>IF(D1170="","",X1170*IF(AND(ISNUMBER(AC1170),AC1170&gt;0,AC1170&lt;1),AC1170*100,AC1170)/100)</f>
        <v/>
      </c>
      <c r="Z1170" s="5">
        <f>IF(D1170="","",AB1170*AA1170/100)</f>
        <v/>
      </c>
      <c r="AA1170" s="5">
        <f>IF(D1170="","",X1170-Y1170)</f>
        <v/>
      </c>
      <c r="AD1170" s="5">
        <f>IF(D1170="","",AA1170-Z1170)</f>
        <v/>
      </c>
      <c r="AG1170">
        <f>IF(D1170="","",N(AG1169)+IF(MATCH(D1170,$D$2:$D$3001,0)=ROW()-1,1,0))</f>
        <v/>
      </c>
    </row>
    <row r="1171">
      <c r="Y1171" s="5">
        <f>IF(D1171="","",X1171*IF(AND(ISNUMBER(AC1171),AC1171&gt;0,AC1171&lt;1),AC1171*100,AC1171)/100)</f>
        <v/>
      </c>
      <c r="Z1171" s="5">
        <f>IF(D1171="","",AB1171*AA1171/100)</f>
        <v/>
      </c>
      <c r="AA1171" s="5">
        <f>IF(D1171="","",X1171-Y1171)</f>
        <v/>
      </c>
      <c r="AD1171" s="5">
        <f>IF(D1171="","",AA1171-Z1171)</f>
        <v/>
      </c>
      <c r="AG1171">
        <f>IF(D1171="","",N(AG1170)+IF(MATCH(D1171,$D$2:$D$3001,0)=ROW()-1,1,0))</f>
        <v/>
      </c>
    </row>
    <row r="1172">
      <c r="Y1172" s="5">
        <f>IF(D1172="","",X1172*IF(AND(ISNUMBER(AC1172),AC1172&gt;0,AC1172&lt;1),AC1172*100,AC1172)/100)</f>
        <v/>
      </c>
      <c r="Z1172" s="5">
        <f>IF(D1172="","",AB1172*AA1172/100)</f>
        <v/>
      </c>
      <c r="AA1172" s="5">
        <f>IF(D1172="","",X1172-Y1172)</f>
        <v/>
      </c>
      <c r="AD1172" s="5">
        <f>IF(D1172="","",AA1172-Z1172)</f>
        <v/>
      </c>
      <c r="AG1172">
        <f>IF(D1172="","",N(AG1171)+IF(MATCH(D1172,$D$2:$D$3001,0)=ROW()-1,1,0))</f>
        <v/>
      </c>
    </row>
    <row r="1173">
      <c r="Y1173" s="5">
        <f>IF(D1173="","",X1173*IF(AND(ISNUMBER(AC1173),AC1173&gt;0,AC1173&lt;1),AC1173*100,AC1173)/100)</f>
        <v/>
      </c>
      <c r="Z1173" s="5">
        <f>IF(D1173="","",AB1173*AA1173/100)</f>
        <v/>
      </c>
      <c r="AA1173" s="5">
        <f>IF(D1173="","",X1173-Y1173)</f>
        <v/>
      </c>
      <c r="AD1173" s="5">
        <f>IF(D1173="","",AA1173-Z1173)</f>
        <v/>
      </c>
      <c r="AG1173">
        <f>IF(D1173="","",N(AG1172)+IF(MATCH(D1173,$D$2:$D$3001,0)=ROW()-1,1,0))</f>
        <v/>
      </c>
    </row>
    <row r="1174">
      <c r="Y1174" s="5">
        <f>IF(D1174="","",X1174*IF(AND(ISNUMBER(AC1174),AC1174&gt;0,AC1174&lt;1),AC1174*100,AC1174)/100)</f>
        <v/>
      </c>
      <c r="Z1174" s="5">
        <f>IF(D1174="","",AB1174*AA1174/100)</f>
        <v/>
      </c>
      <c r="AA1174" s="5">
        <f>IF(D1174="","",X1174-Y1174)</f>
        <v/>
      </c>
      <c r="AD1174" s="5">
        <f>IF(D1174="","",AA1174-Z1174)</f>
        <v/>
      </c>
      <c r="AG1174">
        <f>IF(D1174="","",N(AG1173)+IF(MATCH(D1174,$D$2:$D$3001,0)=ROW()-1,1,0))</f>
        <v/>
      </c>
    </row>
    <row r="1175">
      <c r="Y1175" s="5">
        <f>IF(D1175="","",X1175*IF(AND(ISNUMBER(AC1175),AC1175&gt;0,AC1175&lt;1),AC1175*100,AC1175)/100)</f>
        <v/>
      </c>
      <c r="Z1175" s="5">
        <f>IF(D1175="","",AB1175*AA1175/100)</f>
        <v/>
      </c>
      <c r="AA1175" s="5">
        <f>IF(D1175="","",X1175-Y1175)</f>
        <v/>
      </c>
      <c r="AD1175" s="5">
        <f>IF(D1175="","",AA1175-Z1175)</f>
        <v/>
      </c>
      <c r="AG1175">
        <f>IF(D1175="","",N(AG1174)+IF(MATCH(D1175,$D$2:$D$3001,0)=ROW()-1,1,0))</f>
        <v/>
      </c>
    </row>
    <row r="1176">
      <c r="Y1176" s="5">
        <f>IF(D1176="","",X1176*IF(AND(ISNUMBER(AC1176),AC1176&gt;0,AC1176&lt;1),AC1176*100,AC1176)/100)</f>
        <v/>
      </c>
      <c r="Z1176" s="5">
        <f>IF(D1176="","",AB1176*AA1176/100)</f>
        <v/>
      </c>
      <c r="AA1176" s="5">
        <f>IF(D1176="","",X1176-Y1176)</f>
        <v/>
      </c>
      <c r="AD1176" s="5">
        <f>IF(D1176="","",AA1176-Z1176)</f>
        <v/>
      </c>
      <c r="AG1176">
        <f>IF(D1176="","",N(AG1175)+IF(MATCH(D1176,$D$2:$D$3001,0)=ROW()-1,1,0))</f>
        <v/>
      </c>
    </row>
    <row r="1177">
      <c r="Y1177" s="5">
        <f>IF(D1177="","",X1177*IF(AND(ISNUMBER(AC1177),AC1177&gt;0,AC1177&lt;1),AC1177*100,AC1177)/100)</f>
        <v/>
      </c>
      <c r="Z1177" s="5">
        <f>IF(D1177="","",AB1177*AA1177/100)</f>
        <v/>
      </c>
      <c r="AA1177" s="5">
        <f>IF(D1177="","",X1177-Y1177)</f>
        <v/>
      </c>
      <c r="AD1177" s="5">
        <f>IF(D1177="","",AA1177-Z1177)</f>
        <v/>
      </c>
      <c r="AG1177">
        <f>IF(D1177="","",N(AG1176)+IF(MATCH(D1177,$D$2:$D$3001,0)=ROW()-1,1,0))</f>
        <v/>
      </c>
    </row>
    <row r="1178">
      <c r="Y1178" s="5">
        <f>IF(D1178="","",X1178*IF(AND(ISNUMBER(AC1178),AC1178&gt;0,AC1178&lt;1),AC1178*100,AC1178)/100)</f>
        <v/>
      </c>
      <c r="Z1178" s="5">
        <f>IF(D1178="","",AB1178*AA1178/100)</f>
        <v/>
      </c>
      <c r="AA1178" s="5">
        <f>IF(D1178="","",X1178-Y1178)</f>
        <v/>
      </c>
      <c r="AD1178" s="5">
        <f>IF(D1178="","",AA1178-Z1178)</f>
        <v/>
      </c>
      <c r="AG1178">
        <f>IF(D1178="","",N(AG1177)+IF(MATCH(D1178,$D$2:$D$3001,0)=ROW()-1,1,0))</f>
        <v/>
      </c>
    </row>
    <row r="1179">
      <c r="Y1179" s="5">
        <f>IF(D1179="","",X1179*IF(AND(ISNUMBER(AC1179),AC1179&gt;0,AC1179&lt;1),AC1179*100,AC1179)/100)</f>
        <v/>
      </c>
      <c r="Z1179" s="5">
        <f>IF(D1179="","",AB1179*AA1179/100)</f>
        <v/>
      </c>
      <c r="AA1179" s="5">
        <f>IF(D1179="","",X1179-Y1179)</f>
        <v/>
      </c>
      <c r="AD1179" s="5">
        <f>IF(D1179="","",AA1179-Z1179)</f>
        <v/>
      </c>
      <c r="AG1179">
        <f>IF(D1179="","",N(AG1178)+IF(MATCH(D1179,$D$2:$D$3001,0)=ROW()-1,1,0))</f>
        <v/>
      </c>
    </row>
    <row r="1180">
      <c r="Y1180" s="5">
        <f>IF(D1180="","",X1180*IF(AND(ISNUMBER(AC1180),AC1180&gt;0,AC1180&lt;1),AC1180*100,AC1180)/100)</f>
        <v/>
      </c>
      <c r="Z1180" s="5">
        <f>IF(D1180="","",AB1180*AA1180/100)</f>
        <v/>
      </c>
      <c r="AA1180" s="5">
        <f>IF(D1180="","",X1180-Y1180)</f>
        <v/>
      </c>
      <c r="AD1180" s="5">
        <f>IF(D1180="","",AA1180-Z1180)</f>
        <v/>
      </c>
      <c r="AG1180">
        <f>IF(D1180="","",N(AG1179)+IF(MATCH(D1180,$D$2:$D$3001,0)=ROW()-1,1,0))</f>
        <v/>
      </c>
    </row>
    <row r="1181">
      <c r="Y1181" s="5">
        <f>IF(D1181="","",X1181*IF(AND(ISNUMBER(AC1181),AC1181&gt;0,AC1181&lt;1),AC1181*100,AC1181)/100)</f>
        <v/>
      </c>
      <c r="Z1181" s="5">
        <f>IF(D1181="","",AB1181*AA1181/100)</f>
        <v/>
      </c>
      <c r="AA1181" s="5">
        <f>IF(D1181="","",X1181-Y1181)</f>
        <v/>
      </c>
      <c r="AD1181" s="5">
        <f>IF(D1181="","",AA1181-Z1181)</f>
        <v/>
      </c>
      <c r="AG1181">
        <f>IF(D1181="","",N(AG1180)+IF(MATCH(D1181,$D$2:$D$3001,0)=ROW()-1,1,0))</f>
        <v/>
      </c>
    </row>
    <row r="1182">
      <c r="Y1182" s="5">
        <f>IF(D1182="","",X1182*IF(AND(ISNUMBER(AC1182),AC1182&gt;0,AC1182&lt;1),AC1182*100,AC1182)/100)</f>
        <v/>
      </c>
      <c r="Z1182" s="5">
        <f>IF(D1182="","",AB1182*AA1182/100)</f>
        <v/>
      </c>
      <c r="AA1182" s="5">
        <f>IF(D1182="","",X1182-Y1182)</f>
        <v/>
      </c>
      <c r="AD1182" s="5">
        <f>IF(D1182="","",AA1182-Z1182)</f>
        <v/>
      </c>
      <c r="AG1182">
        <f>IF(D1182="","",N(AG1181)+IF(MATCH(D1182,$D$2:$D$3001,0)=ROW()-1,1,0))</f>
        <v/>
      </c>
    </row>
    <row r="1183">
      <c r="Y1183" s="5">
        <f>IF(D1183="","",X1183*IF(AND(ISNUMBER(AC1183),AC1183&gt;0,AC1183&lt;1),AC1183*100,AC1183)/100)</f>
        <v/>
      </c>
      <c r="Z1183" s="5">
        <f>IF(D1183="","",AB1183*AA1183/100)</f>
        <v/>
      </c>
      <c r="AA1183" s="5">
        <f>IF(D1183="","",X1183-Y1183)</f>
        <v/>
      </c>
      <c r="AD1183" s="5">
        <f>IF(D1183="","",AA1183-Z1183)</f>
        <v/>
      </c>
      <c r="AG1183">
        <f>IF(D1183="","",N(AG1182)+IF(MATCH(D1183,$D$2:$D$3001,0)=ROW()-1,1,0))</f>
        <v/>
      </c>
    </row>
    <row r="1184">
      <c r="Y1184" s="5">
        <f>IF(D1184="","",X1184*IF(AND(ISNUMBER(AC1184),AC1184&gt;0,AC1184&lt;1),AC1184*100,AC1184)/100)</f>
        <v/>
      </c>
      <c r="Z1184" s="5">
        <f>IF(D1184="","",AB1184*AA1184/100)</f>
        <v/>
      </c>
      <c r="AA1184" s="5">
        <f>IF(D1184="","",X1184-Y1184)</f>
        <v/>
      </c>
      <c r="AD1184" s="5">
        <f>IF(D1184="","",AA1184-Z1184)</f>
        <v/>
      </c>
      <c r="AG1184">
        <f>IF(D1184="","",N(AG1183)+IF(MATCH(D1184,$D$2:$D$3001,0)=ROW()-1,1,0))</f>
        <v/>
      </c>
    </row>
    <row r="1185">
      <c r="Y1185" s="5">
        <f>IF(D1185="","",X1185*IF(AND(ISNUMBER(AC1185),AC1185&gt;0,AC1185&lt;1),AC1185*100,AC1185)/100)</f>
        <v/>
      </c>
      <c r="Z1185" s="5">
        <f>IF(D1185="","",AB1185*AA1185/100)</f>
        <v/>
      </c>
      <c r="AA1185" s="5">
        <f>IF(D1185="","",X1185-Y1185)</f>
        <v/>
      </c>
      <c r="AD1185" s="5">
        <f>IF(D1185="","",AA1185-Z1185)</f>
        <v/>
      </c>
      <c r="AG1185">
        <f>IF(D1185="","",N(AG1184)+IF(MATCH(D1185,$D$2:$D$3001,0)=ROW()-1,1,0))</f>
        <v/>
      </c>
    </row>
    <row r="1186">
      <c r="Y1186" s="5">
        <f>IF(D1186="","",X1186*IF(AND(ISNUMBER(AC1186),AC1186&gt;0,AC1186&lt;1),AC1186*100,AC1186)/100)</f>
        <v/>
      </c>
      <c r="Z1186" s="5">
        <f>IF(D1186="","",AB1186*AA1186/100)</f>
        <v/>
      </c>
      <c r="AA1186" s="5">
        <f>IF(D1186="","",X1186-Y1186)</f>
        <v/>
      </c>
      <c r="AD1186" s="5">
        <f>IF(D1186="","",AA1186-Z1186)</f>
        <v/>
      </c>
      <c r="AG1186">
        <f>IF(D1186="","",N(AG1185)+IF(MATCH(D1186,$D$2:$D$3001,0)=ROW()-1,1,0))</f>
        <v/>
      </c>
    </row>
    <row r="1187">
      <c r="Y1187" s="5">
        <f>IF(D1187="","",X1187*IF(AND(ISNUMBER(AC1187),AC1187&gt;0,AC1187&lt;1),AC1187*100,AC1187)/100)</f>
        <v/>
      </c>
      <c r="Z1187" s="5">
        <f>IF(D1187="","",AB1187*AA1187/100)</f>
        <v/>
      </c>
      <c r="AA1187" s="5">
        <f>IF(D1187="","",X1187-Y1187)</f>
        <v/>
      </c>
      <c r="AD1187" s="5">
        <f>IF(D1187="","",AA1187-Z1187)</f>
        <v/>
      </c>
      <c r="AG1187">
        <f>IF(D1187="","",N(AG1186)+IF(MATCH(D1187,$D$2:$D$3001,0)=ROW()-1,1,0))</f>
        <v/>
      </c>
    </row>
    <row r="1188">
      <c r="Y1188" s="5">
        <f>IF(D1188="","",X1188*IF(AND(ISNUMBER(AC1188),AC1188&gt;0,AC1188&lt;1),AC1188*100,AC1188)/100)</f>
        <v/>
      </c>
      <c r="Z1188" s="5">
        <f>IF(D1188="","",AB1188*AA1188/100)</f>
        <v/>
      </c>
      <c r="AA1188" s="5">
        <f>IF(D1188="","",X1188-Y1188)</f>
        <v/>
      </c>
      <c r="AD1188" s="5">
        <f>IF(D1188="","",AA1188-Z1188)</f>
        <v/>
      </c>
      <c r="AG1188">
        <f>IF(D1188="","",N(AG1187)+IF(MATCH(D1188,$D$2:$D$3001,0)=ROW()-1,1,0))</f>
        <v/>
      </c>
    </row>
    <row r="1189">
      <c r="Y1189" s="5">
        <f>IF(D1189="","",X1189*IF(AND(ISNUMBER(AC1189),AC1189&gt;0,AC1189&lt;1),AC1189*100,AC1189)/100)</f>
        <v/>
      </c>
      <c r="Z1189" s="5">
        <f>IF(D1189="","",AB1189*AA1189/100)</f>
        <v/>
      </c>
      <c r="AA1189" s="5">
        <f>IF(D1189="","",X1189-Y1189)</f>
        <v/>
      </c>
      <c r="AD1189" s="5">
        <f>IF(D1189="","",AA1189-Z1189)</f>
        <v/>
      </c>
      <c r="AG1189">
        <f>IF(D1189="","",N(AG1188)+IF(MATCH(D1189,$D$2:$D$3001,0)=ROW()-1,1,0))</f>
        <v/>
      </c>
    </row>
    <row r="1190">
      <c r="Y1190" s="5">
        <f>IF(D1190="","",X1190*IF(AND(ISNUMBER(AC1190),AC1190&gt;0,AC1190&lt;1),AC1190*100,AC1190)/100)</f>
        <v/>
      </c>
      <c r="Z1190" s="5">
        <f>IF(D1190="","",AB1190*AA1190/100)</f>
        <v/>
      </c>
      <c r="AA1190" s="5">
        <f>IF(D1190="","",X1190-Y1190)</f>
        <v/>
      </c>
      <c r="AD1190" s="5">
        <f>IF(D1190="","",AA1190-Z1190)</f>
        <v/>
      </c>
      <c r="AG1190">
        <f>IF(D1190="","",N(AG1189)+IF(MATCH(D1190,$D$2:$D$3001,0)=ROW()-1,1,0))</f>
        <v/>
      </c>
    </row>
    <row r="1191">
      <c r="Y1191" s="5">
        <f>IF(D1191="","",X1191*IF(AND(ISNUMBER(AC1191),AC1191&gt;0,AC1191&lt;1),AC1191*100,AC1191)/100)</f>
        <v/>
      </c>
      <c r="Z1191" s="5">
        <f>IF(D1191="","",AB1191*AA1191/100)</f>
        <v/>
      </c>
      <c r="AA1191" s="5">
        <f>IF(D1191="","",X1191-Y1191)</f>
        <v/>
      </c>
      <c r="AD1191" s="5">
        <f>IF(D1191="","",AA1191-Z1191)</f>
        <v/>
      </c>
      <c r="AG1191">
        <f>IF(D1191="","",N(AG1190)+IF(MATCH(D1191,$D$2:$D$3001,0)=ROW()-1,1,0))</f>
        <v/>
      </c>
    </row>
    <row r="1192">
      <c r="Y1192" s="5">
        <f>IF(D1192="","",X1192*IF(AND(ISNUMBER(AC1192),AC1192&gt;0,AC1192&lt;1),AC1192*100,AC1192)/100)</f>
        <v/>
      </c>
      <c r="Z1192" s="5">
        <f>IF(D1192="","",AB1192*AA1192/100)</f>
        <v/>
      </c>
      <c r="AA1192" s="5">
        <f>IF(D1192="","",X1192-Y1192)</f>
        <v/>
      </c>
      <c r="AD1192" s="5">
        <f>IF(D1192="","",AA1192-Z1192)</f>
        <v/>
      </c>
      <c r="AG1192">
        <f>IF(D1192="","",N(AG1191)+IF(MATCH(D1192,$D$2:$D$3001,0)=ROW()-1,1,0))</f>
        <v/>
      </c>
    </row>
    <row r="1193">
      <c r="Y1193" s="5">
        <f>IF(D1193="","",X1193*IF(AND(ISNUMBER(AC1193),AC1193&gt;0,AC1193&lt;1),AC1193*100,AC1193)/100)</f>
        <v/>
      </c>
      <c r="Z1193" s="5">
        <f>IF(D1193="","",AB1193*AA1193/100)</f>
        <v/>
      </c>
      <c r="AA1193" s="5">
        <f>IF(D1193="","",X1193-Y1193)</f>
        <v/>
      </c>
      <c r="AD1193" s="5">
        <f>IF(D1193="","",AA1193-Z1193)</f>
        <v/>
      </c>
      <c r="AG1193">
        <f>IF(D1193="","",N(AG1192)+IF(MATCH(D1193,$D$2:$D$3001,0)=ROW()-1,1,0))</f>
        <v/>
      </c>
    </row>
    <row r="1194">
      <c r="Y1194" s="5">
        <f>IF(D1194="","",X1194*IF(AND(ISNUMBER(AC1194),AC1194&gt;0,AC1194&lt;1),AC1194*100,AC1194)/100)</f>
        <v/>
      </c>
      <c r="Z1194" s="5">
        <f>IF(D1194="","",AB1194*AA1194/100)</f>
        <v/>
      </c>
      <c r="AA1194" s="5">
        <f>IF(D1194="","",X1194-Y1194)</f>
        <v/>
      </c>
      <c r="AD1194" s="5">
        <f>IF(D1194="","",AA1194-Z1194)</f>
        <v/>
      </c>
      <c r="AG1194">
        <f>IF(D1194="","",N(AG1193)+IF(MATCH(D1194,$D$2:$D$3001,0)=ROW()-1,1,0))</f>
        <v/>
      </c>
    </row>
    <row r="1195">
      <c r="Y1195" s="5">
        <f>IF(D1195="","",X1195*IF(AND(ISNUMBER(AC1195),AC1195&gt;0,AC1195&lt;1),AC1195*100,AC1195)/100)</f>
        <v/>
      </c>
      <c r="Z1195" s="5">
        <f>IF(D1195="","",AB1195*AA1195/100)</f>
        <v/>
      </c>
      <c r="AA1195" s="5">
        <f>IF(D1195="","",X1195-Y1195)</f>
        <v/>
      </c>
      <c r="AD1195" s="5">
        <f>IF(D1195="","",AA1195-Z1195)</f>
        <v/>
      </c>
      <c r="AG1195">
        <f>IF(D1195="","",N(AG1194)+IF(MATCH(D1195,$D$2:$D$3001,0)=ROW()-1,1,0))</f>
        <v/>
      </c>
    </row>
    <row r="1196">
      <c r="Y1196" s="5">
        <f>IF(D1196="","",X1196*IF(AND(ISNUMBER(AC1196),AC1196&gt;0,AC1196&lt;1),AC1196*100,AC1196)/100)</f>
        <v/>
      </c>
      <c r="Z1196" s="5">
        <f>IF(D1196="","",AB1196*AA1196/100)</f>
        <v/>
      </c>
      <c r="AA1196" s="5">
        <f>IF(D1196="","",X1196-Y1196)</f>
        <v/>
      </c>
      <c r="AD1196" s="5">
        <f>IF(D1196="","",AA1196-Z1196)</f>
        <v/>
      </c>
      <c r="AG1196">
        <f>IF(D1196="","",N(AG1195)+IF(MATCH(D1196,$D$2:$D$3001,0)=ROW()-1,1,0))</f>
        <v/>
      </c>
    </row>
    <row r="1197">
      <c r="Y1197" s="5">
        <f>IF(D1197="","",X1197*IF(AND(ISNUMBER(AC1197),AC1197&gt;0,AC1197&lt;1),AC1197*100,AC1197)/100)</f>
        <v/>
      </c>
      <c r="Z1197" s="5">
        <f>IF(D1197="","",AB1197*AA1197/100)</f>
        <v/>
      </c>
      <c r="AA1197" s="5">
        <f>IF(D1197="","",X1197-Y1197)</f>
        <v/>
      </c>
      <c r="AD1197" s="5">
        <f>IF(D1197="","",AA1197-Z1197)</f>
        <v/>
      </c>
      <c r="AG1197">
        <f>IF(D1197="","",N(AG1196)+IF(MATCH(D1197,$D$2:$D$3001,0)=ROW()-1,1,0))</f>
        <v/>
      </c>
    </row>
    <row r="1198">
      <c r="Y1198" s="5">
        <f>IF(D1198="","",X1198*IF(AND(ISNUMBER(AC1198),AC1198&gt;0,AC1198&lt;1),AC1198*100,AC1198)/100)</f>
        <v/>
      </c>
      <c r="Z1198" s="5">
        <f>IF(D1198="","",AB1198*AA1198/100)</f>
        <v/>
      </c>
      <c r="AA1198" s="5">
        <f>IF(D1198="","",X1198-Y1198)</f>
        <v/>
      </c>
      <c r="AD1198" s="5">
        <f>IF(D1198="","",AA1198-Z1198)</f>
        <v/>
      </c>
      <c r="AG1198">
        <f>IF(D1198="","",N(AG1197)+IF(MATCH(D1198,$D$2:$D$3001,0)=ROW()-1,1,0))</f>
        <v/>
      </c>
    </row>
    <row r="1199">
      <c r="Y1199" s="5">
        <f>IF(D1199="","",X1199*IF(AND(ISNUMBER(AC1199),AC1199&gt;0,AC1199&lt;1),AC1199*100,AC1199)/100)</f>
        <v/>
      </c>
      <c r="Z1199" s="5">
        <f>IF(D1199="","",AB1199*AA1199/100)</f>
        <v/>
      </c>
      <c r="AA1199" s="5">
        <f>IF(D1199="","",X1199-Y1199)</f>
        <v/>
      </c>
      <c r="AD1199" s="5">
        <f>IF(D1199="","",AA1199-Z1199)</f>
        <v/>
      </c>
      <c r="AG1199">
        <f>IF(D1199="","",N(AG1198)+IF(MATCH(D1199,$D$2:$D$3001,0)=ROW()-1,1,0))</f>
        <v/>
      </c>
    </row>
    <row r="1200">
      <c r="Y1200" s="5">
        <f>IF(D1200="","",X1200*IF(AND(ISNUMBER(AC1200),AC1200&gt;0,AC1200&lt;1),AC1200*100,AC1200)/100)</f>
        <v/>
      </c>
      <c r="Z1200" s="5">
        <f>IF(D1200="","",AB1200*AA1200/100)</f>
        <v/>
      </c>
      <c r="AA1200" s="5">
        <f>IF(D1200="","",X1200-Y1200)</f>
        <v/>
      </c>
      <c r="AD1200" s="5">
        <f>IF(D1200="","",AA1200-Z1200)</f>
        <v/>
      </c>
      <c r="AG1200">
        <f>IF(D1200="","",N(AG1199)+IF(MATCH(D1200,$D$2:$D$3001,0)=ROW()-1,1,0))</f>
        <v/>
      </c>
    </row>
    <row r="1201">
      <c r="Y1201" s="5">
        <f>IF(D1201="","",X1201*IF(AND(ISNUMBER(AC1201),AC1201&gt;0,AC1201&lt;1),AC1201*100,AC1201)/100)</f>
        <v/>
      </c>
      <c r="Z1201" s="5">
        <f>IF(D1201="","",AB1201*AA1201/100)</f>
        <v/>
      </c>
      <c r="AA1201" s="5">
        <f>IF(D1201="","",X1201-Y1201)</f>
        <v/>
      </c>
      <c r="AD1201" s="5">
        <f>IF(D1201="","",AA1201-Z1201)</f>
        <v/>
      </c>
      <c r="AG1201">
        <f>IF(D1201="","",N(AG1200)+IF(MATCH(D1201,$D$2:$D$3001,0)=ROW()-1,1,0))</f>
        <v/>
      </c>
    </row>
    <row r="1202">
      <c r="Y1202" s="5">
        <f>IF(D1202="","",X1202*IF(AND(ISNUMBER(AC1202),AC1202&gt;0,AC1202&lt;1),AC1202*100,AC1202)/100)</f>
        <v/>
      </c>
      <c r="Z1202" s="5">
        <f>IF(D1202="","",AB1202*AA1202/100)</f>
        <v/>
      </c>
      <c r="AA1202" s="5">
        <f>IF(D1202="","",X1202-Y1202)</f>
        <v/>
      </c>
      <c r="AD1202" s="5">
        <f>IF(D1202="","",AA1202-Z1202)</f>
        <v/>
      </c>
      <c r="AG1202">
        <f>IF(D1202="","",N(AG1201)+IF(MATCH(D1202,$D$2:$D$3001,0)=ROW()-1,1,0))</f>
        <v/>
      </c>
    </row>
    <row r="1203">
      <c r="Y1203" s="5">
        <f>IF(D1203="","",X1203*IF(AND(ISNUMBER(AC1203),AC1203&gt;0,AC1203&lt;1),AC1203*100,AC1203)/100)</f>
        <v/>
      </c>
      <c r="Z1203" s="5">
        <f>IF(D1203="","",AB1203*AA1203/100)</f>
        <v/>
      </c>
      <c r="AA1203" s="5">
        <f>IF(D1203="","",X1203-Y1203)</f>
        <v/>
      </c>
      <c r="AD1203" s="5">
        <f>IF(D1203="","",AA1203-Z1203)</f>
        <v/>
      </c>
      <c r="AG1203">
        <f>IF(D1203="","",N(AG1202)+IF(MATCH(D1203,$D$2:$D$3001,0)=ROW()-1,1,0))</f>
        <v/>
      </c>
    </row>
    <row r="1204">
      <c r="Y1204" s="5">
        <f>IF(D1204="","",X1204*IF(AND(ISNUMBER(AC1204),AC1204&gt;0,AC1204&lt;1),AC1204*100,AC1204)/100)</f>
        <v/>
      </c>
      <c r="Z1204" s="5">
        <f>IF(D1204="","",AB1204*AA1204/100)</f>
        <v/>
      </c>
      <c r="AA1204" s="5">
        <f>IF(D1204="","",X1204-Y1204)</f>
        <v/>
      </c>
      <c r="AD1204" s="5">
        <f>IF(D1204="","",AA1204-Z1204)</f>
        <v/>
      </c>
      <c r="AG1204">
        <f>IF(D1204="","",N(AG1203)+IF(MATCH(D1204,$D$2:$D$3001,0)=ROW()-1,1,0))</f>
        <v/>
      </c>
    </row>
    <row r="1205">
      <c r="Y1205" s="5">
        <f>IF(D1205="","",X1205*IF(AND(ISNUMBER(AC1205),AC1205&gt;0,AC1205&lt;1),AC1205*100,AC1205)/100)</f>
        <v/>
      </c>
      <c r="Z1205" s="5">
        <f>IF(D1205="","",AB1205*AA1205/100)</f>
        <v/>
      </c>
      <c r="AA1205" s="5">
        <f>IF(D1205="","",X1205-Y1205)</f>
        <v/>
      </c>
      <c r="AD1205" s="5">
        <f>IF(D1205="","",AA1205-Z1205)</f>
        <v/>
      </c>
      <c r="AG1205">
        <f>IF(D1205="","",N(AG1204)+IF(MATCH(D1205,$D$2:$D$3001,0)=ROW()-1,1,0))</f>
        <v/>
      </c>
    </row>
    <row r="1206">
      <c r="Y1206" s="5">
        <f>IF(D1206="","",X1206*IF(AND(ISNUMBER(AC1206),AC1206&gt;0,AC1206&lt;1),AC1206*100,AC1206)/100)</f>
        <v/>
      </c>
      <c r="Z1206" s="5">
        <f>IF(D1206="","",AB1206*AA1206/100)</f>
        <v/>
      </c>
      <c r="AA1206" s="5">
        <f>IF(D1206="","",X1206-Y1206)</f>
        <v/>
      </c>
      <c r="AD1206" s="5">
        <f>IF(D1206="","",AA1206-Z1206)</f>
        <v/>
      </c>
      <c r="AG1206">
        <f>IF(D1206="","",N(AG1205)+IF(MATCH(D1206,$D$2:$D$3001,0)=ROW()-1,1,0))</f>
        <v/>
      </c>
    </row>
    <row r="1207">
      <c r="Y1207" s="5">
        <f>IF(D1207="","",X1207*IF(AND(ISNUMBER(AC1207),AC1207&gt;0,AC1207&lt;1),AC1207*100,AC1207)/100)</f>
        <v/>
      </c>
      <c r="Z1207" s="5">
        <f>IF(D1207="","",AB1207*AA1207/100)</f>
        <v/>
      </c>
      <c r="AA1207" s="5">
        <f>IF(D1207="","",X1207-Y1207)</f>
        <v/>
      </c>
      <c r="AD1207" s="5">
        <f>IF(D1207="","",AA1207-Z1207)</f>
        <v/>
      </c>
      <c r="AG1207">
        <f>IF(D1207="","",N(AG1206)+IF(MATCH(D1207,$D$2:$D$3001,0)=ROW()-1,1,0))</f>
        <v/>
      </c>
    </row>
    <row r="1208">
      <c r="Y1208" s="5">
        <f>IF(D1208="","",X1208*IF(AND(ISNUMBER(AC1208),AC1208&gt;0,AC1208&lt;1),AC1208*100,AC1208)/100)</f>
        <v/>
      </c>
      <c r="Z1208" s="5">
        <f>IF(D1208="","",AB1208*AA1208/100)</f>
        <v/>
      </c>
      <c r="AA1208" s="5">
        <f>IF(D1208="","",X1208-Y1208)</f>
        <v/>
      </c>
      <c r="AD1208" s="5">
        <f>IF(D1208="","",AA1208-Z1208)</f>
        <v/>
      </c>
      <c r="AG1208">
        <f>IF(D1208="","",N(AG1207)+IF(MATCH(D1208,$D$2:$D$3001,0)=ROW()-1,1,0))</f>
        <v/>
      </c>
    </row>
    <row r="1209">
      <c r="Y1209" s="5">
        <f>IF(D1209="","",X1209*IF(AND(ISNUMBER(AC1209),AC1209&gt;0,AC1209&lt;1),AC1209*100,AC1209)/100)</f>
        <v/>
      </c>
      <c r="Z1209" s="5">
        <f>IF(D1209="","",AB1209*AA1209/100)</f>
        <v/>
      </c>
      <c r="AA1209" s="5">
        <f>IF(D1209="","",X1209-Y1209)</f>
        <v/>
      </c>
      <c r="AD1209" s="5">
        <f>IF(D1209="","",AA1209-Z1209)</f>
        <v/>
      </c>
      <c r="AG1209">
        <f>IF(D1209="","",N(AG1208)+IF(MATCH(D1209,$D$2:$D$3001,0)=ROW()-1,1,0))</f>
        <v/>
      </c>
    </row>
    <row r="1210">
      <c r="Y1210" s="5">
        <f>IF(D1210="","",X1210*IF(AND(ISNUMBER(AC1210),AC1210&gt;0,AC1210&lt;1),AC1210*100,AC1210)/100)</f>
        <v/>
      </c>
      <c r="Z1210" s="5">
        <f>IF(D1210="","",AB1210*AA1210/100)</f>
        <v/>
      </c>
      <c r="AA1210" s="5">
        <f>IF(D1210="","",X1210-Y1210)</f>
        <v/>
      </c>
      <c r="AD1210" s="5">
        <f>IF(D1210="","",AA1210-Z1210)</f>
        <v/>
      </c>
      <c r="AG1210">
        <f>IF(D1210="","",N(AG1209)+IF(MATCH(D1210,$D$2:$D$3001,0)=ROW()-1,1,0))</f>
        <v/>
      </c>
    </row>
    <row r="1211">
      <c r="Y1211" s="5">
        <f>IF(D1211="","",X1211*IF(AND(ISNUMBER(AC1211),AC1211&gt;0,AC1211&lt;1),AC1211*100,AC1211)/100)</f>
        <v/>
      </c>
      <c r="Z1211" s="5">
        <f>IF(D1211="","",AB1211*AA1211/100)</f>
        <v/>
      </c>
      <c r="AA1211" s="5">
        <f>IF(D1211="","",X1211-Y1211)</f>
        <v/>
      </c>
      <c r="AD1211" s="5">
        <f>IF(D1211="","",AA1211-Z1211)</f>
        <v/>
      </c>
      <c r="AG1211">
        <f>IF(D1211="","",N(AG1210)+IF(MATCH(D1211,$D$2:$D$3001,0)=ROW()-1,1,0))</f>
        <v/>
      </c>
    </row>
    <row r="1212">
      <c r="Y1212" s="5">
        <f>IF(D1212="","",X1212*IF(AND(ISNUMBER(AC1212),AC1212&gt;0,AC1212&lt;1),AC1212*100,AC1212)/100)</f>
        <v/>
      </c>
      <c r="Z1212" s="5">
        <f>IF(D1212="","",AB1212*AA1212/100)</f>
        <v/>
      </c>
      <c r="AA1212" s="5">
        <f>IF(D1212="","",X1212-Y1212)</f>
        <v/>
      </c>
      <c r="AD1212" s="5">
        <f>IF(D1212="","",AA1212-Z1212)</f>
        <v/>
      </c>
      <c r="AG1212">
        <f>IF(D1212="","",N(AG1211)+IF(MATCH(D1212,$D$2:$D$3001,0)=ROW()-1,1,0))</f>
        <v/>
      </c>
    </row>
    <row r="1213">
      <c r="Y1213" s="5">
        <f>IF(D1213="","",X1213*IF(AND(ISNUMBER(AC1213),AC1213&gt;0,AC1213&lt;1),AC1213*100,AC1213)/100)</f>
        <v/>
      </c>
      <c r="Z1213" s="5">
        <f>IF(D1213="","",AB1213*AA1213/100)</f>
        <v/>
      </c>
      <c r="AA1213" s="5">
        <f>IF(D1213="","",X1213-Y1213)</f>
        <v/>
      </c>
      <c r="AD1213" s="5">
        <f>IF(D1213="","",AA1213-Z1213)</f>
        <v/>
      </c>
      <c r="AG1213">
        <f>IF(D1213="","",N(AG1212)+IF(MATCH(D1213,$D$2:$D$3001,0)=ROW()-1,1,0))</f>
        <v/>
      </c>
    </row>
    <row r="1214">
      <c r="Y1214" s="5">
        <f>IF(D1214="","",X1214*IF(AND(ISNUMBER(AC1214),AC1214&gt;0,AC1214&lt;1),AC1214*100,AC1214)/100)</f>
        <v/>
      </c>
      <c r="Z1214" s="5">
        <f>IF(D1214="","",AB1214*AA1214/100)</f>
        <v/>
      </c>
      <c r="AA1214" s="5">
        <f>IF(D1214="","",X1214-Y1214)</f>
        <v/>
      </c>
      <c r="AD1214" s="5">
        <f>IF(D1214="","",AA1214-Z1214)</f>
        <v/>
      </c>
      <c r="AG1214">
        <f>IF(D1214="","",N(AG1213)+IF(MATCH(D1214,$D$2:$D$3001,0)=ROW()-1,1,0))</f>
        <v/>
      </c>
    </row>
    <row r="1215">
      <c r="Y1215" s="5">
        <f>IF(D1215="","",X1215*IF(AND(ISNUMBER(AC1215),AC1215&gt;0,AC1215&lt;1),AC1215*100,AC1215)/100)</f>
        <v/>
      </c>
      <c r="Z1215" s="5">
        <f>IF(D1215="","",AB1215*AA1215/100)</f>
        <v/>
      </c>
      <c r="AA1215" s="5">
        <f>IF(D1215="","",X1215-Y1215)</f>
        <v/>
      </c>
      <c r="AD1215" s="5">
        <f>IF(D1215="","",AA1215-Z1215)</f>
        <v/>
      </c>
      <c r="AG1215">
        <f>IF(D1215="","",N(AG1214)+IF(MATCH(D1215,$D$2:$D$3001,0)=ROW()-1,1,0))</f>
        <v/>
      </c>
    </row>
    <row r="1216">
      <c r="Y1216" s="5">
        <f>IF(D1216="","",X1216*IF(AND(ISNUMBER(AC1216),AC1216&gt;0,AC1216&lt;1),AC1216*100,AC1216)/100)</f>
        <v/>
      </c>
      <c r="Z1216" s="5">
        <f>IF(D1216="","",AB1216*AA1216/100)</f>
        <v/>
      </c>
      <c r="AA1216" s="5">
        <f>IF(D1216="","",X1216-Y1216)</f>
        <v/>
      </c>
      <c r="AD1216" s="5">
        <f>IF(D1216="","",AA1216-Z1216)</f>
        <v/>
      </c>
      <c r="AG1216">
        <f>IF(D1216="","",N(AG1215)+IF(MATCH(D1216,$D$2:$D$3001,0)=ROW()-1,1,0))</f>
        <v/>
      </c>
    </row>
    <row r="1217">
      <c r="Y1217" s="5">
        <f>IF(D1217="","",X1217*IF(AND(ISNUMBER(AC1217),AC1217&gt;0,AC1217&lt;1),AC1217*100,AC1217)/100)</f>
        <v/>
      </c>
      <c r="Z1217" s="5">
        <f>IF(D1217="","",AB1217*AA1217/100)</f>
        <v/>
      </c>
      <c r="AA1217" s="5">
        <f>IF(D1217="","",X1217-Y1217)</f>
        <v/>
      </c>
      <c r="AD1217" s="5">
        <f>IF(D1217="","",AA1217-Z1217)</f>
        <v/>
      </c>
      <c r="AG1217">
        <f>IF(D1217="","",N(AG1216)+IF(MATCH(D1217,$D$2:$D$3001,0)=ROW()-1,1,0))</f>
        <v/>
      </c>
    </row>
    <row r="1218">
      <c r="Y1218" s="5">
        <f>IF(D1218="","",X1218*IF(AND(ISNUMBER(AC1218),AC1218&gt;0,AC1218&lt;1),AC1218*100,AC1218)/100)</f>
        <v/>
      </c>
      <c r="Z1218" s="5">
        <f>IF(D1218="","",AB1218*AA1218/100)</f>
        <v/>
      </c>
      <c r="AA1218" s="5">
        <f>IF(D1218="","",X1218-Y1218)</f>
        <v/>
      </c>
      <c r="AD1218" s="5">
        <f>IF(D1218="","",AA1218-Z1218)</f>
        <v/>
      </c>
      <c r="AG1218">
        <f>IF(D1218="","",N(AG1217)+IF(MATCH(D1218,$D$2:$D$3001,0)=ROW()-1,1,0))</f>
        <v/>
      </c>
    </row>
    <row r="1219">
      <c r="Y1219" s="5">
        <f>IF(D1219="","",X1219*IF(AND(ISNUMBER(AC1219),AC1219&gt;0,AC1219&lt;1),AC1219*100,AC1219)/100)</f>
        <v/>
      </c>
      <c r="Z1219" s="5">
        <f>IF(D1219="","",AB1219*AA1219/100)</f>
        <v/>
      </c>
      <c r="AA1219" s="5">
        <f>IF(D1219="","",X1219-Y1219)</f>
        <v/>
      </c>
      <c r="AD1219" s="5">
        <f>IF(D1219="","",AA1219-Z1219)</f>
        <v/>
      </c>
      <c r="AG1219">
        <f>IF(D1219="","",N(AG1218)+IF(MATCH(D1219,$D$2:$D$3001,0)=ROW()-1,1,0))</f>
        <v/>
      </c>
    </row>
    <row r="1220">
      <c r="Y1220" s="5">
        <f>IF(D1220="","",X1220*IF(AND(ISNUMBER(AC1220),AC1220&gt;0,AC1220&lt;1),AC1220*100,AC1220)/100)</f>
        <v/>
      </c>
      <c r="Z1220" s="5">
        <f>IF(D1220="","",AB1220*AA1220/100)</f>
        <v/>
      </c>
      <c r="AA1220" s="5">
        <f>IF(D1220="","",X1220-Y1220)</f>
        <v/>
      </c>
      <c r="AD1220" s="5">
        <f>IF(D1220="","",AA1220-Z1220)</f>
        <v/>
      </c>
      <c r="AG1220">
        <f>IF(D1220="","",N(AG1219)+IF(MATCH(D1220,$D$2:$D$3001,0)=ROW()-1,1,0))</f>
        <v/>
      </c>
    </row>
    <row r="1221">
      <c r="Y1221" s="5">
        <f>IF(D1221="","",X1221*IF(AND(ISNUMBER(AC1221),AC1221&gt;0,AC1221&lt;1),AC1221*100,AC1221)/100)</f>
        <v/>
      </c>
      <c r="Z1221" s="5">
        <f>IF(D1221="","",AB1221*AA1221/100)</f>
        <v/>
      </c>
      <c r="AA1221" s="5">
        <f>IF(D1221="","",X1221-Y1221)</f>
        <v/>
      </c>
      <c r="AD1221" s="5">
        <f>IF(D1221="","",AA1221-Z1221)</f>
        <v/>
      </c>
      <c r="AG1221">
        <f>IF(D1221="","",N(AG1220)+IF(MATCH(D1221,$D$2:$D$3001,0)=ROW()-1,1,0))</f>
        <v/>
      </c>
    </row>
    <row r="1222">
      <c r="Y1222" s="5">
        <f>IF(D1222="","",X1222*IF(AND(ISNUMBER(AC1222),AC1222&gt;0,AC1222&lt;1),AC1222*100,AC1222)/100)</f>
        <v/>
      </c>
      <c r="Z1222" s="5">
        <f>IF(D1222="","",AB1222*AA1222/100)</f>
        <v/>
      </c>
      <c r="AA1222" s="5">
        <f>IF(D1222="","",X1222-Y1222)</f>
        <v/>
      </c>
      <c r="AD1222" s="5">
        <f>IF(D1222="","",AA1222-Z1222)</f>
        <v/>
      </c>
      <c r="AG1222">
        <f>IF(D1222="","",N(AG1221)+IF(MATCH(D1222,$D$2:$D$3001,0)=ROW()-1,1,0))</f>
        <v/>
      </c>
    </row>
    <row r="1223">
      <c r="Y1223" s="5">
        <f>IF(D1223="","",X1223*IF(AND(ISNUMBER(AC1223),AC1223&gt;0,AC1223&lt;1),AC1223*100,AC1223)/100)</f>
        <v/>
      </c>
      <c r="Z1223" s="5">
        <f>IF(D1223="","",AB1223*AA1223/100)</f>
        <v/>
      </c>
      <c r="AA1223" s="5">
        <f>IF(D1223="","",X1223-Y1223)</f>
        <v/>
      </c>
      <c r="AD1223" s="5">
        <f>IF(D1223="","",AA1223-Z1223)</f>
        <v/>
      </c>
      <c r="AG1223">
        <f>IF(D1223="","",N(AG1222)+IF(MATCH(D1223,$D$2:$D$3001,0)=ROW()-1,1,0))</f>
        <v/>
      </c>
    </row>
    <row r="1224">
      <c r="Y1224" s="5">
        <f>IF(D1224="","",X1224*IF(AND(ISNUMBER(AC1224),AC1224&gt;0,AC1224&lt;1),AC1224*100,AC1224)/100)</f>
        <v/>
      </c>
      <c r="Z1224" s="5">
        <f>IF(D1224="","",AB1224*AA1224/100)</f>
        <v/>
      </c>
      <c r="AA1224" s="5">
        <f>IF(D1224="","",X1224-Y1224)</f>
        <v/>
      </c>
      <c r="AD1224" s="5">
        <f>IF(D1224="","",AA1224-Z1224)</f>
        <v/>
      </c>
      <c r="AG1224">
        <f>IF(D1224="","",N(AG1223)+IF(MATCH(D1224,$D$2:$D$3001,0)=ROW()-1,1,0))</f>
        <v/>
      </c>
    </row>
    <row r="1225">
      <c r="Y1225" s="5">
        <f>IF(D1225="","",X1225*IF(AND(ISNUMBER(AC1225),AC1225&gt;0,AC1225&lt;1),AC1225*100,AC1225)/100)</f>
        <v/>
      </c>
      <c r="Z1225" s="5">
        <f>IF(D1225="","",AB1225*AA1225/100)</f>
        <v/>
      </c>
      <c r="AA1225" s="5">
        <f>IF(D1225="","",X1225-Y1225)</f>
        <v/>
      </c>
      <c r="AD1225" s="5">
        <f>IF(D1225="","",AA1225-Z1225)</f>
        <v/>
      </c>
      <c r="AG1225">
        <f>IF(D1225="","",N(AG1224)+IF(MATCH(D1225,$D$2:$D$3001,0)=ROW()-1,1,0))</f>
        <v/>
      </c>
    </row>
    <row r="1226">
      <c r="Y1226" s="5">
        <f>IF(D1226="","",X1226*IF(AND(ISNUMBER(AC1226),AC1226&gt;0,AC1226&lt;1),AC1226*100,AC1226)/100)</f>
        <v/>
      </c>
      <c r="Z1226" s="5">
        <f>IF(D1226="","",AB1226*AA1226/100)</f>
        <v/>
      </c>
      <c r="AA1226" s="5">
        <f>IF(D1226="","",X1226-Y1226)</f>
        <v/>
      </c>
      <c r="AD1226" s="5">
        <f>IF(D1226="","",AA1226-Z1226)</f>
        <v/>
      </c>
      <c r="AG1226">
        <f>IF(D1226="","",N(AG1225)+IF(MATCH(D1226,$D$2:$D$3001,0)=ROW()-1,1,0))</f>
        <v/>
      </c>
    </row>
    <row r="1227">
      <c r="Y1227" s="5">
        <f>IF(D1227="","",X1227*IF(AND(ISNUMBER(AC1227),AC1227&gt;0,AC1227&lt;1),AC1227*100,AC1227)/100)</f>
        <v/>
      </c>
      <c r="Z1227" s="5">
        <f>IF(D1227="","",AB1227*AA1227/100)</f>
        <v/>
      </c>
      <c r="AA1227" s="5">
        <f>IF(D1227="","",X1227-Y1227)</f>
        <v/>
      </c>
      <c r="AD1227" s="5">
        <f>IF(D1227="","",AA1227-Z1227)</f>
        <v/>
      </c>
      <c r="AG1227">
        <f>IF(D1227="","",N(AG1226)+IF(MATCH(D1227,$D$2:$D$3001,0)=ROW()-1,1,0))</f>
        <v/>
      </c>
    </row>
    <row r="1228">
      <c r="Y1228" s="5">
        <f>IF(D1228="","",X1228*IF(AND(ISNUMBER(AC1228),AC1228&gt;0,AC1228&lt;1),AC1228*100,AC1228)/100)</f>
        <v/>
      </c>
      <c r="Z1228" s="5">
        <f>IF(D1228="","",AB1228*AA1228/100)</f>
        <v/>
      </c>
      <c r="AA1228" s="5">
        <f>IF(D1228="","",X1228-Y1228)</f>
        <v/>
      </c>
      <c r="AD1228" s="5">
        <f>IF(D1228="","",AA1228-Z1228)</f>
        <v/>
      </c>
      <c r="AG1228">
        <f>IF(D1228="","",N(AG1227)+IF(MATCH(D1228,$D$2:$D$3001,0)=ROW()-1,1,0))</f>
        <v/>
      </c>
    </row>
    <row r="1229">
      <c r="Y1229" s="5">
        <f>IF(D1229="","",X1229*IF(AND(ISNUMBER(AC1229),AC1229&gt;0,AC1229&lt;1),AC1229*100,AC1229)/100)</f>
        <v/>
      </c>
      <c r="Z1229" s="5">
        <f>IF(D1229="","",AB1229*AA1229/100)</f>
        <v/>
      </c>
      <c r="AA1229" s="5">
        <f>IF(D1229="","",X1229-Y1229)</f>
        <v/>
      </c>
      <c r="AD1229" s="5">
        <f>IF(D1229="","",AA1229-Z1229)</f>
        <v/>
      </c>
      <c r="AG1229">
        <f>IF(D1229="","",N(AG1228)+IF(MATCH(D1229,$D$2:$D$3001,0)=ROW()-1,1,0))</f>
        <v/>
      </c>
    </row>
    <row r="1230">
      <c r="Y1230" s="5">
        <f>IF(D1230="","",X1230*IF(AND(ISNUMBER(AC1230),AC1230&gt;0,AC1230&lt;1),AC1230*100,AC1230)/100)</f>
        <v/>
      </c>
      <c r="Z1230" s="5">
        <f>IF(D1230="","",AB1230*AA1230/100)</f>
        <v/>
      </c>
      <c r="AA1230" s="5">
        <f>IF(D1230="","",X1230-Y1230)</f>
        <v/>
      </c>
      <c r="AD1230" s="5">
        <f>IF(D1230="","",AA1230-Z1230)</f>
        <v/>
      </c>
      <c r="AG1230">
        <f>IF(D1230="","",N(AG1229)+IF(MATCH(D1230,$D$2:$D$3001,0)=ROW()-1,1,0))</f>
        <v/>
      </c>
    </row>
    <row r="1231">
      <c r="Y1231" s="5">
        <f>IF(D1231="","",X1231*IF(AND(ISNUMBER(AC1231),AC1231&gt;0,AC1231&lt;1),AC1231*100,AC1231)/100)</f>
        <v/>
      </c>
      <c r="Z1231" s="5">
        <f>IF(D1231="","",AB1231*AA1231/100)</f>
        <v/>
      </c>
      <c r="AA1231" s="5">
        <f>IF(D1231="","",X1231-Y1231)</f>
        <v/>
      </c>
      <c r="AD1231" s="5">
        <f>IF(D1231="","",AA1231-Z1231)</f>
        <v/>
      </c>
      <c r="AG1231">
        <f>IF(D1231="","",N(AG1230)+IF(MATCH(D1231,$D$2:$D$3001,0)=ROW()-1,1,0))</f>
        <v/>
      </c>
    </row>
    <row r="1232">
      <c r="Y1232" s="5">
        <f>IF(D1232="","",X1232*IF(AND(ISNUMBER(AC1232),AC1232&gt;0,AC1232&lt;1),AC1232*100,AC1232)/100)</f>
        <v/>
      </c>
      <c r="Z1232" s="5">
        <f>IF(D1232="","",AB1232*AA1232/100)</f>
        <v/>
      </c>
      <c r="AA1232" s="5">
        <f>IF(D1232="","",X1232-Y1232)</f>
        <v/>
      </c>
      <c r="AD1232" s="5">
        <f>IF(D1232="","",AA1232-Z1232)</f>
        <v/>
      </c>
      <c r="AG1232">
        <f>IF(D1232="","",N(AG1231)+IF(MATCH(D1232,$D$2:$D$3001,0)=ROW()-1,1,0))</f>
        <v/>
      </c>
    </row>
    <row r="1233">
      <c r="Y1233" s="5">
        <f>IF(D1233="","",X1233*IF(AND(ISNUMBER(AC1233),AC1233&gt;0,AC1233&lt;1),AC1233*100,AC1233)/100)</f>
        <v/>
      </c>
      <c r="Z1233" s="5">
        <f>IF(D1233="","",AB1233*AA1233/100)</f>
        <v/>
      </c>
      <c r="AA1233" s="5">
        <f>IF(D1233="","",X1233-Y1233)</f>
        <v/>
      </c>
      <c r="AD1233" s="5">
        <f>IF(D1233="","",AA1233-Z1233)</f>
        <v/>
      </c>
      <c r="AG1233">
        <f>IF(D1233="","",N(AG1232)+IF(MATCH(D1233,$D$2:$D$3001,0)=ROW()-1,1,0))</f>
        <v/>
      </c>
    </row>
    <row r="1234">
      <c r="Y1234" s="5">
        <f>IF(D1234="","",X1234*IF(AND(ISNUMBER(AC1234),AC1234&gt;0,AC1234&lt;1),AC1234*100,AC1234)/100)</f>
        <v/>
      </c>
      <c r="Z1234" s="5">
        <f>IF(D1234="","",AB1234*AA1234/100)</f>
        <v/>
      </c>
      <c r="AA1234" s="5">
        <f>IF(D1234="","",X1234-Y1234)</f>
        <v/>
      </c>
      <c r="AD1234" s="5">
        <f>IF(D1234="","",AA1234-Z1234)</f>
        <v/>
      </c>
      <c r="AG1234">
        <f>IF(D1234="","",N(AG1233)+IF(MATCH(D1234,$D$2:$D$3001,0)=ROW()-1,1,0))</f>
        <v/>
      </c>
    </row>
    <row r="1235">
      <c r="Y1235" s="5">
        <f>IF(D1235="","",X1235*IF(AND(ISNUMBER(AC1235),AC1235&gt;0,AC1235&lt;1),AC1235*100,AC1235)/100)</f>
        <v/>
      </c>
      <c r="Z1235" s="5">
        <f>IF(D1235="","",AB1235*AA1235/100)</f>
        <v/>
      </c>
      <c r="AA1235" s="5">
        <f>IF(D1235="","",X1235-Y1235)</f>
        <v/>
      </c>
      <c r="AD1235" s="5">
        <f>IF(D1235="","",AA1235-Z1235)</f>
        <v/>
      </c>
      <c r="AG1235">
        <f>IF(D1235="","",N(AG1234)+IF(MATCH(D1235,$D$2:$D$3001,0)=ROW()-1,1,0))</f>
        <v/>
      </c>
    </row>
    <row r="1236">
      <c r="Y1236" s="5">
        <f>IF(D1236="","",X1236*IF(AND(ISNUMBER(AC1236),AC1236&gt;0,AC1236&lt;1),AC1236*100,AC1236)/100)</f>
        <v/>
      </c>
      <c r="Z1236" s="5">
        <f>IF(D1236="","",AB1236*AA1236/100)</f>
        <v/>
      </c>
      <c r="AA1236" s="5">
        <f>IF(D1236="","",X1236-Y1236)</f>
        <v/>
      </c>
      <c r="AD1236" s="5">
        <f>IF(D1236="","",AA1236-Z1236)</f>
        <v/>
      </c>
      <c r="AG1236">
        <f>IF(D1236="","",N(AG1235)+IF(MATCH(D1236,$D$2:$D$3001,0)=ROW()-1,1,0))</f>
        <v/>
      </c>
    </row>
    <row r="1237">
      <c r="Y1237" s="5">
        <f>IF(D1237="","",X1237*IF(AND(ISNUMBER(AC1237),AC1237&gt;0,AC1237&lt;1),AC1237*100,AC1237)/100)</f>
        <v/>
      </c>
      <c r="Z1237" s="5">
        <f>IF(D1237="","",AB1237*AA1237/100)</f>
        <v/>
      </c>
      <c r="AA1237" s="5">
        <f>IF(D1237="","",X1237-Y1237)</f>
        <v/>
      </c>
      <c r="AD1237" s="5">
        <f>IF(D1237="","",AA1237-Z1237)</f>
        <v/>
      </c>
      <c r="AG1237">
        <f>IF(D1237="","",N(AG1236)+IF(MATCH(D1237,$D$2:$D$3001,0)=ROW()-1,1,0))</f>
        <v/>
      </c>
    </row>
    <row r="1238">
      <c r="Y1238" s="5">
        <f>IF(D1238="","",X1238*IF(AND(ISNUMBER(AC1238),AC1238&gt;0,AC1238&lt;1),AC1238*100,AC1238)/100)</f>
        <v/>
      </c>
      <c r="Z1238" s="5">
        <f>IF(D1238="","",AB1238*AA1238/100)</f>
        <v/>
      </c>
      <c r="AA1238" s="5">
        <f>IF(D1238="","",X1238-Y1238)</f>
        <v/>
      </c>
      <c r="AD1238" s="5">
        <f>IF(D1238="","",AA1238-Z1238)</f>
        <v/>
      </c>
      <c r="AG1238">
        <f>IF(D1238="","",N(AG1237)+IF(MATCH(D1238,$D$2:$D$3001,0)=ROW()-1,1,0))</f>
        <v/>
      </c>
    </row>
    <row r="1239">
      <c r="Y1239" s="5">
        <f>IF(D1239="","",X1239*IF(AND(ISNUMBER(AC1239),AC1239&gt;0,AC1239&lt;1),AC1239*100,AC1239)/100)</f>
        <v/>
      </c>
      <c r="Z1239" s="5">
        <f>IF(D1239="","",AB1239*AA1239/100)</f>
        <v/>
      </c>
      <c r="AA1239" s="5">
        <f>IF(D1239="","",X1239-Y1239)</f>
        <v/>
      </c>
      <c r="AD1239" s="5">
        <f>IF(D1239="","",AA1239-Z1239)</f>
        <v/>
      </c>
      <c r="AG1239">
        <f>IF(D1239="","",N(AG1238)+IF(MATCH(D1239,$D$2:$D$3001,0)=ROW()-1,1,0))</f>
        <v/>
      </c>
    </row>
    <row r="1240">
      <c r="Y1240" s="5">
        <f>IF(D1240="","",X1240*IF(AND(ISNUMBER(AC1240),AC1240&gt;0,AC1240&lt;1),AC1240*100,AC1240)/100)</f>
        <v/>
      </c>
      <c r="Z1240" s="5">
        <f>IF(D1240="","",AB1240*AA1240/100)</f>
        <v/>
      </c>
      <c r="AA1240" s="5">
        <f>IF(D1240="","",X1240-Y1240)</f>
        <v/>
      </c>
      <c r="AD1240" s="5">
        <f>IF(D1240="","",AA1240-Z1240)</f>
        <v/>
      </c>
      <c r="AG1240">
        <f>IF(D1240="","",N(AG1239)+IF(MATCH(D1240,$D$2:$D$3001,0)=ROW()-1,1,0))</f>
        <v/>
      </c>
    </row>
    <row r="1241">
      <c r="Y1241" s="5">
        <f>IF(D1241="","",X1241*IF(AND(ISNUMBER(AC1241),AC1241&gt;0,AC1241&lt;1),AC1241*100,AC1241)/100)</f>
        <v/>
      </c>
      <c r="Z1241" s="5">
        <f>IF(D1241="","",AB1241*AA1241/100)</f>
        <v/>
      </c>
      <c r="AA1241" s="5">
        <f>IF(D1241="","",X1241-Y1241)</f>
        <v/>
      </c>
      <c r="AD1241" s="5">
        <f>IF(D1241="","",AA1241-Z1241)</f>
        <v/>
      </c>
      <c r="AG1241">
        <f>IF(D1241="","",N(AG1240)+IF(MATCH(D1241,$D$2:$D$3001,0)=ROW()-1,1,0))</f>
        <v/>
      </c>
    </row>
    <row r="1242">
      <c r="Y1242" s="5">
        <f>IF(D1242="","",X1242*IF(AND(ISNUMBER(AC1242),AC1242&gt;0,AC1242&lt;1),AC1242*100,AC1242)/100)</f>
        <v/>
      </c>
      <c r="Z1242" s="5">
        <f>IF(D1242="","",AB1242*AA1242/100)</f>
        <v/>
      </c>
      <c r="AA1242" s="5">
        <f>IF(D1242="","",X1242-Y1242)</f>
        <v/>
      </c>
      <c r="AD1242" s="5">
        <f>IF(D1242="","",AA1242-Z1242)</f>
        <v/>
      </c>
      <c r="AG1242">
        <f>IF(D1242="","",N(AG1241)+IF(MATCH(D1242,$D$2:$D$3001,0)=ROW()-1,1,0))</f>
        <v/>
      </c>
    </row>
    <row r="1243">
      <c r="Y1243" s="5">
        <f>IF(D1243="","",X1243*IF(AND(ISNUMBER(AC1243),AC1243&gt;0,AC1243&lt;1),AC1243*100,AC1243)/100)</f>
        <v/>
      </c>
      <c r="Z1243" s="5">
        <f>IF(D1243="","",AB1243*AA1243/100)</f>
        <v/>
      </c>
      <c r="AA1243" s="5">
        <f>IF(D1243="","",X1243-Y1243)</f>
        <v/>
      </c>
      <c r="AD1243" s="5">
        <f>IF(D1243="","",AA1243-Z1243)</f>
        <v/>
      </c>
      <c r="AG1243">
        <f>IF(D1243="","",N(AG1242)+IF(MATCH(D1243,$D$2:$D$3001,0)=ROW()-1,1,0))</f>
        <v/>
      </c>
    </row>
    <row r="1244">
      <c r="Y1244" s="5">
        <f>IF(D1244="","",X1244*IF(AND(ISNUMBER(AC1244),AC1244&gt;0,AC1244&lt;1),AC1244*100,AC1244)/100)</f>
        <v/>
      </c>
      <c r="Z1244" s="5">
        <f>IF(D1244="","",AB1244*AA1244/100)</f>
        <v/>
      </c>
      <c r="AA1244" s="5">
        <f>IF(D1244="","",X1244-Y1244)</f>
        <v/>
      </c>
      <c r="AD1244" s="5">
        <f>IF(D1244="","",AA1244-Z1244)</f>
        <v/>
      </c>
      <c r="AG1244">
        <f>IF(D1244="","",N(AG1243)+IF(MATCH(D1244,$D$2:$D$3001,0)=ROW()-1,1,0))</f>
        <v/>
      </c>
    </row>
    <row r="1245">
      <c r="Y1245" s="5">
        <f>IF(D1245="","",X1245*IF(AND(ISNUMBER(AC1245),AC1245&gt;0,AC1245&lt;1),AC1245*100,AC1245)/100)</f>
        <v/>
      </c>
      <c r="Z1245" s="5">
        <f>IF(D1245="","",AB1245*AA1245/100)</f>
        <v/>
      </c>
      <c r="AA1245" s="5">
        <f>IF(D1245="","",X1245-Y1245)</f>
        <v/>
      </c>
      <c r="AD1245" s="5">
        <f>IF(D1245="","",AA1245-Z1245)</f>
        <v/>
      </c>
      <c r="AG1245">
        <f>IF(D1245="","",N(AG1244)+IF(MATCH(D1245,$D$2:$D$3001,0)=ROW()-1,1,0))</f>
        <v/>
      </c>
    </row>
    <row r="1246">
      <c r="Y1246" s="5">
        <f>IF(D1246="","",X1246*IF(AND(ISNUMBER(AC1246),AC1246&gt;0,AC1246&lt;1),AC1246*100,AC1246)/100)</f>
        <v/>
      </c>
      <c r="Z1246" s="5">
        <f>IF(D1246="","",AB1246*AA1246/100)</f>
        <v/>
      </c>
      <c r="AA1246" s="5">
        <f>IF(D1246="","",X1246-Y1246)</f>
        <v/>
      </c>
      <c r="AD1246" s="5">
        <f>IF(D1246="","",AA1246-Z1246)</f>
        <v/>
      </c>
      <c r="AG1246">
        <f>IF(D1246="","",N(AG1245)+IF(MATCH(D1246,$D$2:$D$3001,0)=ROW()-1,1,0))</f>
        <v/>
      </c>
    </row>
    <row r="1247">
      <c r="Y1247" s="5">
        <f>IF(D1247="","",X1247*IF(AND(ISNUMBER(AC1247),AC1247&gt;0,AC1247&lt;1),AC1247*100,AC1247)/100)</f>
        <v/>
      </c>
      <c r="Z1247" s="5">
        <f>IF(D1247="","",AB1247*AA1247/100)</f>
        <v/>
      </c>
      <c r="AA1247" s="5">
        <f>IF(D1247="","",X1247-Y1247)</f>
        <v/>
      </c>
      <c r="AD1247" s="5">
        <f>IF(D1247="","",AA1247-Z1247)</f>
        <v/>
      </c>
      <c r="AG1247">
        <f>IF(D1247="","",N(AG1246)+IF(MATCH(D1247,$D$2:$D$3001,0)=ROW()-1,1,0))</f>
        <v/>
      </c>
    </row>
    <row r="1248">
      <c r="Y1248" s="5">
        <f>IF(D1248="","",X1248*IF(AND(ISNUMBER(AC1248),AC1248&gt;0,AC1248&lt;1),AC1248*100,AC1248)/100)</f>
        <v/>
      </c>
      <c r="Z1248" s="5">
        <f>IF(D1248="","",AB1248*AA1248/100)</f>
        <v/>
      </c>
      <c r="AA1248" s="5">
        <f>IF(D1248="","",X1248-Y1248)</f>
        <v/>
      </c>
      <c r="AD1248" s="5">
        <f>IF(D1248="","",AA1248-Z1248)</f>
        <v/>
      </c>
      <c r="AG1248">
        <f>IF(D1248="","",N(AG1247)+IF(MATCH(D1248,$D$2:$D$3001,0)=ROW()-1,1,0))</f>
        <v/>
      </c>
    </row>
    <row r="1249">
      <c r="Y1249" s="5">
        <f>IF(D1249="","",X1249*IF(AND(ISNUMBER(AC1249),AC1249&gt;0,AC1249&lt;1),AC1249*100,AC1249)/100)</f>
        <v/>
      </c>
      <c r="Z1249" s="5">
        <f>IF(D1249="","",AB1249*AA1249/100)</f>
        <v/>
      </c>
      <c r="AA1249" s="5">
        <f>IF(D1249="","",X1249-Y1249)</f>
        <v/>
      </c>
      <c r="AD1249" s="5">
        <f>IF(D1249="","",AA1249-Z1249)</f>
        <v/>
      </c>
      <c r="AG1249">
        <f>IF(D1249="","",N(AG1248)+IF(MATCH(D1249,$D$2:$D$3001,0)=ROW()-1,1,0))</f>
        <v/>
      </c>
    </row>
    <row r="1250">
      <c r="Y1250" s="5">
        <f>IF(D1250="","",X1250*IF(AND(ISNUMBER(AC1250),AC1250&gt;0,AC1250&lt;1),AC1250*100,AC1250)/100)</f>
        <v/>
      </c>
      <c r="Z1250" s="5">
        <f>IF(D1250="","",AB1250*AA1250/100)</f>
        <v/>
      </c>
      <c r="AA1250" s="5">
        <f>IF(D1250="","",X1250-Y1250)</f>
        <v/>
      </c>
      <c r="AD1250" s="5">
        <f>IF(D1250="","",AA1250-Z1250)</f>
        <v/>
      </c>
      <c r="AG1250">
        <f>IF(D1250="","",N(AG1249)+IF(MATCH(D1250,$D$2:$D$3001,0)=ROW()-1,1,0))</f>
        <v/>
      </c>
    </row>
    <row r="1251">
      <c r="Y1251" s="5">
        <f>IF(D1251="","",X1251*IF(AND(ISNUMBER(AC1251),AC1251&gt;0,AC1251&lt;1),AC1251*100,AC1251)/100)</f>
        <v/>
      </c>
      <c r="Z1251" s="5">
        <f>IF(D1251="","",AB1251*AA1251/100)</f>
        <v/>
      </c>
      <c r="AA1251" s="5">
        <f>IF(D1251="","",X1251-Y1251)</f>
        <v/>
      </c>
      <c r="AD1251" s="5">
        <f>IF(D1251="","",AA1251-Z1251)</f>
        <v/>
      </c>
      <c r="AG1251">
        <f>IF(D1251="","",N(AG1250)+IF(MATCH(D1251,$D$2:$D$3001,0)=ROW()-1,1,0))</f>
        <v/>
      </c>
    </row>
    <row r="1252">
      <c r="Y1252" s="5">
        <f>IF(D1252="","",X1252*IF(AND(ISNUMBER(AC1252),AC1252&gt;0,AC1252&lt;1),AC1252*100,AC1252)/100)</f>
        <v/>
      </c>
      <c r="Z1252" s="5">
        <f>IF(D1252="","",AB1252*AA1252/100)</f>
        <v/>
      </c>
      <c r="AA1252" s="5">
        <f>IF(D1252="","",X1252-Y1252)</f>
        <v/>
      </c>
      <c r="AD1252" s="5">
        <f>IF(D1252="","",AA1252-Z1252)</f>
        <v/>
      </c>
      <c r="AG1252">
        <f>IF(D1252="","",N(AG1251)+IF(MATCH(D1252,$D$2:$D$3001,0)=ROW()-1,1,0))</f>
        <v/>
      </c>
    </row>
    <row r="1253">
      <c r="Y1253" s="5">
        <f>IF(D1253="","",X1253*IF(AND(ISNUMBER(AC1253),AC1253&gt;0,AC1253&lt;1),AC1253*100,AC1253)/100)</f>
        <v/>
      </c>
      <c r="Z1253" s="5">
        <f>IF(D1253="","",AB1253*AA1253/100)</f>
        <v/>
      </c>
      <c r="AA1253" s="5">
        <f>IF(D1253="","",X1253-Y1253)</f>
        <v/>
      </c>
      <c r="AD1253" s="5">
        <f>IF(D1253="","",AA1253-Z1253)</f>
        <v/>
      </c>
      <c r="AG1253">
        <f>IF(D1253="","",N(AG1252)+IF(MATCH(D1253,$D$2:$D$3001,0)=ROW()-1,1,0))</f>
        <v/>
      </c>
    </row>
    <row r="1254">
      <c r="Y1254" s="5">
        <f>IF(D1254="","",X1254*IF(AND(ISNUMBER(AC1254),AC1254&gt;0,AC1254&lt;1),AC1254*100,AC1254)/100)</f>
        <v/>
      </c>
      <c r="Z1254" s="5">
        <f>IF(D1254="","",AB1254*AA1254/100)</f>
        <v/>
      </c>
      <c r="AA1254" s="5">
        <f>IF(D1254="","",X1254-Y1254)</f>
        <v/>
      </c>
      <c r="AD1254" s="5">
        <f>IF(D1254="","",AA1254-Z1254)</f>
        <v/>
      </c>
      <c r="AG1254">
        <f>IF(D1254="","",N(AG1253)+IF(MATCH(D1254,$D$2:$D$3001,0)=ROW()-1,1,0))</f>
        <v/>
      </c>
    </row>
    <row r="1255">
      <c r="Y1255" s="5">
        <f>IF(D1255="","",X1255*IF(AND(ISNUMBER(AC1255),AC1255&gt;0,AC1255&lt;1),AC1255*100,AC1255)/100)</f>
        <v/>
      </c>
      <c r="Z1255" s="5">
        <f>IF(D1255="","",AB1255*AA1255/100)</f>
        <v/>
      </c>
      <c r="AA1255" s="5">
        <f>IF(D1255="","",X1255-Y1255)</f>
        <v/>
      </c>
      <c r="AD1255" s="5">
        <f>IF(D1255="","",AA1255-Z1255)</f>
        <v/>
      </c>
      <c r="AG1255">
        <f>IF(D1255="","",N(AG1254)+IF(MATCH(D1255,$D$2:$D$3001,0)=ROW()-1,1,0))</f>
        <v/>
      </c>
    </row>
    <row r="1256">
      <c r="Y1256" s="5">
        <f>IF(D1256="","",X1256*IF(AND(ISNUMBER(AC1256),AC1256&gt;0,AC1256&lt;1),AC1256*100,AC1256)/100)</f>
        <v/>
      </c>
      <c r="Z1256" s="5">
        <f>IF(D1256="","",AB1256*AA1256/100)</f>
        <v/>
      </c>
      <c r="AA1256" s="5">
        <f>IF(D1256="","",X1256-Y1256)</f>
        <v/>
      </c>
      <c r="AD1256" s="5">
        <f>IF(D1256="","",AA1256-Z1256)</f>
        <v/>
      </c>
      <c r="AG1256">
        <f>IF(D1256="","",N(AG1255)+IF(MATCH(D1256,$D$2:$D$3001,0)=ROW()-1,1,0))</f>
        <v/>
      </c>
    </row>
    <row r="1257">
      <c r="Y1257" s="5">
        <f>IF(D1257="","",X1257*IF(AND(ISNUMBER(AC1257),AC1257&gt;0,AC1257&lt;1),AC1257*100,AC1257)/100)</f>
        <v/>
      </c>
      <c r="Z1257" s="5">
        <f>IF(D1257="","",AB1257*AA1257/100)</f>
        <v/>
      </c>
      <c r="AA1257" s="5">
        <f>IF(D1257="","",X1257-Y1257)</f>
        <v/>
      </c>
      <c r="AD1257" s="5">
        <f>IF(D1257="","",AA1257-Z1257)</f>
        <v/>
      </c>
      <c r="AG1257">
        <f>IF(D1257="","",N(AG1256)+IF(MATCH(D1257,$D$2:$D$3001,0)=ROW()-1,1,0))</f>
        <v/>
      </c>
    </row>
    <row r="1258">
      <c r="Y1258" s="5">
        <f>IF(D1258="","",X1258*IF(AND(ISNUMBER(AC1258),AC1258&gt;0,AC1258&lt;1),AC1258*100,AC1258)/100)</f>
        <v/>
      </c>
      <c r="Z1258" s="5">
        <f>IF(D1258="","",AB1258*AA1258/100)</f>
        <v/>
      </c>
      <c r="AA1258" s="5">
        <f>IF(D1258="","",X1258-Y1258)</f>
        <v/>
      </c>
      <c r="AD1258" s="5">
        <f>IF(D1258="","",AA1258-Z1258)</f>
        <v/>
      </c>
      <c r="AG1258">
        <f>IF(D1258="","",N(AG1257)+IF(MATCH(D1258,$D$2:$D$3001,0)=ROW()-1,1,0))</f>
        <v/>
      </c>
    </row>
    <row r="1259">
      <c r="Y1259" s="5">
        <f>IF(D1259="","",X1259*IF(AND(ISNUMBER(AC1259),AC1259&gt;0,AC1259&lt;1),AC1259*100,AC1259)/100)</f>
        <v/>
      </c>
      <c r="Z1259" s="5">
        <f>IF(D1259="","",AB1259*AA1259/100)</f>
        <v/>
      </c>
      <c r="AA1259" s="5">
        <f>IF(D1259="","",X1259-Y1259)</f>
        <v/>
      </c>
      <c r="AD1259" s="5">
        <f>IF(D1259="","",AA1259-Z1259)</f>
        <v/>
      </c>
      <c r="AG1259">
        <f>IF(D1259="","",N(AG1258)+IF(MATCH(D1259,$D$2:$D$3001,0)=ROW()-1,1,0))</f>
        <v/>
      </c>
    </row>
    <row r="1260">
      <c r="Y1260" s="5">
        <f>IF(D1260="","",X1260*IF(AND(ISNUMBER(AC1260),AC1260&gt;0,AC1260&lt;1),AC1260*100,AC1260)/100)</f>
        <v/>
      </c>
      <c r="Z1260" s="5">
        <f>IF(D1260="","",AB1260*AA1260/100)</f>
        <v/>
      </c>
      <c r="AA1260" s="5">
        <f>IF(D1260="","",X1260-Y1260)</f>
        <v/>
      </c>
      <c r="AD1260" s="5">
        <f>IF(D1260="","",AA1260-Z1260)</f>
        <v/>
      </c>
      <c r="AG1260">
        <f>IF(D1260="","",N(AG1259)+IF(MATCH(D1260,$D$2:$D$3001,0)=ROW()-1,1,0))</f>
        <v/>
      </c>
    </row>
    <row r="1261">
      <c r="Y1261" s="5">
        <f>IF(D1261="","",X1261*IF(AND(ISNUMBER(AC1261),AC1261&gt;0,AC1261&lt;1),AC1261*100,AC1261)/100)</f>
        <v/>
      </c>
      <c r="Z1261" s="5">
        <f>IF(D1261="","",AB1261*AA1261/100)</f>
        <v/>
      </c>
      <c r="AA1261" s="5">
        <f>IF(D1261="","",X1261-Y1261)</f>
        <v/>
      </c>
      <c r="AD1261" s="5">
        <f>IF(D1261="","",AA1261-Z1261)</f>
        <v/>
      </c>
      <c r="AG1261">
        <f>IF(D1261="","",N(AG1260)+IF(MATCH(D1261,$D$2:$D$3001,0)=ROW()-1,1,0))</f>
        <v/>
      </c>
    </row>
    <row r="1262">
      <c r="Y1262" s="5">
        <f>IF(D1262="","",X1262*IF(AND(ISNUMBER(AC1262),AC1262&gt;0,AC1262&lt;1),AC1262*100,AC1262)/100)</f>
        <v/>
      </c>
      <c r="Z1262" s="5">
        <f>IF(D1262="","",AB1262*AA1262/100)</f>
        <v/>
      </c>
      <c r="AA1262" s="5">
        <f>IF(D1262="","",X1262-Y1262)</f>
        <v/>
      </c>
      <c r="AD1262" s="5">
        <f>IF(D1262="","",AA1262-Z1262)</f>
        <v/>
      </c>
      <c r="AG1262">
        <f>IF(D1262="","",N(AG1261)+IF(MATCH(D1262,$D$2:$D$3001,0)=ROW()-1,1,0))</f>
        <v/>
      </c>
    </row>
    <row r="1263">
      <c r="Y1263" s="5">
        <f>IF(D1263="","",X1263*IF(AND(ISNUMBER(AC1263),AC1263&gt;0,AC1263&lt;1),AC1263*100,AC1263)/100)</f>
        <v/>
      </c>
      <c r="Z1263" s="5">
        <f>IF(D1263="","",AB1263*AA1263/100)</f>
        <v/>
      </c>
      <c r="AA1263" s="5">
        <f>IF(D1263="","",X1263-Y1263)</f>
        <v/>
      </c>
      <c r="AD1263" s="5">
        <f>IF(D1263="","",AA1263-Z1263)</f>
        <v/>
      </c>
      <c r="AG1263">
        <f>IF(D1263="","",N(AG1262)+IF(MATCH(D1263,$D$2:$D$3001,0)=ROW()-1,1,0))</f>
        <v/>
      </c>
    </row>
    <row r="1264">
      <c r="Y1264" s="5">
        <f>IF(D1264="","",X1264*IF(AND(ISNUMBER(AC1264),AC1264&gt;0,AC1264&lt;1),AC1264*100,AC1264)/100)</f>
        <v/>
      </c>
      <c r="Z1264" s="5">
        <f>IF(D1264="","",AB1264*AA1264/100)</f>
        <v/>
      </c>
      <c r="AA1264" s="5">
        <f>IF(D1264="","",X1264-Y1264)</f>
        <v/>
      </c>
      <c r="AD1264" s="5">
        <f>IF(D1264="","",AA1264-Z1264)</f>
        <v/>
      </c>
      <c r="AG1264">
        <f>IF(D1264="","",N(AG1263)+IF(MATCH(D1264,$D$2:$D$3001,0)=ROW()-1,1,0))</f>
        <v/>
      </c>
    </row>
    <row r="1265">
      <c r="Y1265" s="5">
        <f>IF(D1265="","",X1265*IF(AND(ISNUMBER(AC1265),AC1265&gt;0,AC1265&lt;1),AC1265*100,AC1265)/100)</f>
        <v/>
      </c>
      <c r="Z1265" s="5">
        <f>IF(D1265="","",AB1265*AA1265/100)</f>
        <v/>
      </c>
      <c r="AA1265" s="5">
        <f>IF(D1265="","",X1265-Y1265)</f>
        <v/>
      </c>
      <c r="AD1265" s="5">
        <f>IF(D1265="","",AA1265-Z1265)</f>
        <v/>
      </c>
      <c r="AG1265">
        <f>IF(D1265="","",N(AG1264)+IF(MATCH(D1265,$D$2:$D$3001,0)=ROW()-1,1,0))</f>
        <v/>
      </c>
    </row>
    <row r="1266">
      <c r="Y1266" s="5">
        <f>IF(D1266="","",X1266*IF(AND(ISNUMBER(AC1266),AC1266&gt;0,AC1266&lt;1),AC1266*100,AC1266)/100)</f>
        <v/>
      </c>
      <c r="Z1266" s="5">
        <f>IF(D1266="","",AB1266*AA1266/100)</f>
        <v/>
      </c>
      <c r="AA1266" s="5">
        <f>IF(D1266="","",X1266-Y1266)</f>
        <v/>
      </c>
      <c r="AD1266" s="5">
        <f>IF(D1266="","",AA1266-Z1266)</f>
        <v/>
      </c>
      <c r="AG1266">
        <f>IF(D1266="","",N(AG1265)+IF(MATCH(D1266,$D$2:$D$3001,0)=ROW()-1,1,0))</f>
        <v/>
      </c>
    </row>
    <row r="1267">
      <c r="Y1267" s="5">
        <f>IF(D1267="","",X1267*IF(AND(ISNUMBER(AC1267),AC1267&gt;0,AC1267&lt;1),AC1267*100,AC1267)/100)</f>
        <v/>
      </c>
      <c r="Z1267" s="5">
        <f>IF(D1267="","",AB1267*AA1267/100)</f>
        <v/>
      </c>
      <c r="AA1267" s="5">
        <f>IF(D1267="","",X1267-Y1267)</f>
        <v/>
      </c>
      <c r="AD1267" s="5">
        <f>IF(D1267="","",AA1267-Z1267)</f>
        <v/>
      </c>
      <c r="AG1267">
        <f>IF(D1267="","",N(AG1266)+IF(MATCH(D1267,$D$2:$D$3001,0)=ROW()-1,1,0))</f>
        <v/>
      </c>
    </row>
    <row r="1268">
      <c r="Y1268" s="5">
        <f>IF(D1268="","",X1268*IF(AND(ISNUMBER(AC1268),AC1268&gt;0,AC1268&lt;1),AC1268*100,AC1268)/100)</f>
        <v/>
      </c>
      <c r="Z1268" s="5">
        <f>IF(D1268="","",AB1268*AA1268/100)</f>
        <v/>
      </c>
      <c r="AA1268" s="5">
        <f>IF(D1268="","",X1268-Y1268)</f>
        <v/>
      </c>
      <c r="AD1268" s="5">
        <f>IF(D1268="","",AA1268-Z1268)</f>
        <v/>
      </c>
      <c r="AG1268">
        <f>IF(D1268="","",N(AG1267)+IF(MATCH(D1268,$D$2:$D$3001,0)=ROW()-1,1,0))</f>
        <v/>
      </c>
    </row>
    <row r="1269">
      <c r="Y1269" s="5">
        <f>IF(D1269="","",X1269*IF(AND(ISNUMBER(AC1269),AC1269&gt;0,AC1269&lt;1),AC1269*100,AC1269)/100)</f>
        <v/>
      </c>
      <c r="Z1269" s="5">
        <f>IF(D1269="","",AB1269*AA1269/100)</f>
        <v/>
      </c>
      <c r="AA1269" s="5">
        <f>IF(D1269="","",X1269-Y1269)</f>
        <v/>
      </c>
      <c r="AD1269" s="5">
        <f>IF(D1269="","",AA1269-Z1269)</f>
        <v/>
      </c>
      <c r="AG1269">
        <f>IF(D1269="","",N(AG1268)+IF(MATCH(D1269,$D$2:$D$3001,0)=ROW()-1,1,0))</f>
        <v/>
      </c>
    </row>
    <row r="1270">
      <c r="Y1270" s="5">
        <f>IF(D1270="","",X1270*IF(AND(ISNUMBER(AC1270),AC1270&gt;0,AC1270&lt;1),AC1270*100,AC1270)/100)</f>
        <v/>
      </c>
      <c r="Z1270" s="5">
        <f>IF(D1270="","",AB1270*AA1270/100)</f>
        <v/>
      </c>
      <c r="AA1270" s="5">
        <f>IF(D1270="","",X1270-Y1270)</f>
        <v/>
      </c>
      <c r="AD1270" s="5">
        <f>IF(D1270="","",AA1270-Z1270)</f>
        <v/>
      </c>
      <c r="AG1270">
        <f>IF(D1270="","",N(AG1269)+IF(MATCH(D1270,$D$2:$D$3001,0)=ROW()-1,1,0))</f>
        <v/>
      </c>
    </row>
    <row r="1271">
      <c r="Y1271" s="5">
        <f>IF(D1271="","",X1271*IF(AND(ISNUMBER(AC1271),AC1271&gt;0,AC1271&lt;1),AC1271*100,AC1271)/100)</f>
        <v/>
      </c>
      <c r="Z1271" s="5">
        <f>IF(D1271="","",AB1271*AA1271/100)</f>
        <v/>
      </c>
      <c r="AA1271" s="5">
        <f>IF(D1271="","",X1271-Y1271)</f>
        <v/>
      </c>
      <c r="AD1271" s="5">
        <f>IF(D1271="","",AA1271-Z1271)</f>
        <v/>
      </c>
      <c r="AG1271">
        <f>IF(D1271="","",N(AG1270)+IF(MATCH(D1271,$D$2:$D$3001,0)=ROW()-1,1,0))</f>
        <v/>
      </c>
    </row>
    <row r="1272">
      <c r="Y1272" s="5">
        <f>IF(D1272="","",X1272*IF(AND(ISNUMBER(AC1272),AC1272&gt;0,AC1272&lt;1),AC1272*100,AC1272)/100)</f>
        <v/>
      </c>
      <c r="Z1272" s="5">
        <f>IF(D1272="","",AB1272*AA1272/100)</f>
        <v/>
      </c>
      <c r="AA1272" s="5">
        <f>IF(D1272="","",X1272-Y1272)</f>
        <v/>
      </c>
      <c r="AD1272" s="5">
        <f>IF(D1272="","",AA1272-Z1272)</f>
        <v/>
      </c>
      <c r="AG1272">
        <f>IF(D1272="","",N(AG1271)+IF(MATCH(D1272,$D$2:$D$3001,0)=ROW()-1,1,0))</f>
        <v/>
      </c>
    </row>
    <row r="1273">
      <c r="Y1273" s="5">
        <f>IF(D1273="","",X1273*IF(AND(ISNUMBER(AC1273),AC1273&gt;0,AC1273&lt;1),AC1273*100,AC1273)/100)</f>
        <v/>
      </c>
      <c r="Z1273" s="5">
        <f>IF(D1273="","",AB1273*AA1273/100)</f>
        <v/>
      </c>
      <c r="AA1273" s="5">
        <f>IF(D1273="","",X1273-Y1273)</f>
        <v/>
      </c>
      <c r="AD1273" s="5">
        <f>IF(D1273="","",AA1273-Z1273)</f>
        <v/>
      </c>
      <c r="AG1273">
        <f>IF(D1273="","",N(AG1272)+IF(MATCH(D1273,$D$2:$D$3001,0)=ROW()-1,1,0))</f>
        <v/>
      </c>
    </row>
    <row r="1274">
      <c r="Y1274" s="5">
        <f>IF(D1274="","",X1274*IF(AND(ISNUMBER(AC1274),AC1274&gt;0,AC1274&lt;1),AC1274*100,AC1274)/100)</f>
        <v/>
      </c>
      <c r="Z1274" s="5">
        <f>IF(D1274="","",AB1274*AA1274/100)</f>
        <v/>
      </c>
      <c r="AA1274" s="5">
        <f>IF(D1274="","",X1274-Y1274)</f>
        <v/>
      </c>
      <c r="AD1274" s="5">
        <f>IF(D1274="","",AA1274-Z1274)</f>
        <v/>
      </c>
      <c r="AG1274">
        <f>IF(D1274="","",N(AG1273)+IF(MATCH(D1274,$D$2:$D$3001,0)=ROW()-1,1,0))</f>
        <v/>
      </c>
    </row>
    <row r="1275">
      <c r="Y1275" s="5">
        <f>IF(D1275="","",X1275*IF(AND(ISNUMBER(AC1275),AC1275&gt;0,AC1275&lt;1),AC1275*100,AC1275)/100)</f>
        <v/>
      </c>
      <c r="Z1275" s="5">
        <f>IF(D1275="","",AB1275*AA1275/100)</f>
        <v/>
      </c>
      <c r="AA1275" s="5">
        <f>IF(D1275="","",X1275-Y1275)</f>
        <v/>
      </c>
      <c r="AD1275" s="5">
        <f>IF(D1275="","",AA1275-Z1275)</f>
        <v/>
      </c>
      <c r="AG1275">
        <f>IF(D1275="","",N(AG1274)+IF(MATCH(D1275,$D$2:$D$3001,0)=ROW()-1,1,0))</f>
        <v/>
      </c>
    </row>
    <row r="1276">
      <c r="Y1276" s="5">
        <f>IF(D1276="","",X1276*IF(AND(ISNUMBER(AC1276),AC1276&gt;0,AC1276&lt;1),AC1276*100,AC1276)/100)</f>
        <v/>
      </c>
      <c r="Z1276" s="5">
        <f>IF(D1276="","",AB1276*AA1276/100)</f>
        <v/>
      </c>
      <c r="AA1276" s="5">
        <f>IF(D1276="","",X1276-Y1276)</f>
        <v/>
      </c>
      <c r="AD1276" s="5">
        <f>IF(D1276="","",AA1276-Z1276)</f>
        <v/>
      </c>
      <c r="AG1276">
        <f>IF(D1276="","",N(AG1275)+IF(MATCH(D1276,$D$2:$D$3001,0)=ROW()-1,1,0))</f>
        <v/>
      </c>
    </row>
    <row r="1277">
      <c r="Y1277" s="5">
        <f>IF(D1277="","",X1277*IF(AND(ISNUMBER(AC1277),AC1277&gt;0,AC1277&lt;1),AC1277*100,AC1277)/100)</f>
        <v/>
      </c>
      <c r="Z1277" s="5">
        <f>IF(D1277="","",AB1277*AA1277/100)</f>
        <v/>
      </c>
      <c r="AA1277" s="5">
        <f>IF(D1277="","",X1277-Y1277)</f>
        <v/>
      </c>
      <c r="AD1277" s="5">
        <f>IF(D1277="","",AA1277-Z1277)</f>
        <v/>
      </c>
      <c r="AG1277">
        <f>IF(D1277="","",N(AG1276)+IF(MATCH(D1277,$D$2:$D$3001,0)=ROW()-1,1,0))</f>
        <v/>
      </c>
    </row>
    <row r="1278">
      <c r="Y1278" s="5">
        <f>IF(D1278="","",X1278*IF(AND(ISNUMBER(AC1278),AC1278&gt;0,AC1278&lt;1),AC1278*100,AC1278)/100)</f>
        <v/>
      </c>
      <c r="Z1278" s="5">
        <f>IF(D1278="","",AB1278*AA1278/100)</f>
        <v/>
      </c>
      <c r="AA1278" s="5">
        <f>IF(D1278="","",X1278-Y1278)</f>
        <v/>
      </c>
      <c r="AD1278" s="5">
        <f>IF(D1278="","",AA1278-Z1278)</f>
        <v/>
      </c>
      <c r="AG1278">
        <f>IF(D1278="","",N(AG1277)+IF(MATCH(D1278,$D$2:$D$3001,0)=ROW()-1,1,0))</f>
        <v/>
      </c>
    </row>
    <row r="1279">
      <c r="Y1279" s="5">
        <f>IF(D1279="","",X1279*IF(AND(ISNUMBER(AC1279),AC1279&gt;0,AC1279&lt;1),AC1279*100,AC1279)/100)</f>
        <v/>
      </c>
      <c r="Z1279" s="5">
        <f>IF(D1279="","",AB1279*AA1279/100)</f>
        <v/>
      </c>
      <c r="AA1279" s="5">
        <f>IF(D1279="","",X1279-Y1279)</f>
        <v/>
      </c>
      <c r="AD1279" s="5">
        <f>IF(D1279="","",AA1279-Z1279)</f>
        <v/>
      </c>
      <c r="AG1279">
        <f>IF(D1279="","",N(AG1278)+IF(MATCH(D1279,$D$2:$D$3001,0)=ROW()-1,1,0))</f>
        <v/>
      </c>
    </row>
    <row r="1280">
      <c r="Y1280" s="5">
        <f>IF(D1280="","",X1280*IF(AND(ISNUMBER(AC1280),AC1280&gt;0,AC1280&lt;1),AC1280*100,AC1280)/100)</f>
        <v/>
      </c>
      <c r="Z1280" s="5">
        <f>IF(D1280="","",AB1280*AA1280/100)</f>
        <v/>
      </c>
      <c r="AA1280" s="5">
        <f>IF(D1280="","",X1280-Y1280)</f>
        <v/>
      </c>
      <c r="AD1280" s="5">
        <f>IF(D1280="","",AA1280-Z1280)</f>
        <v/>
      </c>
      <c r="AG1280">
        <f>IF(D1280="","",N(AG1279)+IF(MATCH(D1280,$D$2:$D$3001,0)=ROW()-1,1,0))</f>
        <v/>
      </c>
    </row>
    <row r="1281">
      <c r="Y1281" s="5">
        <f>IF(D1281="","",X1281*IF(AND(ISNUMBER(AC1281),AC1281&gt;0,AC1281&lt;1),AC1281*100,AC1281)/100)</f>
        <v/>
      </c>
      <c r="Z1281" s="5">
        <f>IF(D1281="","",AB1281*AA1281/100)</f>
        <v/>
      </c>
      <c r="AA1281" s="5">
        <f>IF(D1281="","",X1281-Y1281)</f>
        <v/>
      </c>
      <c r="AD1281" s="5">
        <f>IF(D1281="","",AA1281-Z1281)</f>
        <v/>
      </c>
      <c r="AG1281">
        <f>IF(D1281="","",N(AG1280)+IF(MATCH(D1281,$D$2:$D$3001,0)=ROW()-1,1,0))</f>
        <v/>
      </c>
    </row>
    <row r="1282">
      <c r="Y1282" s="5">
        <f>IF(D1282="","",X1282*IF(AND(ISNUMBER(AC1282),AC1282&gt;0,AC1282&lt;1),AC1282*100,AC1282)/100)</f>
        <v/>
      </c>
      <c r="Z1282" s="5">
        <f>IF(D1282="","",AB1282*AA1282/100)</f>
        <v/>
      </c>
      <c r="AA1282" s="5">
        <f>IF(D1282="","",X1282-Y1282)</f>
        <v/>
      </c>
      <c r="AD1282" s="5">
        <f>IF(D1282="","",AA1282-Z1282)</f>
        <v/>
      </c>
      <c r="AG1282">
        <f>IF(D1282="","",N(AG1281)+IF(MATCH(D1282,$D$2:$D$3001,0)=ROW()-1,1,0))</f>
        <v/>
      </c>
    </row>
    <row r="1283">
      <c r="Y1283" s="5">
        <f>IF(D1283="","",X1283*IF(AND(ISNUMBER(AC1283),AC1283&gt;0,AC1283&lt;1),AC1283*100,AC1283)/100)</f>
        <v/>
      </c>
      <c r="Z1283" s="5">
        <f>IF(D1283="","",AB1283*AA1283/100)</f>
        <v/>
      </c>
      <c r="AA1283" s="5">
        <f>IF(D1283="","",X1283-Y1283)</f>
        <v/>
      </c>
      <c r="AD1283" s="5">
        <f>IF(D1283="","",AA1283-Z1283)</f>
        <v/>
      </c>
      <c r="AG1283">
        <f>IF(D1283="","",N(AG1282)+IF(MATCH(D1283,$D$2:$D$3001,0)=ROW()-1,1,0))</f>
        <v/>
      </c>
    </row>
    <row r="1284">
      <c r="Y1284" s="5">
        <f>IF(D1284="","",X1284*IF(AND(ISNUMBER(AC1284),AC1284&gt;0,AC1284&lt;1),AC1284*100,AC1284)/100)</f>
        <v/>
      </c>
      <c r="Z1284" s="5">
        <f>IF(D1284="","",AB1284*AA1284/100)</f>
        <v/>
      </c>
      <c r="AA1284" s="5">
        <f>IF(D1284="","",X1284-Y1284)</f>
        <v/>
      </c>
      <c r="AD1284" s="5">
        <f>IF(D1284="","",AA1284-Z1284)</f>
        <v/>
      </c>
      <c r="AG1284">
        <f>IF(D1284="","",N(AG1283)+IF(MATCH(D1284,$D$2:$D$3001,0)=ROW()-1,1,0))</f>
        <v/>
      </c>
    </row>
    <row r="1285">
      <c r="Y1285" s="5">
        <f>IF(D1285="","",X1285*IF(AND(ISNUMBER(AC1285),AC1285&gt;0,AC1285&lt;1),AC1285*100,AC1285)/100)</f>
        <v/>
      </c>
      <c r="Z1285" s="5">
        <f>IF(D1285="","",AB1285*AA1285/100)</f>
        <v/>
      </c>
      <c r="AA1285" s="5">
        <f>IF(D1285="","",X1285-Y1285)</f>
        <v/>
      </c>
      <c r="AD1285" s="5">
        <f>IF(D1285="","",AA1285-Z1285)</f>
        <v/>
      </c>
      <c r="AG1285">
        <f>IF(D1285="","",N(AG1284)+IF(MATCH(D1285,$D$2:$D$3001,0)=ROW()-1,1,0))</f>
        <v/>
      </c>
    </row>
    <row r="1286">
      <c r="Y1286" s="5">
        <f>IF(D1286="","",X1286*IF(AND(ISNUMBER(AC1286),AC1286&gt;0,AC1286&lt;1),AC1286*100,AC1286)/100)</f>
        <v/>
      </c>
      <c r="Z1286" s="5">
        <f>IF(D1286="","",AB1286*AA1286/100)</f>
        <v/>
      </c>
      <c r="AA1286" s="5">
        <f>IF(D1286="","",X1286-Y1286)</f>
        <v/>
      </c>
      <c r="AD1286" s="5">
        <f>IF(D1286="","",AA1286-Z1286)</f>
        <v/>
      </c>
      <c r="AG1286">
        <f>IF(D1286="","",N(AG1285)+IF(MATCH(D1286,$D$2:$D$3001,0)=ROW()-1,1,0))</f>
        <v/>
      </c>
    </row>
    <row r="1287">
      <c r="Y1287" s="5">
        <f>IF(D1287="","",X1287*IF(AND(ISNUMBER(AC1287),AC1287&gt;0,AC1287&lt;1),AC1287*100,AC1287)/100)</f>
        <v/>
      </c>
      <c r="Z1287" s="5">
        <f>IF(D1287="","",AB1287*AA1287/100)</f>
        <v/>
      </c>
      <c r="AA1287" s="5">
        <f>IF(D1287="","",X1287-Y1287)</f>
        <v/>
      </c>
      <c r="AD1287" s="5">
        <f>IF(D1287="","",AA1287-Z1287)</f>
        <v/>
      </c>
      <c r="AG1287">
        <f>IF(D1287="","",N(AG1286)+IF(MATCH(D1287,$D$2:$D$3001,0)=ROW()-1,1,0))</f>
        <v/>
      </c>
    </row>
    <row r="1288">
      <c r="Y1288" s="5">
        <f>IF(D1288="","",X1288*IF(AND(ISNUMBER(AC1288),AC1288&gt;0,AC1288&lt;1),AC1288*100,AC1288)/100)</f>
        <v/>
      </c>
      <c r="Z1288" s="5">
        <f>IF(D1288="","",AB1288*AA1288/100)</f>
        <v/>
      </c>
      <c r="AA1288" s="5">
        <f>IF(D1288="","",X1288-Y1288)</f>
        <v/>
      </c>
      <c r="AD1288" s="5">
        <f>IF(D1288="","",AA1288-Z1288)</f>
        <v/>
      </c>
      <c r="AG1288">
        <f>IF(D1288="","",N(AG1287)+IF(MATCH(D1288,$D$2:$D$3001,0)=ROW()-1,1,0))</f>
        <v/>
      </c>
    </row>
    <row r="1289">
      <c r="Y1289" s="5">
        <f>IF(D1289="","",X1289*IF(AND(ISNUMBER(AC1289),AC1289&gt;0,AC1289&lt;1),AC1289*100,AC1289)/100)</f>
        <v/>
      </c>
      <c r="Z1289" s="5">
        <f>IF(D1289="","",AB1289*AA1289/100)</f>
        <v/>
      </c>
      <c r="AA1289" s="5">
        <f>IF(D1289="","",X1289-Y1289)</f>
        <v/>
      </c>
      <c r="AD1289" s="5">
        <f>IF(D1289="","",AA1289-Z1289)</f>
        <v/>
      </c>
      <c r="AG1289">
        <f>IF(D1289="","",N(AG1288)+IF(MATCH(D1289,$D$2:$D$3001,0)=ROW()-1,1,0))</f>
        <v/>
      </c>
    </row>
    <row r="1290">
      <c r="Y1290" s="5">
        <f>IF(D1290="","",X1290*IF(AND(ISNUMBER(AC1290),AC1290&gt;0,AC1290&lt;1),AC1290*100,AC1290)/100)</f>
        <v/>
      </c>
      <c r="Z1290" s="5">
        <f>IF(D1290="","",AB1290*AA1290/100)</f>
        <v/>
      </c>
      <c r="AA1290" s="5">
        <f>IF(D1290="","",X1290-Y1290)</f>
        <v/>
      </c>
      <c r="AD1290" s="5">
        <f>IF(D1290="","",AA1290-Z1290)</f>
        <v/>
      </c>
      <c r="AG1290">
        <f>IF(D1290="","",N(AG1289)+IF(MATCH(D1290,$D$2:$D$3001,0)=ROW()-1,1,0))</f>
        <v/>
      </c>
    </row>
    <row r="1291">
      <c r="Y1291" s="5">
        <f>IF(D1291="","",X1291*IF(AND(ISNUMBER(AC1291),AC1291&gt;0,AC1291&lt;1),AC1291*100,AC1291)/100)</f>
        <v/>
      </c>
      <c r="Z1291" s="5">
        <f>IF(D1291="","",AB1291*AA1291/100)</f>
        <v/>
      </c>
      <c r="AA1291" s="5">
        <f>IF(D1291="","",X1291-Y1291)</f>
        <v/>
      </c>
      <c r="AD1291" s="5">
        <f>IF(D1291="","",AA1291-Z1291)</f>
        <v/>
      </c>
      <c r="AG1291">
        <f>IF(D1291="","",N(AG1290)+IF(MATCH(D1291,$D$2:$D$3001,0)=ROW()-1,1,0))</f>
        <v/>
      </c>
    </row>
    <row r="1292">
      <c r="Y1292" s="5">
        <f>IF(D1292="","",X1292*IF(AND(ISNUMBER(AC1292),AC1292&gt;0,AC1292&lt;1),AC1292*100,AC1292)/100)</f>
        <v/>
      </c>
      <c r="Z1292" s="5">
        <f>IF(D1292="","",AB1292*AA1292/100)</f>
        <v/>
      </c>
      <c r="AA1292" s="5">
        <f>IF(D1292="","",X1292-Y1292)</f>
        <v/>
      </c>
      <c r="AD1292" s="5">
        <f>IF(D1292="","",AA1292-Z1292)</f>
        <v/>
      </c>
      <c r="AG1292">
        <f>IF(D1292="","",N(AG1291)+IF(MATCH(D1292,$D$2:$D$3001,0)=ROW()-1,1,0))</f>
        <v/>
      </c>
    </row>
    <row r="1293">
      <c r="Y1293" s="5">
        <f>IF(D1293="","",X1293*IF(AND(ISNUMBER(AC1293),AC1293&gt;0,AC1293&lt;1),AC1293*100,AC1293)/100)</f>
        <v/>
      </c>
      <c r="Z1293" s="5">
        <f>IF(D1293="","",AB1293*AA1293/100)</f>
        <v/>
      </c>
      <c r="AA1293" s="5">
        <f>IF(D1293="","",X1293-Y1293)</f>
        <v/>
      </c>
      <c r="AD1293" s="5">
        <f>IF(D1293="","",AA1293-Z1293)</f>
        <v/>
      </c>
      <c r="AG1293">
        <f>IF(D1293="","",N(AG1292)+IF(MATCH(D1293,$D$2:$D$3001,0)=ROW()-1,1,0))</f>
        <v/>
      </c>
    </row>
    <row r="1294">
      <c r="Y1294" s="5">
        <f>IF(D1294="","",X1294*IF(AND(ISNUMBER(AC1294),AC1294&gt;0,AC1294&lt;1),AC1294*100,AC1294)/100)</f>
        <v/>
      </c>
      <c r="Z1294" s="5">
        <f>IF(D1294="","",AB1294*AA1294/100)</f>
        <v/>
      </c>
      <c r="AA1294" s="5">
        <f>IF(D1294="","",X1294-Y1294)</f>
        <v/>
      </c>
      <c r="AD1294" s="5">
        <f>IF(D1294="","",AA1294-Z1294)</f>
        <v/>
      </c>
      <c r="AG1294">
        <f>IF(D1294="","",N(AG1293)+IF(MATCH(D1294,$D$2:$D$3001,0)=ROW()-1,1,0))</f>
        <v/>
      </c>
    </row>
    <row r="1295">
      <c r="Y1295" s="5">
        <f>IF(D1295="","",X1295*IF(AND(ISNUMBER(AC1295),AC1295&gt;0,AC1295&lt;1),AC1295*100,AC1295)/100)</f>
        <v/>
      </c>
      <c r="Z1295" s="5">
        <f>IF(D1295="","",AB1295*AA1295/100)</f>
        <v/>
      </c>
      <c r="AA1295" s="5">
        <f>IF(D1295="","",X1295-Y1295)</f>
        <v/>
      </c>
      <c r="AD1295" s="5">
        <f>IF(D1295="","",AA1295-Z1295)</f>
        <v/>
      </c>
      <c r="AG1295">
        <f>IF(D1295="","",N(AG1294)+IF(MATCH(D1295,$D$2:$D$3001,0)=ROW()-1,1,0))</f>
        <v/>
      </c>
    </row>
    <row r="1296">
      <c r="Y1296" s="5">
        <f>IF(D1296="","",X1296*IF(AND(ISNUMBER(AC1296),AC1296&gt;0,AC1296&lt;1),AC1296*100,AC1296)/100)</f>
        <v/>
      </c>
      <c r="Z1296" s="5">
        <f>IF(D1296="","",AB1296*AA1296/100)</f>
        <v/>
      </c>
      <c r="AA1296" s="5">
        <f>IF(D1296="","",X1296-Y1296)</f>
        <v/>
      </c>
      <c r="AD1296" s="5">
        <f>IF(D1296="","",AA1296-Z1296)</f>
        <v/>
      </c>
      <c r="AG1296">
        <f>IF(D1296="","",N(AG1295)+IF(MATCH(D1296,$D$2:$D$3001,0)=ROW()-1,1,0))</f>
        <v/>
      </c>
    </row>
    <row r="1297">
      <c r="Y1297" s="5">
        <f>IF(D1297="","",X1297*IF(AND(ISNUMBER(AC1297),AC1297&gt;0,AC1297&lt;1),AC1297*100,AC1297)/100)</f>
        <v/>
      </c>
      <c r="Z1297" s="5">
        <f>IF(D1297="","",AB1297*AA1297/100)</f>
        <v/>
      </c>
      <c r="AA1297" s="5">
        <f>IF(D1297="","",X1297-Y1297)</f>
        <v/>
      </c>
      <c r="AD1297" s="5">
        <f>IF(D1297="","",AA1297-Z1297)</f>
        <v/>
      </c>
      <c r="AG1297">
        <f>IF(D1297="","",N(AG1296)+IF(MATCH(D1297,$D$2:$D$3001,0)=ROW()-1,1,0))</f>
        <v/>
      </c>
    </row>
    <row r="1298">
      <c r="Y1298" s="5">
        <f>IF(D1298="","",X1298*IF(AND(ISNUMBER(AC1298),AC1298&gt;0,AC1298&lt;1),AC1298*100,AC1298)/100)</f>
        <v/>
      </c>
      <c r="Z1298" s="5">
        <f>IF(D1298="","",AB1298*AA1298/100)</f>
        <v/>
      </c>
      <c r="AA1298" s="5">
        <f>IF(D1298="","",X1298-Y1298)</f>
        <v/>
      </c>
      <c r="AD1298" s="5">
        <f>IF(D1298="","",AA1298-Z1298)</f>
        <v/>
      </c>
      <c r="AG1298">
        <f>IF(D1298="","",N(AG1297)+IF(MATCH(D1298,$D$2:$D$3001,0)=ROW()-1,1,0))</f>
        <v/>
      </c>
    </row>
    <row r="1299">
      <c r="Y1299" s="5">
        <f>IF(D1299="","",X1299*IF(AND(ISNUMBER(AC1299),AC1299&gt;0,AC1299&lt;1),AC1299*100,AC1299)/100)</f>
        <v/>
      </c>
      <c r="Z1299" s="5">
        <f>IF(D1299="","",AB1299*AA1299/100)</f>
        <v/>
      </c>
      <c r="AA1299" s="5">
        <f>IF(D1299="","",X1299-Y1299)</f>
        <v/>
      </c>
      <c r="AD1299" s="5">
        <f>IF(D1299="","",AA1299-Z1299)</f>
        <v/>
      </c>
      <c r="AG1299">
        <f>IF(D1299="","",N(AG1298)+IF(MATCH(D1299,$D$2:$D$3001,0)=ROW()-1,1,0))</f>
        <v/>
      </c>
    </row>
    <row r="1300">
      <c r="Y1300" s="5">
        <f>IF(D1300="","",X1300*IF(AND(ISNUMBER(AC1300),AC1300&gt;0,AC1300&lt;1),AC1300*100,AC1300)/100)</f>
        <v/>
      </c>
      <c r="Z1300" s="5">
        <f>IF(D1300="","",AB1300*AA1300/100)</f>
        <v/>
      </c>
      <c r="AA1300" s="5">
        <f>IF(D1300="","",X1300-Y1300)</f>
        <v/>
      </c>
      <c r="AD1300" s="5">
        <f>IF(D1300="","",AA1300-Z1300)</f>
        <v/>
      </c>
      <c r="AG1300">
        <f>IF(D1300="","",N(AG1299)+IF(MATCH(D1300,$D$2:$D$3001,0)=ROW()-1,1,0))</f>
        <v/>
      </c>
    </row>
    <row r="1301">
      <c r="Y1301" s="5">
        <f>IF(D1301="","",X1301*IF(AND(ISNUMBER(AC1301),AC1301&gt;0,AC1301&lt;1),AC1301*100,AC1301)/100)</f>
        <v/>
      </c>
      <c r="Z1301" s="5">
        <f>IF(D1301="","",AB1301*AA1301/100)</f>
        <v/>
      </c>
      <c r="AA1301" s="5">
        <f>IF(D1301="","",X1301-Y1301)</f>
        <v/>
      </c>
      <c r="AD1301" s="5">
        <f>IF(D1301="","",AA1301-Z1301)</f>
        <v/>
      </c>
      <c r="AG1301">
        <f>IF(D1301="","",N(AG1300)+IF(MATCH(D1301,$D$2:$D$3001,0)=ROW()-1,1,0))</f>
        <v/>
      </c>
    </row>
    <row r="1302">
      <c r="Y1302" s="5">
        <f>IF(D1302="","",X1302*IF(AND(ISNUMBER(AC1302),AC1302&gt;0,AC1302&lt;1),AC1302*100,AC1302)/100)</f>
        <v/>
      </c>
      <c r="Z1302" s="5">
        <f>IF(D1302="","",AB1302*AA1302/100)</f>
        <v/>
      </c>
      <c r="AA1302" s="5">
        <f>IF(D1302="","",X1302-Y1302)</f>
        <v/>
      </c>
      <c r="AD1302" s="5">
        <f>IF(D1302="","",AA1302-Z1302)</f>
        <v/>
      </c>
      <c r="AG1302">
        <f>IF(D1302="","",N(AG1301)+IF(MATCH(D1302,$D$2:$D$3001,0)=ROW()-1,1,0))</f>
        <v/>
      </c>
    </row>
    <row r="1303">
      <c r="Y1303" s="5">
        <f>IF(D1303="","",X1303*IF(AND(ISNUMBER(AC1303),AC1303&gt;0,AC1303&lt;1),AC1303*100,AC1303)/100)</f>
        <v/>
      </c>
      <c r="Z1303" s="5">
        <f>IF(D1303="","",AB1303*AA1303/100)</f>
        <v/>
      </c>
      <c r="AA1303" s="5">
        <f>IF(D1303="","",X1303-Y1303)</f>
        <v/>
      </c>
      <c r="AD1303" s="5">
        <f>IF(D1303="","",AA1303-Z1303)</f>
        <v/>
      </c>
      <c r="AG1303">
        <f>IF(D1303="","",N(AG1302)+IF(MATCH(D1303,$D$2:$D$3001,0)=ROW()-1,1,0))</f>
        <v/>
      </c>
    </row>
    <row r="1304">
      <c r="Y1304" s="5">
        <f>IF(D1304="","",X1304*IF(AND(ISNUMBER(AC1304),AC1304&gt;0,AC1304&lt;1),AC1304*100,AC1304)/100)</f>
        <v/>
      </c>
      <c r="Z1304" s="5">
        <f>IF(D1304="","",AB1304*AA1304/100)</f>
        <v/>
      </c>
      <c r="AA1304" s="5">
        <f>IF(D1304="","",X1304-Y1304)</f>
        <v/>
      </c>
      <c r="AD1304" s="5">
        <f>IF(D1304="","",AA1304-Z1304)</f>
        <v/>
      </c>
      <c r="AG1304">
        <f>IF(D1304="","",N(AG1303)+IF(MATCH(D1304,$D$2:$D$3001,0)=ROW()-1,1,0))</f>
        <v/>
      </c>
    </row>
    <row r="1305">
      <c r="Y1305" s="5">
        <f>IF(D1305="","",X1305*IF(AND(ISNUMBER(AC1305),AC1305&gt;0,AC1305&lt;1),AC1305*100,AC1305)/100)</f>
        <v/>
      </c>
      <c r="Z1305" s="5">
        <f>IF(D1305="","",AB1305*AA1305/100)</f>
        <v/>
      </c>
      <c r="AA1305" s="5">
        <f>IF(D1305="","",X1305-Y1305)</f>
        <v/>
      </c>
      <c r="AD1305" s="5">
        <f>IF(D1305="","",AA1305-Z1305)</f>
        <v/>
      </c>
      <c r="AG1305">
        <f>IF(D1305="","",N(AG1304)+IF(MATCH(D1305,$D$2:$D$3001,0)=ROW()-1,1,0))</f>
        <v/>
      </c>
    </row>
    <row r="1306">
      <c r="Y1306" s="5">
        <f>IF(D1306="","",X1306*IF(AND(ISNUMBER(AC1306),AC1306&gt;0,AC1306&lt;1),AC1306*100,AC1306)/100)</f>
        <v/>
      </c>
      <c r="Z1306" s="5">
        <f>IF(D1306="","",AB1306*AA1306/100)</f>
        <v/>
      </c>
      <c r="AA1306" s="5">
        <f>IF(D1306="","",X1306-Y1306)</f>
        <v/>
      </c>
      <c r="AD1306" s="5">
        <f>IF(D1306="","",AA1306-Z1306)</f>
        <v/>
      </c>
      <c r="AG1306">
        <f>IF(D1306="","",N(AG1305)+IF(MATCH(D1306,$D$2:$D$3001,0)=ROW()-1,1,0))</f>
        <v/>
      </c>
    </row>
    <row r="1307">
      <c r="Y1307" s="5">
        <f>IF(D1307="","",X1307*IF(AND(ISNUMBER(AC1307),AC1307&gt;0,AC1307&lt;1),AC1307*100,AC1307)/100)</f>
        <v/>
      </c>
      <c r="Z1307" s="5">
        <f>IF(D1307="","",AB1307*AA1307/100)</f>
        <v/>
      </c>
      <c r="AA1307" s="5">
        <f>IF(D1307="","",X1307-Y1307)</f>
        <v/>
      </c>
      <c r="AD1307" s="5">
        <f>IF(D1307="","",AA1307-Z1307)</f>
        <v/>
      </c>
      <c r="AG1307">
        <f>IF(D1307="","",N(AG1306)+IF(MATCH(D1307,$D$2:$D$3001,0)=ROW()-1,1,0))</f>
        <v/>
      </c>
    </row>
    <row r="1308">
      <c r="Y1308" s="5">
        <f>IF(D1308="","",X1308*IF(AND(ISNUMBER(AC1308),AC1308&gt;0,AC1308&lt;1),AC1308*100,AC1308)/100)</f>
        <v/>
      </c>
      <c r="Z1308" s="5">
        <f>IF(D1308="","",AB1308*AA1308/100)</f>
        <v/>
      </c>
      <c r="AA1308" s="5">
        <f>IF(D1308="","",X1308-Y1308)</f>
        <v/>
      </c>
      <c r="AD1308" s="5">
        <f>IF(D1308="","",AA1308-Z1308)</f>
        <v/>
      </c>
      <c r="AG1308">
        <f>IF(D1308="","",N(AG1307)+IF(MATCH(D1308,$D$2:$D$3001,0)=ROW()-1,1,0))</f>
        <v/>
      </c>
    </row>
    <row r="1309">
      <c r="Y1309" s="5">
        <f>IF(D1309="","",X1309*IF(AND(ISNUMBER(AC1309),AC1309&gt;0,AC1309&lt;1),AC1309*100,AC1309)/100)</f>
        <v/>
      </c>
      <c r="Z1309" s="5">
        <f>IF(D1309="","",AB1309*AA1309/100)</f>
        <v/>
      </c>
      <c r="AA1309" s="5">
        <f>IF(D1309="","",X1309-Y1309)</f>
        <v/>
      </c>
      <c r="AD1309" s="5">
        <f>IF(D1309="","",AA1309-Z1309)</f>
        <v/>
      </c>
      <c r="AG1309">
        <f>IF(D1309="","",N(AG1308)+IF(MATCH(D1309,$D$2:$D$3001,0)=ROW()-1,1,0))</f>
        <v/>
      </c>
    </row>
    <row r="1310">
      <c r="Y1310" s="5">
        <f>IF(D1310="","",X1310*IF(AND(ISNUMBER(AC1310),AC1310&gt;0,AC1310&lt;1),AC1310*100,AC1310)/100)</f>
        <v/>
      </c>
      <c r="Z1310" s="5">
        <f>IF(D1310="","",AB1310*AA1310/100)</f>
        <v/>
      </c>
      <c r="AA1310" s="5">
        <f>IF(D1310="","",X1310-Y1310)</f>
        <v/>
      </c>
      <c r="AD1310" s="5">
        <f>IF(D1310="","",AA1310-Z1310)</f>
        <v/>
      </c>
      <c r="AG1310">
        <f>IF(D1310="","",N(AG1309)+IF(MATCH(D1310,$D$2:$D$3001,0)=ROW()-1,1,0))</f>
        <v/>
      </c>
    </row>
    <row r="1311">
      <c r="Y1311" s="5">
        <f>IF(D1311="","",X1311*IF(AND(ISNUMBER(AC1311),AC1311&gt;0,AC1311&lt;1),AC1311*100,AC1311)/100)</f>
        <v/>
      </c>
      <c r="Z1311" s="5">
        <f>IF(D1311="","",AB1311*AA1311/100)</f>
        <v/>
      </c>
      <c r="AA1311" s="5">
        <f>IF(D1311="","",X1311-Y1311)</f>
        <v/>
      </c>
      <c r="AD1311" s="5">
        <f>IF(D1311="","",AA1311-Z1311)</f>
        <v/>
      </c>
      <c r="AG1311">
        <f>IF(D1311="","",N(AG1310)+IF(MATCH(D1311,$D$2:$D$3001,0)=ROW()-1,1,0))</f>
        <v/>
      </c>
    </row>
    <row r="1312">
      <c r="Y1312" s="5">
        <f>IF(D1312="","",X1312*IF(AND(ISNUMBER(AC1312),AC1312&gt;0,AC1312&lt;1),AC1312*100,AC1312)/100)</f>
        <v/>
      </c>
      <c r="Z1312" s="5">
        <f>IF(D1312="","",AB1312*AA1312/100)</f>
        <v/>
      </c>
      <c r="AA1312" s="5">
        <f>IF(D1312="","",X1312-Y1312)</f>
        <v/>
      </c>
      <c r="AD1312" s="5">
        <f>IF(D1312="","",AA1312-Z1312)</f>
        <v/>
      </c>
      <c r="AG1312">
        <f>IF(D1312="","",N(AG1311)+IF(MATCH(D1312,$D$2:$D$3001,0)=ROW()-1,1,0))</f>
        <v/>
      </c>
    </row>
    <row r="1313">
      <c r="Y1313" s="5">
        <f>IF(D1313="","",X1313*IF(AND(ISNUMBER(AC1313),AC1313&gt;0,AC1313&lt;1),AC1313*100,AC1313)/100)</f>
        <v/>
      </c>
      <c r="Z1313" s="5">
        <f>IF(D1313="","",AB1313*AA1313/100)</f>
        <v/>
      </c>
      <c r="AA1313" s="5">
        <f>IF(D1313="","",X1313-Y1313)</f>
        <v/>
      </c>
      <c r="AD1313" s="5">
        <f>IF(D1313="","",AA1313-Z1313)</f>
        <v/>
      </c>
      <c r="AG1313">
        <f>IF(D1313="","",N(AG1312)+IF(MATCH(D1313,$D$2:$D$3001,0)=ROW()-1,1,0))</f>
        <v/>
      </c>
    </row>
    <row r="1314">
      <c r="Y1314" s="5">
        <f>IF(D1314="","",X1314*IF(AND(ISNUMBER(AC1314),AC1314&gt;0,AC1314&lt;1),AC1314*100,AC1314)/100)</f>
        <v/>
      </c>
      <c r="Z1314" s="5">
        <f>IF(D1314="","",AB1314*AA1314/100)</f>
        <v/>
      </c>
      <c r="AA1314" s="5">
        <f>IF(D1314="","",X1314-Y1314)</f>
        <v/>
      </c>
      <c r="AD1314" s="5">
        <f>IF(D1314="","",AA1314-Z1314)</f>
        <v/>
      </c>
      <c r="AG1314">
        <f>IF(D1314="","",N(AG1313)+IF(MATCH(D1314,$D$2:$D$3001,0)=ROW()-1,1,0))</f>
        <v/>
      </c>
    </row>
    <row r="1315">
      <c r="Y1315" s="5">
        <f>IF(D1315="","",X1315*IF(AND(ISNUMBER(AC1315),AC1315&gt;0,AC1315&lt;1),AC1315*100,AC1315)/100)</f>
        <v/>
      </c>
      <c r="Z1315" s="5">
        <f>IF(D1315="","",AB1315*AA1315/100)</f>
        <v/>
      </c>
      <c r="AA1315" s="5">
        <f>IF(D1315="","",X1315-Y1315)</f>
        <v/>
      </c>
      <c r="AD1315" s="5">
        <f>IF(D1315="","",AA1315-Z1315)</f>
        <v/>
      </c>
      <c r="AG1315">
        <f>IF(D1315="","",N(AG1314)+IF(MATCH(D1315,$D$2:$D$3001,0)=ROW()-1,1,0))</f>
        <v/>
      </c>
    </row>
    <row r="1316">
      <c r="Y1316" s="5">
        <f>IF(D1316="","",X1316*IF(AND(ISNUMBER(AC1316),AC1316&gt;0,AC1316&lt;1),AC1316*100,AC1316)/100)</f>
        <v/>
      </c>
      <c r="Z1316" s="5">
        <f>IF(D1316="","",AB1316*AA1316/100)</f>
        <v/>
      </c>
      <c r="AA1316" s="5">
        <f>IF(D1316="","",X1316-Y1316)</f>
        <v/>
      </c>
      <c r="AD1316" s="5">
        <f>IF(D1316="","",AA1316-Z1316)</f>
        <v/>
      </c>
      <c r="AG1316">
        <f>IF(D1316="","",N(AG1315)+IF(MATCH(D1316,$D$2:$D$3001,0)=ROW()-1,1,0))</f>
        <v/>
      </c>
    </row>
    <row r="1317">
      <c r="Y1317" s="5">
        <f>IF(D1317="","",X1317*IF(AND(ISNUMBER(AC1317),AC1317&gt;0,AC1317&lt;1),AC1317*100,AC1317)/100)</f>
        <v/>
      </c>
      <c r="Z1317" s="5">
        <f>IF(D1317="","",AB1317*AA1317/100)</f>
        <v/>
      </c>
      <c r="AA1317" s="5">
        <f>IF(D1317="","",X1317-Y1317)</f>
        <v/>
      </c>
      <c r="AD1317" s="5">
        <f>IF(D1317="","",AA1317-Z1317)</f>
        <v/>
      </c>
      <c r="AG1317">
        <f>IF(D1317="","",N(AG1316)+IF(MATCH(D1317,$D$2:$D$3001,0)=ROW()-1,1,0))</f>
        <v/>
      </c>
    </row>
    <row r="1318">
      <c r="Y1318" s="5">
        <f>IF(D1318="","",X1318*IF(AND(ISNUMBER(AC1318),AC1318&gt;0,AC1318&lt;1),AC1318*100,AC1318)/100)</f>
        <v/>
      </c>
      <c r="Z1318" s="5">
        <f>IF(D1318="","",AB1318*AA1318/100)</f>
        <v/>
      </c>
      <c r="AA1318" s="5">
        <f>IF(D1318="","",X1318-Y1318)</f>
        <v/>
      </c>
      <c r="AD1318" s="5">
        <f>IF(D1318="","",AA1318-Z1318)</f>
        <v/>
      </c>
      <c r="AG1318">
        <f>IF(D1318="","",N(AG1317)+IF(MATCH(D1318,$D$2:$D$3001,0)=ROW()-1,1,0))</f>
        <v/>
      </c>
    </row>
    <row r="1319">
      <c r="Y1319" s="5">
        <f>IF(D1319="","",X1319*IF(AND(ISNUMBER(AC1319),AC1319&gt;0,AC1319&lt;1),AC1319*100,AC1319)/100)</f>
        <v/>
      </c>
      <c r="Z1319" s="5">
        <f>IF(D1319="","",AB1319*AA1319/100)</f>
        <v/>
      </c>
      <c r="AA1319" s="5">
        <f>IF(D1319="","",X1319-Y1319)</f>
        <v/>
      </c>
      <c r="AD1319" s="5">
        <f>IF(D1319="","",AA1319-Z1319)</f>
        <v/>
      </c>
      <c r="AG1319">
        <f>IF(D1319="","",N(AG1318)+IF(MATCH(D1319,$D$2:$D$3001,0)=ROW()-1,1,0))</f>
        <v/>
      </c>
    </row>
    <row r="1320">
      <c r="Y1320" s="5">
        <f>IF(D1320="","",X1320*IF(AND(ISNUMBER(AC1320),AC1320&gt;0,AC1320&lt;1),AC1320*100,AC1320)/100)</f>
        <v/>
      </c>
      <c r="Z1320" s="5">
        <f>IF(D1320="","",AB1320*AA1320/100)</f>
        <v/>
      </c>
      <c r="AA1320" s="5">
        <f>IF(D1320="","",X1320-Y1320)</f>
        <v/>
      </c>
      <c r="AD1320" s="5">
        <f>IF(D1320="","",AA1320-Z1320)</f>
        <v/>
      </c>
      <c r="AG1320">
        <f>IF(D1320="","",N(AG1319)+IF(MATCH(D1320,$D$2:$D$3001,0)=ROW()-1,1,0))</f>
        <v/>
      </c>
    </row>
    <row r="1321">
      <c r="Y1321" s="5">
        <f>IF(D1321="","",X1321*IF(AND(ISNUMBER(AC1321),AC1321&gt;0,AC1321&lt;1),AC1321*100,AC1321)/100)</f>
        <v/>
      </c>
      <c r="Z1321" s="5">
        <f>IF(D1321="","",AB1321*AA1321/100)</f>
        <v/>
      </c>
      <c r="AA1321" s="5">
        <f>IF(D1321="","",X1321-Y1321)</f>
        <v/>
      </c>
      <c r="AD1321" s="5">
        <f>IF(D1321="","",AA1321-Z1321)</f>
        <v/>
      </c>
      <c r="AG1321">
        <f>IF(D1321="","",N(AG1320)+IF(MATCH(D1321,$D$2:$D$3001,0)=ROW()-1,1,0))</f>
        <v/>
      </c>
    </row>
    <row r="1322">
      <c r="Y1322" s="5">
        <f>IF(D1322="","",X1322*IF(AND(ISNUMBER(AC1322),AC1322&gt;0,AC1322&lt;1),AC1322*100,AC1322)/100)</f>
        <v/>
      </c>
      <c r="Z1322" s="5">
        <f>IF(D1322="","",AB1322*AA1322/100)</f>
        <v/>
      </c>
      <c r="AA1322" s="5">
        <f>IF(D1322="","",X1322-Y1322)</f>
        <v/>
      </c>
      <c r="AD1322" s="5">
        <f>IF(D1322="","",AA1322-Z1322)</f>
        <v/>
      </c>
      <c r="AG1322">
        <f>IF(D1322="","",N(AG1321)+IF(MATCH(D1322,$D$2:$D$3001,0)=ROW()-1,1,0))</f>
        <v/>
      </c>
    </row>
    <row r="1323">
      <c r="Y1323" s="5">
        <f>IF(D1323="","",X1323*IF(AND(ISNUMBER(AC1323),AC1323&gt;0,AC1323&lt;1),AC1323*100,AC1323)/100)</f>
        <v/>
      </c>
      <c r="Z1323" s="5">
        <f>IF(D1323="","",AB1323*AA1323/100)</f>
        <v/>
      </c>
      <c r="AA1323" s="5">
        <f>IF(D1323="","",X1323-Y1323)</f>
        <v/>
      </c>
      <c r="AD1323" s="5">
        <f>IF(D1323="","",AA1323-Z1323)</f>
        <v/>
      </c>
      <c r="AG1323">
        <f>IF(D1323="","",N(AG1322)+IF(MATCH(D1323,$D$2:$D$3001,0)=ROW()-1,1,0))</f>
        <v/>
      </c>
    </row>
    <row r="1324">
      <c r="Y1324" s="5">
        <f>IF(D1324="","",X1324*IF(AND(ISNUMBER(AC1324),AC1324&gt;0,AC1324&lt;1),AC1324*100,AC1324)/100)</f>
        <v/>
      </c>
      <c r="Z1324" s="5">
        <f>IF(D1324="","",AB1324*AA1324/100)</f>
        <v/>
      </c>
      <c r="AA1324" s="5">
        <f>IF(D1324="","",X1324-Y1324)</f>
        <v/>
      </c>
      <c r="AD1324" s="5">
        <f>IF(D1324="","",AA1324-Z1324)</f>
        <v/>
      </c>
      <c r="AG1324">
        <f>IF(D1324="","",N(AG1323)+IF(MATCH(D1324,$D$2:$D$3001,0)=ROW()-1,1,0))</f>
        <v/>
      </c>
    </row>
    <row r="1325">
      <c r="Y1325" s="5">
        <f>IF(D1325="","",X1325*IF(AND(ISNUMBER(AC1325),AC1325&gt;0,AC1325&lt;1),AC1325*100,AC1325)/100)</f>
        <v/>
      </c>
      <c r="Z1325" s="5">
        <f>IF(D1325="","",AB1325*AA1325/100)</f>
        <v/>
      </c>
      <c r="AA1325" s="5">
        <f>IF(D1325="","",X1325-Y1325)</f>
        <v/>
      </c>
      <c r="AD1325" s="5">
        <f>IF(D1325="","",AA1325-Z1325)</f>
        <v/>
      </c>
      <c r="AG1325">
        <f>IF(D1325="","",N(AG1324)+IF(MATCH(D1325,$D$2:$D$3001,0)=ROW()-1,1,0))</f>
        <v/>
      </c>
    </row>
    <row r="1326">
      <c r="Y1326" s="5">
        <f>IF(D1326="","",X1326*IF(AND(ISNUMBER(AC1326),AC1326&gt;0,AC1326&lt;1),AC1326*100,AC1326)/100)</f>
        <v/>
      </c>
      <c r="Z1326" s="5">
        <f>IF(D1326="","",AB1326*AA1326/100)</f>
        <v/>
      </c>
      <c r="AA1326" s="5">
        <f>IF(D1326="","",X1326-Y1326)</f>
        <v/>
      </c>
      <c r="AD1326" s="5">
        <f>IF(D1326="","",AA1326-Z1326)</f>
        <v/>
      </c>
      <c r="AG1326">
        <f>IF(D1326="","",N(AG1325)+IF(MATCH(D1326,$D$2:$D$3001,0)=ROW()-1,1,0))</f>
        <v/>
      </c>
    </row>
    <row r="1327">
      <c r="Y1327" s="5">
        <f>IF(D1327="","",X1327*IF(AND(ISNUMBER(AC1327),AC1327&gt;0,AC1327&lt;1),AC1327*100,AC1327)/100)</f>
        <v/>
      </c>
      <c r="Z1327" s="5">
        <f>IF(D1327="","",AB1327*AA1327/100)</f>
        <v/>
      </c>
      <c r="AA1327" s="5">
        <f>IF(D1327="","",X1327-Y1327)</f>
        <v/>
      </c>
      <c r="AD1327" s="5">
        <f>IF(D1327="","",AA1327-Z1327)</f>
        <v/>
      </c>
      <c r="AG1327">
        <f>IF(D1327="","",N(AG1326)+IF(MATCH(D1327,$D$2:$D$3001,0)=ROW()-1,1,0))</f>
        <v/>
      </c>
    </row>
    <row r="1328">
      <c r="Y1328" s="5">
        <f>IF(D1328="","",X1328*IF(AND(ISNUMBER(AC1328),AC1328&gt;0,AC1328&lt;1),AC1328*100,AC1328)/100)</f>
        <v/>
      </c>
      <c r="Z1328" s="5">
        <f>IF(D1328="","",AB1328*AA1328/100)</f>
        <v/>
      </c>
      <c r="AA1328" s="5">
        <f>IF(D1328="","",X1328-Y1328)</f>
        <v/>
      </c>
      <c r="AD1328" s="5">
        <f>IF(D1328="","",AA1328-Z1328)</f>
        <v/>
      </c>
      <c r="AG1328">
        <f>IF(D1328="","",N(AG1327)+IF(MATCH(D1328,$D$2:$D$3001,0)=ROW()-1,1,0))</f>
        <v/>
      </c>
    </row>
    <row r="1329">
      <c r="Y1329" s="5">
        <f>IF(D1329="","",X1329*IF(AND(ISNUMBER(AC1329),AC1329&gt;0,AC1329&lt;1),AC1329*100,AC1329)/100)</f>
        <v/>
      </c>
      <c r="Z1329" s="5">
        <f>IF(D1329="","",AB1329*AA1329/100)</f>
        <v/>
      </c>
      <c r="AA1329" s="5">
        <f>IF(D1329="","",X1329-Y1329)</f>
        <v/>
      </c>
      <c r="AD1329" s="5">
        <f>IF(D1329="","",AA1329-Z1329)</f>
        <v/>
      </c>
      <c r="AG1329">
        <f>IF(D1329="","",N(AG1328)+IF(MATCH(D1329,$D$2:$D$3001,0)=ROW()-1,1,0))</f>
        <v/>
      </c>
    </row>
    <row r="1330">
      <c r="Y1330" s="5">
        <f>IF(D1330="","",X1330*IF(AND(ISNUMBER(AC1330),AC1330&gt;0,AC1330&lt;1),AC1330*100,AC1330)/100)</f>
        <v/>
      </c>
      <c r="Z1330" s="5">
        <f>IF(D1330="","",AB1330*AA1330/100)</f>
        <v/>
      </c>
      <c r="AA1330" s="5">
        <f>IF(D1330="","",X1330-Y1330)</f>
        <v/>
      </c>
      <c r="AD1330" s="5">
        <f>IF(D1330="","",AA1330-Z1330)</f>
        <v/>
      </c>
      <c r="AG1330">
        <f>IF(D1330="","",N(AG1329)+IF(MATCH(D1330,$D$2:$D$3001,0)=ROW()-1,1,0))</f>
        <v/>
      </c>
    </row>
    <row r="1331">
      <c r="Y1331" s="5">
        <f>IF(D1331="","",X1331*IF(AND(ISNUMBER(AC1331),AC1331&gt;0,AC1331&lt;1),AC1331*100,AC1331)/100)</f>
        <v/>
      </c>
      <c r="Z1331" s="5">
        <f>IF(D1331="","",AB1331*AA1331/100)</f>
        <v/>
      </c>
      <c r="AA1331" s="5">
        <f>IF(D1331="","",X1331-Y1331)</f>
        <v/>
      </c>
      <c r="AD1331" s="5">
        <f>IF(D1331="","",AA1331-Z1331)</f>
        <v/>
      </c>
      <c r="AG1331">
        <f>IF(D1331="","",N(AG1330)+IF(MATCH(D1331,$D$2:$D$3001,0)=ROW()-1,1,0))</f>
        <v/>
      </c>
    </row>
    <row r="1332">
      <c r="Y1332" s="5">
        <f>IF(D1332="","",X1332*IF(AND(ISNUMBER(AC1332),AC1332&gt;0,AC1332&lt;1),AC1332*100,AC1332)/100)</f>
        <v/>
      </c>
      <c r="Z1332" s="5">
        <f>IF(D1332="","",AB1332*AA1332/100)</f>
        <v/>
      </c>
      <c r="AA1332" s="5">
        <f>IF(D1332="","",X1332-Y1332)</f>
        <v/>
      </c>
      <c r="AD1332" s="5">
        <f>IF(D1332="","",AA1332-Z1332)</f>
        <v/>
      </c>
      <c r="AG1332">
        <f>IF(D1332="","",N(AG1331)+IF(MATCH(D1332,$D$2:$D$3001,0)=ROW()-1,1,0))</f>
        <v/>
      </c>
    </row>
    <row r="1333">
      <c r="Y1333" s="5">
        <f>IF(D1333="","",X1333*IF(AND(ISNUMBER(AC1333),AC1333&gt;0,AC1333&lt;1),AC1333*100,AC1333)/100)</f>
        <v/>
      </c>
      <c r="Z1333" s="5">
        <f>IF(D1333="","",AB1333*AA1333/100)</f>
        <v/>
      </c>
      <c r="AA1333" s="5">
        <f>IF(D1333="","",X1333-Y1333)</f>
        <v/>
      </c>
      <c r="AD1333" s="5">
        <f>IF(D1333="","",AA1333-Z1333)</f>
        <v/>
      </c>
      <c r="AG1333">
        <f>IF(D1333="","",N(AG1332)+IF(MATCH(D1333,$D$2:$D$3001,0)=ROW()-1,1,0))</f>
        <v/>
      </c>
    </row>
    <row r="1334">
      <c r="Y1334" s="5">
        <f>IF(D1334="","",X1334*IF(AND(ISNUMBER(AC1334),AC1334&gt;0,AC1334&lt;1),AC1334*100,AC1334)/100)</f>
        <v/>
      </c>
      <c r="Z1334" s="5">
        <f>IF(D1334="","",AB1334*AA1334/100)</f>
        <v/>
      </c>
      <c r="AA1334" s="5">
        <f>IF(D1334="","",X1334-Y1334)</f>
        <v/>
      </c>
      <c r="AD1334" s="5">
        <f>IF(D1334="","",AA1334-Z1334)</f>
        <v/>
      </c>
      <c r="AG1334">
        <f>IF(D1334="","",N(AG1333)+IF(MATCH(D1334,$D$2:$D$3001,0)=ROW()-1,1,0))</f>
        <v/>
      </c>
    </row>
    <row r="1335">
      <c r="Y1335" s="5">
        <f>IF(D1335="","",X1335*IF(AND(ISNUMBER(AC1335),AC1335&gt;0,AC1335&lt;1),AC1335*100,AC1335)/100)</f>
        <v/>
      </c>
      <c r="Z1335" s="5">
        <f>IF(D1335="","",AB1335*AA1335/100)</f>
        <v/>
      </c>
      <c r="AA1335" s="5">
        <f>IF(D1335="","",X1335-Y1335)</f>
        <v/>
      </c>
      <c r="AD1335" s="5">
        <f>IF(D1335="","",AA1335-Z1335)</f>
        <v/>
      </c>
      <c r="AG1335">
        <f>IF(D1335="","",N(AG1334)+IF(MATCH(D1335,$D$2:$D$3001,0)=ROW()-1,1,0))</f>
        <v/>
      </c>
    </row>
    <row r="1336">
      <c r="Y1336" s="5">
        <f>IF(D1336="","",X1336*IF(AND(ISNUMBER(AC1336),AC1336&gt;0,AC1336&lt;1),AC1336*100,AC1336)/100)</f>
        <v/>
      </c>
      <c r="Z1336" s="5">
        <f>IF(D1336="","",AB1336*AA1336/100)</f>
        <v/>
      </c>
      <c r="AA1336" s="5">
        <f>IF(D1336="","",X1336-Y1336)</f>
        <v/>
      </c>
      <c r="AD1336" s="5">
        <f>IF(D1336="","",AA1336-Z1336)</f>
        <v/>
      </c>
      <c r="AG1336">
        <f>IF(D1336="","",N(AG1335)+IF(MATCH(D1336,$D$2:$D$3001,0)=ROW()-1,1,0))</f>
        <v/>
      </c>
    </row>
    <row r="1337">
      <c r="Y1337" s="5">
        <f>IF(D1337="","",X1337*IF(AND(ISNUMBER(AC1337),AC1337&gt;0,AC1337&lt;1),AC1337*100,AC1337)/100)</f>
        <v/>
      </c>
      <c r="Z1337" s="5">
        <f>IF(D1337="","",AB1337*AA1337/100)</f>
        <v/>
      </c>
      <c r="AA1337" s="5">
        <f>IF(D1337="","",X1337-Y1337)</f>
        <v/>
      </c>
      <c r="AD1337" s="5">
        <f>IF(D1337="","",AA1337-Z1337)</f>
        <v/>
      </c>
      <c r="AG1337">
        <f>IF(D1337="","",N(AG1336)+IF(MATCH(D1337,$D$2:$D$3001,0)=ROW()-1,1,0))</f>
        <v/>
      </c>
    </row>
    <row r="1338">
      <c r="Y1338" s="5">
        <f>IF(D1338="","",X1338*IF(AND(ISNUMBER(AC1338),AC1338&gt;0,AC1338&lt;1),AC1338*100,AC1338)/100)</f>
        <v/>
      </c>
      <c r="Z1338" s="5">
        <f>IF(D1338="","",AB1338*AA1338/100)</f>
        <v/>
      </c>
      <c r="AA1338" s="5">
        <f>IF(D1338="","",X1338-Y1338)</f>
        <v/>
      </c>
      <c r="AD1338" s="5">
        <f>IF(D1338="","",AA1338-Z1338)</f>
        <v/>
      </c>
      <c r="AG1338">
        <f>IF(D1338="","",N(AG1337)+IF(MATCH(D1338,$D$2:$D$3001,0)=ROW()-1,1,0))</f>
        <v/>
      </c>
    </row>
    <row r="1339">
      <c r="Y1339" s="5">
        <f>IF(D1339="","",X1339*IF(AND(ISNUMBER(AC1339),AC1339&gt;0,AC1339&lt;1),AC1339*100,AC1339)/100)</f>
        <v/>
      </c>
      <c r="Z1339" s="5">
        <f>IF(D1339="","",AB1339*AA1339/100)</f>
        <v/>
      </c>
      <c r="AA1339" s="5">
        <f>IF(D1339="","",X1339-Y1339)</f>
        <v/>
      </c>
      <c r="AD1339" s="5">
        <f>IF(D1339="","",AA1339-Z1339)</f>
        <v/>
      </c>
      <c r="AG1339">
        <f>IF(D1339="","",N(AG1338)+IF(MATCH(D1339,$D$2:$D$3001,0)=ROW()-1,1,0))</f>
        <v/>
      </c>
    </row>
    <row r="1340">
      <c r="Y1340" s="5">
        <f>IF(D1340="","",X1340*IF(AND(ISNUMBER(AC1340),AC1340&gt;0,AC1340&lt;1),AC1340*100,AC1340)/100)</f>
        <v/>
      </c>
      <c r="Z1340" s="5">
        <f>IF(D1340="","",AB1340*AA1340/100)</f>
        <v/>
      </c>
      <c r="AA1340" s="5">
        <f>IF(D1340="","",X1340-Y1340)</f>
        <v/>
      </c>
      <c r="AD1340" s="5">
        <f>IF(D1340="","",AA1340-Z1340)</f>
        <v/>
      </c>
      <c r="AG1340">
        <f>IF(D1340="","",N(AG1339)+IF(MATCH(D1340,$D$2:$D$3001,0)=ROW()-1,1,0))</f>
        <v/>
      </c>
    </row>
    <row r="1341">
      <c r="Y1341" s="5">
        <f>IF(D1341="","",X1341*IF(AND(ISNUMBER(AC1341),AC1341&gt;0,AC1341&lt;1),AC1341*100,AC1341)/100)</f>
        <v/>
      </c>
      <c r="Z1341" s="5">
        <f>IF(D1341="","",AB1341*AA1341/100)</f>
        <v/>
      </c>
      <c r="AA1341" s="5">
        <f>IF(D1341="","",X1341-Y1341)</f>
        <v/>
      </c>
      <c r="AD1341" s="5">
        <f>IF(D1341="","",AA1341-Z1341)</f>
        <v/>
      </c>
      <c r="AG1341">
        <f>IF(D1341="","",N(AG1340)+IF(MATCH(D1341,$D$2:$D$3001,0)=ROW()-1,1,0))</f>
        <v/>
      </c>
    </row>
    <row r="1342">
      <c r="Y1342" s="5">
        <f>IF(D1342="","",X1342*IF(AND(ISNUMBER(AC1342),AC1342&gt;0,AC1342&lt;1),AC1342*100,AC1342)/100)</f>
        <v/>
      </c>
      <c r="Z1342" s="5">
        <f>IF(D1342="","",AB1342*AA1342/100)</f>
        <v/>
      </c>
      <c r="AA1342" s="5">
        <f>IF(D1342="","",X1342-Y1342)</f>
        <v/>
      </c>
      <c r="AD1342" s="5">
        <f>IF(D1342="","",AA1342-Z1342)</f>
        <v/>
      </c>
      <c r="AG1342">
        <f>IF(D1342="","",N(AG1341)+IF(MATCH(D1342,$D$2:$D$3001,0)=ROW()-1,1,0))</f>
        <v/>
      </c>
    </row>
    <row r="1343">
      <c r="Y1343" s="5">
        <f>IF(D1343="","",X1343*IF(AND(ISNUMBER(AC1343),AC1343&gt;0,AC1343&lt;1),AC1343*100,AC1343)/100)</f>
        <v/>
      </c>
      <c r="Z1343" s="5">
        <f>IF(D1343="","",AB1343*AA1343/100)</f>
        <v/>
      </c>
      <c r="AA1343" s="5">
        <f>IF(D1343="","",X1343-Y1343)</f>
        <v/>
      </c>
      <c r="AD1343" s="5">
        <f>IF(D1343="","",AA1343-Z1343)</f>
        <v/>
      </c>
      <c r="AG1343">
        <f>IF(D1343="","",N(AG1342)+IF(MATCH(D1343,$D$2:$D$3001,0)=ROW()-1,1,0))</f>
        <v/>
      </c>
    </row>
    <row r="1344">
      <c r="Y1344" s="5">
        <f>IF(D1344="","",X1344*IF(AND(ISNUMBER(AC1344),AC1344&gt;0,AC1344&lt;1),AC1344*100,AC1344)/100)</f>
        <v/>
      </c>
      <c r="Z1344" s="5">
        <f>IF(D1344="","",AB1344*AA1344/100)</f>
        <v/>
      </c>
      <c r="AA1344" s="5">
        <f>IF(D1344="","",X1344-Y1344)</f>
        <v/>
      </c>
      <c r="AD1344" s="5">
        <f>IF(D1344="","",AA1344-Z1344)</f>
        <v/>
      </c>
      <c r="AG1344">
        <f>IF(D1344="","",N(AG1343)+IF(MATCH(D1344,$D$2:$D$3001,0)=ROW()-1,1,0))</f>
        <v/>
      </c>
    </row>
    <row r="1345">
      <c r="Y1345" s="5">
        <f>IF(D1345="","",X1345*IF(AND(ISNUMBER(AC1345),AC1345&gt;0,AC1345&lt;1),AC1345*100,AC1345)/100)</f>
        <v/>
      </c>
      <c r="Z1345" s="5">
        <f>IF(D1345="","",AB1345*AA1345/100)</f>
        <v/>
      </c>
      <c r="AA1345" s="5">
        <f>IF(D1345="","",X1345-Y1345)</f>
        <v/>
      </c>
      <c r="AD1345" s="5">
        <f>IF(D1345="","",AA1345-Z1345)</f>
        <v/>
      </c>
      <c r="AG1345">
        <f>IF(D1345="","",N(AG1344)+IF(MATCH(D1345,$D$2:$D$3001,0)=ROW()-1,1,0))</f>
        <v/>
      </c>
    </row>
    <row r="1346">
      <c r="Y1346" s="5">
        <f>IF(D1346="","",X1346*IF(AND(ISNUMBER(AC1346),AC1346&gt;0,AC1346&lt;1),AC1346*100,AC1346)/100)</f>
        <v/>
      </c>
      <c r="Z1346" s="5">
        <f>IF(D1346="","",AB1346*AA1346/100)</f>
        <v/>
      </c>
      <c r="AA1346" s="5">
        <f>IF(D1346="","",X1346-Y1346)</f>
        <v/>
      </c>
      <c r="AD1346" s="5">
        <f>IF(D1346="","",AA1346-Z1346)</f>
        <v/>
      </c>
      <c r="AG1346">
        <f>IF(D1346="","",N(AG1345)+IF(MATCH(D1346,$D$2:$D$3001,0)=ROW()-1,1,0))</f>
        <v/>
      </c>
    </row>
    <row r="1347">
      <c r="Y1347" s="5">
        <f>IF(D1347="","",X1347*IF(AND(ISNUMBER(AC1347),AC1347&gt;0,AC1347&lt;1),AC1347*100,AC1347)/100)</f>
        <v/>
      </c>
      <c r="Z1347" s="5">
        <f>IF(D1347="","",AB1347*AA1347/100)</f>
        <v/>
      </c>
      <c r="AA1347" s="5">
        <f>IF(D1347="","",X1347-Y1347)</f>
        <v/>
      </c>
      <c r="AD1347" s="5">
        <f>IF(D1347="","",AA1347-Z1347)</f>
        <v/>
      </c>
      <c r="AG1347">
        <f>IF(D1347="","",N(AG1346)+IF(MATCH(D1347,$D$2:$D$3001,0)=ROW()-1,1,0))</f>
        <v/>
      </c>
    </row>
    <row r="1348">
      <c r="Y1348" s="5">
        <f>IF(D1348="","",X1348*IF(AND(ISNUMBER(AC1348),AC1348&gt;0,AC1348&lt;1),AC1348*100,AC1348)/100)</f>
        <v/>
      </c>
      <c r="Z1348" s="5">
        <f>IF(D1348="","",AB1348*AA1348/100)</f>
        <v/>
      </c>
      <c r="AA1348" s="5">
        <f>IF(D1348="","",X1348-Y1348)</f>
        <v/>
      </c>
      <c r="AD1348" s="5">
        <f>IF(D1348="","",AA1348-Z1348)</f>
        <v/>
      </c>
      <c r="AG1348">
        <f>IF(D1348="","",N(AG1347)+IF(MATCH(D1348,$D$2:$D$3001,0)=ROW()-1,1,0))</f>
        <v/>
      </c>
    </row>
    <row r="1349">
      <c r="Y1349" s="5">
        <f>IF(D1349="","",X1349*IF(AND(ISNUMBER(AC1349),AC1349&gt;0,AC1349&lt;1),AC1349*100,AC1349)/100)</f>
        <v/>
      </c>
      <c r="Z1349" s="5">
        <f>IF(D1349="","",AB1349*AA1349/100)</f>
        <v/>
      </c>
      <c r="AA1349" s="5">
        <f>IF(D1349="","",X1349-Y1349)</f>
        <v/>
      </c>
      <c r="AD1349" s="5">
        <f>IF(D1349="","",AA1349-Z1349)</f>
        <v/>
      </c>
      <c r="AG1349">
        <f>IF(D1349="","",N(AG1348)+IF(MATCH(D1349,$D$2:$D$3001,0)=ROW()-1,1,0))</f>
        <v/>
      </c>
    </row>
    <row r="1350">
      <c r="Y1350" s="5">
        <f>IF(D1350="","",X1350*IF(AND(ISNUMBER(AC1350),AC1350&gt;0,AC1350&lt;1),AC1350*100,AC1350)/100)</f>
        <v/>
      </c>
      <c r="Z1350" s="5">
        <f>IF(D1350="","",AB1350*AA1350/100)</f>
        <v/>
      </c>
      <c r="AA1350" s="5">
        <f>IF(D1350="","",X1350-Y1350)</f>
        <v/>
      </c>
      <c r="AD1350" s="5">
        <f>IF(D1350="","",AA1350-Z1350)</f>
        <v/>
      </c>
      <c r="AG1350">
        <f>IF(D1350="","",N(AG1349)+IF(MATCH(D1350,$D$2:$D$3001,0)=ROW()-1,1,0))</f>
        <v/>
      </c>
    </row>
    <row r="1351">
      <c r="Y1351" s="5">
        <f>IF(D1351="","",X1351*IF(AND(ISNUMBER(AC1351),AC1351&gt;0,AC1351&lt;1),AC1351*100,AC1351)/100)</f>
        <v/>
      </c>
      <c r="Z1351" s="5">
        <f>IF(D1351="","",AB1351*AA1351/100)</f>
        <v/>
      </c>
      <c r="AA1351" s="5">
        <f>IF(D1351="","",X1351-Y1351)</f>
        <v/>
      </c>
      <c r="AD1351" s="5">
        <f>IF(D1351="","",AA1351-Z1351)</f>
        <v/>
      </c>
      <c r="AG1351">
        <f>IF(D1351="","",N(AG1350)+IF(MATCH(D1351,$D$2:$D$3001,0)=ROW()-1,1,0))</f>
        <v/>
      </c>
    </row>
    <row r="1352">
      <c r="Y1352" s="5">
        <f>IF(D1352="","",X1352*IF(AND(ISNUMBER(AC1352),AC1352&gt;0,AC1352&lt;1),AC1352*100,AC1352)/100)</f>
        <v/>
      </c>
      <c r="Z1352" s="5">
        <f>IF(D1352="","",AB1352*AA1352/100)</f>
        <v/>
      </c>
      <c r="AA1352" s="5">
        <f>IF(D1352="","",X1352-Y1352)</f>
        <v/>
      </c>
      <c r="AD1352" s="5">
        <f>IF(D1352="","",AA1352-Z1352)</f>
        <v/>
      </c>
      <c r="AG1352">
        <f>IF(D1352="","",N(AG1351)+IF(MATCH(D1352,$D$2:$D$3001,0)=ROW()-1,1,0))</f>
        <v/>
      </c>
    </row>
    <row r="1353">
      <c r="Y1353" s="5">
        <f>IF(D1353="","",X1353*IF(AND(ISNUMBER(AC1353),AC1353&gt;0,AC1353&lt;1),AC1353*100,AC1353)/100)</f>
        <v/>
      </c>
      <c r="Z1353" s="5">
        <f>IF(D1353="","",AB1353*AA1353/100)</f>
        <v/>
      </c>
      <c r="AA1353" s="5">
        <f>IF(D1353="","",X1353-Y1353)</f>
        <v/>
      </c>
      <c r="AD1353" s="5">
        <f>IF(D1353="","",AA1353-Z1353)</f>
        <v/>
      </c>
      <c r="AG1353">
        <f>IF(D1353="","",N(AG1352)+IF(MATCH(D1353,$D$2:$D$3001,0)=ROW()-1,1,0))</f>
        <v/>
      </c>
    </row>
    <row r="1354">
      <c r="Y1354" s="5">
        <f>IF(D1354="","",X1354*IF(AND(ISNUMBER(AC1354),AC1354&gt;0,AC1354&lt;1),AC1354*100,AC1354)/100)</f>
        <v/>
      </c>
      <c r="Z1354" s="5">
        <f>IF(D1354="","",AB1354*AA1354/100)</f>
        <v/>
      </c>
      <c r="AA1354" s="5">
        <f>IF(D1354="","",X1354-Y1354)</f>
        <v/>
      </c>
      <c r="AD1354" s="5">
        <f>IF(D1354="","",AA1354-Z1354)</f>
        <v/>
      </c>
      <c r="AG1354">
        <f>IF(D1354="","",N(AG1353)+IF(MATCH(D1354,$D$2:$D$3001,0)=ROW()-1,1,0))</f>
        <v/>
      </c>
    </row>
    <row r="1355">
      <c r="Y1355" s="5">
        <f>IF(D1355="","",X1355*IF(AND(ISNUMBER(AC1355),AC1355&gt;0,AC1355&lt;1),AC1355*100,AC1355)/100)</f>
        <v/>
      </c>
      <c r="Z1355" s="5">
        <f>IF(D1355="","",AB1355*AA1355/100)</f>
        <v/>
      </c>
      <c r="AA1355" s="5">
        <f>IF(D1355="","",X1355-Y1355)</f>
        <v/>
      </c>
      <c r="AD1355" s="5">
        <f>IF(D1355="","",AA1355-Z1355)</f>
        <v/>
      </c>
      <c r="AG1355">
        <f>IF(D1355="","",N(AG1354)+IF(MATCH(D1355,$D$2:$D$3001,0)=ROW()-1,1,0))</f>
        <v/>
      </c>
    </row>
    <row r="1356">
      <c r="Y1356" s="5">
        <f>IF(D1356="","",X1356*IF(AND(ISNUMBER(AC1356),AC1356&gt;0,AC1356&lt;1),AC1356*100,AC1356)/100)</f>
        <v/>
      </c>
      <c r="Z1356" s="5">
        <f>IF(D1356="","",AB1356*AA1356/100)</f>
        <v/>
      </c>
      <c r="AA1356" s="5">
        <f>IF(D1356="","",X1356-Y1356)</f>
        <v/>
      </c>
      <c r="AD1356" s="5">
        <f>IF(D1356="","",AA1356-Z1356)</f>
        <v/>
      </c>
      <c r="AG1356">
        <f>IF(D1356="","",N(AG1355)+IF(MATCH(D1356,$D$2:$D$3001,0)=ROW()-1,1,0))</f>
        <v/>
      </c>
    </row>
    <row r="1357">
      <c r="Y1357" s="5">
        <f>IF(D1357="","",X1357*IF(AND(ISNUMBER(AC1357),AC1357&gt;0,AC1357&lt;1),AC1357*100,AC1357)/100)</f>
        <v/>
      </c>
      <c r="Z1357" s="5">
        <f>IF(D1357="","",AB1357*AA1357/100)</f>
        <v/>
      </c>
      <c r="AA1357" s="5">
        <f>IF(D1357="","",X1357-Y1357)</f>
        <v/>
      </c>
      <c r="AD1357" s="5">
        <f>IF(D1357="","",AA1357-Z1357)</f>
        <v/>
      </c>
      <c r="AG1357">
        <f>IF(D1357="","",N(AG1356)+IF(MATCH(D1357,$D$2:$D$3001,0)=ROW()-1,1,0))</f>
        <v/>
      </c>
    </row>
    <row r="1358">
      <c r="Y1358" s="5">
        <f>IF(D1358="","",X1358*IF(AND(ISNUMBER(AC1358),AC1358&gt;0,AC1358&lt;1),AC1358*100,AC1358)/100)</f>
        <v/>
      </c>
      <c r="Z1358" s="5">
        <f>IF(D1358="","",AB1358*AA1358/100)</f>
        <v/>
      </c>
      <c r="AA1358" s="5">
        <f>IF(D1358="","",X1358-Y1358)</f>
        <v/>
      </c>
      <c r="AD1358" s="5">
        <f>IF(D1358="","",AA1358-Z1358)</f>
        <v/>
      </c>
      <c r="AG1358">
        <f>IF(D1358="","",N(AG1357)+IF(MATCH(D1358,$D$2:$D$3001,0)=ROW()-1,1,0))</f>
        <v/>
      </c>
    </row>
    <row r="1359">
      <c r="Y1359" s="5">
        <f>IF(D1359="","",X1359*IF(AND(ISNUMBER(AC1359),AC1359&gt;0,AC1359&lt;1),AC1359*100,AC1359)/100)</f>
        <v/>
      </c>
      <c r="Z1359" s="5">
        <f>IF(D1359="","",AB1359*AA1359/100)</f>
        <v/>
      </c>
      <c r="AA1359" s="5">
        <f>IF(D1359="","",X1359-Y1359)</f>
        <v/>
      </c>
      <c r="AD1359" s="5">
        <f>IF(D1359="","",AA1359-Z1359)</f>
        <v/>
      </c>
      <c r="AG1359">
        <f>IF(D1359="","",N(AG1358)+IF(MATCH(D1359,$D$2:$D$3001,0)=ROW()-1,1,0))</f>
        <v/>
      </c>
    </row>
    <row r="1360">
      <c r="Y1360" s="5">
        <f>IF(D1360="","",X1360*IF(AND(ISNUMBER(AC1360),AC1360&gt;0,AC1360&lt;1),AC1360*100,AC1360)/100)</f>
        <v/>
      </c>
      <c r="Z1360" s="5">
        <f>IF(D1360="","",AB1360*AA1360/100)</f>
        <v/>
      </c>
      <c r="AA1360" s="5">
        <f>IF(D1360="","",X1360-Y1360)</f>
        <v/>
      </c>
      <c r="AD1360" s="5">
        <f>IF(D1360="","",AA1360-Z1360)</f>
        <v/>
      </c>
      <c r="AG1360">
        <f>IF(D1360="","",N(AG1359)+IF(MATCH(D1360,$D$2:$D$3001,0)=ROW()-1,1,0))</f>
        <v/>
      </c>
    </row>
    <row r="1361">
      <c r="Y1361" s="5">
        <f>IF(D1361="","",X1361*IF(AND(ISNUMBER(AC1361),AC1361&gt;0,AC1361&lt;1),AC1361*100,AC1361)/100)</f>
        <v/>
      </c>
      <c r="Z1361" s="5">
        <f>IF(D1361="","",AB1361*AA1361/100)</f>
        <v/>
      </c>
      <c r="AA1361" s="5">
        <f>IF(D1361="","",X1361-Y1361)</f>
        <v/>
      </c>
      <c r="AD1361" s="5">
        <f>IF(D1361="","",AA1361-Z1361)</f>
        <v/>
      </c>
      <c r="AG1361">
        <f>IF(D1361="","",N(AG1360)+IF(MATCH(D1361,$D$2:$D$3001,0)=ROW()-1,1,0))</f>
        <v/>
      </c>
    </row>
    <row r="1362">
      <c r="Y1362" s="5">
        <f>IF(D1362="","",X1362*IF(AND(ISNUMBER(AC1362),AC1362&gt;0,AC1362&lt;1),AC1362*100,AC1362)/100)</f>
        <v/>
      </c>
      <c r="Z1362" s="5">
        <f>IF(D1362="","",AB1362*AA1362/100)</f>
        <v/>
      </c>
      <c r="AA1362" s="5">
        <f>IF(D1362="","",X1362-Y1362)</f>
        <v/>
      </c>
      <c r="AD1362" s="5">
        <f>IF(D1362="","",AA1362-Z1362)</f>
        <v/>
      </c>
      <c r="AG1362">
        <f>IF(D1362="","",N(AG1361)+IF(MATCH(D1362,$D$2:$D$3001,0)=ROW()-1,1,0))</f>
        <v/>
      </c>
    </row>
    <row r="1363">
      <c r="Y1363" s="5">
        <f>IF(D1363="","",X1363*IF(AND(ISNUMBER(AC1363),AC1363&gt;0,AC1363&lt;1),AC1363*100,AC1363)/100)</f>
        <v/>
      </c>
      <c r="Z1363" s="5">
        <f>IF(D1363="","",AB1363*AA1363/100)</f>
        <v/>
      </c>
      <c r="AA1363" s="5">
        <f>IF(D1363="","",X1363-Y1363)</f>
        <v/>
      </c>
      <c r="AD1363" s="5">
        <f>IF(D1363="","",AA1363-Z1363)</f>
        <v/>
      </c>
      <c r="AG1363">
        <f>IF(D1363="","",N(AG1362)+IF(MATCH(D1363,$D$2:$D$3001,0)=ROW()-1,1,0))</f>
        <v/>
      </c>
    </row>
    <row r="1364">
      <c r="Y1364" s="5">
        <f>IF(D1364="","",X1364*IF(AND(ISNUMBER(AC1364),AC1364&gt;0,AC1364&lt;1),AC1364*100,AC1364)/100)</f>
        <v/>
      </c>
      <c r="Z1364" s="5">
        <f>IF(D1364="","",AB1364*AA1364/100)</f>
        <v/>
      </c>
      <c r="AA1364" s="5">
        <f>IF(D1364="","",X1364-Y1364)</f>
        <v/>
      </c>
      <c r="AD1364" s="5">
        <f>IF(D1364="","",AA1364-Z1364)</f>
        <v/>
      </c>
      <c r="AG1364">
        <f>IF(D1364="","",N(AG1363)+IF(MATCH(D1364,$D$2:$D$3001,0)=ROW()-1,1,0))</f>
        <v/>
      </c>
    </row>
    <row r="1365">
      <c r="Y1365" s="5">
        <f>IF(D1365="","",X1365*IF(AND(ISNUMBER(AC1365),AC1365&gt;0,AC1365&lt;1),AC1365*100,AC1365)/100)</f>
        <v/>
      </c>
      <c r="Z1365" s="5">
        <f>IF(D1365="","",AB1365*AA1365/100)</f>
        <v/>
      </c>
      <c r="AA1365" s="5">
        <f>IF(D1365="","",X1365-Y1365)</f>
        <v/>
      </c>
      <c r="AD1365" s="5">
        <f>IF(D1365="","",AA1365-Z1365)</f>
        <v/>
      </c>
      <c r="AG1365">
        <f>IF(D1365="","",N(AG1364)+IF(MATCH(D1365,$D$2:$D$3001,0)=ROW()-1,1,0))</f>
        <v/>
      </c>
    </row>
    <row r="1366">
      <c r="Y1366" s="5">
        <f>IF(D1366="","",X1366*IF(AND(ISNUMBER(AC1366),AC1366&gt;0,AC1366&lt;1),AC1366*100,AC1366)/100)</f>
        <v/>
      </c>
      <c r="Z1366" s="5">
        <f>IF(D1366="","",AB1366*AA1366/100)</f>
        <v/>
      </c>
      <c r="AA1366" s="5">
        <f>IF(D1366="","",X1366-Y1366)</f>
        <v/>
      </c>
      <c r="AD1366" s="5">
        <f>IF(D1366="","",AA1366-Z1366)</f>
        <v/>
      </c>
      <c r="AG1366">
        <f>IF(D1366="","",N(AG1365)+IF(MATCH(D1366,$D$2:$D$3001,0)=ROW()-1,1,0))</f>
        <v/>
      </c>
    </row>
    <row r="1367">
      <c r="Y1367" s="5">
        <f>IF(D1367="","",X1367*IF(AND(ISNUMBER(AC1367),AC1367&gt;0,AC1367&lt;1),AC1367*100,AC1367)/100)</f>
        <v/>
      </c>
      <c r="Z1367" s="5">
        <f>IF(D1367="","",AB1367*AA1367/100)</f>
        <v/>
      </c>
      <c r="AA1367" s="5">
        <f>IF(D1367="","",X1367-Y1367)</f>
        <v/>
      </c>
      <c r="AD1367" s="5">
        <f>IF(D1367="","",AA1367-Z1367)</f>
        <v/>
      </c>
      <c r="AG1367">
        <f>IF(D1367="","",N(AG1366)+IF(MATCH(D1367,$D$2:$D$3001,0)=ROW()-1,1,0))</f>
        <v/>
      </c>
    </row>
    <row r="1368">
      <c r="Y1368" s="5">
        <f>IF(D1368="","",X1368*IF(AND(ISNUMBER(AC1368),AC1368&gt;0,AC1368&lt;1),AC1368*100,AC1368)/100)</f>
        <v/>
      </c>
      <c r="Z1368" s="5">
        <f>IF(D1368="","",AB1368*AA1368/100)</f>
        <v/>
      </c>
      <c r="AA1368" s="5">
        <f>IF(D1368="","",X1368-Y1368)</f>
        <v/>
      </c>
      <c r="AD1368" s="5">
        <f>IF(D1368="","",AA1368-Z1368)</f>
        <v/>
      </c>
      <c r="AG1368">
        <f>IF(D1368="","",N(AG1367)+IF(MATCH(D1368,$D$2:$D$3001,0)=ROW()-1,1,0))</f>
        <v/>
      </c>
    </row>
    <row r="1369">
      <c r="Y1369" s="5">
        <f>IF(D1369="","",X1369*IF(AND(ISNUMBER(AC1369),AC1369&gt;0,AC1369&lt;1),AC1369*100,AC1369)/100)</f>
        <v/>
      </c>
      <c r="Z1369" s="5">
        <f>IF(D1369="","",AB1369*AA1369/100)</f>
        <v/>
      </c>
      <c r="AA1369" s="5">
        <f>IF(D1369="","",X1369-Y1369)</f>
        <v/>
      </c>
      <c r="AD1369" s="5">
        <f>IF(D1369="","",AA1369-Z1369)</f>
        <v/>
      </c>
      <c r="AG1369">
        <f>IF(D1369="","",N(AG1368)+IF(MATCH(D1369,$D$2:$D$3001,0)=ROW()-1,1,0))</f>
        <v/>
      </c>
    </row>
    <row r="1370">
      <c r="Y1370" s="5">
        <f>IF(D1370="","",X1370*IF(AND(ISNUMBER(AC1370),AC1370&gt;0,AC1370&lt;1),AC1370*100,AC1370)/100)</f>
        <v/>
      </c>
      <c r="Z1370" s="5">
        <f>IF(D1370="","",AB1370*AA1370/100)</f>
        <v/>
      </c>
      <c r="AA1370" s="5">
        <f>IF(D1370="","",X1370-Y1370)</f>
        <v/>
      </c>
      <c r="AD1370" s="5">
        <f>IF(D1370="","",AA1370-Z1370)</f>
        <v/>
      </c>
      <c r="AG1370">
        <f>IF(D1370="","",N(AG1369)+IF(MATCH(D1370,$D$2:$D$3001,0)=ROW()-1,1,0))</f>
        <v/>
      </c>
    </row>
    <row r="1371">
      <c r="Y1371" s="5">
        <f>IF(D1371="","",X1371*IF(AND(ISNUMBER(AC1371),AC1371&gt;0,AC1371&lt;1),AC1371*100,AC1371)/100)</f>
        <v/>
      </c>
      <c r="Z1371" s="5">
        <f>IF(D1371="","",AB1371*AA1371/100)</f>
        <v/>
      </c>
      <c r="AA1371" s="5">
        <f>IF(D1371="","",X1371-Y1371)</f>
        <v/>
      </c>
      <c r="AD1371" s="5">
        <f>IF(D1371="","",AA1371-Z1371)</f>
        <v/>
      </c>
      <c r="AG1371">
        <f>IF(D1371="","",N(AG1370)+IF(MATCH(D1371,$D$2:$D$3001,0)=ROW()-1,1,0))</f>
        <v/>
      </c>
    </row>
    <row r="1372">
      <c r="Y1372" s="5">
        <f>IF(D1372="","",X1372*IF(AND(ISNUMBER(AC1372),AC1372&gt;0,AC1372&lt;1),AC1372*100,AC1372)/100)</f>
        <v/>
      </c>
      <c r="Z1372" s="5">
        <f>IF(D1372="","",AB1372*AA1372/100)</f>
        <v/>
      </c>
      <c r="AA1372" s="5">
        <f>IF(D1372="","",X1372-Y1372)</f>
        <v/>
      </c>
      <c r="AD1372" s="5">
        <f>IF(D1372="","",AA1372-Z1372)</f>
        <v/>
      </c>
      <c r="AG1372">
        <f>IF(D1372="","",N(AG1371)+IF(MATCH(D1372,$D$2:$D$3001,0)=ROW()-1,1,0))</f>
        <v/>
      </c>
    </row>
    <row r="1373">
      <c r="Y1373" s="5">
        <f>IF(D1373="","",X1373*IF(AND(ISNUMBER(AC1373),AC1373&gt;0,AC1373&lt;1),AC1373*100,AC1373)/100)</f>
        <v/>
      </c>
      <c r="Z1373" s="5">
        <f>IF(D1373="","",AB1373*AA1373/100)</f>
        <v/>
      </c>
      <c r="AA1373" s="5">
        <f>IF(D1373="","",X1373-Y1373)</f>
        <v/>
      </c>
      <c r="AD1373" s="5">
        <f>IF(D1373="","",AA1373-Z1373)</f>
        <v/>
      </c>
      <c r="AG1373">
        <f>IF(D1373="","",N(AG1372)+IF(MATCH(D1373,$D$2:$D$3001,0)=ROW()-1,1,0))</f>
        <v/>
      </c>
    </row>
    <row r="1374">
      <c r="Y1374" s="5">
        <f>IF(D1374="","",X1374*IF(AND(ISNUMBER(AC1374),AC1374&gt;0,AC1374&lt;1),AC1374*100,AC1374)/100)</f>
        <v/>
      </c>
      <c r="Z1374" s="5">
        <f>IF(D1374="","",AB1374*AA1374/100)</f>
        <v/>
      </c>
      <c r="AA1374" s="5">
        <f>IF(D1374="","",X1374-Y1374)</f>
        <v/>
      </c>
      <c r="AD1374" s="5">
        <f>IF(D1374="","",AA1374-Z1374)</f>
        <v/>
      </c>
      <c r="AG1374">
        <f>IF(D1374="","",N(AG1373)+IF(MATCH(D1374,$D$2:$D$3001,0)=ROW()-1,1,0))</f>
        <v/>
      </c>
    </row>
    <row r="1375">
      <c r="Y1375" s="5">
        <f>IF(D1375="","",X1375*IF(AND(ISNUMBER(AC1375),AC1375&gt;0,AC1375&lt;1),AC1375*100,AC1375)/100)</f>
        <v/>
      </c>
      <c r="Z1375" s="5">
        <f>IF(D1375="","",AB1375*AA1375/100)</f>
        <v/>
      </c>
      <c r="AA1375" s="5">
        <f>IF(D1375="","",X1375-Y1375)</f>
        <v/>
      </c>
      <c r="AD1375" s="5">
        <f>IF(D1375="","",AA1375-Z1375)</f>
        <v/>
      </c>
      <c r="AG1375">
        <f>IF(D1375="","",N(AG1374)+IF(MATCH(D1375,$D$2:$D$3001,0)=ROW()-1,1,0))</f>
        <v/>
      </c>
    </row>
    <row r="1376">
      <c r="Y1376" s="5">
        <f>IF(D1376="","",X1376*IF(AND(ISNUMBER(AC1376),AC1376&gt;0,AC1376&lt;1),AC1376*100,AC1376)/100)</f>
        <v/>
      </c>
      <c r="Z1376" s="5">
        <f>IF(D1376="","",AB1376*AA1376/100)</f>
        <v/>
      </c>
      <c r="AA1376" s="5">
        <f>IF(D1376="","",X1376-Y1376)</f>
        <v/>
      </c>
      <c r="AD1376" s="5">
        <f>IF(D1376="","",AA1376-Z1376)</f>
        <v/>
      </c>
      <c r="AG1376">
        <f>IF(D1376="","",N(AG1375)+IF(MATCH(D1376,$D$2:$D$3001,0)=ROW()-1,1,0))</f>
        <v/>
      </c>
    </row>
    <row r="1377">
      <c r="Y1377" s="5">
        <f>IF(D1377="","",X1377*IF(AND(ISNUMBER(AC1377),AC1377&gt;0,AC1377&lt;1),AC1377*100,AC1377)/100)</f>
        <v/>
      </c>
      <c r="Z1377" s="5">
        <f>IF(D1377="","",AB1377*AA1377/100)</f>
        <v/>
      </c>
      <c r="AA1377" s="5">
        <f>IF(D1377="","",X1377-Y1377)</f>
        <v/>
      </c>
      <c r="AD1377" s="5">
        <f>IF(D1377="","",AA1377-Z1377)</f>
        <v/>
      </c>
      <c r="AG1377">
        <f>IF(D1377="","",N(AG1376)+IF(MATCH(D1377,$D$2:$D$3001,0)=ROW()-1,1,0))</f>
        <v/>
      </c>
    </row>
    <row r="1378">
      <c r="Y1378" s="5">
        <f>IF(D1378="","",X1378*IF(AND(ISNUMBER(AC1378),AC1378&gt;0,AC1378&lt;1),AC1378*100,AC1378)/100)</f>
        <v/>
      </c>
      <c r="Z1378" s="5">
        <f>IF(D1378="","",AB1378*AA1378/100)</f>
        <v/>
      </c>
      <c r="AA1378" s="5">
        <f>IF(D1378="","",X1378-Y1378)</f>
        <v/>
      </c>
      <c r="AD1378" s="5">
        <f>IF(D1378="","",AA1378-Z1378)</f>
        <v/>
      </c>
      <c r="AG1378">
        <f>IF(D1378="","",N(AG1377)+IF(MATCH(D1378,$D$2:$D$3001,0)=ROW()-1,1,0))</f>
        <v/>
      </c>
    </row>
    <row r="1379">
      <c r="Y1379" s="5">
        <f>IF(D1379="","",X1379*IF(AND(ISNUMBER(AC1379),AC1379&gt;0,AC1379&lt;1),AC1379*100,AC1379)/100)</f>
        <v/>
      </c>
      <c r="Z1379" s="5">
        <f>IF(D1379="","",AB1379*AA1379/100)</f>
        <v/>
      </c>
      <c r="AA1379" s="5">
        <f>IF(D1379="","",X1379-Y1379)</f>
        <v/>
      </c>
      <c r="AD1379" s="5">
        <f>IF(D1379="","",AA1379-Z1379)</f>
        <v/>
      </c>
      <c r="AG1379">
        <f>IF(D1379="","",N(AG1378)+IF(MATCH(D1379,$D$2:$D$3001,0)=ROW()-1,1,0))</f>
        <v/>
      </c>
    </row>
    <row r="1380">
      <c r="Y1380" s="5">
        <f>IF(D1380="","",X1380*IF(AND(ISNUMBER(AC1380),AC1380&gt;0,AC1380&lt;1),AC1380*100,AC1380)/100)</f>
        <v/>
      </c>
      <c r="Z1380" s="5">
        <f>IF(D1380="","",AB1380*AA1380/100)</f>
        <v/>
      </c>
      <c r="AA1380" s="5">
        <f>IF(D1380="","",X1380-Y1380)</f>
        <v/>
      </c>
      <c r="AD1380" s="5">
        <f>IF(D1380="","",AA1380-Z1380)</f>
        <v/>
      </c>
      <c r="AG1380">
        <f>IF(D1380="","",N(AG1379)+IF(MATCH(D1380,$D$2:$D$3001,0)=ROW()-1,1,0))</f>
        <v/>
      </c>
    </row>
    <row r="1381">
      <c r="Y1381" s="5">
        <f>IF(D1381="","",X1381*IF(AND(ISNUMBER(AC1381),AC1381&gt;0,AC1381&lt;1),AC1381*100,AC1381)/100)</f>
        <v/>
      </c>
      <c r="Z1381" s="5">
        <f>IF(D1381="","",AB1381*AA1381/100)</f>
        <v/>
      </c>
      <c r="AA1381" s="5">
        <f>IF(D1381="","",X1381-Y1381)</f>
        <v/>
      </c>
      <c r="AD1381" s="5">
        <f>IF(D1381="","",AA1381-Z1381)</f>
        <v/>
      </c>
      <c r="AG1381">
        <f>IF(D1381="","",N(AG1380)+IF(MATCH(D1381,$D$2:$D$3001,0)=ROW()-1,1,0))</f>
        <v/>
      </c>
    </row>
    <row r="1382">
      <c r="Y1382" s="5">
        <f>IF(D1382="","",X1382*IF(AND(ISNUMBER(AC1382),AC1382&gt;0,AC1382&lt;1),AC1382*100,AC1382)/100)</f>
        <v/>
      </c>
      <c r="Z1382" s="5">
        <f>IF(D1382="","",AB1382*AA1382/100)</f>
        <v/>
      </c>
      <c r="AA1382" s="5">
        <f>IF(D1382="","",X1382-Y1382)</f>
        <v/>
      </c>
      <c r="AD1382" s="5">
        <f>IF(D1382="","",AA1382-Z1382)</f>
        <v/>
      </c>
      <c r="AG1382">
        <f>IF(D1382="","",N(AG1381)+IF(MATCH(D1382,$D$2:$D$3001,0)=ROW()-1,1,0))</f>
        <v/>
      </c>
    </row>
    <row r="1383">
      <c r="Y1383" s="5">
        <f>IF(D1383="","",X1383*IF(AND(ISNUMBER(AC1383),AC1383&gt;0,AC1383&lt;1),AC1383*100,AC1383)/100)</f>
        <v/>
      </c>
      <c r="Z1383" s="5">
        <f>IF(D1383="","",AB1383*AA1383/100)</f>
        <v/>
      </c>
      <c r="AA1383" s="5">
        <f>IF(D1383="","",X1383-Y1383)</f>
        <v/>
      </c>
      <c r="AD1383" s="5">
        <f>IF(D1383="","",AA1383-Z1383)</f>
        <v/>
      </c>
      <c r="AG1383">
        <f>IF(D1383="","",N(AG1382)+IF(MATCH(D1383,$D$2:$D$3001,0)=ROW()-1,1,0))</f>
        <v/>
      </c>
    </row>
    <row r="1384">
      <c r="Y1384" s="5">
        <f>IF(D1384="","",X1384*IF(AND(ISNUMBER(AC1384),AC1384&gt;0,AC1384&lt;1),AC1384*100,AC1384)/100)</f>
        <v/>
      </c>
      <c r="Z1384" s="5">
        <f>IF(D1384="","",AB1384*AA1384/100)</f>
        <v/>
      </c>
      <c r="AA1384" s="5">
        <f>IF(D1384="","",X1384-Y1384)</f>
        <v/>
      </c>
      <c r="AD1384" s="5">
        <f>IF(D1384="","",AA1384-Z1384)</f>
        <v/>
      </c>
      <c r="AG1384">
        <f>IF(D1384="","",N(AG1383)+IF(MATCH(D1384,$D$2:$D$3001,0)=ROW()-1,1,0))</f>
        <v/>
      </c>
    </row>
    <row r="1385">
      <c r="Y1385" s="5">
        <f>IF(D1385="","",X1385*IF(AND(ISNUMBER(AC1385),AC1385&gt;0,AC1385&lt;1),AC1385*100,AC1385)/100)</f>
        <v/>
      </c>
      <c r="Z1385" s="5">
        <f>IF(D1385="","",AB1385*AA1385/100)</f>
        <v/>
      </c>
      <c r="AA1385" s="5">
        <f>IF(D1385="","",X1385-Y1385)</f>
        <v/>
      </c>
      <c r="AD1385" s="5">
        <f>IF(D1385="","",AA1385-Z1385)</f>
        <v/>
      </c>
      <c r="AG1385">
        <f>IF(D1385="","",N(AG1384)+IF(MATCH(D1385,$D$2:$D$3001,0)=ROW()-1,1,0))</f>
        <v/>
      </c>
    </row>
    <row r="1386">
      <c r="Y1386" s="5">
        <f>IF(D1386="","",X1386*IF(AND(ISNUMBER(AC1386),AC1386&gt;0,AC1386&lt;1),AC1386*100,AC1386)/100)</f>
        <v/>
      </c>
      <c r="Z1386" s="5">
        <f>IF(D1386="","",AB1386*AA1386/100)</f>
        <v/>
      </c>
      <c r="AA1386" s="5">
        <f>IF(D1386="","",X1386-Y1386)</f>
        <v/>
      </c>
      <c r="AD1386" s="5">
        <f>IF(D1386="","",AA1386-Z1386)</f>
        <v/>
      </c>
      <c r="AG1386">
        <f>IF(D1386="","",N(AG1385)+IF(MATCH(D1386,$D$2:$D$3001,0)=ROW()-1,1,0))</f>
        <v/>
      </c>
    </row>
    <row r="1387">
      <c r="Y1387" s="5">
        <f>IF(D1387="","",X1387*IF(AND(ISNUMBER(AC1387),AC1387&gt;0,AC1387&lt;1),AC1387*100,AC1387)/100)</f>
        <v/>
      </c>
      <c r="Z1387" s="5">
        <f>IF(D1387="","",AB1387*AA1387/100)</f>
        <v/>
      </c>
      <c r="AA1387" s="5">
        <f>IF(D1387="","",X1387-Y1387)</f>
        <v/>
      </c>
      <c r="AD1387" s="5">
        <f>IF(D1387="","",AA1387-Z1387)</f>
        <v/>
      </c>
      <c r="AG1387">
        <f>IF(D1387="","",N(AG1386)+IF(MATCH(D1387,$D$2:$D$3001,0)=ROW()-1,1,0))</f>
        <v/>
      </c>
    </row>
    <row r="1388">
      <c r="Y1388" s="5">
        <f>IF(D1388="","",X1388*IF(AND(ISNUMBER(AC1388),AC1388&gt;0,AC1388&lt;1),AC1388*100,AC1388)/100)</f>
        <v/>
      </c>
      <c r="Z1388" s="5">
        <f>IF(D1388="","",AB1388*AA1388/100)</f>
        <v/>
      </c>
      <c r="AA1388" s="5">
        <f>IF(D1388="","",X1388-Y1388)</f>
        <v/>
      </c>
      <c r="AD1388" s="5">
        <f>IF(D1388="","",AA1388-Z1388)</f>
        <v/>
      </c>
      <c r="AG1388">
        <f>IF(D1388="","",N(AG1387)+IF(MATCH(D1388,$D$2:$D$3001,0)=ROW()-1,1,0))</f>
        <v/>
      </c>
    </row>
    <row r="1389">
      <c r="Y1389" s="5">
        <f>IF(D1389="","",X1389*IF(AND(ISNUMBER(AC1389),AC1389&gt;0,AC1389&lt;1),AC1389*100,AC1389)/100)</f>
        <v/>
      </c>
      <c r="Z1389" s="5">
        <f>IF(D1389="","",AB1389*AA1389/100)</f>
        <v/>
      </c>
      <c r="AA1389" s="5">
        <f>IF(D1389="","",X1389-Y1389)</f>
        <v/>
      </c>
      <c r="AD1389" s="5">
        <f>IF(D1389="","",AA1389-Z1389)</f>
        <v/>
      </c>
      <c r="AG1389">
        <f>IF(D1389="","",N(AG1388)+IF(MATCH(D1389,$D$2:$D$3001,0)=ROW()-1,1,0))</f>
        <v/>
      </c>
    </row>
    <row r="1390">
      <c r="Y1390" s="5">
        <f>IF(D1390="","",X1390*IF(AND(ISNUMBER(AC1390),AC1390&gt;0,AC1390&lt;1),AC1390*100,AC1390)/100)</f>
        <v/>
      </c>
      <c r="Z1390" s="5">
        <f>IF(D1390="","",AB1390*AA1390/100)</f>
        <v/>
      </c>
      <c r="AA1390" s="5">
        <f>IF(D1390="","",X1390-Y1390)</f>
        <v/>
      </c>
      <c r="AD1390" s="5">
        <f>IF(D1390="","",AA1390-Z1390)</f>
        <v/>
      </c>
      <c r="AG1390">
        <f>IF(D1390="","",N(AG1389)+IF(MATCH(D1390,$D$2:$D$3001,0)=ROW()-1,1,0))</f>
        <v/>
      </c>
    </row>
    <row r="1391">
      <c r="Y1391" s="5">
        <f>IF(D1391="","",X1391*IF(AND(ISNUMBER(AC1391),AC1391&gt;0,AC1391&lt;1),AC1391*100,AC1391)/100)</f>
        <v/>
      </c>
      <c r="Z1391" s="5">
        <f>IF(D1391="","",AB1391*AA1391/100)</f>
        <v/>
      </c>
      <c r="AA1391" s="5">
        <f>IF(D1391="","",X1391-Y1391)</f>
        <v/>
      </c>
      <c r="AD1391" s="5">
        <f>IF(D1391="","",AA1391-Z1391)</f>
        <v/>
      </c>
      <c r="AG1391">
        <f>IF(D1391="","",N(AG1390)+IF(MATCH(D1391,$D$2:$D$3001,0)=ROW()-1,1,0))</f>
        <v/>
      </c>
    </row>
    <row r="1392">
      <c r="Y1392" s="5">
        <f>IF(D1392="","",X1392*IF(AND(ISNUMBER(AC1392),AC1392&gt;0,AC1392&lt;1),AC1392*100,AC1392)/100)</f>
        <v/>
      </c>
      <c r="Z1392" s="5">
        <f>IF(D1392="","",AB1392*AA1392/100)</f>
        <v/>
      </c>
      <c r="AA1392" s="5">
        <f>IF(D1392="","",X1392-Y1392)</f>
        <v/>
      </c>
      <c r="AD1392" s="5">
        <f>IF(D1392="","",AA1392-Z1392)</f>
        <v/>
      </c>
      <c r="AG1392">
        <f>IF(D1392="","",N(AG1391)+IF(MATCH(D1392,$D$2:$D$3001,0)=ROW()-1,1,0))</f>
        <v/>
      </c>
    </row>
    <row r="1393">
      <c r="Y1393" s="5">
        <f>IF(D1393="","",X1393*IF(AND(ISNUMBER(AC1393),AC1393&gt;0,AC1393&lt;1),AC1393*100,AC1393)/100)</f>
        <v/>
      </c>
      <c r="Z1393" s="5">
        <f>IF(D1393="","",AB1393*AA1393/100)</f>
        <v/>
      </c>
      <c r="AA1393" s="5">
        <f>IF(D1393="","",X1393-Y1393)</f>
        <v/>
      </c>
      <c r="AD1393" s="5">
        <f>IF(D1393="","",AA1393-Z1393)</f>
        <v/>
      </c>
      <c r="AG1393">
        <f>IF(D1393="","",N(AG1392)+IF(MATCH(D1393,$D$2:$D$3001,0)=ROW()-1,1,0))</f>
        <v/>
      </c>
    </row>
    <row r="1394">
      <c r="Y1394" s="5">
        <f>IF(D1394="","",X1394*IF(AND(ISNUMBER(AC1394),AC1394&gt;0,AC1394&lt;1),AC1394*100,AC1394)/100)</f>
        <v/>
      </c>
      <c r="Z1394" s="5">
        <f>IF(D1394="","",AB1394*AA1394/100)</f>
        <v/>
      </c>
      <c r="AA1394" s="5">
        <f>IF(D1394="","",X1394-Y1394)</f>
        <v/>
      </c>
      <c r="AD1394" s="5">
        <f>IF(D1394="","",AA1394-Z1394)</f>
        <v/>
      </c>
      <c r="AG1394">
        <f>IF(D1394="","",N(AG1393)+IF(MATCH(D1394,$D$2:$D$3001,0)=ROW()-1,1,0))</f>
        <v/>
      </c>
    </row>
    <row r="1395">
      <c r="Y1395" s="5">
        <f>IF(D1395="","",X1395*IF(AND(ISNUMBER(AC1395),AC1395&gt;0,AC1395&lt;1),AC1395*100,AC1395)/100)</f>
        <v/>
      </c>
      <c r="Z1395" s="5">
        <f>IF(D1395="","",AB1395*AA1395/100)</f>
        <v/>
      </c>
      <c r="AA1395" s="5">
        <f>IF(D1395="","",X1395-Y1395)</f>
        <v/>
      </c>
      <c r="AD1395" s="5">
        <f>IF(D1395="","",AA1395-Z1395)</f>
        <v/>
      </c>
      <c r="AG1395">
        <f>IF(D1395="","",N(AG1394)+IF(MATCH(D1395,$D$2:$D$3001,0)=ROW()-1,1,0))</f>
        <v/>
      </c>
    </row>
    <row r="1396">
      <c r="Y1396" s="5">
        <f>IF(D1396="","",X1396*IF(AND(ISNUMBER(AC1396),AC1396&gt;0,AC1396&lt;1),AC1396*100,AC1396)/100)</f>
        <v/>
      </c>
      <c r="Z1396" s="5">
        <f>IF(D1396="","",AB1396*AA1396/100)</f>
        <v/>
      </c>
      <c r="AA1396" s="5">
        <f>IF(D1396="","",X1396-Y1396)</f>
        <v/>
      </c>
      <c r="AD1396" s="5">
        <f>IF(D1396="","",AA1396-Z1396)</f>
        <v/>
      </c>
      <c r="AG1396">
        <f>IF(D1396="","",N(AG1395)+IF(MATCH(D1396,$D$2:$D$3001,0)=ROW()-1,1,0))</f>
        <v/>
      </c>
    </row>
    <row r="1397">
      <c r="Y1397" s="5">
        <f>IF(D1397="","",X1397*IF(AND(ISNUMBER(AC1397),AC1397&gt;0,AC1397&lt;1),AC1397*100,AC1397)/100)</f>
        <v/>
      </c>
      <c r="Z1397" s="5">
        <f>IF(D1397="","",AB1397*AA1397/100)</f>
        <v/>
      </c>
      <c r="AA1397" s="5">
        <f>IF(D1397="","",X1397-Y1397)</f>
        <v/>
      </c>
      <c r="AD1397" s="5">
        <f>IF(D1397="","",AA1397-Z1397)</f>
        <v/>
      </c>
      <c r="AG1397">
        <f>IF(D1397="","",N(AG1396)+IF(MATCH(D1397,$D$2:$D$3001,0)=ROW()-1,1,0))</f>
        <v/>
      </c>
    </row>
    <row r="1398">
      <c r="Y1398" s="5">
        <f>IF(D1398="","",X1398*IF(AND(ISNUMBER(AC1398),AC1398&gt;0,AC1398&lt;1),AC1398*100,AC1398)/100)</f>
        <v/>
      </c>
      <c r="Z1398" s="5">
        <f>IF(D1398="","",AB1398*AA1398/100)</f>
        <v/>
      </c>
      <c r="AA1398" s="5">
        <f>IF(D1398="","",X1398-Y1398)</f>
        <v/>
      </c>
      <c r="AD1398" s="5">
        <f>IF(D1398="","",AA1398-Z1398)</f>
        <v/>
      </c>
      <c r="AG1398">
        <f>IF(D1398="","",N(AG1397)+IF(MATCH(D1398,$D$2:$D$3001,0)=ROW()-1,1,0))</f>
        <v/>
      </c>
    </row>
    <row r="1399">
      <c r="Y1399" s="5">
        <f>IF(D1399="","",X1399*IF(AND(ISNUMBER(AC1399),AC1399&gt;0,AC1399&lt;1),AC1399*100,AC1399)/100)</f>
        <v/>
      </c>
      <c r="Z1399" s="5">
        <f>IF(D1399="","",AB1399*AA1399/100)</f>
        <v/>
      </c>
      <c r="AA1399" s="5">
        <f>IF(D1399="","",X1399-Y1399)</f>
        <v/>
      </c>
      <c r="AD1399" s="5">
        <f>IF(D1399="","",AA1399-Z1399)</f>
        <v/>
      </c>
      <c r="AG1399">
        <f>IF(D1399="","",N(AG1398)+IF(MATCH(D1399,$D$2:$D$3001,0)=ROW()-1,1,0))</f>
        <v/>
      </c>
    </row>
    <row r="1400">
      <c r="Y1400" s="5">
        <f>IF(D1400="","",X1400*IF(AND(ISNUMBER(AC1400),AC1400&gt;0,AC1400&lt;1),AC1400*100,AC1400)/100)</f>
        <v/>
      </c>
      <c r="Z1400" s="5">
        <f>IF(D1400="","",AB1400*AA1400/100)</f>
        <v/>
      </c>
      <c r="AA1400" s="5">
        <f>IF(D1400="","",X1400-Y1400)</f>
        <v/>
      </c>
      <c r="AD1400" s="5">
        <f>IF(D1400="","",AA1400-Z1400)</f>
        <v/>
      </c>
      <c r="AG1400">
        <f>IF(D1400="","",N(AG1399)+IF(MATCH(D1400,$D$2:$D$3001,0)=ROW()-1,1,0))</f>
        <v/>
      </c>
    </row>
    <row r="1401">
      <c r="Y1401" s="5">
        <f>IF(D1401="","",X1401*IF(AND(ISNUMBER(AC1401),AC1401&gt;0,AC1401&lt;1),AC1401*100,AC1401)/100)</f>
        <v/>
      </c>
      <c r="Z1401" s="5">
        <f>IF(D1401="","",AB1401*AA1401/100)</f>
        <v/>
      </c>
      <c r="AA1401" s="5">
        <f>IF(D1401="","",X1401-Y1401)</f>
        <v/>
      </c>
      <c r="AD1401" s="5">
        <f>IF(D1401="","",AA1401-Z1401)</f>
        <v/>
      </c>
      <c r="AG1401">
        <f>IF(D1401="","",N(AG1400)+IF(MATCH(D1401,$D$2:$D$3001,0)=ROW()-1,1,0))</f>
        <v/>
      </c>
    </row>
    <row r="1402">
      <c r="Y1402" s="5">
        <f>IF(D1402="","",X1402*IF(AND(ISNUMBER(AC1402),AC1402&gt;0,AC1402&lt;1),AC1402*100,AC1402)/100)</f>
        <v/>
      </c>
      <c r="Z1402" s="5">
        <f>IF(D1402="","",AB1402*AA1402/100)</f>
        <v/>
      </c>
      <c r="AA1402" s="5">
        <f>IF(D1402="","",X1402-Y1402)</f>
        <v/>
      </c>
      <c r="AD1402" s="5">
        <f>IF(D1402="","",AA1402-Z1402)</f>
        <v/>
      </c>
      <c r="AG1402">
        <f>IF(D1402="","",N(AG1401)+IF(MATCH(D1402,$D$2:$D$3001,0)=ROW()-1,1,0))</f>
        <v/>
      </c>
    </row>
    <row r="1403">
      <c r="Y1403" s="5">
        <f>IF(D1403="","",X1403*IF(AND(ISNUMBER(AC1403),AC1403&gt;0,AC1403&lt;1),AC1403*100,AC1403)/100)</f>
        <v/>
      </c>
      <c r="Z1403" s="5">
        <f>IF(D1403="","",AB1403*AA1403/100)</f>
        <v/>
      </c>
      <c r="AA1403" s="5">
        <f>IF(D1403="","",X1403-Y1403)</f>
        <v/>
      </c>
      <c r="AD1403" s="5">
        <f>IF(D1403="","",AA1403-Z1403)</f>
        <v/>
      </c>
      <c r="AG1403">
        <f>IF(D1403="","",N(AG1402)+IF(MATCH(D1403,$D$2:$D$3001,0)=ROW()-1,1,0))</f>
        <v/>
      </c>
    </row>
    <row r="1404">
      <c r="Y1404" s="5">
        <f>IF(D1404="","",X1404*IF(AND(ISNUMBER(AC1404),AC1404&gt;0,AC1404&lt;1),AC1404*100,AC1404)/100)</f>
        <v/>
      </c>
      <c r="Z1404" s="5">
        <f>IF(D1404="","",AB1404*AA1404/100)</f>
        <v/>
      </c>
      <c r="AA1404" s="5">
        <f>IF(D1404="","",X1404-Y1404)</f>
        <v/>
      </c>
      <c r="AD1404" s="5">
        <f>IF(D1404="","",AA1404-Z1404)</f>
        <v/>
      </c>
      <c r="AG1404">
        <f>IF(D1404="","",N(AG1403)+IF(MATCH(D1404,$D$2:$D$3001,0)=ROW()-1,1,0))</f>
        <v/>
      </c>
    </row>
    <row r="1405">
      <c r="Y1405" s="5">
        <f>IF(D1405="","",X1405*IF(AND(ISNUMBER(AC1405),AC1405&gt;0,AC1405&lt;1),AC1405*100,AC1405)/100)</f>
        <v/>
      </c>
      <c r="Z1405" s="5">
        <f>IF(D1405="","",AB1405*AA1405/100)</f>
        <v/>
      </c>
      <c r="AA1405" s="5">
        <f>IF(D1405="","",X1405-Y1405)</f>
        <v/>
      </c>
      <c r="AD1405" s="5">
        <f>IF(D1405="","",AA1405-Z1405)</f>
        <v/>
      </c>
      <c r="AG1405">
        <f>IF(D1405="","",N(AG1404)+IF(MATCH(D1405,$D$2:$D$3001,0)=ROW()-1,1,0))</f>
        <v/>
      </c>
    </row>
    <row r="1406">
      <c r="Y1406" s="5">
        <f>IF(D1406="","",X1406*IF(AND(ISNUMBER(AC1406),AC1406&gt;0,AC1406&lt;1),AC1406*100,AC1406)/100)</f>
        <v/>
      </c>
      <c r="Z1406" s="5">
        <f>IF(D1406="","",AB1406*AA1406/100)</f>
        <v/>
      </c>
      <c r="AA1406" s="5">
        <f>IF(D1406="","",X1406-Y1406)</f>
        <v/>
      </c>
      <c r="AD1406" s="5">
        <f>IF(D1406="","",AA1406-Z1406)</f>
        <v/>
      </c>
      <c r="AG1406">
        <f>IF(D1406="","",N(AG1405)+IF(MATCH(D1406,$D$2:$D$3001,0)=ROW()-1,1,0))</f>
        <v/>
      </c>
    </row>
    <row r="1407">
      <c r="Y1407" s="5">
        <f>IF(D1407="","",X1407*IF(AND(ISNUMBER(AC1407),AC1407&gt;0,AC1407&lt;1),AC1407*100,AC1407)/100)</f>
        <v/>
      </c>
      <c r="Z1407" s="5">
        <f>IF(D1407="","",AB1407*AA1407/100)</f>
        <v/>
      </c>
      <c r="AA1407" s="5">
        <f>IF(D1407="","",X1407-Y1407)</f>
        <v/>
      </c>
      <c r="AD1407" s="5">
        <f>IF(D1407="","",AA1407-Z1407)</f>
        <v/>
      </c>
      <c r="AG1407">
        <f>IF(D1407="","",N(AG1406)+IF(MATCH(D1407,$D$2:$D$3001,0)=ROW()-1,1,0))</f>
        <v/>
      </c>
    </row>
    <row r="1408">
      <c r="Y1408" s="5">
        <f>IF(D1408="","",X1408*IF(AND(ISNUMBER(AC1408),AC1408&gt;0,AC1408&lt;1),AC1408*100,AC1408)/100)</f>
        <v/>
      </c>
      <c r="Z1408" s="5">
        <f>IF(D1408="","",AB1408*AA1408/100)</f>
        <v/>
      </c>
      <c r="AA1408" s="5">
        <f>IF(D1408="","",X1408-Y1408)</f>
        <v/>
      </c>
      <c r="AD1408" s="5">
        <f>IF(D1408="","",AA1408-Z1408)</f>
        <v/>
      </c>
      <c r="AG1408">
        <f>IF(D1408="","",N(AG1407)+IF(MATCH(D1408,$D$2:$D$3001,0)=ROW()-1,1,0))</f>
        <v/>
      </c>
    </row>
    <row r="1409">
      <c r="Y1409" s="5">
        <f>IF(D1409="","",X1409*IF(AND(ISNUMBER(AC1409),AC1409&gt;0,AC1409&lt;1),AC1409*100,AC1409)/100)</f>
        <v/>
      </c>
      <c r="Z1409" s="5">
        <f>IF(D1409="","",AB1409*AA1409/100)</f>
        <v/>
      </c>
      <c r="AA1409" s="5">
        <f>IF(D1409="","",X1409-Y1409)</f>
        <v/>
      </c>
      <c r="AD1409" s="5">
        <f>IF(D1409="","",AA1409-Z1409)</f>
        <v/>
      </c>
      <c r="AG1409">
        <f>IF(D1409="","",N(AG1408)+IF(MATCH(D1409,$D$2:$D$3001,0)=ROW()-1,1,0))</f>
        <v/>
      </c>
    </row>
    <row r="1410">
      <c r="Y1410" s="5">
        <f>IF(D1410="","",X1410*IF(AND(ISNUMBER(AC1410),AC1410&gt;0,AC1410&lt;1),AC1410*100,AC1410)/100)</f>
        <v/>
      </c>
      <c r="Z1410" s="5">
        <f>IF(D1410="","",AB1410*AA1410/100)</f>
        <v/>
      </c>
      <c r="AA1410" s="5">
        <f>IF(D1410="","",X1410-Y1410)</f>
        <v/>
      </c>
      <c r="AD1410" s="5">
        <f>IF(D1410="","",AA1410-Z1410)</f>
        <v/>
      </c>
      <c r="AG1410">
        <f>IF(D1410="","",N(AG1409)+IF(MATCH(D1410,$D$2:$D$3001,0)=ROW()-1,1,0))</f>
        <v/>
      </c>
    </row>
    <row r="1411">
      <c r="Y1411" s="5">
        <f>IF(D1411="","",X1411*IF(AND(ISNUMBER(AC1411),AC1411&gt;0,AC1411&lt;1),AC1411*100,AC1411)/100)</f>
        <v/>
      </c>
      <c r="Z1411" s="5">
        <f>IF(D1411="","",AB1411*AA1411/100)</f>
        <v/>
      </c>
      <c r="AA1411" s="5">
        <f>IF(D1411="","",X1411-Y1411)</f>
        <v/>
      </c>
      <c r="AD1411" s="5">
        <f>IF(D1411="","",AA1411-Z1411)</f>
        <v/>
      </c>
      <c r="AG1411">
        <f>IF(D1411="","",N(AG1410)+IF(MATCH(D1411,$D$2:$D$3001,0)=ROW()-1,1,0))</f>
        <v/>
      </c>
    </row>
    <row r="1412">
      <c r="Y1412" s="5">
        <f>IF(D1412="","",X1412*IF(AND(ISNUMBER(AC1412),AC1412&gt;0,AC1412&lt;1),AC1412*100,AC1412)/100)</f>
        <v/>
      </c>
      <c r="Z1412" s="5">
        <f>IF(D1412="","",AB1412*AA1412/100)</f>
        <v/>
      </c>
      <c r="AA1412" s="5">
        <f>IF(D1412="","",X1412-Y1412)</f>
        <v/>
      </c>
      <c r="AD1412" s="5">
        <f>IF(D1412="","",AA1412-Z1412)</f>
        <v/>
      </c>
      <c r="AG1412">
        <f>IF(D1412="","",N(AG1411)+IF(MATCH(D1412,$D$2:$D$3001,0)=ROW()-1,1,0))</f>
        <v/>
      </c>
    </row>
    <row r="1413">
      <c r="Y1413" s="5">
        <f>IF(D1413="","",X1413*IF(AND(ISNUMBER(AC1413),AC1413&gt;0,AC1413&lt;1),AC1413*100,AC1413)/100)</f>
        <v/>
      </c>
      <c r="Z1413" s="5">
        <f>IF(D1413="","",AB1413*AA1413/100)</f>
        <v/>
      </c>
      <c r="AA1413" s="5">
        <f>IF(D1413="","",X1413-Y1413)</f>
        <v/>
      </c>
      <c r="AD1413" s="5">
        <f>IF(D1413="","",AA1413-Z1413)</f>
        <v/>
      </c>
      <c r="AG1413">
        <f>IF(D1413="","",N(AG1412)+IF(MATCH(D1413,$D$2:$D$3001,0)=ROW()-1,1,0))</f>
        <v/>
      </c>
    </row>
    <row r="1414">
      <c r="Y1414" s="5">
        <f>IF(D1414="","",X1414*IF(AND(ISNUMBER(AC1414),AC1414&gt;0,AC1414&lt;1),AC1414*100,AC1414)/100)</f>
        <v/>
      </c>
      <c r="Z1414" s="5">
        <f>IF(D1414="","",AB1414*AA1414/100)</f>
        <v/>
      </c>
      <c r="AA1414" s="5">
        <f>IF(D1414="","",X1414-Y1414)</f>
        <v/>
      </c>
      <c r="AD1414" s="5">
        <f>IF(D1414="","",AA1414-Z1414)</f>
        <v/>
      </c>
      <c r="AG1414">
        <f>IF(D1414="","",N(AG1413)+IF(MATCH(D1414,$D$2:$D$3001,0)=ROW()-1,1,0))</f>
        <v/>
      </c>
    </row>
    <row r="1415">
      <c r="Y1415" s="5">
        <f>IF(D1415="","",X1415*IF(AND(ISNUMBER(AC1415),AC1415&gt;0,AC1415&lt;1),AC1415*100,AC1415)/100)</f>
        <v/>
      </c>
      <c r="Z1415" s="5">
        <f>IF(D1415="","",AB1415*AA1415/100)</f>
        <v/>
      </c>
      <c r="AA1415" s="5">
        <f>IF(D1415="","",X1415-Y1415)</f>
        <v/>
      </c>
      <c r="AD1415" s="5">
        <f>IF(D1415="","",AA1415-Z1415)</f>
        <v/>
      </c>
      <c r="AG1415">
        <f>IF(D1415="","",N(AG1414)+IF(MATCH(D1415,$D$2:$D$3001,0)=ROW()-1,1,0))</f>
        <v/>
      </c>
    </row>
    <row r="1416">
      <c r="Y1416" s="5">
        <f>IF(D1416="","",X1416*IF(AND(ISNUMBER(AC1416),AC1416&gt;0,AC1416&lt;1),AC1416*100,AC1416)/100)</f>
        <v/>
      </c>
      <c r="Z1416" s="5">
        <f>IF(D1416="","",AB1416*AA1416/100)</f>
        <v/>
      </c>
      <c r="AA1416" s="5">
        <f>IF(D1416="","",X1416-Y1416)</f>
        <v/>
      </c>
      <c r="AD1416" s="5">
        <f>IF(D1416="","",AA1416-Z1416)</f>
        <v/>
      </c>
      <c r="AG1416">
        <f>IF(D1416="","",N(AG1415)+IF(MATCH(D1416,$D$2:$D$3001,0)=ROW()-1,1,0))</f>
        <v/>
      </c>
    </row>
    <row r="1417">
      <c r="Y1417" s="5">
        <f>IF(D1417="","",X1417*IF(AND(ISNUMBER(AC1417),AC1417&gt;0,AC1417&lt;1),AC1417*100,AC1417)/100)</f>
        <v/>
      </c>
      <c r="Z1417" s="5">
        <f>IF(D1417="","",AB1417*AA1417/100)</f>
        <v/>
      </c>
      <c r="AA1417" s="5">
        <f>IF(D1417="","",X1417-Y1417)</f>
        <v/>
      </c>
      <c r="AD1417" s="5">
        <f>IF(D1417="","",AA1417-Z1417)</f>
        <v/>
      </c>
      <c r="AG1417">
        <f>IF(D1417="","",N(AG1416)+IF(MATCH(D1417,$D$2:$D$3001,0)=ROW()-1,1,0))</f>
        <v/>
      </c>
    </row>
    <row r="1418">
      <c r="Y1418" s="5">
        <f>IF(D1418="","",X1418*IF(AND(ISNUMBER(AC1418),AC1418&gt;0,AC1418&lt;1),AC1418*100,AC1418)/100)</f>
        <v/>
      </c>
      <c r="Z1418" s="5">
        <f>IF(D1418="","",AB1418*AA1418/100)</f>
        <v/>
      </c>
      <c r="AA1418" s="5">
        <f>IF(D1418="","",X1418-Y1418)</f>
        <v/>
      </c>
      <c r="AD1418" s="5">
        <f>IF(D1418="","",AA1418-Z1418)</f>
        <v/>
      </c>
      <c r="AG1418">
        <f>IF(D1418="","",N(AG1417)+IF(MATCH(D1418,$D$2:$D$3001,0)=ROW()-1,1,0))</f>
        <v/>
      </c>
    </row>
    <row r="1419">
      <c r="Y1419" s="5">
        <f>IF(D1419="","",X1419*IF(AND(ISNUMBER(AC1419),AC1419&gt;0,AC1419&lt;1),AC1419*100,AC1419)/100)</f>
        <v/>
      </c>
      <c r="Z1419" s="5">
        <f>IF(D1419="","",AB1419*AA1419/100)</f>
        <v/>
      </c>
      <c r="AA1419" s="5">
        <f>IF(D1419="","",X1419-Y1419)</f>
        <v/>
      </c>
      <c r="AD1419" s="5">
        <f>IF(D1419="","",AA1419-Z1419)</f>
        <v/>
      </c>
      <c r="AG1419">
        <f>IF(D1419="","",N(AG1418)+IF(MATCH(D1419,$D$2:$D$3001,0)=ROW()-1,1,0))</f>
        <v/>
      </c>
    </row>
    <row r="1420">
      <c r="Y1420" s="5">
        <f>IF(D1420="","",X1420*IF(AND(ISNUMBER(AC1420),AC1420&gt;0,AC1420&lt;1),AC1420*100,AC1420)/100)</f>
        <v/>
      </c>
      <c r="Z1420" s="5">
        <f>IF(D1420="","",AB1420*AA1420/100)</f>
        <v/>
      </c>
      <c r="AA1420" s="5">
        <f>IF(D1420="","",X1420-Y1420)</f>
        <v/>
      </c>
      <c r="AD1420" s="5">
        <f>IF(D1420="","",AA1420-Z1420)</f>
        <v/>
      </c>
      <c r="AG1420">
        <f>IF(D1420="","",N(AG1419)+IF(MATCH(D1420,$D$2:$D$3001,0)=ROW()-1,1,0))</f>
        <v/>
      </c>
    </row>
    <row r="1421">
      <c r="Y1421" s="5">
        <f>IF(D1421="","",X1421*IF(AND(ISNUMBER(AC1421),AC1421&gt;0,AC1421&lt;1),AC1421*100,AC1421)/100)</f>
        <v/>
      </c>
      <c r="Z1421" s="5">
        <f>IF(D1421="","",AB1421*AA1421/100)</f>
        <v/>
      </c>
      <c r="AA1421" s="5">
        <f>IF(D1421="","",X1421-Y1421)</f>
        <v/>
      </c>
      <c r="AD1421" s="5">
        <f>IF(D1421="","",AA1421-Z1421)</f>
        <v/>
      </c>
      <c r="AG1421">
        <f>IF(D1421="","",N(AG1420)+IF(MATCH(D1421,$D$2:$D$3001,0)=ROW()-1,1,0))</f>
        <v/>
      </c>
    </row>
    <row r="1422">
      <c r="Y1422" s="5">
        <f>IF(D1422="","",X1422*IF(AND(ISNUMBER(AC1422),AC1422&gt;0,AC1422&lt;1),AC1422*100,AC1422)/100)</f>
        <v/>
      </c>
      <c r="Z1422" s="5">
        <f>IF(D1422="","",AB1422*AA1422/100)</f>
        <v/>
      </c>
      <c r="AA1422" s="5">
        <f>IF(D1422="","",X1422-Y1422)</f>
        <v/>
      </c>
      <c r="AD1422" s="5">
        <f>IF(D1422="","",AA1422-Z1422)</f>
        <v/>
      </c>
      <c r="AG1422">
        <f>IF(D1422="","",N(AG1421)+IF(MATCH(D1422,$D$2:$D$3001,0)=ROW()-1,1,0))</f>
        <v/>
      </c>
    </row>
    <row r="1423">
      <c r="Y1423" s="5">
        <f>IF(D1423="","",X1423*IF(AND(ISNUMBER(AC1423),AC1423&gt;0,AC1423&lt;1),AC1423*100,AC1423)/100)</f>
        <v/>
      </c>
      <c r="Z1423" s="5">
        <f>IF(D1423="","",AB1423*AA1423/100)</f>
        <v/>
      </c>
      <c r="AA1423" s="5">
        <f>IF(D1423="","",X1423-Y1423)</f>
        <v/>
      </c>
      <c r="AD1423" s="5">
        <f>IF(D1423="","",AA1423-Z1423)</f>
        <v/>
      </c>
      <c r="AG1423">
        <f>IF(D1423="","",N(AG1422)+IF(MATCH(D1423,$D$2:$D$3001,0)=ROW()-1,1,0))</f>
        <v/>
      </c>
    </row>
    <row r="1424">
      <c r="Y1424" s="5">
        <f>IF(D1424="","",X1424*IF(AND(ISNUMBER(AC1424),AC1424&gt;0,AC1424&lt;1),AC1424*100,AC1424)/100)</f>
        <v/>
      </c>
      <c r="Z1424" s="5">
        <f>IF(D1424="","",AB1424*AA1424/100)</f>
        <v/>
      </c>
      <c r="AA1424" s="5">
        <f>IF(D1424="","",X1424-Y1424)</f>
        <v/>
      </c>
      <c r="AD1424" s="5">
        <f>IF(D1424="","",AA1424-Z1424)</f>
        <v/>
      </c>
      <c r="AG1424">
        <f>IF(D1424="","",N(AG1423)+IF(MATCH(D1424,$D$2:$D$3001,0)=ROW()-1,1,0))</f>
        <v/>
      </c>
    </row>
    <row r="1425">
      <c r="Y1425" s="5">
        <f>IF(D1425="","",X1425*IF(AND(ISNUMBER(AC1425),AC1425&gt;0,AC1425&lt;1),AC1425*100,AC1425)/100)</f>
        <v/>
      </c>
      <c r="Z1425" s="5">
        <f>IF(D1425="","",AB1425*AA1425/100)</f>
        <v/>
      </c>
      <c r="AA1425" s="5">
        <f>IF(D1425="","",X1425-Y1425)</f>
        <v/>
      </c>
      <c r="AD1425" s="5">
        <f>IF(D1425="","",AA1425-Z1425)</f>
        <v/>
      </c>
      <c r="AG1425">
        <f>IF(D1425="","",N(AG1424)+IF(MATCH(D1425,$D$2:$D$3001,0)=ROW()-1,1,0))</f>
        <v/>
      </c>
    </row>
    <row r="1426">
      <c r="Y1426" s="5">
        <f>IF(D1426="","",X1426*IF(AND(ISNUMBER(AC1426),AC1426&gt;0,AC1426&lt;1),AC1426*100,AC1426)/100)</f>
        <v/>
      </c>
      <c r="Z1426" s="5">
        <f>IF(D1426="","",AB1426*AA1426/100)</f>
        <v/>
      </c>
      <c r="AA1426" s="5">
        <f>IF(D1426="","",X1426-Y1426)</f>
        <v/>
      </c>
      <c r="AD1426" s="5">
        <f>IF(D1426="","",AA1426-Z1426)</f>
        <v/>
      </c>
      <c r="AG1426">
        <f>IF(D1426="","",N(AG1425)+IF(MATCH(D1426,$D$2:$D$3001,0)=ROW()-1,1,0))</f>
        <v/>
      </c>
    </row>
    <row r="1427">
      <c r="Y1427" s="5">
        <f>IF(D1427="","",X1427*IF(AND(ISNUMBER(AC1427),AC1427&gt;0,AC1427&lt;1),AC1427*100,AC1427)/100)</f>
        <v/>
      </c>
      <c r="Z1427" s="5">
        <f>IF(D1427="","",AB1427*AA1427/100)</f>
        <v/>
      </c>
      <c r="AA1427" s="5">
        <f>IF(D1427="","",X1427-Y1427)</f>
        <v/>
      </c>
      <c r="AD1427" s="5">
        <f>IF(D1427="","",AA1427-Z1427)</f>
        <v/>
      </c>
      <c r="AG1427">
        <f>IF(D1427="","",N(AG1426)+IF(MATCH(D1427,$D$2:$D$3001,0)=ROW()-1,1,0))</f>
        <v/>
      </c>
    </row>
    <row r="1428">
      <c r="Y1428" s="5">
        <f>IF(D1428="","",X1428*IF(AND(ISNUMBER(AC1428),AC1428&gt;0,AC1428&lt;1),AC1428*100,AC1428)/100)</f>
        <v/>
      </c>
      <c r="Z1428" s="5">
        <f>IF(D1428="","",AB1428*AA1428/100)</f>
        <v/>
      </c>
      <c r="AA1428" s="5">
        <f>IF(D1428="","",X1428-Y1428)</f>
        <v/>
      </c>
      <c r="AD1428" s="5">
        <f>IF(D1428="","",AA1428-Z1428)</f>
        <v/>
      </c>
      <c r="AG1428">
        <f>IF(D1428="","",N(AG1427)+IF(MATCH(D1428,$D$2:$D$3001,0)=ROW()-1,1,0))</f>
        <v/>
      </c>
    </row>
    <row r="1429">
      <c r="Y1429" s="5">
        <f>IF(D1429="","",X1429*IF(AND(ISNUMBER(AC1429),AC1429&gt;0,AC1429&lt;1),AC1429*100,AC1429)/100)</f>
        <v/>
      </c>
      <c r="Z1429" s="5">
        <f>IF(D1429="","",AB1429*AA1429/100)</f>
        <v/>
      </c>
      <c r="AA1429" s="5">
        <f>IF(D1429="","",X1429-Y1429)</f>
        <v/>
      </c>
      <c r="AD1429" s="5">
        <f>IF(D1429="","",AA1429-Z1429)</f>
        <v/>
      </c>
      <c r="AG1429">
        <f>IF(D1429="","",N(AG1428)+IF(MATCH(D1429,$D$2:$D$3001,0)=ROW()-1,1,0))</f>
        <v/>
      </c>
    </row>
    <row r="1430">
      <c r="Y1430" s="5">
        <f>IF(D1430="","",X1430*IF(AND(ISNUMBER(AC1430),AC1430&gt;0,AC1430&lt;1),AC1430*100,AC1430)/100)</f>
        <v/>
      </c>
      <c r="Z1430" s="5">
        <f>IF(D1430="","",AB1430*AA1430/100)</f>
        <v/>
      </c>
      <c r="AA1430" s="5">
        <f>IF(D1430="","",X1430-Y1430)</f>
        <v/>
      </c>
      <c r="AD1430" s="5">
        <f>IF(D1430="","",AA1430-Z1430)</f>
        <v/>
      </c>
      <c r="AG1430">
        <f>IF(D1430="","",N(AG1429)+IF(MATCH(D1430,$D$2:$D$3001,0)=ROW()-1,1,0))</f>
        <v/>
      </c>
    </row>
    <row r="1431">
      <c r="Y1431" s="5">
        <f>IF(D1431="","",X1431*IF(AND(ISNUMBER(AC1431),AC1431&gt;0,AC1431&lt;1),AC1431*100,AC1431)/100)</f>
        <v/>
      </c>
      <c r="Z1431" s="5">
        <f>IF(D1431="","",AB1431*AA1431/100)</f>
        <v/>
      </c>
      <c r="AA1431" s="5">
        <f>IF(D1431="","",X1431-Y1431)</f>
        <v/>
      </c>
      <c r="AD1431" s="5">
        <f>IF(D1431="","",AA1431-Z1431)</f>
        <v/>
      </c>
      <c r="AG1431">
        <f>IF(D1431="","",N(AG1430)+IF(MATCH(D1431,$D$2:$D$3001,0)=ROW()-1,1,0))</f>
        <v/>
      </c>
    </row>
    <row r="1432">
      <c r="Y1432" s="5">
        <f>IF(D1432="","",X1432*IF(AND(ISNUMBER(AC1432),AC1432&gt;0,AC1432&lt;1),AC1432*100,AC1432)/100)</f>
        <v/>
      </c>
      <c r="Z1432" s="5">
        <f>IF(D1432="","",AB1432*AA1432/100)</f>
        <v/>
      </c>
      <c r="AA1432" s="5">
        <f>IF(D1432="","",X1432-Y1432)</f>
        <v/>
      </c>
      <c r="AD1432" s="5">
        <f>IF(D1432="","",AA1432-Z1432)</f>
        <v/>
      </c>
      <c r="AG1432">
        <f>IF(D1432="","",N(AG1431)+IF(MATCH(D1432,$D$2:$D$3001,0)=ROW()-1,1,0))</f>
        <v/>
      </c>
    </row>
    <row r="1433">
      <c r="Y1433" s="5">
        <f>IF(D1433="","",X1433*IF(AND(ISNUMBER(AC1433),AC1433&gt;0,AC1433&lt;1),AC1433*100,AC1433)/100)</f>
        <v/>
      </c>
      <c r="Z1433" s="5">
        <f>IF(D1433="","",AB1433*AA1433/100)</f>
        <v/>
      </c>
      <c r="AA1433" s="5">
        <f>IF(D1433="","",X1433-Y1433)</f>
        <v/>
      </c>
      <c r="AD1433" s="5">
        <f>IF(D1433="","",AA1433-Z1433)</f>
        <v/>
      </c>
      <c r="AG1433">
        <f>IF(D1433="","",N(AG1432)+IF(MATCH(D1433,$D$2:$D$3001,0)=ROW()-1,1,0))</f>
        <v/>
      </c>
    </row>
    <row r="1434">
      <c r="Y1434" s="5">
        <f>IF(D1434="","",X1434*IF(AND(ISNUMBER(AC1434),AC1434&gt;0,AC1434&lt;1),AC1434*100,AC1434)/100)</f>
        <v/>
      </c>
      <c r="Z1434" s="5">
        <f>IF(D1434="","",AB1434*AA1434/100)</f>
        <v/>
      </c>
      <c r="AA1434" s="5">
        <f>IF(D1434="","",X1434-Y1434)</f>
        <v/>
      </c>
      <c r="AD1434" s="5">
        <f>IF(D1434="","",AA1434-Z1434)</f>
        <v/>
      </c>
      <c r="AG1434">
        <f>IF(D1434="","",N(AG1433)+IF(MATCH(D1434,$D$2:$D$3001,0)=ROW()-1,1,0))</f>
        <v/>
      </c>
    </row>
    <row r="1435">
      <c r="Y1435" s="5">
        <f>IF(D1435="","",X1435*IF(AND(ISNUMBER(AC1435),AC1435&gt;0,AC1435&lt;1),AC1435*100,AC1435)/100)</f>
        <v/>
      </c>
      <c r="Z1435" s="5">
        <f>IF(D1435="","",AB1435*AA1435/100)</f>
        <v/>
      </c>
      <c r="AA1435" s="5">
        <f>IF(D1435="","",X1435-Y1435)</f>
        <v/>
      </c>
      <c r="AD1435" s="5">
        <f>IF(D1435="","",AA1435-Z1435)</f>
        <v/>
      </c>
      <c r="AG1435">
        <f>IF(D1435="","",N(AG1434)+IF(MATCH(D1435,$D$2:$D$3001,0)=ROW()-1,1,0))</f>
        <v/>
      </c>
    </row>
    <row r="1436">
      <c r="Y1436" s="5">
        <f>IF(D1436="","",X1436*IF(AND(ISNUMBER(AC1436),AC1436&gt;0,AC1436&lt;1),AC1436*100,AC1436)/100)</f>
        <v/>
      </c>
      <c r="Z1436" s="5">
        <f>IF(D1436="","",AB1436*AA1436/100)</f>
        <v/>
      </c>
      <c r="AA1436" s="5">
        <f>IF(D1436="","",X1436-Y1436)</f>
        <v/>
      </c>
      <c r="AD1436" s="5">
        <f>IF(D1436="","",AA1436-Z1436)</f>
        <v/>
      </c>
      <c r="AG1436">
        <f>IF(D1436="","",N(AG1435)+IF(MATCH(D1436,$D$2:$D$3001,0)=ROW()-1,1,0))</f>
        <v/>
      </c>
    </row>
    <row r="1437">
      <c r="Y1437" s="5">
        <f>IF(D1437="","",X1437*IF(AND(ISNUMBER(AC1437),AC1437&gt;0,AC1437&lt;1),AC1437*100,AC1437)/100)</f>
        <v/>
      </c>
      <c r="Z1437" s="5">
        <f>IF(D1437="","",AB1437*AA1437/100)</f>
        <v/>
      </c>
      <c r="AA1437" s="5">
        <f>IF(D1437="","",X1437-Y1437)</f>
        <v/>
      </c>
      <c r="AD1437" s="5">
        <f>IF(D1437="","",AA1437-Z1437)</f>
        <v/>
      </c>
      <c r="AG1437">
        <f>IF(D1437="","",N(AG1436)+IF(MATCH(D1437,$D$2:$D$3001,0)=ROW()-1,1,0))</f>
        <v/>
      </c>
    </row>
    <row r="1438">
      <c r="Y1438" s="5">
        <f>IF(D1438="","",X1438*IF(AND(ISNUMBER(AC1438),AC1438&gt;0,AC1438&lt;1),AC1438*100,AC1438)/100)</f>
        <v/>
      </c>
      <c r="Z1438" s="5">
        <f>IF(D1438="","",AB1438*AA1438/100)</f>
        <v/>
      </c>
      <c r="AA1438" s="5">
        <f>IF(D1438="","",X1438-Y1438)</f>
        <v/>
      </c>
      <c r="AD1438" s="5">
        <f>IF(D1438="","",AA1438-Z1438)</f>
        <v/>
      </c>
      <c r="AG1438">
        <f>IF(D1438="","",N(AG1437)+IF(MATCH(D1438,$D$2:$D$3001,0)=ROW()-1,1,0))</f>
        <v/>
      </c>
    </row>
    <row r="1439">
      <c r="Y1439" s="5">
        <f>IF(D1439="","",X1439*IF(AND(ISNUMBER(AC1439),AC1439&gt;0,AC1439&lt;1),AC1439*100,AC1439)/100)</f>
        <v/>
      </c>
      <c r="Z1439" s="5">
        <f>IF(D1439="","",AB1439*AA1439/100)</f>
        <v/>
      </c>
      <c r="AA1439" s="5">
        <f>IF(D1439="","",X1439-Y1439)</f>
        <v/>
      </c>
      <c r="AD1439" s="5">
        <f>IF(D1439="","",AA1439-Z1439)</f>
        <v/>
      </c>
      <c r="AG1439">
        <f>IF(D1439="","",N(AG1438)+IF(MATCH(D1439,$D$2:$D$3001,0)=ROW()-1,1,0))</f>
        <v/>
      </c>
    </row>
    <row r="1440">
      <c r="Y1440" s="5">
        <f>IF(D1440="","",X1440*IF(AND(ISNUMBER(AC1440),AC1440&gt;0,AC1440&lt;1),AC1440*100,AC1440)/100)</f>
        <v/>
      </c>
      <c r="Z1440" s="5">
        <f>IF(D1440="","",AB1440*AA1440/100)</f>
        <v/>
      </c>
      <c r="AA1440" s="5">
        <f>IF(D1440="","",X1440-Y1440)</f>
        <v/>
      </c>
      <c r="AD1440" s="5">
        <f>IF(D1440="","",AA1440-Z1440)</f>
        <v/>
      </c>
      <c r="AG1440">
        <f>IF(D1440="","",N(AG1439)+IF(MATCH(D1440,$D$2:$D$3001,0)=ROW()-1,1,0))</f>
        <v/>
      </c>
    </row>
    <row r="1441">
      <c r="Y1441" s="5">
        <f>IF(D1441="","",X1441*IF(AND(ISNUMBER(AC1441),AC1441&gt;0,AC1441&lt;1),AC1441*100,AC1441)/100)</f>
        <v/>
      </c>
      <c r="Z1441" s="5">
        <f>IF(D1441="","",AB1441*AA1441/100)</f>
        <v/>
      </c>
      <c r="AA1441" s="5">
        <f>IF(D1441="","",X1441-Y1441)</f>
        <v/>
      </c>
      <c r="AD1441" s="5">
        <f>IF(D1441="","",AA1441-Z1441)</f>
        <v/>
      </c>
      <c r="AG1441">
        <f>IF(D1441="","",N(AG1440)+IF(MATCH(D1441,$D$2:$D$3001,0)=ROW()-1,1,0))</f>
        <v/>
      </c>
    </row>
    <row r="1442">
      <c r="Y1442" s="5">
        <f>IF(D1442="","",X1442*IF(AND(ISNUMBER(AC1442),AC1442&gt;0,AC1442&lt;1),AC1442*100,AC1442)/100)</f>
        <v/>
      </c>
      <c r="Z1442" s="5">
        <f>IF(D1442="","",AB1442*AA1442/100)</f>
        <v/>
      </c>
      <c r="AA1442" s="5">
        <f>IF(D1442="","",X1442-Y1442)</f>
        <v/>
      </c>
      <c r="AD1442" s="5">
        <f>IF(D1442="","",AA1442-Z1442)</f>
        <v/>
      </c>
      <c r="AG1442">
        <f>IF(D1442="","",N(AG1441)+IF(MATCH(D1442,$D$2:$D$3001,0)=ROW()-1,1,0))</f>
        <v/>
      </c>
    </row>
    <row r="1443">
      <c r="Y1443" s="5">
        <f>IF(D1443="","",X1443*IF(AND(ISNUMBER(AC1443),AC1443&gt;0,AC1443&lt;1),AC1443*100,AC1443)/100)</f>
        <v/>
      </c>
      <c r="Z1443" s="5">
        <f>IF(D1443="","",AB1443*AA1443/100)</f>
        <v/>
      </c>
      <c r="AA1443" s="5">
        <f>IF(D1443="","",X1443-Y1443)</f>
        <v/>
      </c>
      <c r="AD1443" s="5">
        <f>IF(D1443="","",AA1443-Z1443)</f>
        <v/>
      </c>
      <c r="AG1443">
        <f>IF(D1443="","",N(AG1442)+IF(MATCH(D1443,$D$2:$D$3001,0)=ROW()-1,1,0))</f>
        <v/>
      </c>
    </row>
    <row r="1444">
      <c r="Y1444" s="5">
        <f>IF(D1444="","",X1444*IF(AND(ISNUMBER(AC1444),AC1444&gt;0,AC1444&lt;1),AC1444*100,AC1444)/100)</f>
        <v/>
      </c>
      <c r="Z1444" s="5">
        <f>IF(D1444="","",AB1444*AA1444/100)</f>
        <v/>
      </c>
      <c r="AA1444" s="5">
        <f>IF(D1444="","",X1444-Y1444)</f>
        <v/>
      </c>
      <c r="AD1444" s="5">
        <f>IF(D1444="","",AA1444-Z1444)</f>
        <v/>
      </c>
      <c r="AG1444">
        <f>IF(D1444="","",N(AG1443)+IF(MATCH(D1444,$D$2:$D$3001,0)=ROW()-1,1,0))</f>
        <v/>
      </c>
    </row>
    <row r="1445">
      <c r="Y1445" s="5">
        <f>IF(D1445="","",X1445*IF(AND(ISNUMBER(AC1445),AC1445&gt;0,AC1445&lt;1),AC1445*100,AC1445)/100)</f>
        <v/>
      </c>
      <c r="Z1445" s="5">
        <f>IF(D1445="","",AB1445*AA1445/100)</f>
        <v/>
      </c>
      <c r="AA1445" s="5">
        <f>IF(D1445="","",X1445-Y1445)</f>
        <v/>
      </c>
      <c r="AD1445" s="5">
        <f>IF(D1445="","",AA1445-Z1445)</f>
        <v/>
      </c>
      <c r="AG1445">
        <f>IF(D1445="","",N(AG1444)+IF(MATCH(D1445,$D$2:$D$3001,0)=ROW()-1,1,0))</f>
        <v/>
      </c>
    </row>
    <row r="1446">
      <c r="Y1446" s="5">
        <f>IF(D1446="","",X1446*IF(AND(ISNUMBER(AC1446),AC1446&gt;0,AC1446&lt;1),AC1446*100,AC1446)/100)</f>
        <v/>
      </c>
      <c r="Z1446" s="5">
        <f>IF(D1446="","",AB1446*AA1446/100)</f>
        <v/>
      </c>
      <c r="AA1446" s="5">
        <f>IF(D1446="","",X1446-Y1446)</f>
        <v/>
      </c>
      <c r="AD1446" s="5">
        <f>IF(D1446="","",AA1446-Z1446)</f>
        <v/>
      </c>
      <c r="AG1446">
        <f>IF(D1446="","",N(AG1445)+IF(MATCH(D1446,$D$2:$D$3001,0)=ROW()-1,1,0))</f>
        <v/>
      </c>
    </row>
    <row r="1447">
      <c r="Y1447" s="5">
        <f>IF(D1447="","",X1447*IF(AND(ISNUMBER(AC1447),AC1447&gt;0,AC1447&lt;1),AC1447*100,AC1447)/100)</f>
        <v/>
      </c>
      <c r="Z1447" s="5">
        <f>IF(D1447="","",AB1447*AA1447/100)</f>
        <v/>
      </c>
      <c r="AA1447" s="5">
        <f>IF(D1447="","",X1447-Y1447)</f>
        <v/>
      </c>
      <c r="AD1447" s="5">
        <f>IF(D1447="","",AA1447-Z1447)</f>
        <v/>
      </c>
      <c r="AG1447">
        <f>IF(D1447="","",N(AG1446)+IF(MATCH(D1447,$D$2:$D$3001,0)=ROW()-1,1,0))</f>
        <v/>
      </c>
    </row>
    <row r="1448">
      <c r="Y1448" s="5">
        <f>IF(D1448="","",X1448*IF(AND(ISNUMBER(AC1448),AC1448&gt;0,AC1448&lt;1),AC1448*100,AC1448)/100)</f>
        <v/>
      </c>
      <c r="Z1448" s="5">
        <f>IF(D1448="","",AB1448*AA1448/100)</f>
        <v/>
      </c>
      <c r="AA1448" s="5">
        <f>IF(D1448="","",X1448-Y1448)</f>
        <v/>
      </c>
      <c r="AD1448" s="5">
        <f>IF(D1448="","",AA1448-Z1448)</f>
        <v/>
      </c>
      <c r="AG1448">
        <f>IF(D1448="","",N(AG1447)+IF(MATCH(D1448,$D$2:$D$3001,0)=ROW()-1,1,0))</f>
        <v/>
      </c>
    </row>
    <row r="1449">
      <c r="Y1449" s="5">
        <f>IF(D1449="","",X1449*IF(AND(ISNUMBER(AC1449),AC1449&gt;0,AC1449&lt;1),AC1449*100,AC1449)/100)</f>
        <v/>
      </c>
      <c r="Z1449" s="5">
        <f>IF(D1449="","",AB1449*AA1449/100)</f>
        <v/>
      </c>
      <c r="AA1449" s="5">
        <f>IF(D1449="","",X1449-Y1449)</f>
        <v/>
      </c>
      <c r="AD1449" s="5">
        <f>IF(D1449="","",AA1449-Z1449)</f>
        <v/>
      </c>
      <c r="AG1449">
        <f>IF(D1449="","",N(AG1448)+IF(MATCH(D1449,$D$2:$D$3001,0)=ROW()-1,1,0))</f>
        <v/>
      </c>
    </row>
    <row r="1450">
      <c r="Y1450" s="5">
        <f>IF(D1450="","",X1450*IF(AND(ISNUMBER(AC1450),AC1450&gt;0,AC1450&lt;1),AC1450*100,AC1450)/100)</f>
        <v/>
      </c>
      <c r="Z1450" s="5">
        <f>IF(D1450="","",AB1450*AA1450/100)</f>
        <v/>
      </c>
      <c r="AA1450" s="5">
        <f>IF(D1450="","",X1450-Y1450)</f>
        <v/>
      </c>
      <c r="AD1450" s="5">
        <f>IF(D1450="","",AA1450-Z1450)</f>
        <v/>
      </c>
      <c r="AG1450">
        <f>IF(D1450="","",N(AG1449)+IF(MATCH(D1450,$D$2:$D$3001,0)=ROW()-1,1,0))</f>
        <v/>
      </c>
    </row>
    <row r="1451">
      <c r="Y1451" s="5">
        <f>IF(D1451="","",X1451*IF(AND(ISNUMBER(AC1451),AC1451&gt;0,AC1451&lt;1),AC1451*100,AC1451)/100)</f>
        <v/>
      </c>
      <c r="Z1451" s="5">
        <f>IF(D1451="","",AB1451*AA1451/100)</f>
        <v/>
      </c>
      <c r="AA1451" s="5">
        <f>IF(D1451="","",X1451-Y1451)</f>
        <v/>
      </c>
      <c r="AD1451" s="5">
        <f>IF(D1451="","",AA1451-Z1451)</f>
        <v/>
      </c>
      <c r="AG1451">
        <f>IF(D1451="","",N(AG1450)+IF(MATCH(D1451,$D$2:$D$3001,0)=ROW()-1,1,0))</f>
        <v/>
      </c>
    </row>
    <row r="1452">
      <c r="Y1452" s="5">
        <f>IF(D1452="","",X1452*IF(AND(ISNUMBER(AC1452),AC1452&gt;0,AC1452&lt;1),AC1452*100,AC1452)/100)</f>
        <v/>
      </c>
      <c r="Z1452" s="5">
        <f>IF(D1452="","",AB1452*AA1452/100)</f>
        <v/>
      </c>
      <c r="AA1452" s="5">
        <f>IF(D1452="","",X1452-Y1452)</f>
        <v/>
      </c>
      <c r="AD1452" s="5">
        <f>IF(D1452="","",AA1452-Z1452)</f>
        <v/>
      </c>
      <c r="AG1452">
        <f>IF(D1452="","",N(AG1451)+IF(MATCH(D1452,$D$2:$D$3001,0)=ROW()-1,1,0))</f>
        <v/>
      </c>
    </row>
    <row r="1453">
      <c r="Y1453" s="5">
        <f>IF(D1453="","",X1453*IF(AND(ISNUMBER(AC1453),AC1453&gt;0,AC1453&lt;1),AC1453*100,AC1453)/100)</f>
        <v/>
      </c>
      <c r="Z1453" s="5">
        <f>IF(D1453="","",AB1453*AA1453/100)</f>
        <v/>
      </c>
      <c r="AA1453" s="5">
        <f>IF(D1453="","",X1453-Y1453)</f>
        <v/>
      </c>
      <c r="AD1453" s="5">
        <f>IF(D1453="","",AA1453-Z1453)</f>
        <v/>
      </c>
      <c r="AG1453">
        <f>IF(D1453="","",N(AG1452)+IF(MATCH(D1453,$D$2:$D$3001,0)=ROW()-1,1,0))</f>
        <v/>
      </c>
    </row>
    <row r="1454">
      <c r="Y1454" s="5">
        <f>IF(D1454="","",X1454*IF(AND(ISNUMBER(AC1454),AC1454&gt;0,AC1454&lt;1),AC1454*100,AC1454)/100)</f>
        <v/>
      </c>
      <c r="Z1454" s="5">
        <f>IF(D1454="","",AB1454*AA1454/100)</f>
        <v/>
      </c>
      <c r="AA1454" s="5">
        <f>IF(D1454="","",X1454-Y1454)</f>
        <v/>
      </c>
      <c r="AD1454" s="5">
        <f>IF(D1454="","",AA1454-Z1454)</f>
        <v/>
      </c>
      <c r="AG1454">
        <f>IF(D1454="","",N(AG1453)+IF(MATCH(D1454,$D$2:$D$3001,0)=ROW()-1,1,0))</f>
        <v/>
      </c>
    </row>
    <row r="1455">
      <c r="Y1455" s="5">
        <f>IF(D1455="","",X1455*IF(AND(ISNUMBER(AC1455),AC1455&gt;0,AC1455&lt;1),AC1455*100,AC1455)/100)</f>
        <v/>
      </c>
      <c r="Z1455" s="5">
        <f>IF(D1455="","",AB1455*AA1455/100)</f>
        <v/>
      </c>
      <c r="AA1455" s="5">
        <f>IF(D1455="","",X1455-Y1455)</f>
        <v/>
      </c>
      <c r="AD1455" s="5">
        <f>IF(D1455="","",AA1455-Z1455)</f>
        <v/>
      </c>
      <c r="AG1455">
        <f>IF(D1455="","",N(AG1454)+IF(MATCH(D1455,$D$2:$D$3001,0)=ROW()-1,1,0))</f>
        <v/>
      </c>
    </row>
    <row r="1456">
      <c r="Y1456" s="5">
        <f>IF(D1456="","",X1456*IF(AND(ISNUMBER(AC1456),AC1456&gt;0,AC1456&lt;1),AC1456*100,AC1456)/100)</f>
        <v/>
      </c>
      <c r="Z1456" s="5">
        <f>IF(D1456="","",AB1456*AA1456/100)</f>
        <v/>
      </c>
      <c r="AA1456" s="5">
        <f>IF(D1456="","",X1456-Y1456)</f>
        <v/>
      </c>
      <c r="AD1456" s="5">
        <f>IF(D1456="","",AA1456-Z1456)</f>
        <v/>
      </c>
      <c r="AG1456">
        <f>IF(D1456="","",N(AG1455)+IF(MATCH(D1456,$D$2:$D$3001,0)=ROW()-1,1,0))</f>
        <v/>
      </c>
    </row>
    <row r="1457">
      <c r="Y1457" s="5">
        <f>IF(D1457="","",X1457*IF(AND(ISNUMBER(AC1457),AC1457&gt;0,AC1457&lt;1),AC1457*100,AC1457)/100)</f>
        <v/>
      </c>
      <c r="Z1457" s="5">
        <f>IF(D1457="","",AB1457*AA1457/100)</f>
        <v/>
      </c>
      <c r="AA1457" s="5">
        <f>IF(D1457="","",X1457-Y1457)</f>
        <v/>
      </c>
      <c r="AD1457" s="5">
        <f>IF(D1457="","",AA1457-Z1457)</f>
        <v/>
      </c>
      <c r="AG1457">
        <f>IF(D1457="","",N(AG1456)+IF(MATCH(D1457,$D$2:$D$3001,0)=ROW()-1,1,0))</f>
        <v/>
      </c>
    </row>
    <row r="1458">
      <c r="Y1458" s="5">
        <f>IF(D1458="","",X1458*IF(AND(ISNUMBER(AC1458),AC1458&gt;0,AC1458&lt;1),AC1458*100,AC1458)/100)</f>
        <v/>
      </c>
      <c r="Z1458" s="5">
        <f>IF(D1458="","",AB1458*AA1458/100)</f>
        <v/>
      </c>
      <c r="AA1458" s="5">
        <f>IF(D1458="","",X1458-Y1458)</f>
        <v/>
      </c>
      <c r="AD1458" s="5">
        <f>IF(D1458="","",AA1458-Z1458)</f>
        <v/>
      </c>
      <c r="AG1458">
        <f>IF(D1458="","",N(AG1457)+IF(MATCH(D1458,$D$2:$D$3001,0)=ROW()-1,1,0))</f>
        <v/>
      </c>
    </row>
    <row r="1459">
      <c r="Y1459" s="5">
        <f>IF(D1459="","",X1459*IF(AND(ISNUMBER(AC1459),AC1459&gt;0,AC1459&lt;1),AC1459*100,AC1459)/100)</f>
        <v/>
      </c>
      <c r="Z1459" s="5">
        <f>IF(D1459="","",AB1459*AA1459/100)</f>
        <v/>
      </c>
      <c r="AA1459" s="5">
        <f>IF(D1459="","",X1459-Y1459)</f>
        <v/>
      </c>
      <c r="AD1459" s="5">
        <f>IF(D1459="","",AA1459-Z1459)</f>
        <v/>
      </c>
      <c r="AG1459">
        <f>IF(D1459="","",N(AG1458)+IF(MATCH(D1459,$D$2:$D$3001,0)=ROW()-1,1,0))</f>
        <v/>
      </c>
    </row>
    <row r="1460">
      <c r="Y1460" s="5">
        <f>IF(D1460="","",X1460*IF(AND(ISNUMBER(AC1460),AC1460&gt;0,AC1460&lt;1),AC1460*100,AC1460)/100)</f>
        <v/>
      </c>
      <c r="Z1460" s="5">
        <f>IF(D1460="","",AB1460*AA1460/100)</f>
        <v/>
      </c>
      <c r="AA1460" s="5">
        <f>IF(D1460="","",X1460-Y1460)</f>
        <v/>
      </c>
      <c r="AD1460" s="5">
        <f>IF(D1460="","",AA1460-Z1460)</f>
        <v/>
      </c>
      <c r="AG1460">
        <f>IF(D1460="","",N(AG1459)+IF(MATCH(D1460,$D$2:$D$3001,0)=ROW()-1,1,0))</f>
        <v/>
      </c>
    </row>
    <row r="1461">
      <c r="Y1461" s="5">
        <f>IF(D1461="","",X1461*IF(AND(ISNUMBER(AC1461),AC1461&gt;0,AC1461&lt;1),AC1461*100,AC1461)/100)</f>
        <v/>
      </c>
      <c r="Z1461" s="5">
        <f>IF(D1461="","",AB1461*AA1461/100)</f>
        <v/>
      </c>
      <c r="AA1461" s="5">
        <f>IF(D1461="","",X1461-Y1461)</f>
        <v/>
      </c>
      <c r="AD1461" s="5">
        <f>IF(D1461="","",AA1461-Z1461)</f>
        <v/>
      </c>
      <c r="AG1461">
        <f>IF(D1461="","",N(AG1460)+IF(MATCH(D1461,$D$2:$D$3001,0)=ROW()-1,1,0))</f>
        <v/>
      </c>
    </row>
    <row r="1462">
      <c r="Y1462" s="5">
        <f>IF(D1462="","",X1462*IF(AND(ISNUMBER(AC1462),AC1462&gt;0,AC1462&lt;1),AC1462*100,AC1462)/100)</f>
        <v/>
      </c>
      <c r="Z1462" s="5">
        <f>IF(D1462="","",AB1462*AA1462/100)</f>
        <v/>
      </c>
      <c r="AA1462" s="5">
        <f>IF(D1462="","",X1462-Y1462)</f>
        <v/>
      </c>
      <c r="AD1462" s="5">
        <f>IF(D1462="","",AA1462-Z1462)</f>
        <v/>
      </c>
      <c r="AG1462">
        <f>IF(D1462="","",N(AG1461)+IF(MATCH(D1462,$D$2:$D$3001,0)=ROW()-1,1,0))</f>
        <v/>
      </c>
    </row>
    <row r="1463">
      <c r="Y1463" s="5">
        <f>IF(D1463="","",X1463*IF(AND(ISNUMBER(AC1463),AC1463&gt;0,AC1463&lt;1),AC1463*100,AC1463)/100)</f>
        <v/>
      </c>
      <c r="Z1463" s="5">
        <f>IF(D1463="","",AB1463*AA1463/100)</f>
        <v/>
      </c>
      <c r="AA1463" s="5">
        <f>IF(D1463="","",X1463-Y1463)</f>
        <v/>
      </c>
      <c r="AD1463" s="5">
        <f>IF(D1463="","",AA1463-Z1463)</f>
        <v/>
      </c>
      <c r="AG1463">
        <f>IF(D1463="","",N(AG1462)+IF(MATCH(D1463,$D$2:$D$3001,0)=ROW()-1,1,0))</f>
        <v/>
      </c>
    </row>
    <row r="1464">
      <c r="Y1464" s="5">
        <f>IF(D1464="","",X1464*IF(AND(ISNUMBER(AC1464),AC1464&gt;0,AC1464&lt;1),AC1464*100,AC1464)/100)</f>
        <v/>
      </c>
      <c r="Z1464" s="5">
        <f>IF(D1464="","",AB1464*AA1464/100)</f>
        <v/>
      </c>
      <c r="AA1464" s="5">
        <f>IF(D1464="","",X1464-Y1464)</f>
        <v/>
      </c>
      <c r="AD1464" s="5">
        <f>IF(D1464="","",AA1464-Z1464)</f>
        <v/>
      </c>
      <c r="AG1464">
        <f>IF(D1464="","",N(AG1463)+IF(MATCH(D1464,$D$2:$D$3001,0)=ROW()-1,1,0))</f>
        <v/>
      </c>
    </row>
    <row r="1465">
      <c r="Y1465" s="5">
        <f>IF(D1465="","",X1465*IF(AND(ISNUMBER(AC1465),AC1465&gt;0,AC1465&lt;1),AC1465*100,AC1465)/100)</f>
        <v/>
      </c>
      <c r="Z1465" s="5">
        <f>IF(D1465="","",AB1465*AA1465/100)</f>
        <v/>
      </c>
      <c r="AA1465" s="5">
        <f>IF(D1465="","",X1465-Y1465)</f>
        <v/>
      </c>
      <c r="AD1465" s="5">
        <f>IF(D1465="","",AA1465-Z1465)</f>
        <v/>
      </c>
      <c r="AG1465">
        <f>IF(D1465="","",N(AG1464)+IF(MATCH(D1465,$D$2:$D$3001,0)=ROW()-1,1,0))</f>
        <v/>
      </c>
    </row>
    <row r="1466">
      <c r="Y1466" s="5">
        <f>IF(D1466="","",X1466*IF(AND(ISNUMBER(AC1466),AC1466&gt;0,AC1466&lt;1),AC1466*100,AC1466)/100)</f>
        <v/>
      </c>
      <c r="Z1466" s="5">
        <f>IF(D1466="","",AB1466*AA1466/100)</f>
        <v/>
      </c>
      <c r="AA1466" s="5">
        <f>IF(D1466="","",X1466-Y1466)</f>
        <v/>
      </c>
      <c r="AD1466" s="5">
        <f>IF(D1466="","",AA1466-Z1466)</f>
        <v/>
      </c>
      <c r="AG1466">
        <f>IF(D1466="","",N(AG1465)+IF(MATCH(D1466,$D$2:$D$3001,0)=ROW()-1,1,0))</f>
        <v/>
      </c>
    </row>
    <row r="1467">
      <c r="Y1467" s="5">
        <f>IF(D1467="","",X1467*IF(AND(ISNUMBER(AC1467),AC1467&gt;0,AC1467&lt;1),AC1467*100,AC1467)/100)</f>
        <v/>
      </c>
      <c r="Z1467" s="5">
        <f>IF(D1467="","",AB1467*AA1467/100)</f>
        <v/>
      </c>
      <c r="AA1467" s="5">
        <f>IF(D1467="","",X1467-Y1467)</f>
        <v/>
      </c>
      <c r="AD1467" s="5">
        <f>IF(D1467="","",AA1467-Z1467)</f>
        <v/>
      </c>
      <c r="AG1467">
        <f>IF(D1467="","",N(AG1466)+IF(MATCH(D1467,$D$2:$D$3001,0)=ROW()-1,1,0))</f>
        <v/>
      </c>
    </row>
    <row r="1468">
      <c r="Y1468" s="5">
        <f>IF(D1468="","",X1468*IF(AND(ISNUMBER(AC1468),AC1468&gt;0,AC1468&lt;1),AC1468*100,AC1468)/100)</f>
        <v/>
      </c>
      <c r="Z1468" s="5">
        <f>IF(D1468="","",AB1468*AA1468/100)</f>
        <v/>
      </c>
      <c r="AA1468" s="5">
        <f>IF(D1468="","",X1468-Y1468)</f>
        <v/>
      </c>
      <c r="AD1468" s="5">
        <f>IF(D1468="","",AA1468-Z1468)</f>
        <v/>
      </c>
      <c r="AG1468">
        <f>IF(D1468="","",N(AG1467)+IF(MATCH(D1468,$D$2:$D$3001,0)=ROW()-1,1,0))</f>
        <v/>
      </c>
    </row>
    <row r="1469">
      <c r="Y1469" s="5">
        <f>IF(D1469="","",X1469*IF(AND(ISNUMBER(AC1469),AC1469&gt;0,AC1469&lt;1),AC1469*100,AC1469)/100)</f>
        <v/>
      </c>
      <c r="Z1469" s="5">
        <f>IF(D1469="","",AB1469*AA1469/100)</f>
        <v/>
      </c>
      <c r="AA1469" s="5">
        <f>IF(D1469="","",X1469-Y1469)</f>
        <v/>
      </c>
      <c r="AD1469" s="5">
        <f>IF(D1469="","",AA1469-Z1469)</f>
        <v/>
      </c>
      <c r="AG1469">
        <f>IF(D1469="","",N(AG1468)+IF(MATCH(D1469,$D$2:$D$3001,0)=ROW()-1,1,0))</f>
        <v/>
      </c>
    </row>
    <row r="1470">
      <c r="Y1470" s="5">
        <f>IF(D1470="","",X1470*IF(AND(ISNUMBER(AC1470),AC1470&gt;0,AC1470&lt;1),AC1470*100,AC1470)/100)</f>
        <v/>
      </c>
      <c r="Z1470" s="5">
        <f>IF(D1470="","",AB1470*AA1470/100)</f>
        <v/>
      </c>
      <c r="AA1470" s="5">
        <f>IF(D1470="","",X1470-Y1470)</f>
        <v/>
      </c>
      <c r="AD1470" s="5">
        <f>IF(D1470="","",AA1470-Z1470)</f>
        <v/>
      </c>
      <c r="AG1470">
        <f>IF(D1470="","",N(AG1469)+IF(MATCH(D1470,$D$2:$D$3001,0)=ROW()-1,1,0))</f>
        <v/>
      </c>
    </row>
    <row r="1471">
      <c r="Y1471" s="5">
        <f>IF(D1471="","",X1471*IF(AND(ISNUMBER(AC1471),AC1471&gt;0,AC1471&lt;1),AC1471*100,AC1471)/100)</f>
        <v/>
      </c>
      <c r="Z1471" s="5">
        <f>IF(D1471="","",AB1471*AA1471/100)</f>
        <v/>
      </c>
      <c r="AA1471" s="5">
        <f>IF(D1471="","",X1471-Y1471)</f>
        <v/>
      </c>
      <c r="AD1471" s="5">
        <f>IF(D1471="","",AA1471-Z1471)</f>
        <v/>
      </c>
      <c r="AG1471">
        <f>IF(D1471="","",N(AG1470)+IF(MATCH(D1471,$D$2:$D$3001,0)=ROW()-1,1,0))</f>
        <v/>
      </c>
    </row>
    <row r="1472">
      <c r="Y1472" s="5">
        <f>IF(D1472="","",X1472*IF(AND(ISNUMBER(AC1472),AC1472&gt;0,AC1472&lt;1),AC1472*100,AC1472)/100)</f>
        <v/>
      </c>
      <c r="Z1472" s="5">
        <f>IF(D1472="","",AB1472*AA1472/100)</f>
        <v/>
      </c>
      <c r="AA1472" s="5">
        <f>IF(D1472="","",X1472-Y1472)</f>
        <v/>
      </c>
      <c r="AD1472" s="5">
        <f>IF(D1472="","",AA1472-Z1472)</f>
        <v/>
      </c>
      <c r="AG1472">
        <f>IF(D1472="","",N(AG1471)+IF(MATCH(D1472,$D$2:$D$3001,0)=ROW()-1,1,0))</f>
        <v/>
      </c>
    </row>
    <row r="1473">
      <c r="Y1473" s="5">
        <f>IF(D1473="","",X1473*IF(AND(ISNUMBER(AC1473),AC1473&gt;0,AC1473&lt;1),AC1473*100,AC1473)/100)</f>
        <v/>
      </c>
      <c r="Z1473" s="5">
        <f>IF(D1473="","",AB1473*AA1473/100)</f>
        <v/>
      </c>
      <c r="AA1473" s="5">
        <f>IF(D1473="","",X1473-Y1473)</f>
        <v/>
      </c>
      <c r="AD1473" s="5">
        <f>IF(D1473="","",AA1473-Z1473)</f>
        <v/>
      </c>
      <c r="AG1473">
        <f>IF(D1473="","",N(AG1472)+IF(MATCH(D1473,$D$2:$D$3001,0)=ROW()-1,1,0))</f>
        <v/>
      </c>
    </row>
    <row r="1474">
      <c r="Y1474" s="5">
        <f>IF(D1474="","",X1474*IF(AND(ISNUMBER(AC1474),AC1474&gt;0,AC1474&lt;1),AC1474*100,AC1474)/100)</f>
        <v/>
      </c>
      <c r="Z1474" s="5">
        <f>IF(D1474="","",AB1474*AA1474/100)</f>
        <v/>
      </c>
      <c r="AA1474" s="5">
        <f>IF(D1474="","",X1474-Y1474)</f>
        <v/>
      </c>
      <c r="AD1474" s="5">
        <f>IF(D1474="","",AA1474-Z1474)</f>
        <v/>
      </c>
      <c r="AG1474">
        <f>IF(D1474="","",N(AG1473)+IF(MATCH(D1474,$D$2:$D$3001,0)=ROW()-1,1,0))</f>
        <v/>
      </c>
    </row>
    <row r="1475">
      <c r="Y1475" s="5">
        <f>IF(D1475="","",X1475*IF(AND(ISNUMBER(AC1475),AC1475&gt;0,AC1475&lt;1),AC1475*100,AC1475)/100)</f>
        <v/>
      </c>
      <c r="Z1475" s="5">
        <f>IF(D1475="","",AB1475*AA1475/100)</f>
        <v/>
      </c>
      <c r="AA1475" s="5">
        <f>IF(D1475="","",X1475-Y1475)</f>
        <v/>
      </c>
      <c r="AD1475" s="5">
        <f>IF(D1475="","",AA1475-Z1475)</f>
        <v/>
      </c>
      <c r="AG1475">
        <f>IF(D1475="","",N(AG1474)+IF(MATCH(D1475,$D$2:$D$3001,0)=ROW()-1,1,0))</f>
        <v/>
      </c>
    </row>
    <row r="1476">
      <c r="Y1476" s="5">
        <f>IF(D1476="","",X1476*IF(AND(ISNUMBER(AC1476),AC1476&gt;0,AC1476&lt;1),AC1476*100,AC1476)/100)</f>
        <v/>
      </c>
      <c r="Z1476" s="5">
        <f>IF(D1476="","",AB1476*AA1476/100)</f>
        <v/>
      </c>
      <c r="AA1476" s="5">
        <f>IF(D1476="","",X1476-Y1476)</f>
        <v/>
      </c>
      <c r="AD1476" s="5">
        <f>IF(D1476="","",AA1476-Z1476)</f>
        <v/>
      </c>
      <c r="AG1476">
        <f>IF(D1476="","",N(AG1475)+IF(MATCH(D1476,$D$2:$D$3001,0)=ROW()-1,1,0))</f>
        <v/>
      </c>
    </row>
    <row r="1477">
      <c r="Y1477" s="5">
        <f>IF(D1477="","",X1477*IF(AND(ISNUMBER(AC1477),AC1477&gt;0,AC1477&lt;1),AC1477*100,AC1477)/100)</f>
        <v/>
      </c>
      <c r="Z1477" s="5">
        <f>IF(D1477="","",AB1477*AA1477/100)</f>
        <v/>
      </c>
      <c r="AA1477" s="5">
        <f>IF(D1477="","",X1477-Y1477)</f>
        <v/>
      </c>
      <c r="AD1477" s="5">
        <f>IF(D1477="","",AA1477-Z1477)</f>
        <v/>
      </c>
      <c r="AG1477">
        <f>IF(D1477="","",N(AG1476)+IF(MATCH(D1477,$D$2:$D$3001,0)=ROW()-1,1,0))</f>
        <v/>
      </c>
    </row>
    <row r="1478">
      <c r="Y1478" s="5">
        <f>IF(D1478="","",X1478*IF(AND(ISNUMBER(AC1478),AC1478&gt;0,AC1478&lt;1),AC1478*100,AC1478)/100)</f>
        <v/>
      </c>
      <c r="Z1478" s="5">
        <f>IF(D1478="","",AB1478*AA1478/100)</f>
        <v/>
      </c>
      <c r="AA1478" s="5">
        <f>IF(D1478="","",X1478-Y1478)</f>
        <v/>
      </c>
      <c r="AD1478" s="5">
        <f>IF(D1478="","",AA1478-Z1478)</f>
        <v/>
      </c>
      <c r="AG1478">
        <f>IF(D1478="","",N(AG1477)+IF(MATCH(D1478,$D$2:$D$3001,0)=ROW()-1,1,0))</f>
        <v/>
      </c>
    </row>
    <row r="1479">
      <c r="Y1479" s="5">
        <f>IF(D1479="","",X1479*IF(AND(ISNUMBER(AC1479),AC1479&gt;0,AC1479&lt;1),AC1479*100,AC1479)/100)</f>
        <v/>
      </c>
      <c r="Z1479" s="5">
        <f>IF(D1479="","",AB1479*AA1479/100)</f>
        <v/>
      </c>
      <c r="AA1479" s="5">
        <f>IF(D1479="","",X1479-Y1479)</f>
        <v/>
      </c>
      <c r="AD1479" s="5">
        <f>IF(D1479="","",AA1479-Z1479)</f>
        <v/>
      </c>
      <c r="AG1479">
        <f>IF(D1479="","",N(AG1478)+IF(MATCH(D1479,$D$2:$D$3001,0)=ROW()-1,1,0))</f>
        <v/>
      </c>
    </row>
    <row r="1480">
      <c r="Y1480" s="5">
        <f>IF(D1480="","",X1480*IF(AND(ISNUMBER(AC1480),AC1480&gt;0,AC1480&lt;1),AC1480*100,AC1480)/100)</f>
        <v/>
      </c>
      <c r="Z1480" s="5">
        <f>IF(D1480="","",AB1480*AA1480/100)</f>
        <v/>
      </c>
      <c r="AA1480" s="5">
        <f>IF(D1480="","",X1480-Y1480)</f>
        <v/>
      </c>
      <c r="AD1480" s="5">
        <f>IF(D1480="","",AA1480-Z1480)</f>
        <v/>
      </c>
      <c r="AG1480">
        <f>IF(D1480="","",N(AG1479)+IF(MATCH(D1480,$D$2:$D$3001,0)=ROW()-1,1,0))</f>
        <v/>
      </c>
    </row>
    <row r="1481">
      <c r="Y1481" s="5">
        <f>IF(D1481="","",X1481*IF(AND(ISNUMBER(AC1481),AC1481&gt;0,AC1481&lt;1),AC1481*100,AC1481)/100)</f>
        <v/>
      </c>
      <c r="Z1481" s="5">
        <f>IF(D1481="","",AB1481*AA1481/100)</f>
        <v/>
      </c>
      <c r="AA1481" s="5">
        <f>IF(D1481="","",X1481-Y1481)</f>
        <v/>
      </c>
      <c r="AD1481" s="5">
        <f>IF(D1481="","",AA1481-Z1481)</f>
        <v/>
      </c>
      <c r="AG1481">
        <f>IF(D1481="","",N(AG1480)+IF(MATCH(D1481,$D$2:$D$3001,0)=ROW()-1,1,0))</f>
        <v/>
      </c>
    </row>
    <row r="1482">
      <c r="Y1482" s="5">
        <f>IF(D1482="","",X1482*IF(AND(ISNUMBER(AC1482),AC1482&gt;0,AC1482&lt;1),AC1482*100,AC1482)/100)</f>
        <v/>
      </c>
      <c r="Z1482" s="5">
        <f>IF(D1482="","",AB1482*AA1482/100)</f>
        <v/>
      </c>
      <c r="AA1482" s="5">
        <f>IF(D1482="","",X1482-Y1482)</f>
        <v/>
      </c>
      <c r="AD1482" s="5">
        <f>IF(D1482="","",AA1482-Z1482)</f>
        <v/>
      </c>
      <c r="AG1482">
        <f>IF(D1482="","",N(AG1481)+IF(MATCH(D1482,$D$2:$D$3001,0)=ROW()-1,1,0))</f>
        <v/>
      </c>
    </row>
    <row r="1483">
      <c r="Y1483" s="5">
        <f>IF(D1483="","",X1483*IF(AND(ISNUMBER(AC1483),AC1483&gt;0,AC1483&lt;1),AC1483*100,AC1483)/100)</f>
        <v/>
      </c>
      <c r="Z1483" s="5">
        <f>IF(D1483="","",AB1483*AA1483/100)</f>
        <v/>
      </c>
      <c r="AA1483" s="5">
        <f>IF(D1483="","",X1483-Y1483)</f>
        <v/>
      </c>
      <c r="AD1483" s="5">
        <f>IF(D1483="","",AA1483-Z1483)</f>
        <v/>
      </c>
      <c r="AG1483">
        <f>IF(D1483="","",N(AG1482)+IF(MATCH(D1483,$D$2:$D$3001,0)=ROW()-1,1,0))</f>
        <v/>
      </c>
    </row>
    <row r="1484">
      <c r="Y1484" s="5">
        <f>IF(D1484="","",X1484*IF(AND(ISNUMBER(AC1484),AC1484&gt;0,AC1484&lt;1),AC1484*100,AC1484)/100)</f>
        <v/>
      </c>
      <c r="Z1484" s="5">
        <f>IF(D1484="","",AB1484*AA1484/100)</f>
        <v/>
      </c>
      <c r="AA1484" s="5">
        <f>IF(D1484="","",X1484-Y1484)</f>
        <v/>
      </c>
      <c r="AD1484" s="5">
        <f>IF(D1484="","",AA1484-Z1484)</f>
        <v/>
      </c>
      <c r="AG1484">
        <f>IF(D1484="","",N(AG1483)+IF(MATCH(D1484,$D$2:$D$3001,0)=ROW()-1,1,0))</f>
        <v/>
      </c>
    </row>
    <row r="1485">
      <c r="Y1485" s="5">
        <f>IF(D1485="","",X1485*IF(AND(ISNUMBER(AC1485),AC1485&gt;0,AC1485&lt;1),AC1485*100,AC1485)/100)</f>
        <v/>
      </c>
      <c r="Z1485" s="5">
        <f>IF(D1485="","",AB1485*AA1485/100)</f>
        <v/>
      </c>
      <c r="AA1485" s="5">
        <f>IF(D1485="","",X1485-Y1485)</f>
        <v/>
      </c>
      <c r="AD1485" s="5">
        <f>IF(D1485="","",AA1485-Z1485)</f>
        <v/>
      </c>
      <c r="AG1485">
        <f>IF(D1485="","",N(AG1484)+IF(MATCH(D1485,$D$2:$D$3001,0)=ROW()-1,1,0))</f>
        <v/>
      </c>
    </row>
    <row r="1486">
      <c r="Y1486" s="5">
        <f>IF(D1486="","",X1486*IF(AND(ISNUMBER(AC1486),AC1486&gt;0,AC1486&lt;1),AC1486*100,AC1486)/100)</f>
        <v/>
      </c>
      <c r="Z1486" s="5">
        <f>IF(D1486="","",AB1486*AA1486/100)</f>
        <v/>
      </c>
      <c r="AA1486" s="5">
        <f>IF(D1486="","",X1486-Y1486)</f>
        <v/>
      </c>
      <c r="AD1486" s="5">
        <f>IF(D1486="","",AA1486-Z1486)</f>
        <v/>
      </c>
      <c r="AG1486">
        <f>IF(D1486="","",N(AG1485)+IF(MATCH(D1486,$D$2:$D$3001,0)=ROW()-1,1,0))</f>
        <v/>
      </c>
    </row>
    <row r="1487">
      <c r="Y1487" s="5">
        <f>IF(D1487="","",X1487*IF(AND(ISNUMBER(AC1487),AC1487&gt;0,AC1487&lt;1),AC1487*100,AC1487)/100)</f>
        <v/>
      </c>
      <c r="Z1487" s="5">
        <f>IF(D1487="","",AB1487*AA1487/100)</f>
        <v/>
      </c>
      <c r="AA1487" s="5">
        <f>IF(D1487="","",X1487-Y1487)</f>
        <v/>
      </c>
      <c r="AD1487" s="5">
        <f>IF(D1487="","",AA1487-Z1487)</f>
        <v/>
      </c>
      <c r="AG1487">
        <f>IF(D1487="","",N(AG1486)+IF(MATCH(D1487,$D$2:$D$3001,0)=ROW()-1,1,0))</f>
        <v/>
      </c>
    </row>
    <row r="1488">
      <c r="Y1488" s="5">
        <f>IF(D1488="","",X1488*IF(AND(ISNUMBER(AC1488),AC1488&gt;0,AC1488&lt;1),AC1488*100,AC1488)/100)</f>
        <v/>
      </c>
      <c r="Z1488" s="5">
        <f>IF(D1488="","",AB1488*AA1488/100)</f>
        <v/>
      </c>
      <c r="AA1488" s="5">
        <f>IF(D1488="","",X1488-Y1488)</f>
        <v/>
      </c>
      <c r="AD1488" s="5">
        <f>IF(D1488="","",AA1488-Z1488)</f>
        <v/>
      </c>
      <c r="AG1488">
        <f>IF(D1488="","",N(AG1487)+IF(MATCH(D1488,$D$2:$D$3001,0)=ROW()-1,1,0))</f>
        <v/>
      </c>
    </row>
    <row r="1489">
      <c r="Y1489" s="5">
        <f>IF(D1489="","",X1489*IF(AND(ISNUMBER(AC1489),AC1489&gt;0,AC1489&lt;1),AC1489*100,AC1489)/100)</f>
        <v/>
      </c>
      <c r="Z1489" s="5">
        <f>IF(D1489="","",AB1489*AA1489/100)</f>
        <v/>
      </c>
      <c r="AA1489" s="5">
        <f>IF(D1489="","",X1489-Y1489)</f>
        <v/>
      </c>
      <c r="AD1489" s="5">
        <f>IF(D1489="","",AA1489-Z1489)</f>
        <v/>
      </c>
      <c r="AG1489">
        <f>IF(D1489="","",N(AG1488)+IF(MATCH(D1489,$D$2:$D$3001,0)=ROW()-1,1,0))</f>
        <v/>
      </c>
    </row>
    <row r="1490">
      <c r="Y1490" s="5">
        <f>IF(D1490="","",X1490*IF(AND(ISNUMBER(AC1490),AC1490&gt;0,AC1490&lt;1),AC1490*100,AC1490)/100)</f>
        <v/>
      </c>
      <c r="Z1490" s="5">
        <f>IF(D1490="","",AB1490*AA1490/100)</f>
        <v/>
      </c>
      <c r="AA1490" s="5">
        <f>IF(D1490="","",X1490-Y1490)</f>
        <v/>
      </c>
      <c r="AD1490" s="5">
        <f>IF(D1490="","",AA1490-Z1490)</f>
        <v/>
      </c>
      <c r="AG1490">
        <f>IF(D1490="","",N(AG1489)+IF(MATCH(D1490,$D$2:$D$3001,0)=ROW()-1,1,0))</f>
        <v/>
      </c>
    </row>
    <row r="1491">
      <c r="Y1491" s="5">
        <f>IF(D1491="","",X1491*IF(AND(ISNUMBER(AC1491),AC1491&gt;0,AC1491&lt;1),AC1491*100,AC1491)/100)</f>
        <v/>
      </c>
      <c r="Z1491" s="5">
        <f>IF(D1491="","",AB1491*AA1491/100)</f>
        <v/>
      </c>
      <c r="AA1491" s="5">
        <f>IF(D1491="","",X1491-Y1491)</f>
        <v/>
      </c>
      <c r="AD1491" s="5">
        <f>IF(D1491="","",AA1491-Z1491)</f>
        <v/>
      </c>
      <c r="AG1491">
        <f>IF(D1491="","",N(AG1490)+IF(MATCH(D1491,$D$2:$D$3001,0)=ROW()-1,1,0))</f>
        <v/>
      </c>
    </row>
    <row r="1492">
      <c r="Y1492" s="5">
        <f>IF(D1492="","",X1492*IF(AND(ISNUMBER(AC1492),AC1492&gt;0,AC1492&lt;1),AC1492*100,AC1492)/100)</f>
        <v/>
      </c>
      <c r="Z1492" s="5">
        <f>IF(D1492="","",AB1492*AA1492/100)</f>
        <v/>
      </c>
      <c r="AA1492" s="5">
        <f>IF(D1492="","",X1492-Y1492)</f>
        <v/>
      </c>
      <c r="AD1492" s="5">
        <f>IF(D1492="","",AA1492-Z1492)</f>
        <v/>
      </c>
      <c r="AG1492">
        <f>IF(D1492="","",N(AG1491)+IF(MATCH(D1492,$D$2:$D$3001,0)=ROW()-1,1,0))</f>
        <v/>
      </c>
    </row>
    <row r="1493">
      <c r="Y1493" s="5">
        <f>IF(D1493="","",X1493*IF(AND(ISNUMBER(AC1493),AC1493&gt;0,AC1493&lt;1),AC1493*100,AC1493)/100)</f>
        <v/>
      </c>
      <c r="Z1493" s="5">
        <f>IF(D1493="","",AB1493*AA1493/100)</f>
        <v/>
      </c>
      <c r="AA1493" s="5">
        <f>IF(D1493="","",X1493-Y1493)</f>
        <v/>
      </c>
      <c r="AD1493" s="5">
        <f>IF(D1493="","",AA1493-Z1493)</f>
        <v/>
      </c>
      <c r="AG1493">
        <f>IF(D1493="","",N(AG1492)+IF(MATCH(D1493,$D$2:$D$3001,0)=ROW()-1,1,0))</f>
        <v/>
      </c>
    </row>
    <row r="1494">
      <c r="Y1494" s="5">
        <f>IF(D1494="","",X1494*IF(AND(ISNUMBER(AC1494),AC1494&gt;0,AC1494&lt;1),AC1494*100,AC1494)/100)</f>
        <v/>
      </c>
      <c r="Z1494" s="5">
        <f>IF(D1494="","",AB1494*AA1494/100)</f>
        <v/>
      </c>
      <c r="AA1494" s="5">
        <f>IF(D1494="","",X1494-Y1494)</f>
        <v/>
      </c>
      <c r="AD1494" s="5">
        <f>IF(D1494="","",AA1494-Z1494)</f>
        <v/>
      </c>
      <c r="AG1494">
        <f>IF(D1494="","",N(AG1493)+IF(MATCH(D1494,$D$2:$D$3001,0)=ROW()-1,1,0))</f>
        <v/>
      </c>
    </row>
    <row r="1495">
      <c r="Y1495" s="5">
        <f>IF(D1495="","",X1495*IF(AND(ISNUMBER(AC1495),AC1495&gt;0,AC1495&lt;1),AC1495*100,AC1495)/100)</f>
        <v/>
      </c>
      <c r="Z1495" s="5">
        <f>IF(D1495="","",AB1495*AA1495/100)</f>
        <v/>
      </c>
      <c r="AA1495" s="5">
        <f>IF(D1495="","",X1495-Y1495)</f>
        <v/>
      </c>
      <c r="AD1495" s="5">
        <f>IF(D1495="","",AA1495-Z1495)</f>
        <v/>
      </c>
      <c r="AG1495">
        <f>IF(D1495="","",N(AG1494)+IF(MATCH(D1495,$D$2:$D$3001,0)=ROW()-1,1,0))</f>
        <v/>
      </c>
    </row>
    <row r="1496">
      <c r="Y1496" s="5">
        <f>IF(D1496="","",X1496*IF(AND(ISNUMBER(AC1496),AC1496&gt;0,AC1496&lt;1),AC1496*100,AC1496)/100)</f>
        <v/>
      </c>
      <c r="Z1496" s="5">
        <f>IF(D1496="","",AB1496*AA1496/100)</f>
        <v/>
      </c>
      <c r="AA1496" s="5">
        <f>IF(D1496="","",X1496-Y1496)</f>
        <v/>
      </c>
      <c r="AD1496" s="5">
        <f>IF(D1496="","",AA1496-Z1496)</f>
        <v/>
      </c>
      <c r="AG1496">
        <f>IF(D1496="","",N(AG1495)+IF(MATCH(D1496,$D$2:$D$3001,0)=ROW()-1,1,0))</f>
        <v/>
      </c>
    </row>
    <row r="1497">
      <c r="Y1497" s="5">
        <f>IF(D1497="","",X1497*IF(AND(ISNUMBER(AC1497),AC1497&gt;0,AC1497&lt;1),AC1497*100,AC1497)/100)</f>
        <v/>
      </c>
      <c r="Z1497" s="5">
        <f>IF(D1497="","",AB1497*AA1497/100)</f>
        <v/>
      </c>
      <c r="AA1497" s="5">
        <f>IF(D1497="","",X1497-Y1497)</f>
        <v/>
      </c>
      <c r="AD1497" s="5">
        <f>IF(D1497="","",AA1497-Z1497)</f>
        <v/>
      </c>
      <c r="AG1497">
        <f>IF(D1497="","",N(AG1496)+IF(MATCH(D1497,$D$2:$D$3001,0)=ROW()-1,1,0))</f>
        <v/>
      </c>
    </row>
    <row r="1498">
      <c r="Y1498" s="5">
        <f>IF(D1498="","",X1498*IF(AND(ISNUMBER(AC1498),AC1498&gt;0,AC1498&lt;1),AC1498*100,AC1498)/100)</f>
        <v/>
      </c>
      <c r="Z1498" s="5">
        <f>IF(D1498="","",AB1498*AA1498/100)</f>
        <v/>
      </c>
      <c r="AA1498" s="5">
        <f>IF(D1498="","",X1498-Y1498)</f>
        <v/>
      </c>
      <c r="AD1498" s="5">
        <f>IF(D1498="","",AA1498-Z1498)</f>
        <v/>
      </c>
      <c r="AG1498">
        <f>IF(D1498="","",N(AG1497)+IF(MATCH(D1498,$D$2:$D$3001,0)=ROW()-1,1,0))</f>
        <v/>
      </c>
    </row>
    <row r="1499">
      <c r="Y1499" s="5">
        <f>IF(D1499="","",X1499*IF(AND(ISNUMBER(AC1499),AC1499&gt;0,AC1499&lt;1),AC1499*100,AC1499)/100)</f>
        <v/>
      </c>
      <c r="Z1499" s="5">
        <f>IF(D1499="","",AB1499*AA1499/100)</f>
        <v/>
      </c>
      <c r="AA1499" s="5">
        <f>IF(D1499="","",X1499-Y1499)</f>
        <v/>
      </c>
      <c r="AD1499" s="5">
        <f>IF(D1499="","",AA1499-Z1499)</f>
        <v/>
      </c>
      <c r="AG1499">
        <f>IF(D1499="","",N(AG1498)+IF(MATCH(D1499,$D$2:$D$3001,0)=ROW()-1,1,0))</f>
        <v/>
      </c>
    </row>
    <row r="1500">
      <c r="Y1500" s="5">
        <f>IF(D1500="","",X1500*IF(AND(ISNUMBER(AC1500),AC1500&gt;0,AC1500&lt;1),AC1500*100,AC1500)/100)</f>
        <v/>
      </c>
      <c r="Z1500" s="5">
        <f>IF(D1500="","",AB1500*AA1500/100)</f>
        <v/>
      </c>
      <c r="AA1500" s="5">
        <f>IF(D1500="","",X1500-Y1500)</f>
        <v/>
      </c>
      <c r="AD1500" s="5">
        <f>IF(D1500="","",AA1500-Z1500)</f>
        <v/>
      </c>
      <c r="AG1500">
        <f>IF(D1500="","",N(AG1499)+IF(MATCH(D1500,$D$2:$D$3001,0)=ROW()-1,1,0))</f>
        <v/>
      </c>
    </row>
    <row r="1501">
      <c r="Y1501" s="5">
        <f>IF(D1501="","",X1501*IF(AND(ISNUMBER(AC1501),AC1501&gt;0,AC1501&lt;1),AC1501*100,AC1501)/100)</f>
        <v/>
      </c>
      <c r="Z1501" s="5">
        <f>IF(D1501="","",AB1501*AA1501/100)</f>
        <v/>
      </c>
      <c r="AA1501" s="5">
        <f>IF(D1501="","",X1501-Y1501)</f>
        <v/>
      </c>
      <c r="AD1501" s="5">
        <f>IF(D1501="","",AA1501-Z1501)</f>
        <v/>
      </c>
      <c r="AG1501">
        <f>IF(D1501="","",N(AG1500)+IF(MATCH(D1501,$D$2:$D$3001,0)=ROW()-1,1,0))</f>
        <v/>
      </c>
    </row>
    <row r="1502">
      <c r="Y1502" s="5">
        <f>IF(D1502="","",X1502*IF(AND(ISNUMBER(AC1502),AC1502&gt;0,AC1502&lt;1),AC1502*100,AC1502)/100)</f>
        <v/>
      </c>
      <c r="Z1502" s="5">
        <f>IF(D1502="","",AB1502*AA1502/100)</f>
        <v/>
      </c>
      <c r="AA1502" s="5">
        <f>IF(D1502="","",X1502-Y1502)</f>
        <v/>
      </c>
      <c r="AD1502" s="5">
        <f>IF(D1502="","",AA1502-Z1502)</f>
        <v/>
      </c>
      <c r="AG1502">
        <f>IF(D1502="","",N(AG1501)+IF(MATCH(D1502,$D$2:$D$3001,0)=ROW()-1,1,0))</f>
        <v/>
      </c>
    </row>
    <row r="1503">
      <c r="Y1503" s="5">
        <f>IF(D1503="","",X1503*IF(AND(ISNUMBER(AC1503),AC1503&gt;0,AC1503&lt;1),AC1503*100,AC1503)/100)</f>
        <v/>
      </c>
      <c r="Z1503" s="5">
        <f>IF(D1503="","",AB1503*AA1503/100)</f>
        <v/>
      </c>
      <c r="AA1503" s="5">
        <f>IF(D1503="","",X1503-Y1503)</f>
        <v/>
      </c>
      <c r="AD1503" s="5">
        <f>IF(D1503="","",AA1503-Z1503)</f>
        <v/>
      </c>
      <c r="AG1503">
        <f>IF(D1503="","",N(AG1502)+IF(MATCH(D1503,$D$2:$D$3001,0)=ROW()-1,1,0))</f>
        <v/>
      </c>
    </row>
    <row r="1504">
      <c r="Y1504" s="5">
        <f>IF(D1504="","",X1504*IF(AND(ISNUMBER(AC1504),AC1504&gt;0,AC1504&lt;1),AC1504*100,AC1504)/100)</f>
        <v/>
      </c>
      <c r="Z1504" s="5">
        <f>IF(D1504="","",AB1504*AA1504/100)</f>
        <v/>
      </c>
      <c r="AA1504" s="5">
        <f>IF(D1504="","",X1504-Y1504)</f>
        <v/>
      </c>
      <c r="AD1504" s="5">
        <f>IF(D1504="","",AA1504-Z1504)</f>
        <v/>
      </c>
      <c r="AG1504">
        <f>IF(D1504="","",N(AG1503)+IF(MATCH(D1504,$D$2:$D$3001,0)=ROW()-1,1,0))</f>
        <v/>
      </c>
    </row>
    <row r="1505">
      <c r="Y1505" s="5">
        <f>IF(D1505="","",X1505*IF(AND(ISNUMBER(AC1505),AC1505&gt;0,AC1505&lt;1),AC1505*100,AC1505)/100)</f>
        <v/>
      </c>
      <c r="Z1505" s="5">
        <f>IF(D1505="","",AB1505*AA1505/100)</f>
        <v/>
      </c>
      <c r="AA1505" s="5">
        <f>IF(D1505="","",X1505-Y1505)</f>
        <v/>
      </c>
      <c r="AD1505" s="5">
        <f>IF(D1505="","",AA1505-Z1505)</f>
        <v/>
      </c>
      <c r="AG1505">
        <f>IF(D1505="","",N(AG1504)+IF(MATCH(D1505,$D$2:$D$3001,0)=ROW()-1,1,0))</f>
        <v/>
      </c>
    </row>
    <row r="1506">
      <c r="Y1506" s="5">
        <f>IF(D1506="","",X1506*IF(AND(ISNUMBER(AC1506),AC1506&gt;0,AC1506&lt;1),AC1506*100,AC1506)/100)</f>
        <v/>
      </c>
      <c r="Z1506" s="5">
        <f>IF(D1506="","",AB1506*AA1506/100)</f>
        <v/>
      </c>
      <c r="AA1506" s="5">
        <f>IF(D1506="","",X1506-Y1506)</f>
        <v/>
      </c>
      <c r="AD1506" s="5">
        <f>IF(D1506="","",AA1506-Z1506)</f>
        <v/>
      </c>
      <c r="AG1506">
        <f>IF(D1506="","",N(AG1505)+IF(MATCH(D1506,$D$2:$D$3001,0)=ROW()-1,1,0))</f>
        <v/>
      </c>
    </row>
    <row r="1507">
      <c r="Y1507" s="5">
        <f>IF(D1507="","",X1507*IF(AND(ISNUMBER(AC1507),AC1507&gt;0,AC1507&lt;1),AC1507*100,AC1507)/100)</f>
        <v/>
      </c>
      <c r="Z1507" s="5">
        <f>IF(D1507="","",AB1507*AA1507/100)</f>
        <v/>
      </c>
      <c r="AA1507" s="5">
        <f>IF(D1507="","",X1507-Y1507)</f>
        <v/>
      </c>
      <c r="AD1507" s="5">
        <f>IF(D1507="","",AA1507-Z1507)</f>
        <v/>
      </c>
      <c r="AG1507">
        <f>IF(D1507="","",N(AG1506)+IF(MATCH(D1507,$D$2:$D$3001,0)=ROW()-1,1,0))</f>
        <v/>
      </c>
    </row>
    <row r="1508">
      <c r="Y1508" s="5">
        <f>IF(D1508="","",X1508*IF(AND(ISNUMBER(AC1508),AC1508&gt;0,AC1508&lt;1),AC1508*100,AC1508)/100)</f>
        <v/>
      </c>
      <c r="Z1508" s="5">
        <f>IF(D1508="","",AB1508*AA1508/100)</f>
        <v/>
      </c>
      <c r="AA1508" s="5">
        <f>IF(D1508="","",X1508-Y1508)</f>
        <v/>
      </c>
      <c r="AD1508" s="5">
        <f>IF(D1508="","",AA1508-Z1508)</f>
        <v/>
      </c>
      <c r="AG1508">
        <f>IF(D1508="","",N(AG1507)+IF(MATCH(D1508,$D$2:$D$3001,0)=ROW()-1,1,0))</f>
        <v/>
      </c>
    </row>
    <row r="1509">
      <c r="Y1509" s="5">
        <f>IF(D1509="","",X1509*IF(AND(ISNUMBER(AC1509),AC1509&gt;0,AC1509&lt;1),AC1509*100,AC1509)/100)</f>
        <v/>
      </c>
      <c r="Z1509" s="5">
        <f>IF(D1509="","",AB1509*AA1509/100)</f>
        <v/>
      </c>
      <c r="AA1509" s="5">
        <f>IF(D1509="","",X1509-Y1509)</f>
        <v/>
      </c>
      <c r="AD1509" s="5">
        <f>IF(D1509="","",AA1509-Z1509)</f>
        <v/>
      </c>
      <c r="AG1509">
        <f>IF(D1509="","",N(AG1508)+IF(MATCH(D1509,$D$2:$D$3001,0)=ROW()-1,1,0))</f>
        <v/>
      </c>
    </row>
    <row r="1510">
      <c r="Y1510" s="5">
        <f>IF(D1510="","",X1510*IF(AND(ISNUMBER(AC1510),AC1510&gt;0,AC1510&lt;1),AC1510*100,AC1510)/100)</f>
        <v/>
      </c>
      <c r="Z1510" s="5">
        <f>IF(D1510="","",AB1510*AA1510/100)</f>
        <v/>
      </c>
      <c r="AA1510" s="5">
        <f>IF(D1510="","",X1510-Y1510)</f>
        <v/>
      </c>
      <c r="AD1510" s="5">
        <f>IF(D1510="","",AA1510-Z1510)</f>
        <v/>
      </c>
      <c r="AG1510">
        <f>IF(D1510="","",N(AG1509)+IF(MATCH(D1510,$D$2:$D$3001,0)=ROW()-1,1,0))</f>
        <v/>
      </c>
    </row>
    <row r="1511">
      <c r="Y1511" s="5">
        <f>IF(D1511="","",X1511*IF(AND(ISNUMBER(AC1511),AC1511&gt;0,AC1511&lt;1),AC1511*100,AC1511)/100)</f>
        <v/>
      </c>
      <c r="Z1511" s="5">
        <f>IF(D1511="","",AB1511*AA1511/100)</f>
        <v/>
      </c>
      <c r="AA1511" s="5">
        <f>IF(D1511="","",X1511-Y1511)</f>
        <v/>
      </c>
      <c r="AD1511" s="5">
        <f>IF(D1511="","",AA1511-Z1511)</f>
        <v/>
      </c>
      <c r="AG1511">
        <f>IF(D1511="","",N(AG1510)+IF(MATCH(D1511,$D$2:$D$3001,0)=ROW()-1,1,0))</f>
        <v/>
      </c>
    </row>
    <row r="1512">
      <c r="Y1512" s="5">
        <f>IF(D1512="","",X1512*IF(AND(ISNUMBER(AC1512),AC1512&gt;0,AC1512&lt;1),AC1512*100,AC1512)/100)</f>
        <v/>
      </c>
      <c r="Z1512" s="5">
        <f>IF(D1512="","",AB1512*AA1512/100)</f>
        <v/>
      </c>
      <c r="AA1512" s="5">
        <f>IF(D1512="","",X1512-Y1512)</f>
        <v/>
      </c>
      <c r="AD1512" s="5">
        <f>IF(D1512="","",AA1512-Z1512)</f>
        <v/>
      </c>
      <c r="AG1512">
        <f>IF(D1512="","",N(AG1511)+IF(MATCH(D1512,$D$2:$D$3001,0)=ROW()-1,1,0))</f>
        <v/>
      </c>
    </row>
    <row r="1513">
      <c r="Y1513" s="5">
        <f>IF(D1513="","",X1513*IF(AND(ISNUMBER(AC1513),AC1513&gt;0,AC1513&lt;1),AC1513*100,AC1513)/100)</f>
        <v/>
      </c>
      <c r="Z1513" s="5">
        <f>IF(D1513="","",AB1513*AA1513/100)</f>
        <v/>
      </c>
      <c r="AA1513" s="5">
        <f>IF(D1513="","",X1513-Y1513)</f>
        <v/>
      </c>
      <c r="AD1513" s="5">
        <f>IF(D1513="","",AA1513-Z1513)</f>
        <v/>
      </c>
      <c r="AG1513">
        <f>IF(D1513="","",N(AG1512)+IF(MATCH(D1513,$D$2:$D$3001,0)=ROW()-1,1,0))</f>
        <v/>
      </c>
    </row>
    <row r="1514">
      <c r="Y1514" s="5">
        <f>IF(D1514="","",X1514*IF(AND(ISNUMBER(AC1514),AC1514&gt;0,AC1514&lt;1),AC1514*100,AC1514)/100)</f>
        <v/>
      </c>
      <c r="Z1514" s="5">
        <f>IF(D1514="","",AB1514*AA1514/100)</f>
        <v/>
      </c>
      <c r="AA1514" s="5">
        <f>IF(D1514="","",X1514-Y1514)</f>
        <v/>
      </c>
      <c r="AD1514" s="5">
        <f>IF(D1514="","",AA1514-Z1514)</f>
        <v/>
      </c>
      <c r="AG1514">
        <f>IF(D1514="","",N(AG1513)+IF(MATCH(D1514,$D$2:$D$3001,0)=ROW()-1,1,0))</f>
        <v/>
      </c>
    </row>
    <row r="1515">
      <c r="Y1515" s="5">
        <f>IF(D1515="","",X1515*IF(AND(ISNUMBER(AC1515),AC1515&gt;0,AC1515&lt;1),AC1515*100,AC1515)/100)</f>
        <v/>
      </c>
      <c r="Z1515" s="5">
        <f>IF(D1515="","",AB1515*AA1515/100)</f>
        <v/>
      </c>
      <c r="AA1515" s="5">
        <f>IF(D1515="","",X1515-Y1515)</f>
        <v/>
      </c>
      <c r="AD1515" s="5">
        <f>IF(D1515="","",AA1515-Z1515)</f>
        <v/>
      </c>
      <c r="AG1515">
        <f>IF(D1515="","",N(AG1514)+IF(MATCH(D1515,$D$2:$D$3001,0)=ROW()-1,1,0))</f>
        <v/>
      </c>
    </row>
    <row r="1516">
      <c r="Y1516" s="5">
        <f>IF(D1516="","",X1516*IF(AND(ISNUMBER(AC1516),AC1516&gt;0,AC1516&lt;1),AC1516*100,AC1516)/100)</f>
        <v/>
      </c>
      <c r="Z1516" s="5">
        <f>IF(D1516="","",AB1516*AA1516/100)</f>
        <v/>
      </c>
      <c r="AA1516" s="5">
        <f>IF(D1516="","",X1516-Y1516)</f>
        <v/>
      </c>
      <c r="AD1516" s="5">
        <f>IF(D1516="","",AA1516-Z1516)</f>
        <v/>
      </c>
      <c r="AG1516">
        <f>IF(D1516="","",N(AG1515)+IF(MATCH(D1516,$D$2:$D$3001,0)=ROW()-1,1,0))</f>
        <v/>
      </c>
    </row>
    <row r="1517">
      <c r="Y1517" s="5">
        <f>IF(D1517="","",X1517*IF(AND(ISNUMBER(AC1517),AC1517&gt;0,AC1517&lt;1),AC1517*100,AC1517)/100)</f>
        <v/>
      </c>
      <c r="Z1517" s="5">
        <f>IF(D1517="","",AB1517*AA1517/100)</f>
        <v/>
      </c>
      <c r="AA1517" s="5">
        <f>IF(D1517="","",X1517-Y1517)</f>
        <v/>
      </c>
      <c r="AD1517" s="5">
        <f>IF(D1517="","",AA1517-Z1517)</f>
        <v/>
      </c>
      <c r="AG1517">
        <f>IF(D1517="","",N(AG1516)+IF(MATCH(D1517,$D$2:$D$3001,0)=ROW()-1,1,0))</f>
        <v/>
      </c>
    </row>
    <row r="1518">
      <c r="Y1518" s="5">
        <f>IF(D1518="","",X1518*IF(AND(ISNUMBER(AC1518),AC1518&gt;0,AC1518&lt;1),AC1518*100,AC1518)/100)</f>
        <v/>
      </c>
      <c r="Z1518" s="5">
        <f>IF(D1518="","",AB1518*AA1518/100)</f>
        <v/>
      </c>
      <c r="AA1518" s="5">
        <f>IF(D1518="","",X1518-Y1518)</f>
        <v/>
      </c>
      <c r="AD1518" s="5">
        <f>IF(D1518="","",AA1518-Z1518)</f>
        <v/>
      </c>
      <c r="AG1518">
        <f>IF(D1518="","",N(AG1517)+IF(MATCH(D1518,$D$2:$D$3001,0)=ROW()-1,1,0))</f>
        <v/>
      </c>
    </row>
    <row r="1519">
      <c r="Y1519" s="5">
        <f>IF(D1519="","",X1519*IF(AND(ISNUMBER(AC1519),AC1519&gt;0,AC1519&lt;1),AC1519*100,AC1519)/100)</f>
        <v/>
      </c>
      <c r="Z1519" s="5">
        <f>IF(D1519="","",AB1519*AA1519/100)</f>
        <v/>
      </c>
      <c r="AA1519" s="5">
        <f>IF(D1519="","",X1519-Y1519)</f>
        <v/>
      </c>
      <c r="AD1519" s="5">
        <f>IF(D1519="","",AA1519-Z1519)</f>
        <v/>
      </c>
      <c r="AG1519">
        <f>IF(D1519="","",N(AG1518)+IF(MATCH(D1519,$D$2:$D$3001,0)=ROW()-1,1,0))</f>
        <v/>
      </c>
    </row>
    <row r="1520">
      <c r="Y1520" s="5">
        <f>IF(D1520="","",X1520*IF(AND(ISNUMBER(AC1520),AC1520&gt;0,AC1520&lt;1),AC1520*100,AC1520)/100)</f>
        <v/>
      </c>
      <c r="Z1520" s="5">
        <f>IF(D1520="","",AB1520*AA1520/100)</f>
        <v/>
      </c>
      <c r="AA1520" s="5">
        <f>IF(D1520="","",X1520-Y1520)</f>
        <v/>
      </c>
      <c r="AD1520" s="5">
        <f>IF(D1520="","",AA1520-Z1520)</f>
        <v/>
      </c>
      <c r="AG1520">
        <f>IF(D1520="","",N(AG1519)+IF(MATCH(D1520,$D$2:$D$3001,0)=ROW()-1,1,0))</f>
        <v/>
      </c>
    </row>
    <row r="1521">
      <c r="Y1521" s="5">
        <f>IF(D1521="","",X1521*IF(AND(ISNUMBER(AC1521),AC1521&gt;0,AC1521&lt;1),AC1521*100,AC1521)/100)</f>
        <v/>
      </c>
      <c r="Z1521" s="5">
        <f>IF(D1521="","",AB1521*AA1521/100)</f>
        <v/>
      </c>
      <c r="AA1521" s="5">
        <f>IF(D1521="","",X1521-Y1521)</f>
        <v/>
      </c>
      <c r="AD1521" s="5">
        <f>IF(D1521="","",AA1521-Z1521)</f>
        <v/>
      </c>
      <c r="AG1521">
        <f>IF(D1521="","",N(AG1520)+IF(MATCH(D1521,$D$2:$D$3001,0)=ROW()-1,1,0))</f>
        <v/>
      </c>
    </row>
    <row r="1522">
      <c r="Y1522" s="5">
        <f>IF(D1522="","",X1522*IF(AND(ISNUMBER(AC1522),AC1522&gt;0,AC1522&lt;1),AC1522*100,AC1522)/100)</f>
        <v/>
      </c>
      <c r="Z1522" s="5">
        <f>IF(D1522="","",AB1522*AA1522/100)</f>
        <v/>
      </c>
      <c r="AA1522" s="5">
        <f>IF(D1522="","",X1522-Y1522)</f>
        <v/>
      </c>
      <c r="AD1522" s="5">
        <f>IF(D1522="","",AA1522-Z1522)</f>
        <v/>
      </c>
      <c r="AG1522">
        <f>IF(D1522="","",N(AG1521)+IF(MATCH(D1522,$D$2:$D$3001,0)=ROW()-1,1,0))</f>
        <v/>
      </c>
    </row>
    <row r="1523">
      <c r="Y1523" s="5">
        <f>IF(D1523="","",X1523*IF(AND(ISNUMBER(AC1523),AC1523&gt;0,AC1523&lt;1),AC1523*100,AC1523)/100)</f>
        <v/>
      </c>
      <c r="Z1523" s="5">
        <f>IF(D1523="","",AB1523*AA1523/100)</f>
        <v/>
      </c>
      <c r="AA1523" s="5">
        <f>IF(D1523="","",X1523-Y1523)</f>
        <v/>
      </c>
      <c r="AD1523" s="5">
        <f>IF(D1523="","",AA1523-Z1523)</f>
        <v/>
      </c>
      <c r="AG1523">
        <f>IF(D1523="","",N(AG1522)+IF(MATCH(D1523,$D$2:$D$3001,0)=ROW()-1,1,0))</f>
        <v/>
      </c>
    </row>
    <row r="1524">
      <c r="Y1524" s="5">
        <f>IF(D1524="","",X1524*IF(AND(ISNUMBER(AC1524),AC1524&gt;0,AC1524&lt;1),AC1524*100,AC1524)/100)</f>
        <v/>
      </c>
      <c r="Z1524" s="5">
        <f>IF(D1524="","",AB1524*AA1524/100)</f>
        <v/>
      </c>
      <c r="AA1524" s="5">
        <f>IF(D1524="","",X1524-Y1524)</f>
        <v/>
      </c>
      <c r="AD1524" s="5">
        <f>IF(D1524="","",AA1524-Z1524)</f>
        <v/>
      </c>
      <c r="AG1524">
        <f>IF(D1524="","",N(AG1523)+IF(MATCH(D1524,$D$2:$D$3001,0)=ROW()-1,1,0))</f>
        <v/>
      </c>
    </row>
    <row r="1525">
      <c r="Y1525" s="5">
        <f>IF(D1525="","",X1525*IF(AND(ISNUMBER(AC1525),AC1525&gt;0,AC1525&lt;1),AC1525*100,AC1525)/100)</f>
        <v/>
      </c>
      <c r="Z1525" s="5">
        <f>IF(D1525="","",AB1525*AA1525/100)</f>
        <v/>
      </c>
      <c r="AA1525" s="5">
        <f>IF(D1525="","",X1525-Y1525)</f>
        <v/>
      </c>
      <c r="AD1525" s="5">
        <f>IF(D1525="","",AA1525-Z1525)</f>
        <v/>
      </c>
      <c r="AG1525">
        <f>IF(D1525="","",N(AG1524)+IF(MATCH(D1525,$D$2:$D$3001,0)=ROW()-1,1,0))</f>
        <v/>
      </c>
    </row>
    <row r="1526">
      <c r="Y1526" s="5">
        <f>IF(D1526="","",X1526*IF(AND(ISNUMBER(AC1526),AC1526&gt;0,AC1526&lt;1),AC1526*100,AC1526)/100)</f>
        <v/>
      </c>
      <c r="Z1526" s="5">
        <f>IF(D1526="","",AB1526*AA1526/100)</f>
        <v/>
      </c>
      <c r="AA1526" s="5">
        <f>IF(D1526="","",X1526-Y1526)</f>
        <v/>
      </c>
      <c r="AD1526" s="5">
        <f>IF(D1526="","",AA1526-Z1526)</f>
        <v/>
      </c>
      <c r="AG1526">
        <f>IF(D1526="","",N(AG1525)+IF(MATCH(D1526,$D$2:$D$3001,0)=ROW()-1,1,0))</f>
        <v/>
      </c>
    </row>
    <row r="1527">
      <c r="Y1527" s="5">
        <f>IF(D1527="","",X1527*IF(AND(ISNUMBER(AC1527),AC1527&gt;0,AC1527&lt;1),AC1527*100,AC1527)/100)</f>
        <v/>
      </c>
      <c r="Z1527" s="5">
        <f>IF(D1527="","",AB1527*AA1527/100)</f>
        <v/>
      </c>
      <c r="AA1527" s="5">
        <f>IF(D1527="","",X1527-Y1527)</f>
        <v/>
      </c>
      <c r="AD1527" s="5">
        <f>IF(D1527="","",AA1527-Z1527)</f>
        <v/>
      </c>
      <c r="AG1527">
        <f>IF(D1527="","",N(AG1526)+IF(MATCH(D1527,$D$2:$D$3001,0)=ROW()-1,1,0))</f>
        <v/>
      </c>
    </row>
    <row r="1528">
      <c r="Y1528" s="5">
        <f>IF(D1528="","",X1528*IF(AND(ISNUMBER(AC1528),AC1528&gt;0,AC1528&lt;1),AC1528*100,AC1528)/100)</f>
        <v/>
      </c>
      <c r="Z1528" s="5">
        <f>IF(D1528="","",AB1528*AA1528/100)</f>
        <v/>
      </c>
      <c r="AA1528" s="5">
        <f>IF(D1528="","",X1528-Y1528)</f>
        <v/>
      </c>
      <c r="AD1528" s="5">
        <f>IF(D1528="","",AA1528-Z1528)</f>
        <v/>
      </c>
      <c r="AG1528">
        <f>IF(D1528="","",N(AG1527)+IF(MATCH(D1528,$D$2:$D$3001,0)=ROW()-1,1,0))</f>
        <v/>
      </c>
    </row>
    <row r="1529">
      <c r="Y1529" s="5">
        <f>IF(D1529="","",X1529*IF(AND(ISNUMBER(AC1529),AC1529&gt;0,AC1529&lt;1),AC1529*100,AC1529)/100)</f>
        <v/>
      </c>
      <c r="Z1529" s="5">
        <f>IF(D1529="","",AB1529*AA1529/100)</f>
        <v/>
      </c>
      <c r="AA1529" s="5">
        <f>IF(D1529="","",X1529-Y1529)</f>
        <v/>
      </c>
      <c r="AD1529" s="5">
        <f>IF(D1529="","",AA1529-Z1529)</f>
        <v/>
      </c>
      <c r="AG1529">
        <f>IF(D1529="","",N(AG1528)+IF(MATCH(D1529,$D$2:$D$3001,0)=ROW()-1,1,0))</f>
        <v/>
      </c>
    </row>
    <row r="1530">
      <c r="Y1530" s="5">
        <f>IF(D1530="","",X1530*IF(AND(ISNUMBER(AC1530),AC1530&gt;0,AC1530&lt;1),AC1530*100,AC1530)/100)</f>
        <v/>
      </c>
      <c r="Z1530" s="5">
        <f>IF(D1530="","",AB1530*AA1530/100)</f>
        <v/>
      </c>
      <c r="AA1530" s="5">
        <f>IF(D1530="","",X1530-Y1530)</f>
        <v/>
      </c>
      <c r="AD1530" s="5">
        <f>IF(D1530="","",AA1530-Z1530)</f>
        <v/>
      </c>
      <c r="AG1530">
        <f>IF(D1530="","",N(AG1529)+IF(MATCH(D1530,$D$2:$D$3001,0)=ROW()-1,1,0))</f>
        <v/>
      </c>
    </row>
    <row r="1531">
      <c r="Y1531" s="5">
        <f>IF(D1531="","",X1531*IF(AND(ISNUMBER(AC1531),AC1531&gt;0,AC1531&lt;1),AC1531*100,AC1531)/100)</f>
        <v/>
      </c>
      <c r="Z1531" s="5">
        <f>IF(D1531="","",AB1531*AA1531/100)</f>
        <v/>
      </c>
      <c r="AA1531" s="5">
        <f>IF(D1531="","",X1531-Y1531)</f>
        <v/>
      </c>
      <c r="AD1531" s="5">
        <f>IF(D1531="","",AA1531-Z1531)</f>
        <v/>
      </c>
      <c r="AG1531">
        <f>IF(D1531="","",N(AG1530)+IF(MATCH(D1531,$D$2:$D$3001,0)=ROW()-1,1,0))</f>
        <v/>
      </c>
    </row>
    <row r="1532">
      <c r="Y1532" s="5">
        <f>IF(D1532="","",X1532*IF(AND(ISNUMBER(AC1532),AC1532&gt;0,AC1532&lt;1),AC1532*100,AC1532)/100)</f>
        <v/>
      </c>
      <c r="Z1532" s="5">
        <f>IF(D1532="","",AB1532*AA1532/100)</f>
        <v/>
      </c>
      <c r="AA1532" s="5">
        <f>IF(D1532="","",X1532-Y1532)</f>
        <v/>
      </c>
      <c r="AD1532" s="5">
        <f>IF(D1532="","",AA1532-Z1532)</f>
        <v/>
      </c>
      <c r="AG1532">
        <f>IF(D1532="","",N(AG1531)+IF(MATCH(D1532,$D$2:$D$3001,0)=ROW()-1,1,0))</f>
        <v/>
      </c>
    </row>
    <row r="1533">
      <c r="Y1533" s="5">
        <f>IF(D1533="","",X1533*IF(AND(ISNUMBER(AC1533),AC1533&gt;0,AC1533&lt;1),AC1533*100,AC1533)/100)</f>
        <v/>
      </c>
      <c r="Z1533" s="5">
        <f>IF(D1533="","",AB1533*AA1533/100)</f>
        <v/>
      </c>
      <c r="AA1533" s="5">
        <f>IF(D1533="","",X1533-Y1533)</f>
        <v/>
      </c>
      <c r="AD1533" s="5">
        <f>IF(D1533="","",AA1533-Z1533)</f>
        <v/>
      </c>
      <c r="AG1533">
        <f>IF(D1533="","",N(AG1532)+IF(MATCH(D1533,$D$2:$D$3001,0)=ROW()-1,1,0))</f>
        <v/>
      </c>
    </row>
    <row r="1534">
      <c r="Y1534" s="5">
        <f>IF(D1534="","",X1534*IF(AND(ISNUMBER(AC1534),AC1534&gt;0,AC1534&lt;1),AC1534*100,AC1534)/100)</f>
        <v/>
      </c>
      <c r="Z1534" s="5">
        <f>IF(D1534="","",AB1534*AA1534/100)</f>
        <v/>
      </c>
      <c r="AA1534" s="5">
        <f>IF(D1534="","",X1534-Y1534)</f>
        <v/>
      </c>
      <c r="AD1534" s="5">
        <f>IF(D1534="","",AA1534-Z1534)</f>
        <v/>
      </c>
      <c r="AG1534">
        <f>IF(D1534="","",N(AG1533)+IF(MATCH(D1534,$D$2:$D$3001,0)=ROW()-1,1,0))</f>
        <v/>
      </c>
    </row>
    <row r="1535">
      <c r="Y1535" s="5">
        <f>IF(D1535="","",X1535*IF(AND(ISNUMBER(AC1535),AC1535&gt;0,AC1535&lt;1),AC1535*100,AC1535)/100)</f>
        <v/>
      </c>
      <c r="Z1535" s="5">
        <f>IF(D1535="","",AB1535*AA1535/100)</f>
        <v/>
      </c>
      <c r="AA1535" s="5">
        <f>IF(D1535="","",X1535-Y1535)</f>
        <v/>
      </c>
      <c r="AD1535" s="5">
        <f>IF(D1535="","",AA1535-Z1535)</f>
        <v/>
      </c>
      <c r="AG1535">
        <f>IF(D1535="","",N(AG1534)+IF(MATCH(D1535,$D$2:$D$3001,0)=ROW()-1,1,0))</f>
        <v/>
      </c>
    </row>
    <row r="1536">
      <c r="Y1536" s="5">
        <f>IF(D1536="","",X1536*IF(AND(ISNUMBER(AC1536),AC1536&gt;0,AC1536&lt;1),AC1536*100,AC1536)/100)</f>
        <v/>
      </c>
      <c r="Z1536" s="5">
        <f>IF(D1536="","",AB1536*AA1536/100)</f>
        <v/>
      </c>
      <c r="AA1536" s="5">
        <f>IF(D1536="","",X1536-Y1536)</f>
        <v/>
      </c>
      <c r="AD1536" s="5">
        <f>IF(D1536="","",AA1536-Z1536)</f>
        <v/>
      </c>
      <c r="AG1536">
        <f>IF(D1536="","",N(AG1535)+IF(MATCH(D1536,$D$2:$D$3001,0)=ROW()-1,1,0))</f>
        <v/>
      </c>
    </row>
    <row r="1537">
      <c r="Y1537" s="5">
        <f>IF(D1537="","",X1537*IF(AND(ISNUMBER(AC1537),AC1537&gt;0,AC1537&lt;1),AC1537*100,AC1537)/100)</f>
        <v/>
      </c>
      <c r="Z1537" s="5">
        <f>IF(D1537="","",AB1537*AA1537/100)</f>
        <v/>
      </c>
      <c r="AA1537" s="5">
        <f>IF(D1537="","",X1537-Y1537)</f>
        <v/>
      </c>
      <c r="AD1537" s="5">
        <f>IF(D1537="","",AA1537-Z1537)</f>
        <v/>
      </c>
      <c r="AG1537">
        <f>IF(D1537="","",N(AG1536)+IF(MATCH(D1537,$D$2:$D$3001,0)=ROW()-1,1,0))</f>
        <v/>
      </c>
    </row>
    <row r="1538">
      <c r="Y1538" s="5">
        <f>IF(D1538="","",X1538*IF(AND(ISNUMBER(AC1538),AC1538&gt;0,AC1538&lt;1),AC1538*100,AC1538)/100)</f>
        <v/>
      </c>
      <c r="Z1538" s="5">
        <f>IF(D1538="","",AB1538*AA1538/100)</f>
        <v/>
      </c>
      <c r="AA1538" s="5">
        <f>IF(D1538="","",X1538-Y1538)</f>
        <v/>
      </c>
      <c r="AD1538" s="5">
        <f>IF(D1538="","",AA1538-Z1538)</f>
        <v/>
      </c>
      <c r="AG1538">
        <f>IF(D1538="","",N(AG1537)+IF(MATCH(D1538,$D$2:$D$3001,0)=ROW()-1,1,0))</f>
        <v/>
      </c>
    </row>
    <row r="1539">
      <c r="Y1539" s="5">
        <f>IF(D1539="","",X1539*IF(AND(ISNUMBER(AC1539),AC1539&gt;0,AC1539&lt;1),AC1539*100,AC1539)/100)</f>
        <v/>
      </c>
      <c r="Z1539" s="5">
        <f>IF(D1539="","",AB1539*AA1539/100)</f>
        <v/>
      </c>
      <c r="AA1539" s="5">
        <f>IF(D1539="","",X1539-Y1539)</f>
        <v/>
      </c>
      <c r="AD1539" s="5">
        <f>IF(D1539="","",AA1539-Z1539)</f>
        <v/>
      </c>
      <c r="AG1539">
        <f>IF(D1539="","",N(AG1538)+IF(MATCH(D1539,$D$2:$D$3001,0)=ROW()-1,1,0))</f>
        <v/>
      </c>
    </row>
    <row r="1540">
      <c r="Y1540" s="5">
        <f>IF(D1540="","",X1540*IF(AND(ISNUMBER(AC1540),AC1540&gt;0,AC1540&lt;1),AC1540*100,AC1540)/100)</f>
        <v/>
      </c>
      <c r="Z1540" s="5">
        <f>IF(D1540="","",AB1540*AA1540/100)</f>
        <v/>
      </c>
      <c r="AA1540" s="5">
        <f>IF(D1540="","",X1540-Y1540)</f>
        <v/>
      </c>
      <c r="AD1540" s="5">
        <f>IF(D1540="","",AA1540-Z1540)</f>
        <v/>
      </c>
      <c r="AG1540">
        <f>IF(D1540="","",N(AG1539)+IF(MATCH(D1540,$D$2:$D$3001,0)=ROW()-1,1,0))</f>
        <v/>
      </c>
    </row>
    <row r="1541">
      <c r="Y1541" s="5">
        <f>IF(D1541="","",X1541*IF(AND(ISNUMBER(AC1541),AC1541&gt;0,AC1541&lt;1),AC1541*100,AC1541)/100)</f>
        <v/>
      </c>
      <c r="Z1541" s="5">
        <f>IF(D1541="","",AB1541*AA1541/100)</f>
        <v/>
      </c>
      <c r="AA1541" s="5">
        <f>IF(D1541="","",X1541-Y1541)</f>
        <v/>
      </c>
      <c r="AD1541" s="5">
        <f>IF(D1541="","",AA1541-Z1541)</f>
        <v/>
      </c>
      <c r="AG1541">
        <f>IF(D1541="","",N(AG1540)+IF(MATCH(D1541,$D$2:$D$3001,0)=ROW()-1,1,0))</f>
        <v/>
      </c>
    </row>
    <row r="1542">
      <c r="Y1542" s="5">
        <f>IF(D1542="","",X1542*IF(AND(ISNUMBER(AC1542),AC1542&gt;0,AC1542&lt;1),AC1542*100,AC1542)/100)</f>
        <v/>
      </c>
      <c r="Z1542" s="5">
        <f>IF(D1542="","",AB1542*AA1542/100)</f>
        <v/>
      </c>
      <c r="AA1542" s="5">
        <f>IF(D1542="","",X1542-Y1542)</f>
        <v/>
      </c>
      <c r="AD1542" s="5">
        <f>IF(D1542="","",AA1542-Z1542)</f>
        <v/>
      </c>
      <c r="AG1542">
        <f>IF(D1542="","",N(AG1541)+IF(MATCH(D1542,$D$2:$D$3001,0)=ROW()-1,1,0))</f>
        <v/>
      </c>
    </row>
    <row r="1543">
      <c r="Y1543" s="5">
        <f>IF(D1543="","",X1543*IF(AND(ISNUMBER(AC1543),AC1543&gt;0,AC1543&lt;1),AC1543*100,AC1543)/100)</f>
        <v/>
      </c>
      <c r="Z1543" s="5">
        <f>IF(D1543="","",AB1543*AA1543/100)</f>
        <v/>
      </c>
      <c r="AA1543" s="5">
        <f>IF(D1543="","",X1543-Y1543)</f>
        <v/>
      </c>
      <c r="AD1543" s="5">
        <f>IF(D1543="","",AA1543-Z1543)</f>
        <v/>
      </c>
      <c r="AG1543">
        <f>IF(D1543="","",N(AG1542)+IF(MATCH(D1543,$D$2:$D$3001,0)=ROW()-1,1,0))</f>
        <v/>
      </c>
    </row>
    <row r="1544">
      <c r="Y1544" s="5">
        <f>IF(D1544="","",X1544*IF(AND(ISNUMBER(AC1544),AC1544&gt;0,AC1544&lt;1),AC1544*100,AC1544)/100)</f>
        <v/>
      </c>
      <c r="Z1544" s="5">
        <f>IF(D1544="","",AB1544*AA1544/100)</f>
        <v/>
      </c>
      <c r="AA1544" s="5">
        <f>IF(D1544="","",X1544-Y1544)</f>
        <v/>
      </c>
      <c r="AD1544" s="5">
        <f>IF(D1544="","",AA1544-Z1544)</f>
        <v/>
      </c>
      <c r="AG1544">
        <f>IF(D1544="","",N(AG1543)+IF(MATCH(D1544,$D$2:$D$3001,0)=ROW()-1,1,0))</f>
        <v/>
      </c>
    </row>
    <row r="1545">
      <c r="Y1545" s="5">
        <f>IF(D1545="","",X1545*IF(AND(ISNUMBER(AC1545),AC1545&gt;0,AC1545&lt;1),AC1545*100,AC1545)/100)</f>
        <v/>
      </c>
      <c r="Z1545" s="5">
        <f>IF(D1545="","",AB1545*AA1545/100)</f>
        <v/>
      </c>
      <c r="AA1545" s="5">
        <f>IF(D1545="","",X1545-Y1545)</f>
        <v/>
      </c>
      <c r="AD1545" s="5">
        <f>IF(D1545="","",AA1545-Z1545)</f>
        <v/>
      </c>
      <c r="AG1545">
        <f>IF(D1545="","",N(AG1544)+IF(MATCH(D1545,$D$2:$D$3001,0)=ROW()-1,1,0))</f>
        <v/>
      </c>
    </row>
    <row r="1546">
      <c r="Y1546" s="5">
        <f>IF(D1546="","",X1546*IF(AND(ISNUMBER(AC1546),AC1546&gt;0,AC1546&lt;1),AC1546*100,AC1546)/100)</f>
        <v/>
      </c>
      <c r="Z1546" s="5">
        <f>IF(D1546="","",AB1546*AA1546/100)</f>
        <v/>
      </c>
      <c r="AA1546" s="5">
        <f>IF(D1546="","",X1546-Y1546)</f>
        <v/>
      </c>
      <c r="AD1546" s="5">
        <f>IF(D1546="","",AA1546-Z1546)</f>
        <v/>
      </c>
      <c r="AG1546">
        <f>IF(D1546="","",N(AG1545)+IF(MATCH(D1546,$D$2:$D$3001,0)=ROW()-1,1,0))</f>
        <v/>
      </c>
    </row>
    <row r="1547">
      <c r="Y1547" s="5">
        <f>IF(D1547="","",X1547*IF(AND(ISNUMBER(AC1547),AC1547&gt;0,AC1547&lt;1),AC1547*100,AC1547)/100)</f>
        <v/>
      </c>
      <c r="Z1547" s="5">
        <f>IF(D1547="","",AB1547*AA1547/100)</f>
        <v/>
      </c>
      <c r="AA1547" s="5">
        <f>IF(D1547="","",X1547-Y1547)</f>
        <v/>
      </c>
      <c r="AD1547" s="5">
        <f>IF(D1547="","",AA1547-Z1547)</f>
        <v/>
      </c>
      <c r="AG1547">
        <f>IF(D1547="","",N(AG1546)+IF(MATCH(D1547,$D$2:$D$3001,0)=ROW()-1,1,0))</f>
        <v/>
      </c>
    </row>
    <row r="1548">
      <c r="Y1548" s="5">
        <f>IF(D1548="","",X1548*IF(AND(ISNUMBER(AC1548),AC1548&gt;0,AC1548&lt;1),AC1548*100,AC1548)/100)</f>
        <v/>
      </c>
      <c r="Z1548" s="5">
        <f>IF(D1548="","",AB1548*AA1548/100)</f>
        <v/>
      </c>
      <c r="AA1548" s="5">
        <f>IF(D1548="","",X1548-Y1548)</f>
        <v/>
      </c>
      <c r="AD1548" s="5">
        <f>IF(D1548="","",AA1548-Z1548)</f>
        <v/>
      </c>
      <c r="AG1548">
        <f>IF(D1548="","",N(AG1547)+IF(MATCH(D1548,$D$2:$D$3001,0)=ROW()-1,1,0))</f>
        <v/>
      </c>
    </row>
    <row r="1549">
      <c r="Y1549" s="5">
        <f>IF(D1549="","",X1549*IF(AND(ISNUMBER(AC1549),AC1549&gt;0,AC1549&lt;1),AC1549*100,AC1549)/100)</f>
        <v/>
      </c>
      <c r="Z1549" s="5">
        <f>IF(D1549="","",AB1549*AA1549/100)</f>
        <v/>
      </c>
      <c r="AA1549" s="5">
        <f>IF(D1549="","",X1549-Y1549)</f>
        <v/>
      </c>
      <c r="AD1549" s="5">
        <f>IF(D1549="","",AA1549-Z1549)</f>
        <v/>
      </c>
      <c r="AG1549">
        <f>IF(D1549="","",N(AG1548)+IF(MATCH(D1549,$D$2:$D$3001,0)=ROW()-1,1,0))</f>
        <v/>
      </c>
    </row>
    <row r="1550">
      <c r="Y1550" s="5">
        <f>IF(D1550="","",X1550*IF(AND(ISNUMBER(AC1550),AC1550&gt;0,AC1550&lt;1),AC1550*100,AC1550)/100)</f>
        <v/>
      </c>
      <c r="Z1550" s="5">
        <f>IF(D1550="","",AB1550*AA1550/100)</f>
        <v/>
      </c>
      <c r="AA1550" s="5">
        <f>IF(D1550="","",X1550-Y1550)</f>
        <v/>
      </c>
      <c r="AD1550" s="5">
        <f>IF(D1550="","",AA1550-Z1550)</f>
        <v/>
      </c>
      <c r="AG1550">
        <f>IF(D1550="","",N(AG1549)+IF(MATCH(D1550,$D$2:$D$3001,0)=ROW()-1,1,0))</f>
        <v/>
      </c>
    </row>
    <row r="1551">
      <c r="Y1551" s="5">
        <f>IF(D1551="","",X1551*IF(AND(ISNUMBER(AC1551),AC1551&gt;0,AC1551&lt;1),AC1551*100,AC1551)/100)</f>
        <v/>
      </c>
      <c r="Z1551" s="5">
        <f>IF(D1551="","",AB1551*AA1551/100)</f>
        <v/>
      </c>
      <c r="AA1551" s="5">
        <f>IF(D1551="","",X1551-Y1551)</f>
        <v/>
      </c>
      <c r="AD1551" s="5">
        <f>IF(D1551="","",AA1551-Z1551)</f>
        <v/>
      </c>
      <c r="AG1551">
        <f>IF(D1551="","",N(AG1550)+IF(MATCH(D1551,$D$2:$D$3001,0)=ROW()-1,1,0))</f>
        <v/>
      </c>
    </row>
    <row r="1552">
      <c r="Y1552" s="5">
        <f>IF(D1552="","",X1552*IF(AND(ISNUMBER(AC1552),AC1552&gt;0,AC1552&lt;1),AC1552*100,AC1552)/100)</f>
        <v/>
      </c>
      <c r="Z1552" s="5">
        <f>IF(D1552="","",AB1552*AA1552/100)</f>
        <v/>
      </c>
      <c r="AA1552" s="5">
        <f>IF(D1552="","",X1552-Y1552)</f>
        <v/>
      </c>
      <c r="AD1552" s="5">
        <f>IF(D1552="","",AA1552-Z1552)</f>
        <v/>
      </c>
      <c r="AG1552">
        <f>IF(D1552="","",N(AG1551)+IF(MATCH(D1552,$D$2:$D$3001,0)=ROW()-1,1,0))</f>
        <v/>
      </c>
    </row>
    <row r="1553">
      <c r="Y1553" s="5">
        <f>IF(D1553="","",X1553*IF(AND(ISNUMBER(AC1553),AC1553&gt;0,AC1553&lt;1),AC1553*100,AC1553)/100)</f>
        <v/>
      </c>
      <c r="Z1553" s="5">
        <f>IF(D1553="","",AB1553*AA1553/100)</f>
        <v/>
      </c>
      <c r="AA1553" s="5">
        <f>IF(D1553="","",X1553-Y1553)</f>
        <v/>
      </c>
      <c r="AD1553" s="5">
        <f>IF(D1553="","",AA1553-Z1553)</f>
        <v/>
      </c>
      <c r="AG1553">
        <f>IF(D1553="","",N(AG1552)+IF(MATCH(D1553,$D$2:$D$3001,0)=ROW()-1,1,0))</f>
        <v/>
      </c>
    </row>
    <row r="1554">
      <c r="Y1554" s="5">
        <f>IF(D1554="","",X1554*IF(AND(ISNUMBER(AC1554),AC1554&gt;0,AC1554&lt;1),AC1554*100,AC1554)/100)</f>
        <v/>
      </c>
      <c r="Z1554" s="5">
        <f>IF(D1554="","",AB1554*AA1554/100)</f>
        <v/>
      </c>
      <c r="AA1554" s="5">
        <f>IF(D1554="","",X1554-Y1554)</f>
        <v/>
      </c>
      <c r="AD1554" s="5">
        <f>IF(D1554="","",AA1554-Z1554)</f>
        <v/>
      </c>
      <c r="AG1554">
        <f>IF(D1554="","",N(AG1553)+IF(MATCH(D1554,$D$2:$D$3001,0)=ROW()-1,1,0))</f>
        <v/>
      </c>
    </row>
    <row r="1555">
      <c r="Y1555" s="5">
        <f>IF(D1555="","",X1555*IF(AND(ISNUMBER(AC1555),AC1555&gt;0,AC1555&lt;1),AC1555*100,AC1555)/100)</f>
        <v/>
      </c>
      <c r="Z1555" s="5">
        <f>IF(D1555="","",AB1555*AA1555/100)</f>
        <v/>
      </c>
      <c r="AA1555" s="5">
        <f>IF(D1555="","",X1555-Y1555)</f>
        <v/>
      </c>
      <c r="AD1555" s="5">
        <f>IF(D1555="","",AA1555-Z1555)</f>
        <v/>
      </c>
      <c r="AG1555">
        <f>IF(D1555="","",N(AG1554)+IF(MATCH(D1555,$D$2:$D$3001,0)=ROW()-1,1,0))</f>
        <v/>
      </c>
    </row>
    <row r="1556">
      <c r="Y1556" s="5">
        <f>IF(D1556="","",X1556*IF(AND(ISNUMBER(AC1556),AC1556&gt;0,AC1556&lt;1),AC1556*100,AC1556)/100)</f>
        <v/>
      </c>
      <c r="Z1556" s="5">
        <f>IF(D1556="","",AB1556*AA1556/100)</f>
        <v/>
      </c>
      <c r="AA1556" s="5">
        <f>IF(D1556="","",X1556-Y1556)</f>
        <v/>
      </c>
      <c r="AD1556" s="5">
        <f>IF(D1556="","",AA1556-Z1556)</f>
        <v/>
      </c>
      <c r="AG1556">
        <f>IF(D1556="","",N(AG1555)+IF(MATCH(D1556,$D$2:$D$3001,0)=ROW()-1,1,0))</f>
        <v/>
      </c>
    </row>
    <row r="1557">
      <c r="Y1557" s="5">
        <f>IF(D1557="","",X1557*IF(AND(ISNUMBER(AC1557),AC1557&gt;0,AC1557&lt;1),AC1557*100,AC1557)/100)</f>
        <v/>
      </c>
      <c r="Z1557" s="5">
        <f>IF(D1557="","",AB1557*AA1557/100)</f>
        <v/>
      </c>
      <c r="AA1557" s="5">
        <f>IF(D1557="","",X1557-Y1557)</f>
        <v/>
      </c>
      <c r="AD1557" s="5">
        <f>IF(D1557="","",AA1557-Z1557)</f>
        <v/>
      </c>
      <c r="AG1557">
        <f>IF(D1557="","",N(AG1556)+IF(MATCH(D1557,$D$2:$D$3001,0)=ROW()-1,1,0))</f>
        <v/>
      </c>
    </row>
    <row r="1558">
      <c r="Y1558" s="5">
        <f>IF(D1558="","",X1558*IF(AND(ISNUMBER(AC1558),AC1558&gt;0,AC1558&lt;1),AC1558*100,AC1558)/100)</f>
        <v/>
      </c>
      <c r="Z1558" s="5">
        <f>IF(D1558="","",AB1558*AA1558/100)</f>
        <v/>
      </c>
      <c r="AA1558" s="5">
        <f>IF(D1558="","",X1558-Y1558)</f>
        <v/>
      </c>
      <c r="AD1558" s="5">
        <f>IF(D1558="","",AA1558-Z1558)</f>
        <v/>
      </c>
      <c r="AG1558">
        <f>IF(D1558="","",N(AG1557)+IF(MATCH(D1558,$D$2:$D$3001,0)=ROW()-1,1,0))</f>
        <v/>
      </c>
    </row>
    <row r="1559">
      <c r="Y1559" s="5">
        <f>IF(D1559="","",X1559*IF(AND(ISNUMBER(AC1559),AC1559&gt;0,AC1559&lt;1),AC1559*100,AC1559)/100)</f>
        <v/>
      </c>
      <c r="Z1559" s="5">
        <f>IF(D1559="","",AB1559*AA1559/100)</f>
        <v/>
      </c>
      <c r="AA1559" s="5">
        <f>IF(D1559="","",X1559-Y1559)</f>
        <v/>
      </c>
      <c r="AD1559" s="5">
        <f>IF(D1559="","",AA1559-Z1559)</f>
        <v/>
      </c>
      <c r="AG1559">
        <f>IF(D1559="","",N(AG1558)+IF(MATCH(D1559,$D$2:$D$3001,0)=ROW()-1,1,0))</f>
        <v/>
      </c>
    </row>
    <row r="1560">
      <c r="Y1560" s="5">
        <f>IF(D1560="","",X1560*IF(AND(ISNUMBER(AC1560),AC1560&gt;0,AC1560&lt;1),AC1560*100,AC1560)/100)</f>
        <v/>
      </c>
      <c r="Z1560" s="5">
        <f>IF(D1560="","",AB1560*AA1560/100)</f>
        <v/>
      </c>
      <c r="AA1560" s="5">
        <f>IF(D1560="","",X1560-Y1560)</f>
        <v/>
      </c>
      <c r="AD1560" s="5">
        <f>IF(D1560="","",AA1560-Z1560)</f>
        <v/>
      </c>
      <c r="AG1560">
        <f>IF(D1560="","",N(AG1559)+IF(MATCH(D1560,$D$2:$D$3001,0)=ROW()-1,1,0))</f>
        <v/>
      </c>
    </row>
    <row r="1561">
      <c r="Y1561" s="5">
        <f>IF(D1561="","",X1561*IF(AND(ISNUMBER(AC1561),AC1561&gt;0,AC1561&lt;1),AC1561*100,AC1561)/100)</f>
        <v/>
      </c>
      <c r="Z1561" s="5">
        <f>IF(D1561="","",AB1561*AA1561/100)</f>
        <v/>
      </c>
      <c r="AA1561" s="5">
        <f>IF(D1561="","",X1561-Y1561)</f>
        <v/>
      </c>
      <c r="AD1561" s="5">
        <f>IF(D1561="","",AA1561-Z1561)</f>
        <v/>
      </c>
      <c r="AG1561">
        <f>IF(D1561="","",N(AG1560)+IF(MATCH(D1561,$D$2:$D$3001,0)=ROW()-1,1,0))</f>
        <v/>
      </c>
    </row>
    <row r="1562">
      <c r="Y1562" s="5">
        <f>IF(D1562="","",X1562*IF(AND(ISNUMBER(AC1562),AC1562&gt;0,AC1562&lt;1),AC1562*100,AC1562)/100)</f>
        <v/>
      </c>
      <c r="Z1562" s="5">
        <f>IF(D1562="","",AB1562*AA1562/100)</f>
        <v/>
      </c>
      <c r="AA1562" s="5">
        <f>IF(D1562="","",X1562-Y1562)</f>
        <v/>
      </c>
      <c r="AD1562" s="5">
        <f>IF(D1562="","",AA1562-Z1562)</f>
        <v/>
      </c>
      <c r="AG1562">
        <f>IF(D1562="","",N(AG1561)+IF(MATCH(D1562,$D$2:$D$3001,0)=ROW()-1,1,0))</f>
        <v/>
      </c>
    </row>
    <row r="1563">
      <c r="Y1563" s="5">
        <f>IF(D1563="","",X1563*IF(AND(ISNUMBER(AC1563),AC1563&gt;0,AC1563&lt;1),AC1563*100,AC1563)/100)</f>
        <v/>
      </c>
      <c r="Z1563" s="5">
        <f>IF(D1563="","",AB1563*AA1563/100)</f>
        <v/>
      </c>
      <c r="AA1563" s="5">
        <f>IF(D1563="","",X1563-Y1563)</f>
        <v/>
      </c>
      <c r="AD1563" s="5">
        <f>IF(D1563="","",AA1563-Z1563)</f>
        <v/>
      </c>
      <c r="AG1563">
        <f>IF(D1563="","",N(AG1562)+IF(MATCH(D1563,$D$2:$D$3001,0)=ROW()-1,1,0))</f>
        <v/>
      </c>
    </row>
    <row r="1564">
      <c r="Y1564" s="5">
        <f>IF(D1564="","",X1564*IF(AND(ISNUMBER(AC1564),AC1564&gt;0,AC1564&lt;1),AC1564*100,AC1564)/100)</f>
        <v/>
      </c>
      <c r="Z1564" s="5">
        <f>IF(D1564="","",AB1564*AA1564/100)</f>
        <v/>
      </c>
      <c r="AA1564" s="5">
        <f>IF(D1564="","",X1564-Y1564)</f>
        <v/>
      </c>
      <c r="AD1564" s="5">
        <f>IF(D1564="","",AA1564-Z1564)</f>
        <v/>
      </c>
      <c r="AG1564">
        <f>IF(D1564="","",N(AG1563)+IF(MATCH(D1564,$D$2:$D$3001,0)=ROW()-1,1,0))</f>
        <v/>
      </c>
    </row>
    <row r="1565">
      <c r="Y1565" s="5">
        <f>IF(D1565="","",X1565*IF(AND(ISNUMBER(AC1565),AC1565&gt;0,AC1565&lt;1),AC1565*100,AC1565)/100)</f>
        <v/>
      </c>
      <c r="Z1565" s="5">
        <f>IF(D1565="","",AB1565*AA1565/100)</f>
        <v/>
      </c>
      <c r="AA1565" s="5">
        <f>IF(D1565="","",X1565-Y1565)</f>
        <v/>
      </c>
      <c r="AD1565" s="5">
        <f>IF(D1565="","",AA1565-Z1565)</f>
        <v/>
      </c>
      <c r="AG1565">
        <f>IF(D1565="","",N(AG1564)+IF(MATCH(D1565,$D$2:$D$3001,0)=ROW()-1,1,0))</f>
        <v/>
      </c>
    </row>
    <row r="1566">
      <c r="Y1566" s="5">
        <f>IF(D1566="","",X1566*IF(AND(ISNUMBER(AC1566),AC1566&gt;0,AC1566&lt;1),AC1566*100,AC1566)/100)</f>
        <v/>
      </c>
      <c r="Z1566" s="5">
        <f>IF(D1566="","",AB1566*AA1566/100)</f>
        <v/>
      </c>
      <c r="AA1566" s="5">
        <f>IF(D1566="","",X1566-Y1566)</f>
        <v/>
      </c>
      <c r="AD1566" s="5">
        <f>IF(D1566="","",AA1566-Z1566)</f>
        <v/>
      </c>
      <c r="AG1566">
        <f>IF(D1566="","",N(AG1565)+IF(MATCH(D1566,$D$2:$D$3001,0)=ROW()-1,1,0))</f>
        <v/>
      </c>
    </row>
    <row r="1567">
      <c r="Y1567" s="5">
        <f>IF(D1567="","",X1567*IF(AND(ISNUMBER(AC1567),AC1567&gt;0,AC1567&lt;1),AC1567*100,AC1567)/100)</f>
        <v/>
      </c>
      <c r="Z1567" s="5">
        <f>IF(D1567="","",AB1567*AA1567/100)</f>
        <v/>
      </c>
      <c r="AA1567" s="5">
        <f>IF(D1567="","",X1567-Y1567)</f>
        <v/>
      </c>
      <c r="AD1567" s="5">
        <f>IF(D1567="","",AA1567-Z1567)</f>
        <v/>
      </c>
      <c r="AG1567">
        <f>IF(D1567="","",N(AG1566)+IF(MATCH(D1567,$D$2:$D$3001,0)=ROW()-1,1,0))</f>
        <v/>
      </c>
    </row>
    <row r="1568">
      <c r="Y1568" s="5">
        <f>IF(D1568="","",X1568*IF(AND(ISNUMBER(AC1568),AC1568&gt;0,AC1568&lt;1),AC1568*100,AC1568)/100)</f>
        <v/>
      </c>
      <c r="Z1568" s="5">
        <f>IF(D1568="","",AB1568*AA1568/100)</f>
        <v/>
      </c>
      <c r="AA1568" s="5">
        <f>IF(D1568="","",X1568-Y1568)</f>
        <v/>
      </c>
      <c r="AD1568" s="5">
        <f>IF(D1568="","",AA1568-Z1568)</f>
        <v/>
      </c>
      <c r="AG1568">
        <f>IF(D1568="","",N(AG1567)+IF(MATCH(D1568,$D$2:$D$3001,0)=ROW()-1,1,0))</f>
        <v/>
      </c>
    </row>
    <row r="1569">
      <c r="Y1569" s="5">
        <f>IF(D1569="","",X1569*IF(AND(ISNUMBER(AC1569),AC1569&gt;0,AC1569&lt;1),AC1569*100,AC1569)/100)</f>
        <v/>
      </c>
      <c r="Z1569" s="5">
        <f>IF(D1569="","",AB1569*AA1569/100)</f>
        <v/>
      </c>
      <c r="AA1569" s="5">
        <f>IF(D1569="","",X1569-Y1569)</f>
        <v/>
      </c>
      <c r="AD1569" s="5">
        <f>IF(D1569="","",AA1569-Z1569)</f>
        <v/>
      </c>
      <c r="AG1569">
        <f>IF(D1569="","",N(AG1568)+IF(MATCH(D1569,$D$2:$D$3001,0)=ROW()-1,1,0))</f>
        <v/>
      </c>
    </row>
    <row r="1570">
      <c r="Y1570" s="5">
        <f>IF(D1570="","",X1570*IF(AND(ISNUMBER(AC1570),AC1570&gt;0,AC1570&lt;1),AC1570*100,AC1570)/100)</f>
        <v/>
      </c>
      <c r="Z1570" s="5">
        <f>IF(D1570="","",AB1570*AA1570/100)</f>
        <v/>
      </c>
      <c r="AA1570" s="5">
        <f>IF(D1570="","",X1570-Y1570)</f>
        <v/>
      </c>
      <c r="AD1570" s="5">
        <f>IF(D1570="","",AA1570-Z1570)</f>
        <v/>
      </c>
      <c r="AG1570">
        <f>IF(D1570="","",N(AG1569)+IF(MATCH(D1570,$D$2:$D$3001,0)=ROW()-1,1,0))</f>
        <v/>
      </c>
    </row>
    <row r="1571">
      <c r="Y1571" s="5">
        <f>IF(D1571="","",X1571*IF(AND(ISNUMBER(AC1571),AC1571&gt;0,AC1571&lt;1),AC1571*100,AC1571)/100)</f>
        <v/>
      </c>
      <c r="Z1571" s="5">
        <f>IF(D1571="","",AB1571*AA1571/100)</f>
        <v/>
      </c>
      <c r="AA1571" s="5">
        <f>IF(D1571="","",X1571-Y1571)</f>
        <v/>
      </c>
      <c r="AD1571" s="5">
        <f>IF(D1571="","",AA1571-Z1571)</f>
        <v/>
      </c>
      <c r="AG1571">
        <f>IF(D1571="","",N(AG1570)+IF(MATCH(D1571,$D$2:$D$3001,0)=ROW()-1,1,0))</f>
        <v/>
      </c>
    </row>
    <row r="1572">
      <c r="Y1572" s="5">
        <f>IF(D1572="","",X1572*IF(AND(ISNUMBER(AC1572),AC1572&gt;0,AC1572&lt;1),AC1572*100,AC1572)/100)</f>
        <v/>
      </c>
      <c r="Z1572" s="5">
        <f>IF(D1572="","",AB1572*AA1572/100)</f>
        <v/>
      </c>
      <c r="AA1572" s="5">
        <f>IF(D1572="","",X1572-Y1572)</f>
        <v/>
      </c>
      <c r="AD1572" s="5">
        <f>IF(D1572="","",AA1572-Z1572)</f>
        <v/>
      </c>
      <c r="AG1572">
        <f>IF(D1572="","",N(AG1571)+IF(MATCH(D1572,$D$2:$D$3001,0)=ROW()-1,1,0))</f>
        <v/>
      </c>
    </row>
    <row r="1573">
      <c r="Y1573" s="5">
        <f>IF(D1573="","",X1573*IF(AND(ISNUMBER(AC1573),AC1573&gt;0,AC1573&lt;1),AC1573*100,AC1573)/100)</f>
        <v/>
      </c>
      <c r="Z1573" s="5">
        <f>IF(D1573="","",AB1573*AA1573/100)</f>
        <v/>
      </c>
      <c r="AA1573" s="5">
        <f>IF(D1573="","",X1573-Y1573)</f>
        <v/>
      </c>
      <c r="AD1573" s="5">
        <f>IF(D1573="","",AA1573-Z1573)</f>
        <v/>
      </c>
      <c r="AG1573">
        <f>IF(D1573="","",N(AG1572)+IF(MATCH(D1573,$D$2:$D$3001,0)=ROW()-1,1,0))</f>
        <v/>
      </c>
    </row>
    <row r="1574">
      <c r="Y1574" s="5">
        <f>IF(D1574="","",X1574*IF(AND(ISNUMBER(AC1574),AC1574&gt;0,AC1574&lt;1),AC1574*100,AC1574)/100)</f>
        <v/>
      </c>
      <c r="Z1574" s="5">
        <f>IF(D1574="","",AB1574*AA1574/100)</f>
        <v/>
      </c>
      <c r="AA1574" s="5">
        <f>IF(D1574="","",X1574-Y1574)</f>
        <v/>
      </c>
      <c r="AD1574" s="5">
        <f>IF(D1574="","",AA1574-Z1574)</f>
        <v/>
      </c>
      <c r="AG1574">
        <f>IF(D1574="","",N(AG1573)+IF(MATCH(D1574,$D$2:$D$3001,0)=ROW()-1,1,0))</f>
        <v/>
      </c>
    </row>
    <row r="1575">
      <c r="Y1575" s="5">
        <f>IF(D1575="","",X1575*IF(AND(ISNUMBER(AC1575),AC1575&gt;0,AC1575&lt;1),AC1575*100,AC1575)/100)</f>
        <v/>
      </c>
      <c r="Z1575" s="5">
        <f>IF(D1575="","",AB1575*AA1575/100)</f>
        <v/>
      </c>
      <c r="AA1575" s="5">
        <f>IF(D1575="","",X1575-Y1575)</f>
        <v/>
      </c>
      <c r="AD1575" s="5">
        <f>IF(D1575="","",AA1575-Z1575)</f>
        <v/>
      </c>
      <c r="AG1575">
        <f>IF(D1575="","",N(AG1574)+IF(MATCH(D1575,$D$2:$D$3001,0)=ROW()-1,1,0))</f>
        <v/>
      </c>
    </row>
    <row r="1576">
      <c r="Y1576" s="5">
        <f>IF(D1576="","",X1576*IF(AND(ISNUMBER(AC1576),AC1576&gt;0,AC1576&lt;1),AC1576*100,AC1576)/100)</f>
        <v/>
      </c>
      <c r="Z1576" s="5">
        <f>IF(D1576="","",AB1576*AA1576/100)</f>
        <v/>
      </c>
      <c r="AA1576" s="5">
        <f>IF(D1576="","",X1576-Y1576)</f>
        <v/>
      </c>
      <c r="AD1576" s="5">
        <f>IF(D1576="","",AA1576-Z1576)</f>
        <v/>
      </c>
      <c r="AG1576">
        <f>IF(D1576="","",N(AG1575)+IF(MATCH(D1576,$D$2:$D$3001,0)=ROW()-1,1,0))</f>
        <v/>
      </c>
    </row>
    <row r="1577">
      <c r="Y1577" s="5">
        <f>IF(D1577="","",X1577*IF(AND(ISNUMBER(AC1577),AC1577&gt;0,AC1577&lt;1),AC1577*100,AC1577)/100)</f>
        <v/>
      </c>
      <c r="Z1577" s="5">
        <f>IF(D1577="","",AB1577*AA1577/100)</f>
        <v/>
      </c>
      <c r="AA1577" s="5">
        <f>IF(D1577="","",X1577-Y1577)</f>
        <v/>
      </c>
      <c r="AD1577" s="5">
        <f>IF(D1577="","",AA1577-Z1577)</f>
        <v/>
      </c>
      <c r="AG1577">
        <f>IF(D1577="","",N(AG1576)+IF(MATCH(D1577,$D$2:$D$3001,0)=ROW()-1,1,0))</f>
        <v/>
      </c>
    </row>
    <row r="1578">
      <c r="Y1578" s="5">
        <f>IF(D1578="","",X1578*IF(AND(ISNUMBER(AC1578),AC1578&gt;0,AC1578&lt;1),AC1578*100,AC1578)/100)</f>
        <v/>
      </c>
      <c r="Z1578" s="5">
        <f>IF(D1578="","",AB1578*AA1578/100)</f>
        <v/>
      </c>
      <c r="AA1578" s="5">
        <f>IF(D1578="","",X1578-Y1578)</f>
        <v/>
      </c>
      <c r="AD1578" s="5">
        <f>IF(D1578="","",AA1578-Z1578)</f>
        <v/>
      </c>
      <c r="AG1578">
        <f>IF(D1578="","",N(AG1577)+IF(MATCH(D1578,$D$2:$D$3001,0)=ROW()-1,1,0))</f>
        <v/>
      </c>
    </row>
    <row r="1579">
      <c r="Y1579" s="5">
        <f>IF(D1579="","",X1579*IF(AND(ISNUMBER(AC1579),AC1579&gt;0,AC1579&lt;1),AC1579*100,AC1579)/100)</f>
        <v/>
      </c>
      <c r="Z1579" s="5">
        <f>IF(D1579="","",AB1579*AA1579/100)</f>
        <v/>
      </c>
      <c r="AA1579" s="5">
        <f>IF(D1579="","",X1579-Y1579)</f>
        <v/>
      </c>
      <c r="AD1579" s="5">
        <f>IF(D1579="","",AA1579-Z1579)</f>
        <v/>
      </c>
      <c r="AG1579">
        <f>IF(D1579="","",N(AG1578)+IF(MATCH(D1579,$D$2:$D$3001,0)=ROW()-1,1,0))</f>
        <v/>
      </c>
    </row>
    <row r="1580">
      <c r="Y1580" s="5">
        <f>IF(D1580="","",X1580*IF(AND(ISNUMBER(AC1580),AC1580&gt;0,AC1580&lt;1),AC1580*100,AC1580)/100)</f>
        <v/>
      </c>
      <c r="Z1580" s="5">
        <f>IF(D1580="","",AB1580*AA1580/100)</f>
        <v/>
      </c>
      <c r="AA1580" s="5">
        <f>IF(D1580="","",X1580-Y1580)</f>
        <v/>
      </c>
      <c r="AD1580" s="5">
        <f>IF(D1580="","",AA1580-Z1580)</f>
        <v/>
      </c>
      <c r="AG1580">
        <f>IF(D1580="","",N(AG1579)+IF(MATCH(D1580,$D$2:$D$3001,0)=ROW()-1,1,0))</f>
        <v/>
      </c>
    </row>
    <row r="1581">
      <c r="Y1581" s="5">
        <f>IF(D1581="","",X1581*IF(AND(ISNUMBER(AC1581),AC1581&gt;0,AC1581&lt;1),AC1581*100,AC1581)/100)</f>
        <v/>
      </c>
      <c r="Z1581" s="5">
        <f>IF(D1581="","",AB1581*AA1581/100)</f>
        <v/>
      </c>
      <c r="AA1581" s="5">
        <f>IF(D1581="","",X1581-Y1581)</f>
        <v/>
      </c>
      <c r="AD1581" s="5">
        <f>IF(D1581="","",AA1581-Z1581)</f>
        <v/>
      </c>
      <c r="AG1581">
        <f>IF(D1581="","",N(AG1580)+IF(MATCH(D1581,$D$2:$D$3001,0)=ROW()-1,1,0))</f>
        <v/>
      </c>
    </row>
    <row r="1582">
      <c r="Y1582" s="5">
        <f>IF(D1582="","",X1582*IF(AND(ISNUMBER(AC1582),AC1582&gt;0,AC1582&lt;1),AC1582*100,AC1582)/100)</f>
        <v/>
      </c>
      <c r="Z1582" s="5">
        <f>IF(D1582="","",AB1582*AA1582/100)</f>
        <v/>
      </c>
      <c r="AA1582" s="5">
        <f>IF(D1582="","",X1582-Y1582)</f>
        <v/>
      </c>
      <c r="AD1582" s="5">
        <f>IF(D1582="","",AA1582-Z1582)</f>
        <v/>
      </c>
      <c r="AG1582">
        <f>IF(D1582="","",N(AG1581)+IF(MATCH(D1582,$D$2:$D$3001,0)=ROW()-1,1,0))</f>
        <v/>
      </c>
    </row>
    <row r="1583">
      <c r="Y1583" s="5">
        <f>IF(D1583="","",X1583*IF(AND(ISNUMBER(AC1583),AC1583&gt;0,AC1583&lt;1),AC1583*100,AC1583)/100)</f>
        <v/>
      </c>
      <c r="Z1583" s="5">
        <f>IF(D1583="","",AB1583*AA1583/100)</f>
        <v/>
      </c>
      <c r="AA1583" s="5">
        <f>IF(D1583="","",X1583-Y1583)</f>
        <v/>
      </c>
      <c r="AD1583" s="5">
        <f>IF(D1583="","",AA1583-Z1583)</f>
        <v/>
      </c>
      <c r="AG1583">
        <f>IF(D1583="","",N(AG1582)+IF(MATCH(D1583,$D$2:$D$3001,0)=ROW()-1,1,0))</f>
        <v/>
      </c>
    </row>
    <row r="1584">
      <c r="Y1584" s="5">
        <f>IF(D1584="","",X1584*IF(AND(ISNUMBER(AC1584),AC1584&gt;0,AC1584&lt;1),AC1584*100,AC1584)/100)</f>
        <v/>
      </c>
      <c r="Z1584" s="5">
        <f>IF(D1584="","",AB1584*AA1584/100)</f>
        <v/>
      </c>
      <c r="AA1584" s="5">
        <f>IF(D1584="","",X1584-Y1584)</f>
        <v/>
      </c>
      <c r="AD1584" s="5">
        <f>IF(D1584="","",AA1584-Z1584)</f>
        <v/>
      </c>
      <c r="AG1584">
        <f>IF(D1584="","",N(AG1583)+IF(MATCH(D1584,$D$2:$D$3001,0)=ROW()-1,1,0))</f>
        <v/>
      </c>
    </row>
    <row r="1585">
      <c r="Y1585" s="5">
        <f>IF(D1585="","",X1585*IF(AND(ISNUMBER(AC1585),AC1585&gt;0,AC1585&lt;1),AC1585*100,AC1585)/100)</f>
        <v/>
      </c>
      <c r="Z1585" s="5">
        <f>IF(D1585="","",AB1585*AA1585/100)</f>
        <v/>
      </c>
      <c r="AA1585" s="5">
        <f>IF(D1585="","",X1585-Y1585)</f>
        <v/>
      </c>
      <c r="AD1585" s="5">
        <f>IF(D1585="","",AA1585-Z1585)</f>
        <v/>
      </c>
      <c r="AG1585">
        <f>IF(D1585="","",N(AG1584)+IF(MATCH(D1585,$D$2:$D$3001,0)=ROW()-1,1,0))</f>
        <v/>
      </c>
    </row>
    <row r="1586">
      <c r="Y1586" s="5">
        <f>IF(D1586="","",X1586*IF(AND(ISNUMBER(AC1586),AC1586&gt;0,AC1586&lt;1),AC1586*100,AC1586)/100)</f>
        <v/>
      </c>
      <c r="Z1586" s="5">
        <f>IF(D1586="","",AB1586*AA1586/100)</f>
        <v/>
      </c>
      <c r="AA1586" s="5">
        <f>IF(D1586="","",X1586-Y1586)</f>
        <v/>
      </c>
      <c r="AD1586" s="5">
        <f>IF(D1586="","",AA1586-Z1586)</f>
        <v/>
      </c>
      <c r="AG1586">
        <f>IF(D1586="","",N(AG1585)+IF(MATCH(D1586,$D$2:$D$3001,0)=ROW()-1,1,0))</f>
        <v/>
      </c>
    </row>
    <row r="1587">
      <c r="Y1587" s="5">
        <f>IF(D1587="","",X1587*IF(AND(ISNUMBER(AC1587),AC1587&gt;0,AC1587&lt;1),AC1587*100,AC1587)/100)</f>
        <v/>
      </c>
      <c r="Z1587" s="5">
        <f>IF(D1587="","",AB1587*AA1587/100)</f>
        <v/>
      </c>
      <c r="AA1587" s="5">
        <f>IF(D1587="","",X1587-Y1587)</f>
        <v/>
      </c>
      <c r="AD1587" s="5">
        <f>IF(D1587="","",AA1587-Z1587)</f>
        <v/>
      </c>
      <c r="AG1587">
        <f>IF(D1587="","",N(AG1586)+IF(MATCH(D1587,$D$2:$D$3001,0)=ROW()-1,1,0))</f>
        <v/>
      </c>
    </row>
    <row r="1588">
      <c r="Y1588" s="5">
        <f>IF(D1588="","",X1588*IF(AND(ISNUMBER(AC1588),AC1588&gt;0,AC1588&lt;1),AC1588*100,AC1588)/100)</f>
        <v/>
      </c>
      <c r="Z1588" s="5">
        <f>IF(D1588="","",AB1588*AA1588/100)</f>
        <v/>
      </c>
      <c r="AA1588" s="5">
        <f>IF(D1588="","",X1588-Y1588)</f>
        <v/>
      </c>
      <c r="AD1588" s="5">
        <f>IF(D1588="","",AA1588-Z1588)</f>
        <v/>
      </c>
      <c r="AG1588">
        <f>IF(D1588="","",N(AG1587)+IF(MATCH(D1588,$D$2:$D$3001,0)=ROW()-1,1,0))</f>
        <v/>
      </c>
    </row>
    <row r="1589">
      <c r="Y1589" s="5">
        <f>IF(D1589="","",X1589*IF(AND(ISNUMBER(AC1589),AC1589&gt;0,AC1589&lt;1),AC1589*100,AC1589)/100)</f>
        <v/>
      </c>
      <c r="Z1589" s="5">
        <f>IF(D1589="","",AB1589*AA1589/100)</f>
        <v/>
      </c>
      <c r="AA1589" s="5">
        <f>IF(D1589="","",X1589-Y1589)</f>
        <v/>
      </c>
      <c r="AD1589" s="5">
        <f>IF(D1589="","",AA1589-Z1589)</f>
        <v/>
      </c>
      <c r="AG1589">
        <f>IF(D1589="","",N(AG1588)+IF(MATCH(D1589,$D$2:$D$3001,0)=ROW()-1,1,0))</f>
        <v/>
      </c>
    </row>
    <row r="1590">
      <c r="Y1590" s="5">
        <f>IF(D1590="","",X1590*IF(AND(ISNUMBER(AC1590),AC1590&gt;0,AC1590&lt;1),AC1590*100,AC1590)/100)</f>
        <v/>
      </c>
      <c r="Z1590" s="5">
        <f>IF(D1590="","",AB1590*AA1590/100)</f>
        <v/>
      </c>
      <c r="AA1590" s="5">
        <f>IF(D1590="","",X1590-Y1590)</f>
        <v/>
      </c>
      <c r="AD1590" s="5">
        <f>IF(D1590="","",AA1590-Z1590)</f>
        <v/>
      </c>
      <c r="AG1590">
        <f>IF(D1590="","",N(AG1589)+IF(MATCH(D1590,$D$2:$D$3001,0)=ROW()-1,1,0))</f>
        <v/>
      </c>
    </row>
    <row r="1591">
      <c r="Y1591" s="5">
        <f>IF(D1591="","",X1591*IF(AND(ISNUMBER(AC1591),AC1591&gt;0,AC1591&lt;1),AC1591*100,AC1591)/100)</f>
        <v/>
      </c>
      <c r="Z1591" s="5">
        <f>IF(D1591="","",AB1591*AA1591/100)</f>
        <v/>
      </c>
      <c r="AA1591" s="5">
        <f>IF(D1591="","",X1591-Y1591)</f>
        <v/>
      </c>
      <c r="AD1591" s="5">
        <f>IF(D1591="","",AA1591-Z1591)</f>
        <v/>
      </c>
      <c r="AG1591">
        <f>IF(D1591="","",N(AG1590)+IF(MATCH(D1591,$D$2:$D$3001,0)=ROW()-1,1,0))</f>
        <v/>
      </c>
    </row>
    <row r="1592">
      <c r="Y1592" s="5">
        <f>IF(D1592="","",X1592*IF(AND(ISNUMBER(AC1592),AC1592&gt;0,AC1592&lt;1),AC1592*100,AC1592)/100)</f>
        <v/>
      </c>
      <c r="Z1592" s="5">
        <f>IF(D1592="","",AB1592*AA1592/100)</f>
        <v/>
      </c>
      <c r="AA1592" s="5">
        <f>IF(D1592="","",X1592-Y1592)</f>
        <v/>
      </c>
      <c r="AD1592" s="5">
        <f>IF(D1592="","",AA1592-Z1592)</f>
        <v/>
      </c>
      <c r="AG1592">
        <f>IF(D1592="","",N(AG1591)+IF(MATCH(D1592,$D$2:$D$3001,0)=ROW()-1,1,0))</f>
        <v/>
      </c>
    </row>
    <row r="1593">
      <c r="Y1593" s="5">
        <f>IF(D1593="","",X1593*IF(AND(ISNUMBER(AC1593),AC1593&gt;0,AC1593&lt;1),AC1593*100,AC1593)/100)</f>
        <v/>
      </c>
      <c r="Z1593" s="5">
        <f>IF(D1593="","",AB1593*AA1593/100)</f>
        <v/>
      </c>
      <c r="AA1593" s="5">
        <f>IF(D1593="","",X1593-Y1593)</f>
        <v/>
      </c>
      <c r="AD1593" s="5">
        <f>IF(D1593="","",AA1593-Z1593)</f>
        <v/>
      </c>
      <c r="AG1593">
        <f>IF(D1593="","",N(AG1592)+IF(MATCH(D1593,$D$2:$D$3001,0)=ROW()-1,1,0))</f>
        <v/>
      </c>
    </row>
    <row r="1594">
      <c r="Y1594" s="5">
        <f>IF(D1594="","",X1594*IF(AND(ISNUMBER(AC1594),AC1594&gt;0,AC1594&lt;1),AC1594*100,AC1594)/100)</f>
        <v/>
      </c>
      <c r="Z1594" s="5">
        <f>IF(D1594="","",AB1594*AA1594/100)</f>
        <v/>
      </c>
      <c r="AA1594" s="5">
        <f>IF(D1594="","",X1594-Y1594)</f>
        <v/>
      </c>
      <c r="AD1594" s="5">
        <f>IF(D1594="","",AA1594-Z1594)</f>
        <v/>
      </c>
      <c r="AG1594">
        <f>IF(D1594="","",N(AG1593)+IF(MATCH(D1594,$D$2:$D$3001,0)=ROW()-1,1,0))</f>
        <v/>
      </c>
    </row>
    <row r="1595">
      <c r="Y1595" s="5">
        <f>IF(D1595="","",X1595*IF(AND(ISNUMBER(AC1595),AC1595&gt;0,AC1595&lt;1),AC1595*100,AC1595)/100)</f>
        <v/>
      </c>
      <c r="Z1595" s="5">
        <f>IF(D1595="","",AB1595*AA1595/100)</f>
        <v/>
      </c>
      <c r="AA1595" s="5">
        <f>IF(D1595="","",X1595-Y1595)</f>
        <v/>
      </c>
      <c r="AD1595" s="5">
        <f>IF(D1595="","",AA1595-Z1595)</f>
        <v/>
      </c>
      <c r="AG1595">
        <f>IF(D1595="","",N(AG1594)+IF(MATCH(D1595,$D$2:$D$3001,0)=ROW()-1,1,0))</f>
        <v/>
      </c>
    </row>
    <row r="1596">
      <c r="Y1596" s="5">
        <f>IF(D1596="","",X1596*IF(AND(ISNUMBER(AC1596),AC1596&gt;0,AC1596&lt;1),AC1596*100,AC1596)/100)</f>
        <v/>
      </c>
      <c r="Z1596" s="5">
        <f>IF(D1596="","",AB1596*AA1596/100)</f>
        <v/>
      </c>
      <c r="AA1596" s="5">
        <f>IF(D1596="","",X1596-Y1596)</f>
        <v/>
      </c>
      <c r="AD1596" s="5">
        <f>IF(D1596="","",AA1596-Z1596)</f>
        <v/>
      </c>
      <c r="AG1596">
        <f>IF(D1596="","",N(AG1595)+IF(MATCH(D1596,$D$2:$D$3001,0)=ROW()-1,1,0))</f>
        <v/>
      </c>
    </row>
    <row r="1597">
      <c r="Y1597" s="5">
        <f>IF(D1597="","",X1597*IF(AND(ISNUMBER(AC1597),AC1597&gt;0,AC1597&lt;1),AC1597*100,AC1597)/100)</f>
        <v/>
      </c>
      <c r="Z1597" s="5">
        <f>IF(D1597="","",AB1597*AA1597/100)</f>
        <v/>
      </c>
      <c r="AA1597" s="5">
        <f>IF(D1597="","",X1597-Y1597)</f>
        <v/>
      </c>
      <c r="AD1597" s="5">
        <f>IF(D1597="","",AA1597-Z1597)</f>
        <v/>
      </c>
      <c r="AG1597">
        <f>IF(D1597="","",N(AG1596)+IF(MATCH(D1597,$D$2:$D$3001,0)=ROW()-1,1,0))</f>
        <v/>
      </c>
    </row>
    <row r="1598">
      <c r="Y1598" s="5">
        <f>IF(D1598="","",X1598*IF(AND(ISNUMBER(AC1598),AC1598&gt;0,AC1598&lt;1),AC1598*100,AC1598)/100)</f>
        <v/>
      </c>
      <c r="Z1598" s="5">
        <f>IF(D1598="","",AB1598*AA1598/100)</f>
        <v/>
      </c>
      <c r="AA1598" s="5">
        <f>IF(D1598="","",X1598-Y1598)</f>
        <v/>
      </c>
      <c r="AD1598" s="5">
        <f>IF(D1598="","",AA1598-Z1598)</f>
        <v/>
      </c>
      <c r="AG1598">
        <f>IF(D1598="","",N(AG1597)+IF(MATCH(D1598,$D$2:$D$3001,0)=ROW()-1,1,0))</f>
        <v/>
      </c>
    </row>
    <row r="1599">
      <c r="Y1599" s="5">
        <f>IF(D1599="","",X1599*IF(AND(ISNUMBER(AC1599),AC1599&gt;0,AC1599&lt;1),AC1599*100,AC1599)/100)</f>
        <v/>
      </c>
      <c r="Z1599" s="5">
        <f>IF(D1599="","",AB1599*AA1599/100)</f>
        <v/>
      </c>
      <c r="AA1599" s="5">
        <f>IF(D1599="","",X1599-Y1599)</f>
        <v/>
      </c>
      <c r="AD1599" s="5">
        <f>IF(D1599="","",AA1599-Z1599)</f>
        <v/>
      </c>
      <c r="AG1599">
        <f>IF(D1599="","",N(AG1598)+IF(MATCH(D1599,$D$2:$D$3001,0)=ROW()-1,1,0))</f>
        <v/>
      </c>
    </row>
    <row r="1600">
      <c r="Y1600" s="5">
        <f>IF(D1600="","",X1600*IF(AND(ISNUMBER(AC1600),AC1600&gt;0,AC1600&lt;1),AC1600*100,AC1600)/100)</f>
        <v/>
      </c>
      <c r="Z1600" s="5">
        <f>IF(D1600="","",AB1600*AA1600/100)</f>
        <v/>
      </c>
      <c r="AA1600" s="5">
        <f>IF(D1600="","",X1600-Y1600)</f>
        <v/>
      </c>
      <c r="AD1600" s="5">
        <f>IF(D1600="","",AA1600-Z1600)</f>
        <v/>
      </c>
      <c r="AG1600">
        <f>IF(D1600="","",N(AG1599)+IF(MATCH(D1600,$D$2:$D$3001,0)=ROW()-1,1,0))</f>
        <v/>
      </c>
    </row>
    <row r="1601">
      <c r="Y1601" s="5">
        <f>IF(D1601="","",X1601*IF(AND(ISNUMBER(AC1601),AC1601&gt;0,AC1601&lt;1),AC1601*100,AC1601)/100)</f>
        <v/>
      </c>
      <c r="Z1601" s="5">
        <f>IF(D1601="","",AB1601*AA1601/100)</f>
        <v/>
      </c>
      <c r="AA1601" s="5">
        <f>IF(D1601="","",X1601-Y1601)</f>
        <v/>
      </c>
      <c r="AD1601" s="5">
        <f>IF(D1601="","",AA1601-Z1601)</f>
        <v/>
      </c>
      <c r="AG1601">
        <f>IF(D1601="","",N(AG1600)+IF(MATCH(D1601,$D$2:$D$3001,0)=ROW()-1,1,0))</f>
        <v/>
      </c>
    </row>
    <row r="1602">
      <c r="Y1602" s="5">
        <f>IF(D1602="","",X1602*IF(AND(ISNUMBER(AC1602),AC1602&gt;0,AC1602&lt;1),AC1602*100,AC1602)/100)</f>
        <v/>
      </c>
      <c r="Z1602" s="5">
        <f>IF(D1602="","",AB1602*AA1602/100)</f>
        <v/>
      </c>
      <c r="AA1602" s="5">
        <f>IF(D1602="","",X1602-Y1602)</f>
        <v/>
      </c>
      <c r="AD1602" s="5">
        <f>IF(D1602="","",AA1602-Z1602)</f>
        <v/>
      </c>
      <c r="AG1602">
        <f>IF(D1602="","",N(AG1601)+IF(MATCH(D1602,$D$2:$D$3001,0)=ROW()-1,1,0))</f>
        <v/>
      </c>
    </row>
    <row r="1603">
      <c r="Y1603" s="5">
        <f>IF(D1603="","",X1603*IF(AND(ISNUMBER(AC1603),AC1603&gt;0,AC1603&lt;1),AC1603*100,AC1603)/100)</f>
        <v/>
      </c>
      <c r="Z1603" s="5">
        <f>IF(D1603="","",AB1603*AA1603/100)</f>
        <v/>
      </c>
      <c r="AA1603" s="5">
        <f>IF(D1603="","",X1603-Y1603)</f>
        <v/>
      </c>
      <c r="AD1603" s="5">
        <f>IF(D1603="","",AA1603-Z1603)</f>
        <v/>
      </c>
      <c r="AG1603">
        <f>IF(D1603="","",N(AG1602)+IF(MATCH(D1603,$D$2:$D$3001,0)=ROW()-1,1,0))</f>
        <v/>
      </c>
    </row>
    <row r="1604">
      <c r="Y1604" s="5">
        <f>IF(D1604="","",X1604*IF(AND(ISNUMBER(AC1604),AC1604&gt;0,AC1604&lt;1),AC1604*100,AC1604)/100)</f>
        <v/>
      </c>
      <c r="Z1604" s="5">
        <f>IF(D1604="","",AB1604*AA1604/100)</f>
        <v/>
      </c>
      <c r="AA1604" s="5">
        <f>IF(D1604="","",X1604-Y1604)</f>
        <v/>
      </c>
      <c r="AD1604" s="5">
        <f>IF(D1604="","",AA1604-Z1604)</f>
        <v/>
      </c>
      <c r="AG1604">
        <f>IF(D1604="","",N(AG1603)+IF(MATCH(D1604,$D$2:$D$3001,0)=ROW()-1,1,0))</f>
        <v/>
      </c>
    </row>
    <row r="1605">
      <c r="Y1605" s="5">
        <f>IF(D1605="","",X1605*IF(AND(ISNUMBER(AC1605),AC1605&gt;0,AC1605&lt;1),AC1605*100,AC1605)/100)</f>
        <v/>
      </c>
      <c r="Z1605" s="5">
        <f>IF(D1605="","",AB1605*AA1605/100)</f>
        <v/>
      </c>
      <c r="AA1605" s="5">
        <f>IF(D1605="","",X1605-Y1605)</f>
        <v/>
      </c>
      <c r="AD1605" s="5">
        <f>IF(D1605="","",AA1605-Z1605)</f>
        <v/>
      </c>
      <c r="AG1605">
        <f>IF(D1605="","",N(AG1604)+IF(MATCH(D1605,$D$2:$D$3001,0)=ROW()-1,1,0))</f>
        <v/>
      </c>
    </row>
    <row r="1606">
      <c r="Y1606" s="5">
        <f>IF(D1606="","",X1606*IF(AND(ISNUMBER(AC1606),AC1606&gt;0,AC1606&lt;1),AC1606*100,AC1606)/100)</f>
        <v/>
      </c>
      <c r="Z1606" s="5">
        <f>IF(D1606="","",AB1606*AA1606/100)</f>
        <v/>
      </c>
      <c r="AA1606" s="5">
        <f>IF(D1606="","",X1606-Y1606)</f>
        <v/>
      </c>
      <c r="AD1606" s="5">
        <f>IF(D1606="","",AA1606-Z1606)</f>
        <v/>
      </c>
      <c r="AG1606">
        <f>IF(D1606="","",N(AG1605)+IF(MATCH(D1606,$D$2:$D$3001,0)=ROW()-1,1,0))</f>
        <v/>
      </c>
    </row>
    <row r="1607">
      <c r="Y1607" s="5">
        <f>IF(D1607="","",X1607*IF(AND(ISNUMBER(AC1607),AC1607&gt;0,AC1607&lt;1),AC1607*100,AC1607)/100)</f>
        <v/>
      </c>
      <c r="Z1607" s="5">
        <f>IF(D1607="","",AB1607*AA1607/100)</f>
        <v/>
      </c>
      <c r="AA1607" s="5">
        <f>IF(D1607="","",X1607-Y1607)</f>
        <v/>
      </c>
      <c r="AD1607" s="5">
        <f>IF(D1607="","",AA1607-Z1607)</f>
        <v/>
      </c>
      <c r="AG1607">
        <f>IF(D1607="","",N(AG1606)+IF(MATCH(D1607,$D$2:$D$3001,0)=ROW()-1,1,0))</f>
        <v/>
      </c>
    </row>
    <row r="1608">
      <c r="Y1608" s="5">
        <f>IF(D1608="","",X1608*IF(AND(ISNUMBER(AC1608),AC1608&gt;0,AC1608&lt;1),AC1608*100,AC1608)/100)</f>
        <v/>
      </c>
      <c r="Z1608" s="5">
        <f>IF(D1608="","",AB1608*AA1608/100)</f>
        <v/>
      </c>
      <c r="AA1608" s="5">
        <f>IF(D1608="","",X1608-Y1608)</f>
        <v/>
      </c>
      <c r="AD1608" s="5">
        <f>IF(D1608="","",AA1608-Z1608)</f>
        <v/>
      </c>
      <c r="AG1608">
        <f>IF(D1608="","",N(AG1607)+IF(MATCH(D1608,$D$2:$D$3001,0)=ROW()-1,1,0))</f>
        <v/>
      </c>
    </row>
    <row r="1609">
      <c r="Y1609" s="5">
        <f>IF(D1609="","",X1609*IF(AND(ISNUMBER(AC1609),AC1609&gt;0,AC1609&lt;1),AC1609*100,AC1609)/100)</f>
        <v/>
      </c>
      <c r="Z1609" s="5">
        <f>IF(D1609="","",AB1609*AA1609/100)</f>
        <v/>
      </c>
      <c r="AA1609" s="5">
        <f>IF(D1609="","",X1609-Y1609)</f>
        <v/>
      </c>
      <c r="AD1609" s="5">
        <f>IF(D1609="","",AA1609-Z1609)</f>
        <v/>
      </c>
      <c r="AG1609">
        <f>IF(D1609="","",N(AG1608)+IF(MATCH(D1609,$D$2:$D$3001,0)=ROW()-1,1,0))</f>
        <v/>
      </c>
    </row>
    <row r="1610">
      <c r="Y1610" s="5">
        <f>IF(D1610="","",X1610*IF(AND(ISNUMBER(AC1610),AC1610&gt;0,AC1610&lt;1),AC1610*100,AC1610)/100)</f>
        <v/>
      </c>
      <c r="Z1610" s="5">
        <f>IF(D1610="","",AB1610*AA1610/100)</f>
        <v/>
      </c>
      <c r="AA1610" s="5">
        <f>IF(D1610="","",X1610-Y1610)</f>
        <v/>
      </c>
      <c r="AD1610" s="5">
        <f>IF(D1610="","",AA1610-Z1610)</f>
        <v/>
      </c>
      <c r="AG1610">
        <f>IF(D1610="","",N(AG1609)+IF(MATCH(D1610,$D$2:$D$3001,0)=ROW()-1,1,0))</f>
        <v/>
      </c>
    </row>
    <row r="1611">
      <c r="Y1611" s="5">
        <f>IF(D1611="","",X1611*IF(AND(ISNUMBER(AC1611),AC1611&gt;0,AC1611&lt;1),AC1611*100,AC1611)/100)</f>
        <v/>
      </c>
      <c r="Z1611" s="5">
        <f>IF(D1611="","",AB1611*AA1611/100)</f>
        <v/>
      </c>
      <c r="AA1611" s="5">
        <f>IF(D1611="","",X1611-Y1611)</f>
        <v/>
      </c>
      <c r="AD1611" s="5">
        <f>IF(D1611="","",AA1611-Z1611)</f>
        <v/>
      </c>
      <c r="AG1611">
        <f>IF(D1611="","",N(AG1610)+IF(MATCH(D1611,$D$2:$D$3001,0)=ROW()-1,1,0))</f>
        <v/>
      </c>
    </row>
    <row r="1612">
      <c r="Y1612" s="5">
        <f>IF(D1612="","",X1612*IF(AND(ISNUMBER(AC1612),AC1612&gt;0,AC1612&lt;1),AC1612*100,AC1612)/100)</f>
        <v/>
      </c>
      <c r="Z1612" s="5">
        <f>IF(D1612="","",AB1612*AA1612/100)</f>
        <v/>
      </c>
      <c r="AA1612" s="5">
        <f>IF(D1612="","",X1612-Y1612)</f>
        <v/>
      </c>
      <c r="AD1612" s="5">
        <f>IF(D1612="","",AA1612-Z1612)</f>
        <v/>
      </c>
      <c r="AG1612">
        <f>IF(D1612="","",N(AG1611)+IF(MATCH(D1612,$D$2:$D$3001,0)=ROW()-1,1,0))</f>
        <v/>
      </c>
    </row>
    <row r="1613">
      <c r="Y1613" s="5">
        <f>IF(D1613="","",X1613*IF(AND(ISNUMBER(AC1613),AC1613&gt;0,AC1613&lt;1),AC1613*100,AC1613)/100)</f>
        <v/>
      </c>
      <c r="Z1613" s="5">
        <f>IF(D1613="","",AB1613*AA1613/100)</f>
        <v/>
      </c>
      <c r="AA1613" s="5">
        <f>IF(D1613="","",X1613-Y1613)</f>
        <v/>
      </c>
      <c r="AD1613" s="5">
        <f>IF(D1613="","",AA1613-Z1613)</f>
        <v/>
      </c>
      <c r="AG1613">
        <f>IF(D1613="","",N(AG1612)+IF(MATCH(D1613,$D$2:$D$3001,0)=ROW()-1,1,0))</f>
        <v/>
      </c>
    </row>
    <row r="1614">
      <c r="Y1614" s="5">
        <f>IF(D1614="","",X1614*IF(AND(ISNUMBER(AC1614),AC1614&gt;0,AC1614&lt;1),AC1614*100,AC1614)/100)</f>
        <v/>
      </c>
      <c r="Z1614" s="5">
        <f>IF(D1614="","",AB1614*AA1614/100)</f>
        <v/>
      </c>
      <c r="AA1614" s="5">
        <f>IF(D1614="","",X1614-Y1614)</f>
        <v/>
      </c>
      <c r="AD1614" s="5">
        <f>IF(D1614="","",AA1614-Z1614)</f>
        <v/>
      </c>
      <c r="AG1614">
        <f>IF(D1614="","",N(AG1613)+IF(MATCH(D1614,$D$2:$D$3001,0)=ROW()-1,1,0))</f>
        <v/>
      </c>
    </row>
    <row r="1615">
      <c r="Y1615" s="5">
        <f>IF(D1615="","",X1615*IF(AND(ISNUMBER(AC1615),AC1615&gt;0,AC1615&lt;1),AC1615*100,AC1615)/100)</f>
        <v/>
      </c>
      <c r="Z1615" s="5">
        <f>IF(D1615="","",AB1615*AA1615/100)</f>
        <v/>
      </c>
      <c r="AA1615" s="5">
        <f>IF(D1615="","",X1615-Y1615)</f>
        <v/>
      </c>
      <c r="AD1615" s="5">
        <f>IF(D1615="","",AA1615-Z1615)</f>
        <v/>
      </c>
      <c r="AG1615">
        <f>IF(D1615="","",N(AG1614)+IF(MATCH(D1615,$D$2:$D$3001,0)=ROW()-1,1,0))</f>
        <v/>
      </c>
    </row>
    <row r="1616">
      <c r="Y1616" s="5">
        <f>IF(D1616="","",X1616*IF(AND(ISNUMBER(AC1616),AC1616&gt;0,AC1616&lt;1),AC1616*100,AC1616)/100)</f>
        <v/>
      </c>
      <c r="Z1616" s="5">
        <f>IF(D1616="","",AB1616*AA1616/100)</f>
        <v/>
      </c>
      <c r="AA1616" s="5">
        <f>IF(D1616="","",X1616-Y1616)</f>
        <v/>
      </c>
      <c r="AD1616" s="5">
        <f>IF(D1616="","",AA1616-Z1616)</f>
        <v/>
      </c>
      <c r="AG1616">
        <f>IF(D1616="","",N(AG1615)+IF(MATCH(D1616,$D$2:$D$3001,0)=ROW()-1,1,0))</f>
        <v/>
      </c>
    </row>
    <row r="1617">
      <c r="Y1617" s="5">
        <f>IF(D1617="","",X1617*IF(AND(ISNUMBER(AC1617),AC1617&gt;0,AC1617&lt;1),AC1617*100,AC1617)/100)</f>
        <v/>
      </c>
      <c r="Z1617" s="5">
        <f>IF(D1617="","",AB1617*AA1617/100)</f>
        <v/>
      </c>
      <c r="AA1617" s="5">
        <f>IF(D1617="","",X1617-Y1617)</f>
        <v/>
      </c>
      <c r="AD1617" s="5">
        <f>IF(D1617="","",AA1617-Z1617)</f>
        <v/>
      </c>
      <c r="AG1617">
        <f>IF(D1617="","",N(AG1616)+IF(MATCH(D1617,$D$2:$D$3001,0)=ROW()-1,1,0))</f>
        <v/>
      </c>
    </row>
    <row r="1618">
      <c r="Y1618" s="5">
        <f>IF(D1618="","",X1618*IF(AND(ISNUMBER(AC1618),AC1618&gt;0,AC1618&lt;1),AC1618*100,AC1618)/100)</f>
        <v/>
      </c>
      <c r="Z1618" s="5">
        <f>IF(D1618="","",AB1618*AA1618/100)</f>
        <v/>
      </c>
      <c r="AA1618" s="5">
        <f>IF(D1618="","",X1618-Y1618)</f>
        <v/>
      </c>
      <c r="AD1618" s="5">
        <f>IF(D1618="","",AA1618-Z1618)</f>
        <v/>
      </c>
      <c r="AG1618">
        <f>IF(D1618="","",N(AG1617)+IF(MATCH(D1618,$D$2:$D$3001,0)=ROW()-1,1,0))</f>
        <v/>
      </c>
    </row>
    <row r="1619">
      <c r="Y1619" s="5">
        <f>IF(D1619="","",X1619*IF(AND(ISNUMBER(AC1619),AC1619&gt;0,AC1619&lt;1),AC1619*100,AC1619)/100)</f>
        <v/>
      </c>
      <c r="Z1619" s="5">
        <f>IF(D1619="","",AB1619*AA1619/100)</f>
        <v/>
      </c>
      <c r="AA1619" s="5">
        <f>IF(D1619="","",X1619-Y1619)</f>
        <v/>
      </c>
      <c r="AD1619" s="5">
        <f>IF(D1619="","",AA1619-Z1619)</f>
        <v/>
      </c>
      <c r="AG1619">
        <f>IF(D1619="","",N(AG1618)+IF(MATCH(D1619,$D$2:$D$3001,0)=ROW()-1,1,0))</f>
        <v/>
      </c>
    </row>
    <row r="1620">
      <c r="Y1620" s="5">
        <f>IF(D1620="","",X1620*IF(AND(ISNUMBER(AC1620),AC1620&gt;0,AC1620&lt;1),AC1620*100,AC1620)/100)</f>
        <v/>
      </c>
      <c r="Z1620" s="5">
        <f>IF(D1620="","",AB1620*AA1620/100)</f>
        <v/>
      </c>
      <c r="AA1620" s="5">
        <f>IF(D1620="","",X1620-Y1620)</f>
        <v/>
      </c>
      <c r="AD1620" s="5">
        <f>IF(D1620="","",AA1620-Z1620)</f>
        <v/>
      </c>
      <c r="AG1620">
        <f>IF(D1620="","",N(AG1619)+IF(MATCH(D1620,$D$2:$D$3001,0)=ROW()-1,1,0))</f>
        <v/>
      </c>
    </row>
    <row r="1621">
      <c r="Y1621" s="5">
        <f>IF(D1621="","",X1621*IF(AND(ISNUMBER(AC1621),AC1621&gt;0,AC1621&lt;1),AC1621*100,AC1621)/100)</f>
        <v/>
      </c>
      <c r="Z1621" s="5">
        <f>IF(D1621="","",AB1621*AA1621/100)</f>
        <v/>
      </c>
      <c r="AA1621" s="5">
        <f>IF(D1621="","",X1621-Y1621)</f>
        <v/>
      </c>
      <c r="AD1621" s="5">
        <f>IF(D1621="","",AA1621-Z1621)</f>
        <v/>
      </c>
      <c r="AG1621">
        <f>IF(D1621="","",N(AG1620)+IF(MATCH(D1621,$D$2:$D$3001,0)=ROW()-1,1,0))</f>
        <v/>
      </c>
    </row>
    <row r="1622">
      <c r="Y1622" s="5">
        <f>IF(D1622="","",X1622*IF(AND(ISNUMBER(AC1622),AC1622&gt;0,AC1622&lt;1),AC1622*100,AC1622)/100)</f>
        <v/>
      </c>
      <c r="Z1622" s="5">
        <f>IF(D1622="","",AB1622*AA1622/100)</f>
        <v/>
      </c>
      <c r="AA1622" s="5">
        <f>IF(D1622="","",X1622-Y1622)</f>
        <v/>
      </c>
      <c r="AD1622" s="5">
        <f>IF(D1622="","",AA1622-Z1622)</f>
        <v/>
      </c>
      <c r="AG1622">
        <f>IF(D1622="","",N(AG1621)+IF(MATCH(D1622,$D$2:$D$3001,0)=ROW()-1,1,0))</f>
        <v/>
      </c>
    </row>
    <row r="1623">
      <c r="Y1623" s="5">
        <f>IF(D1623="","",X1623*IF(AND(ISNUMBER(AC1623),AC1623&gt;0,AC1623&lt;1),AC1623*100,AC1623)/100)</f>
        <v/>
      </c>
      <c r="Z1623" s="5">
        <f>IF(D1623="","",AB1623*AA1623/100)</f>
        <v/>
      </c>
      <c r="AA1623" s="5">
        <f>IF(D1623="","",X1623-Y1623)</f>
        <v/>
      </c>
      <c r="AD1623" s="5">
        <f>IF(D1623="","",AA1623-Z1623)</f>
        <v/>
      </c>
      <c r="AG1623">
        <f>IF(D1623="","",N(AG1622)+IF(MATCH(D1623,$D$2:$D$3001,0)=ROW()-1,1,0))</f>
        <v/>
      </c>
    </row>
    <row r="1624">
      <c r="Y1624" s="5">
        <f>IF(D1624="","",X1624*IF(AND(ISNUMBER(AC1624),AC1624&gt;0,AC1624&lt;1),AC1624*100,AC1624)/100)</f>
        <v/>
      </c>
      <c r="Z1624" s="5">
        <f>IF(D1624="","",AB1624*AA1624/100)</f>
        <v/>
      </c>
      <c r="AA1624" s="5">
        <f>IF(D1624="","",X1624-Y1624)</f>
        <v/>
      </c>
      <c r="AD1624" s="5">
        <f>IF(D1624="","",AA1624-Z1624)</f>
        <v/>
      </c>
      <c r="AG1624">
        <f>IF(D1624="","",N(AG1623)+IF(MATCH(D1624,$D$2:$D$3001,0)=ROW()-1,1,0))</f>
        <v/>
      </c>
    </row>
    <row r="1625">
      <c r="Y1625" s="5">
        <f>IF(D1625="","",X1625*IF(AND(ISNUMBER(AC1625),AC1625&gt;0,AC1625&lt;1),AC1625*100,AC1625)/100)</f>
        <v/>
      </c>
      <c r="Z1625" s="5">
        <f>IF(D1625="","",AB1625*AA1625/100)</f>
        <v/>
      </c>
      <c r="AA1625" s="5">
        <f>IF(D1625="","",X1625-Y1625)</f>
        <v/>
      </c>
      <c r="AD1625" s="5">
        <f>IF(D1625="","",AA1625-Z1625)</f>
        <v/>
      </c>
      <c r="AG1625">
        <f>IF(D1625="","",N(AG1624)+IF(MATCH(D1625,$D$2:$D$3001,0)=ROW()-1,1,0))</f>
        <v/>
      </c>
    </row>
    <row r="1626">
      <c r="Y1626" s="5">
        <f>IF(D1626="","",X1626*IF(AND(ISNUMBER(AC1626),AC1626&gt;0,AC1626&lt;1),AC1626*100,AC1626)/100)</f>
        <v/>
      </c>
      <c r="Z1626" s="5">
        <f>IF(D1626="","",AB1626*AA1626/100)</f>
        <v/>
      </c>
      <c r="AA1626" s="5">
        <f>IF(D1626="","",X1626-Y1626)</f>
        <v/>
      </c>
      <c r="AD1626" s="5">
        <f>IF(D1626="","",AA1626-Z1626)</f>
        <v/>
      </c>
      <c r="AG1626">
        <f>IF(D1626="","",N(AG1625)+IF(MATCH(D1626,$D$2:$D$3001,0)=ROW()-1,1,0))</f>
        <v/>
      </c>
    </row>
    <row r="1627">
      <c r="Y1627" s="5">
        <f>IF(D1627="","",X1627*IF(AND(ISNUMBER(AC1627),AC1627&gt;0,AC1627&lt;1),AC1627*100,AC1627)/100)</f>
        <v/>
      </c>
      <c r="Z1627" s="5">
        <f>IF(D1627="","",AB1627*AA1627/100)</f>
        <v/>
      </c>
      <c r="AA1627" s="5">
        <f>IF(D1627="","",X1627-Y1627)</f>
        <v/>
      </c>
      <c r="AD1627" s="5">
        <f>IF(D1627="","",AA1627-Z1627)</f>
        <v/>
      </c>
      <c r="AG1627">
        <f>IF(D1627="","",N(AG1626)+IF(MATCH(D1627,$D$2:$D$3001,0)=ROW()-1,1,0))</f>
        <v/>
      </c>
    </row>
    <row r="1628">
      <c r="Y1628" s="5">
        <f>IF(D1628="","",X1628*IF(AND(ISNUMBER(AC1628),AC1628&gt;0,AC1628&lt;1),AC1628*100,AC1628)/100)</f>
        <v/>
      </c>
      <c r="Z1628" s="5">
        <f>IF(D1628="","",AB1628*AA1628/100)</f>
        <v/>
      </c>
      <c r="AA1628" s="5">
        <f>IF(D1628="","",X1628-Y1628)</f>
        <v/>
      </c>
      <c r="AD1628" s="5">
        <f>IF(D1628="","",AA1628-Z1628)</f>
        <v/>
      </c>
      <c r="AG1628">
        <f>IF(D1628="","",N(AG1627)+IF(MATCH(D1628,$D$2:$D$3001,0)=ROW()-1,1,0))</f>
        <v/>
      </c>
    </row>
    <row r="1629">
      <c r="Y1629" s="5">
        <f>IF(D1629="","",X1629*IF(AND(ISNUMBER(AC1629),AC1629&gt;0,AC1629&lt;1),AC1629*100,AC1629)/100)</f>
        <v/>
      </c>
      <c r="Z1629" s="5">
        <f>IF(D1629="","",AB1629*AA1629/100)</f>
        <v/>
      </c>
      <c r="AA1629" s="5">
        <f>IF(D1629="","",X1629-Y1629)</f>
        <v/>
      </c>
      <c r="AD1629" s="5">
        <f>IF(D1629="","",AA1629-Z1629)</f>
        <v/>
      </c>
      <c r="AG1629">
        <f>IF(D1629="","",N(AG1628)+IF(MATCH(D1629,$D$2:$D$3001,0)=ROW()-1,1,0))</f>
        <v/>
      </c>
    </row>
    <row r="1630">
      <c r="Y1630" s="5">
        <f>IF(D1630="","",X1630*IF(AND(ISNUMBER(AC1630),AC1630&gt;0,AC1630&lt;1),AC1630*100,AC1630)/100)</f>
        <v/>
      </c>
      <c r="Z1630" s="5">
        <f>IF(D1630="","",AB1630*AA1630/100)</f>
        <v/>
      </c>
      <c r="AA1630" s="5">
        <f>IF(D1630="","",X1630-Y1630)</f>
        <v/>
      </c>
      <c r="AD1630" s="5">
        <f>IF(D1630="","",AA1630-Z1630)</f>
        <v/>
      </c>
      <c r="AG1630">
        <f>IF(D1630="","",N(AG1629)+IF(MATCH(D1630,$D$2:$D$3001,0)=ROW()-1,1,0))</f>
        <v/>
      </c>
    </row>
    <row r="1631">
      <c r="Y1631" s="5">
        <f>IF(D1631="","",X1631*IF(AND(ISNUMBER(AC1631),AC1631&gt;0,AC1631&lt;1),AC1631*100,AC1631)/100)</f>
        <v/>
      </c>
      <c r="Z1631" s="5">
        <f>IF(D1631="","",AB1631*AA1631/100)</f>
        <v/>
      </c>
      <c r="AA1631" s="5">
        <f>IF(D1631="","",X1631-Y1631)</f>
        <v/>
      </c>
      <c r="AD1631" s="5">
        <f>IF(D1631="","",AA1631-Z1631)</f>
        <v/>
      </c>
      <c r="AG1631">
        <f>IF(D1631="","",N(AG1630)+IF(MATCH(D1631,$D$2:$D$3001,0)=ROW()-1,1,0))</f>
        <v/>
      </c>
    </row>
    <row r="1632">
      <c r="Y1632" s="5">
        <f>IF(D1632="","",X1632*IF(AND(ISNUMBER(AC1632),AC1632&gt;0,AC1632&lt;1),AC1632*100,AC1632)/100)</f>
        <v/>
      </c>
      <c r="Z1632" s="5">
        <f>IF(D1632="","",AB1632*AA1632/100)</f>
        <v/>
      </c>
      <c r="AA1632" s="5">
        <f>IF(D1632="","",X1632-Y1632)</f>
        <v/>
      </c>
      <c r="AD1632" s="5">
        <f>IF(D1632="","",AA1632-Z1632)</f>
        <v/>
      </c>
      <c r="AG1632">
        <f>IF(D1632="","",N(AG1631)+IF(MATCH(D1632,$D$2:$D$3001,0)=ROW()-1,1,0))</f>
        <v/>
      </c>
    </row>
    <row r="1633">
      <c r="Y1633" s="5">
        <f>IF(D1633="","",X1633*IF(AND(ISNUMBER(AC1633),AC1633&gt;0,AC1633&lt;1),AC1633*100,AC1633)/100)</f>
        <v/>
      </c>
      <c r="Z1633" s="5">
        <f>IF(D1633="","",AB1633*AA1633/100)</f>
        <v/>
      </c>
      <c r="AA1633" s="5">
        <f>IF(D1633="","",X1633-Y1633)</f>
        <v/>
      </c>
      <c r="AD1633" s="5">
        <f>IF(D1633="","",AA1633-Z1633)</f>
        <v/>
      </c>
      <c r="AG1633">
        <f>IF(D1633="","",N(AG1632)+IF(MATCH(D1633,$D$2:$D$3001,0)=ROW()-1,1,0))</f>
        <v/>
      </c>
    </row>
    <row r="1634">
      <c r="Y1634" s="5">
        <f>IF(D1634="","",X1634*IF(AND(ISNUMBER(AC1634),AC1634&gt;0,AC1634&lt;1),AC1634*100,AC1634)/100)</f>
        <v/>
      </c>
      <c r="Z1634" s="5">
        <f>IF(D1634="","",AB1634*AA1634/100)</f>
        <v/>
      </c>
      <c r="AA1634" s="5">
        <f>IF(D1634="","",X1634-Y1634)</f>
        <v/>
      </c>
      <c r="AD1634" s="5">
        <f>IF(D1634="","",AA1634-Z1634)</f>
        <v/>
      </c>
      <c r="AG1634">
        <f>IF(D1634="","",N(AG1633)+IF(MATCH(D1634,$D$2:$D$3001,0)=ROW()-1,1,0))</f>
        <v/>
      </c>
    </row>
    <row r="1635">
      <c r="Y1635" s="5">
        <f>IF(D1635="","",X1635*IF(AND(ISNUMBER(AC1635),AC1635&gt;0,AC1635&lt;1),AC1635*100,AC1635)/100)</f>
        <v/>
      </c>
      <c r="Z1635" s="5">
        <f>IF(D1635="","",AB1635*AA1635/100)</f>
        <v/>
      </c>
      <c r="AA1635" s="5">
        <f>IF(D1635="","",X1635-Y1635)</f>
        <v/>
      </c>
      <c r="AD1635" s="5">
        <f>IF(D1635="","",AA1635-Z1635)</f>
        <v/>
      </c>
      <c r="AG1635">
        <f>IF(D1635="","",N(AG1634)+IF(MATCH(D1635,$D$2:$D$3001,0)=ROW()-1,1,0))</f>
        <v/>
      </c>
    </row>
    <row r="1636">
      <c r="Y1636" s="5">
        <f>IF(D1636="","",X1636*IF(AND(ISNUMBER(AC1636),AC1636&gt;0,AC1636&lt;1),AC1636*100,AC1636)/100)</f>
        <v/>
      </c>
      <c r="Z1636" s="5">
        <f>IF(D1636="","",AB1636*AA1636/100)</f>
        <v/>
      </c>
      <c r="AA1636" s="5">
        <f>IF(D1636="","",X1636-Y1636)</f>
        <v/>
      </c>
      <c r="AD1636" s="5">
        <f>IF(D1636="","",AA1636-Z1636)</f>
        <v/>
      </c>
      <c r="AG1636">
        <f>IF(D1636="","",N(AG1635)+IF(MATCH(D1636,$D$2:$D$3001,0)=ROW()-1,1,0))</f>
        <v/>
      </c>
    </row>
    <row r="1637">
      <c r="Y1637" s="5">
        <f>IF(D1637="","",X1637*IF(AND(ISNUMBER(AC1637),AC1637&gt;0,AC1637&lt;1),AC1637*100,AC1637)/100)</f>
        <v/>
      </c>
      <c r="Z1637" s="5">
        <f>IF(D1637="","",AB1637*AA1637/100)</f>
        <v/>
      </c>
      <c r="AA1637" s="5">
        <f>IF(D1637="","",X1637-Y1637)</f>
        <v/>
      </c>
      <c r="AD1637" s="5">
        <f>IF(D1637="","",AA1637-Z1637)</f>
        <v/>
      </c>
      <c r="AG1637">
        <f>IF(D1637="","",N(AG1636)+IF(MATCH(D1637,$D$2:$D$3001,0)=ROW()-1,1,0))</f>
        <v/>
      </c>
    </row>
    <row r="1638">
      <c r="Y1638" s="5">
        <f>IF(D1638="","",X1638*IF(AND(ISNUMBER(AC1638),AC1638&gt;0,AC1638&lt;1),AC1638*100,AC1638)/100)</f>
        <v/>
      </c>
      <c r="Z1638" s="5">
        <f>IF(D1638="","",AB1638*AA1638/100)</f>
        <v/>
      </c>
      <c r="AA1638" s="5">
        <f>IF(D1638="","",X1638-Y1638)</f>
        <v/>
      </c>
      <c r="AD1638" s="5">
        <f>IF(D1638="","",AA1638-Z1638)</f>
        <v/>
      </c>
      <c r="AG1638">
        <f>IF(D1638="","",N(AG1637)+IF(MATCH(D1638,$D$2:$D$3001,0)=ROW()-1,1,0))</f>
        <v/>
      </c>
    </row>
    <row r="1639">
      <c r="Y1639" s="5">
        <f>IF(D1639="","",X1639*IF(AND(ISNUMBER(AC1639),AC1639&gt;0,AC1639&lt;1),AC1639*100,AC1639)/100)</f>
        <v/>
      </c>
      <c r="Z1639" s="5">
        <f>IF(D1639="","",AB1639*AA1639/100)</f>
        <v/>
      </c>
      <c r="AA1639" s="5">
        <f>IF(D1639="","",X1639-Y1639)</f>
        <v/>
      </c>
      <c r="AD1639" s="5">
        <f>IF(D1639="","",AA1639-Z1639)</f>
        <v/>
      </c>
      <c r="AG1639">
        <f>IF(D1639="","",N(AG1638)+IF(MATCH(D1639,$D$2:$D$3001,0)=ROW()-1,1,0))</f>
        <v/>
      </c>
    </row>
    <row r="1640">
      <c r="Y1640" s="5">
        <f>IF(D1640="","",X1640*IF(AND(ISNUMBER(AC1640),AC1640&gt;0,AC1640&lt;1),AC1640*100,AC1640)/100)</f>
        <v/>
      </c>
      <c r="Z1640" s="5">
        <f>IF(D1640="","",AB1640*AA1640/100)</f>
        <v/>
      </c>
      <c r="AA1640" s="5">
        <f>IF(D1640="","",X1640-Y1640)</f>
        <v/>
      </c>
      <c r="AD1640" s="5">
        <f>IF(D1640="","",AA1640-Z1640)</f>
        <v/>
      </c>
      <c r="AG1640">
        <f>IF(D1640="","",N(AG1639)+IF(MATCH(D1640,$D$2:$D$3001,0)=ROW()-1,1,0))</f>
        <v/>
      </c>
    </row>
    <row r="1641">
      <c r="Y1641" s="5">
        <f>IF(D1641="","",X1641*IF(AND(ISNUMBER(AC1641),AC1641&gt;0,AC1641&lt;1),AC1641*100,AC1641)/100)</f>
        <v/>
      </c>
      <c r="Z1641" s="5">
        <f>IF(D1641="","",AB1641*AA1641/100)</f>
        <v/>
      </c>
      <c r="AA1641" s="5">
        <f>IF(D1641="","",X1641-Y1641)</f>
        <v/>
      </c>
      <c r="AD1641" s="5">
        <f>IF(D1641="","",AA1641-Z1641)</f>
        <v/>
      </c>
      <c r="AG1641">
        <f>IF(D1641="","",N(AG1640)+IF(MATCH(D1641,$D$2:$D$3001,0)=ROW()-1,1,0))</f>
        <v/>
      </c>
    </row>
    <row r="1642">
      <c r="Y1642" s="5">
        <f>IF(D1642="","",X1642*IF(AND(ISNUMBER(AC1642),AC1642&gt;0,AC1642&lt;1),AC1642*100,AC1642)/100)</f>
        <v/>
      </c>
      <c r="Z1642" s="5">
        <f>IF(D1642="","",AB1642*AA1642/100)</f>
        <v/>
      </c>
      <c r="AA1642" s="5">
        <f>IF(D1642="","",X1642-Y1642)</f>
        <v/>
      </c>
      <c r="AD1642" s="5">
        <f>IF(D1642="","",AA1642-Z1642)</f>
        <v/>
      </c>
      <c r="AG1642">
        <f>IF(D1642="","",N(AG1641)+IF(MATCH(D1642,$D$2:$D$3001,0)=ROW()-1,1,0))</f>
        <v/>
      </c>
    </row>
    <row r="1643">
      <c r="Y1643" s="5">
        <f>IF(D1643="","",X1643*IF(AND(ISNUMBER(AC1643),AC1643&gt;0,AC1643&lt;1),AC1643*100,AC1643)/100)</f>
        <v/>
      </c>
      <c r="Z1643" s="5">
        <f>IF(D1643="","",AB1643*AA1643/100)</f>
        <v/>
      </c>
      <c r="AA1643" s="5">
        <f>IF(D1643="","",X1643-Y1643)</f>
        <v/>
      </c>
      <c r="AD1643" s="5">
        <f>IF(D1643="","",AA1643-Z1643)</f>
        <v/>
      </c>
      <c r="AG1643">
        <f>IF(D1643="","",N(AG1642)+IF(MATCH(D1643,$D$2:$D$3001,0)=ROW()-1,1,0))</f>
        <v/>
      </c>
    </row>
    <row r="1644">
      <c r="Y1644" s="5">
        <f>IF(D1644="","",X1644*IF(AND(ISNUMBER(AC1644),AC1644&gt;0,AC1644&lt;1),AC1644*100,AC1644)/100)</f>
        <v/>
      </c>
      <c r="Z1644" s="5">
        <f>IF(D1644="","",AB1644*AA1644/100)</f>
        <v/>
      </c>
      <c r="AA1644" s="5">
        <f>IF(D1644="","",X1644-Y1644)</f>
        <v/>
      </c>
      <c r="AD1644" s="5">
        <f>IF(D1644="","",AA1644-Z1644)</f>
        <v/>
      </c>
      <c r="AG1644">
        <f>IF(D1644="","",N(AG1643)+IF(MATCH(D1644,$D$2:$D$3001,0)=ROW()-1,1,0))</f>
        <v/>
      </c>
    </row>
    <row r="1645">
      <c r="Y1645" s="5">
        <f>IF(D1645="","",X1645*IF(AND(ISNUMBER(AC1645),AC1645&gt;0,AC1645&lt;1),AC1645*100,AC1645)/100)</f>
        <v/>
      </c>
      <c r="Z1645" s="5">
        <f>IF(D1645="","",AB1645*AA1645/100)</f>
        <v/>
      </c>
      <c r="AA1645" s="5">
        <f>IF(D1645="","",X1645-Y1645)</f>
        <v/>
      </c>
      <c r="AD1645" s="5">
        <f>IF(D1645="","",AA1645-Z1645)</f>
        <v/>
      </c>
      <c r="AG1645">
        <f>IF(D1645="","",N(AG1644)+IF(MATCH(D1645,$D$2:$D$3001,0)=ROW()-1,1,0))</f>
        <v/>
      </c>
    </row>
    <row r="1646">
      <c r="Y1646" s="5">
        <f>IF(D1646="","",X1646*IF(AND(ISNUMBER(AC1646),AC1646&gt;0,AC1646&lt;1),AC1646*100,AC1646)/100)</f>
        <v/>
      </c>
      <c r="Z1646" s="5">
        <f>IF(D1646="","",AB1646*AA1646/100)</f>
        <v/>
      </c>
      <c r="AA1646" s="5">
        <f>IF(D1646="","",X1646-Y1646)</f>
        <v/>
      </c>
      <c r="AD1646" s="5">
        <f>IF(D1646="","",AA1646-Z1646)</f>
        <v/>
      </c>
      <c r="AG1646">
        <f>IF(D1646="","",N(AG1645)+IF(MATCH(D1646,$D$2:$D$3001,0)=ROW()-1,1,0))</f>
        <v/>
      </c>
    </row>
    <row r="1647">
      <c r="Y1647" s="5">
        <f>IF(D1647="","",X1647*IF(AND(ISNUMBER(AC1647),AC1647&gt;0,AC1647&lt;1),AC1647*100,AC1647)/100)</f>
        <v/>
      </c>
      <c r="Z1647" s="5">
        <f>IF(D1647="","",AB1647*AA1647/100)</f>
        <v/>
      </c>
      <c r="AA1647" s="5">
        <f>IF(D1647="","",X1647-Y1647)</f>
        <v/>
      </c>
      <c r="AD1647" s="5">
        <f>IF(D1647="","",AA1647-Z1647)</f>
        <v/>
      </c>
      <c r="AG1647">
        <f>IF(D1647="","",N(AG1646)+IF(MATCH(D1647,$D$2:$D$3001,0)=ROW()-1,1,0))</f>
        <v/>
      </c>
    </row>
    <row r="1648">
      <c r="Y1648" s="5">
        <f>IF(D1648="","",X1648*IF(AND(ISNUMBER(AC1648),AC1648&gt;0,AC1648&lt;1),AC1648*100,AC1648)/100)</f>
        <v/>
      </c>
      <c r="Z1648" s="5">
        <f>IF(D1648="","",AB1648*AA1648/100)</f>
        <v/>
      </c>
      <c r="AA1648" s="5">
        <f>IF(D1648="","",X1648-Y1648)</f>
        <v/>
      </c>
      <c r="AD1648" s="5">
        <f>IF(D1648="","",AA1648-Z1648)</f>
        <v/>
      </c>
      <c r="AG1648">
        <f>IF(D1648="","",N(AG1647)+IF(MATCH(D1648,$D$2:$D$3001,0)=ROW()-1,1,0))</f>
        <v/>
      </c>
    </row>
    <row r="1649">
      <c r="Y1649" s="5">
        <f>IF(D1649="","",X1649*IF(AND(ISNUMBER(AC1649),AC1649&gt;0,AC1649&lt;1),AC1649*100,AC1649)/100)</f>
        <v/>
      </c>
      <c r="Z1649" s="5">
        <f>IF(D1649="","",AB1649*AA1649/100)</f>
        <v/>
      </c>
      <c r="AA1649" s="5">
        <f>IF(D1649="","",X1649-Y1649)</f>
        <v/>
      </c>
      <c r="AD1649" s="5">
        <f>IF(D1649="","",AA1649-Z1649)</f>
        <v/>
      </c>
      <c r="AG1649">
        <f>IF(D1649="","",N(AG1648)+IF(MATCH(D1649,$D$2:$D$3001,0)=ROW()-1,1,0))</f>
        <v/>
      </c>
    </row>
    <row r="1650">
      <c r="Y1650" s="5">
        <f>IF(D1650="","",X1650*IF(AND(ISNUMBER(AC1650),AC1650&gt;0,AC1650&lt;1),AC1650*100,AC1650)/100)</f>
        <v/>
      </c>
      <c r="Z1650" s="5">
        <f>IF(D1650="","",AB1650*AA1650/100)</f>
        <v/>
      </c>
      <c r="AA1650" s="5">
        <f>IF(D1650="","",X1650-Y1650)</f>
        <v/>
      </c>
      <c r="AD1650" s="5">
        <f>IF(D1650="","",AA1650-Z1650)</f>
        <v/>
      </c>
      <c r="AG1650">
        <f>IF(D1650="","",N(AG1649)+IF(MATCH(D1650,$D$2:$D$3001,0)=ROW()-1,1,0))</f>
        <v/>
      </c>
    </row>
    <row r="1651">
      <c r="Y1651" s="5">
        <f>IF(D1651="","",X1651*IF(AND(ISNUMBER(AC1651),AC1651&gt;0,AC1651&lt;1),AC1651*100,AC1651)/100)</f>
        <v/>
      </c>
      <c r="Z1651" s="5">
        <f>IF(D1651="","",AB1651*AA1651/100)</f>
        <v/>
      </c>
      <c r="AA1651" s="5">
        <f>IF(D1651="","",X1651-Y1651)</f>
        <v/>
      </c>
      <c r="AD1651" s="5">
        <f>IF(D1651="","",AA1651-Z1651)</f>
        <v/>
      </c>
      <c r="AG1651">
        <f>IF(D1651="","",N(AG1650)+IF(MATCH(D1651,$D$2:$D$3001,0)=ROW()-1,1,0))</f>
        <v/>
      </c>
    </row>
    <row r="1652">
      <c r="Y1652" s="5">
        <f>IF(D1652="","",X1652*IF(AND(ISNUMBER(AC1652),AC1652&gt;0,AC1652&lt;1),AC1652*100,AC1652)/100)</f>
        <v/>
      </c>
      <c r="Z1652" s="5">
        <f>IF(D1652="","",AB1652*AA1652/100)</f>
        <v/>
      </c>
      <c r="AA1652" s="5">
        <f>IF(D1652="","",X1652-Y1652)</f>
        <v/>
      </c>
      <c r="AD1652" s="5">
        <f>IF(D1652="","",AA1652-Z1652)</f>
        <v/>
      </c>
      <c r="AG1652">
        <f>IF(D1652="","",N(AG1651)+IF(MATCH(D1652,$D$2:$D$3001,0)=ROW()-1,1,0))</f>
        <v/>
      </c>
    </row>
    <row r="1653">
      <c r="Y1653" s="5">
        <f>IF(D1653="","",X1653*IF(AND(ISNUMBER(AC1653),AC1653&gt;0,AC1653&lt;1),AC1653*100,AC1653)/100)</f>
        <v/>
      </c>
      <c r="Z1653" s="5">
        <f>IF(D1653="","",AB1653*AA1653/100)</f>
        <v/>
      </c>
      <c r="AA1653" s="5">
        <f>IF(D1653="","",X1653-Y1653)</f>
        <v/>
      </c>
      <c r="AD1653" s="5">
        <f>IF(D1653="","",AA1653-Z1653)</f>
        <v/>
      </c>
      <c r="AG1653">
        <f>IF(D1653="","",N(AG1652)+IF(MATCH(D1653,$D$2:$D$3001,0)=ROW()-1,1,0))</f>
        <v/>
      </c>
    </row>
    <row r="1654">
      <c r="Y1654" s="5">
        <f>IF(D1654="","",X1654*IF(AND(ISNUMBER(AC1654),AC1654&gt;0,AC1654&lt;1),AC1654*100,AC1654)/100)</f>
        <v/>
      </c>
      <c r="Z1654" s="5">
        <f>IF(D1654="","",AB1654*AA1654/100)</f>
        <v/>
      </c>
      <c r="AA1654" s="5">
        <f>IF(D1654="","",X1654-Y1654)</f>
        <v/>
      </c>
      <c r="AD1654" s="5">
        <f>IF(D1654="","",AA1654-Z1654)</f>
        <v/>
      </c>
      <c r="AG1654">
        <f>IF(D1654="","",N(AG1653)+IF(MATCH(D1654,$D$2:$D$3001,0)=ROW()-1,1,0))</f>
        <v/>
      </c>
    </row>
    <row r="1655">
      <c r="Y1655" s="5">
        <f>IF(D1655="","",X1655*IF(AND(ISNUMBER(AC1655),AC1655&gt;0,AC1655&lt;1),AC1655*100,AC1655)/100)</f>
        <v/>
      </c>
      <c r="Z1655" s="5">
        <f>IF(D1655="","",AB1655*AA1655/100)</f>
        <v/>
      </c>
      <c r="AA1655" s="5">
        <f>IF(D1655="","",X1655-Y1655)</f>
        <v/>
      </c>
      <c r="AD1655" s="5">
        <f>IF(D1655="","",AA1655-Z1655)</f>
        <v/>
      </c>
      <c r="AG1655">
        <f>IF(D1655="","",N(AG1654)+IF(MATCH(D1655,$D$2:$D$3001,0)=ROW()-1,1,0))</f>
        <v/>
      </c>
    </row>
    <row r="1656">
      <c r="Y1656" s="5">
        <f>IF(D1656="","",X1656*IF(AND(ISNUMBER(AC1656),AC1656&gt;0,AC1656&lt;1),AC1656*100,AC1656)/100)</f>
        <v/>
      </c>
      <c r="Z1656" s="5">
        <f>IF(D1656="","",AB1656*AA1656/100)</f>
        <v/>
      </c>
      <c r="AA1656" s="5">
        <f>IF(D1656="","",X1656-Y1656)</f>
        <v/>
      </c>
      <c r="AD1656" s="5">
        <f>IF(D1656="","",AA1656-Z1656)</f>
        <v/>
      </c>
      <c r="AG1656">
        <f>IF(D1656="","",N(AG1655)+IF(MATCH(D1656,$D$2:$D$3001,0)=ROW()-1,1,0))</f>
        <v/>
      </c>
    </row>
    <row r="1657">
      <c r="Y1657" s="5">
        <f>IF(D1657="","",X1657*IF(AND(ISNUMBER(AC1657),AC1657&gt;0,AC1657&lt;1),AC1657*100,AC1657)/100)</f>
        <v/>
      </c>
      <c r="Z1657" s="5">
        <f>IF(D1657="","",AB1657*AA1657/100)</f>
        <v/>
      </c>
      <c r="AA1657" s="5">
        <f>IF(D1657="","",X1657-Y1657)</f>
        <v/>
      </c>
      <c r="AD1657" s="5">
        <f>IF(D1657="","",AA1657-Z1657)</f>
        <v/>
      </c>
      <c r="AG1657">
        <f>IF(D1657="","",N(AG1656)+IF(MATCH(D1657,$D$2:$D$3001,0)=ROW()-1,1,0))</f>
        <v/>
      </c>
    </row>
    <row r="1658">
      <c r="Y1658" s="5">
        <f>IF(D1658="","",X1658*IF(AND(ISNUMBER(AC1658),AC1658&gt;0,AC1658&lt;1),AC1658*100,AC1658)/100)</f>
        <v/>
      </c>
      <c r="Z1658" s="5">
        <f>IF(D1658="","",AB1658*AA1658/100)</f>
        <v/>
      </c>
      <c r="AA1658" s="5">
        <f>IF(D1658="","",X1658-Y1658)</f>
        <v/>
      </c>
      <c r="AD1658" s="5">
        <f>IF(D1658="","",AA1658-Z1658)</f>
        <v/>
      </c>
      <c r="AG1658">
        <f>IF(D1658="","",N(AG1657)+IF(MATCH(D1658,$D$2:$D$3001,0)=ROW()-1,1,0))</f>
        <v/>
      </c>
    </row>
    <row r="1659">
      <c r="Y1659" s="5">
        <f>IF(D1659="","",X1659*IF(AND(ISNUMBER(AC1659),AC1659&gt;0,AC1659&lt;1),AC1659*100,AC1659)/100)</f>
        <v/>
      </c>
      <c r="Z1659" s="5">
        <f>IF(D1659="","",AB1659*AA1659/100)</f>
        <v/>
      </c>
      <c r="AA1659" s="5">
        <f>IF(D1659="","",X1659-Y1659)</f>
        <v/>
      </c>
      <c r="AD1659" s="5">
        <f>IF(D1659="","",AA1659-Z1659)</f>
        <v/>
      </c>
      <c r="AG1659">
        <f>IF(D1659="","",N(AG1658)+IF(MATCH(D1659,$D$2:$D$3001,0)=ROW()-1,1,0))</f>
        <v/>
      </c>
    </row>
    <row r="1660">
      <c r="Y1660" s="5">
        <f>IF(D1660="","",X1660*IF(AND(ISNUMBER(AC1660),AC1660&gt;0,AC1660&lt;1),AC1660*100,AC1660)/100)</f>
        <v/>
      </c>
      <c r="Z1660" s="5">
        <f>IF(D1660="","",AB1660*AA1660/100)</f>
        <v/>
      </c>
      <c r="AA1660" s="5">
        <f>IF(D1660="","",X1660-Y1660)</f>
        <v/>
      </c>
      <c r="AD1660" s="5">
        <f>IF(D1660="","",AA1660-Z1660)</f>
        <v/>
      </c>
      <c r="AG1660">
        <f>IF(D1660="","",N(AG1659)+IF(MATCH(D1660,$D$2:$D$3001,0)=ROW()-1,1,0))</f>
        <v/>
      </c>
    </row>
    <row r="1661">
      <c r="Y1661" s="5">
        <f>IF(D1661="","",X1661*IF(AND(ISNUMBER(AC1661),AC1661&gt;0,AC1661&lt;1),AC1661*100,AC1661)/100)</f>
        <v/>
      </c>
      <c r="Z1661" s="5">
        <f>IF(D1661="","",AB1661*AA1661/100)</f>
        <v/>
      </c>
      <c r="AA1661" s="5">
        <f>IF(D1661="","",X1661-Y1661)</f>
        <v/>
      </c>
      <c r="AD1661" s="5">
        <f>IF(D1661="","",AA1661-Z1661)</f>
        <v/>
      </c>
      <c r="AG1661">
        <f>IF(D1661="","",N(AG1660)+IF(MATCH(D1661,$D$2:$D$3001,0)=ROW()-1,1,0))</f>
        <v/>
      </c>
    </row>
    <row r="1662">
      <c r="Y1662" s="5">
        <f>IF(D1662="","",X1662*IF(AND(ISNUMBER(AC1662),AC1662&gt;0,AC1662&lt;1),AC1662*100,AC1662)/100)</f>
        <v/>
      </c>
      <c r="Z1662" s="5">
        <f>IF(D1662="","",AB1662*AA1662/100)</f>
        <v/>
      </c>
      <c r="AA1662" s="5">
        <f>IF(D1662="","",X1662-Y1662)</f>
        <v/>
      </c>
      <c r="AD1662" s="5">
        <f>IF(D1662="","",AA1662-Z1662)</f>
        <v/>
      </c>
      <c r="AG1662">
        <f>IF(D1662="","",N(AG1661)+IF(MATCH(D1662,$D$2:$D$3001,0)=ROW()-1,1,0))</f>
        <v/>
      </c>
    </row>
    <row r="1663">
      <c r="Y1663" s="5">
        <f>IF(D1663="","",X1663*IF(AND(ISNUMBER(AC1663),AC1663&gt;0,AC1663&lt;1),AC1663*100,AC1663)/100)</f>
        <v/>
      </c>
      <c r="Z1663" s="5">
        <f>IF(D1663="","",AB1663*AA1663/100)</f>
        <v/>
      </c>
      <c r="AA1663" s="5">
        <f>IF(D1663="","",X1663-Y1663)</f>
        <v/>
      </c>
      <c r="AD1663" s="5">
        <f>IF(D1663="","",AA1663-Z1663)</f>
        <v/>
      </c>
      <c r="AG1663">
        <f>IF(D1663="","",N(AG1662)+IF(MATCH(D1663,$D$2:$D$3001,0)=ROW()-1,1,0))</f>
        <v/>
      </c>
    </row>
    <row r="1664">
      <c r="Y1664" s="5">
        <f>IF(D1664="","",X1664*IF(AND(ISNUMBER(AC1664),AC1664&gt;0,AC1664&lt;1),AC1664*100,AC1664)/100)</f>
        <v/>
      </c>
      <c r="Z1664" s="5">
        <f>IF(D1664="","",AB1664*AA1664/100)</f>
        <v/>
      </c>
      <c r="AA1664" s="5">
        <f>IF(D1664="","",X1664-Y1664)</f>
        <v/>
      </c>
      <c r="AD1664" s="5">
        <f>IF(D1664="","",AA1664-Z1664)</f>
        <v/>
      </c>
      <c r="AG1664">
        <f>IF(D1664="","",N(AG1663)+IF(MATCH(D1664,$D$2:$D$3001,0)=ROW()-1,1,0))</f>
        <v/>
      </c>
    </row>
    <row r="1665">
      <c r="Y1665" s="5">
        <f>IF(D1665="","",X1665*IF(AND(ISNUMBER(AC1665),AC1665&gt;0,AC1665&lt;1),AC1665*100,AC1665)/100)</f>
        <v/>
      </c>
      <c r="Z1665" s="5">
        <f>IF(D1665="","",AB1665*AA1665/100)</f>
        <v/>
      </c>
      <c r="AA1665" s="5">
        <f>IF(D1665="","",X1665-Y1665)</f>
        <v/>
      </c>
      <c r="AD1665" s="5">
        <f>IF(D1665="","",AA1665-Z1665)</f>
        <v/>
      </c>
      <c r="AG1665">
        <f>IF(D1665="","",N(AG1664)+IF(MATCH(D1665,$D$2:$D$3001,0)=ROW()-1,1,0))</f>
        <v/>
      </c>
    </row>
    <row r="1666">
      <c r="Y1666" s="5">
        <f>IF(D1666="","",X1666*IF(AND(ISNUMBER(AC1666),AC1666&gt;0,AC1666&lt;1),AC1666*100,AC1666)/100)</f>
        <v/>
      </c>
      <c r="Z1666" s="5">
        <f>IF(D1666="","",AB1666*AA1666/100)</f>
        <v/>
      </c>
      <c r="AA1666" s="5">
        <f>IF(D1666="","",X1666-Y1666)</f>
        <v/>
      </c>
      <c r="AD1666" s="5">
        <f>IF(D1666="","",AA1666-Z1666)</f>
        <v/>
      </c>
      <c r="AG1666">
        <f>IF(D1666="","",N(AG1665)+IF(MATCH(D1666,$D$2:$D$3001,0)=ROW()-1,1,0))</f>
        <v/>
      </c>
    </row>
    <row r="1667">
      <c r="Y1667" s="5">
        <f>IF(D1667="","",X1667*IF(AND(ISNUMBER(AC1667),AC1667&gt;0,AC1667&lt;1),AC1667*100,AC1667)/100)</f>
        <v/>
      </c>
      <c r="Z1667" s="5">
        <f>IF(D1667="","",AB1667*AA1667/100)</f>
        <v/>
      </c>
      <c r="AA1667" s="5">
        <f>IF(D1667="","",X1667-Y1667)</f>
        <v/>
      </c>
      <c r="AD1667" s="5">
        <f>IF(D1667="","",AA1667-Z1667)</f>
        <v/>
      </c>
      <c r="AG1667">
        <f>IF(D1667="","",N(AG1666)+IF(MATCH(D1667,$D$2:$D$3001,0)=ROW()-1,1,0))</f>
        <v/>
      </c>
    </row>
    <row r="1668">
      <c r="Y1668" s="5">
        <f>IF(D1668="","",X1668*IF(AND(ISNUMBER(AC1668),AC1668&gt;0,AC1668&lt;1),AC1668*100,AC1668)/100)</f>
        <v/>
      </c>
      <c r="Z1668" s="5">
        <f>IF(D1668="","",AB1668*AA1668/100)</f>
        <v/>
      </c>
      <c r="AA1668" s="5">
        <f>IF(D1668="","",X1668-Y1668)</f>
        <v/>
      </c>
      <c r="AD1668" s="5">
        <f>IF(D1668="","",AA1668-Z1668)</f>
        <v/>
      </c>
      <c r="AG1668">
        <f>IF(D1668="","",N(AG1667)+IF(MATCH(D1668,$D$2:$D$3001,0)=ROW()-1,1,0))</f>
        <v/>
      </c>
    </row>
    <row r="1669">
      <c r="Y1669" s="5">
        <f>IF(D1669="","",X1669*IF(AND(ISNUMBER(AC1669),AC1669&gt;0,AC1669&lt;1),AC1669*100,AC1669)/100)</f>
        <v/>
      </c>
      <c r="Z1669" s="5">
        <f>IF(D1669="","",AB1669*AA1669/100)</f>
        <v/>
      </c>
      <c r="AA1669" s="5">
        <f>IF(D1669="","",X1669-Y1669)</f>
        <v/>
      </c>
      <c r="AD1669" s="5">
        <f>IF(D1669="","",AA1669-Z1669)</f>
        <v/>
      </c>
      <c r="AG1669">
        <f>IF(D1669="","",N(AG1668)+IF(MATCH(D1669,$D$2:$D$3001,0)=ROW()-1,1,0))</f>
        <v/>
      </c>
    </row>
    <row r="1670">
      <c r="Y1670" s="5">
        <f>IF(D1670="","",X1670*IF(AND(ISNUMBER(AC1670),AC1670&gt;0,AC1670&lt;1),AC1670*100,AC1670)/100)</f>
        <v/>
      </c>
      <c r="Z1670" s="5">
        <f>IF(D1670="","",AB1670*AA1670/100)</f>
        <v/>
      </c>
      <c r="AA1670" s="5">
        <f>IF(D1670="","",X1670-Y1670)</f>
        <v/>
      </c>
      <c r="AD1670" s="5">
        <f>IF(D1670="","",AA1670-Z1670)</f>
        <v/>
      </c>
      <c r="AG1670">
        <f>IF(D1670="","",N(AG1669)+IF(MATCH(D1670,$D$2:$D$3001,0)=ROW()-1,1,0))</f>
        <v/>
      </c>
    </row>
    <row r="1671">
      <c r="Y1671" s="5">
        <f>IF(D1671="","",X1671*IF(AND(ISNUMBER(AC1671),AC1671&gt;0,AC1671&lt;1),AC1671*100,AC1671)/100)</f>
        <v/>
      </c>
      <c r="Z1671" s="5">
        <f>IF(D1671="","",AB1671*AA1671/100)</f>
        <v/>
      </c>
      <c r="AA1671" s="5">
        <f>IF(D1671="","",X1671-Y1671)</f>
        <v/>
      </c>
      <c r="AD1671" s="5">
        <f>IF(D1671="","",AA1671-Z1671)</f>
        <v/>
      </c>
      <c r="AG1671">
        <f>IF(D1671="","",N(AG1670)+IF(MATCH(D1671,$D$2:$D$3001,0)=ROW()-1,1,0))</f>
        <v/>
      </c>
    </row>
    <row r="1672">
      <c r="Y1672" s="5">
        <f>IF(D1672="","",X1672*IF(AND(ISNUMBER(AC1672),AC1672&gt;0,AC1672&lt;1),AC1672*100,AC1672)/100)</f>
        <v/>
      </c>
      <c r="Z1672" s="5">
        <f>IF(D1672="","",AB1672*AA1672/100)</f>
        <v/>
      </c>
      <c r="AA1672" s="5">
        <f>IF(D1672="","",X1672-Y1672)</f>
        <v/>
      </c>
      <c r="AD1672" s="5">
        <f>IF(D1672="","",AA1672-Z1672)</f>
        <v/>
      </c>
      <c r="AG1672">
        <f>IF(D1672="","",N(AG1671)+IF(MATCH(D1672,$D$2:$D$3001,0)=ROW()-1,1,0))</f>
        <v/>
      </c>
    </row>
    <row r="1673">
      <c r="Y1673" s="5">
        <f>IF(D1673="","",X1673*IF(AND(ISNUMBER(AC1673),AC1673&gt;0,AC1673&lt;1),AC1673*100,AC1673)/100)</f>
        <v/>
      </c>
      <c r="Z1673" s="5">
        <f>IF(D1673="","",AB1673*AA1673/100)</f>
        <v/>
      </c>
      <c r="AA1673" s="5">
        <f>IF(D1673="","",X1673-Y1673)</f>
        <v/>
      </c>
      <c r="AD1673" s="5">
        <f>IF(D1673="","",AA1673-Z1673)</f>
        <v/>
      </c>
      <c r="AG1673">
        <f>IF(D1673="","",N(AG1672)+IF(MATCH(D1673,$D$2:$D$3001,0)=ROW()-1,1,0))</f>
        <v/>
      </c>
    </row>
    <row r="1674">
      <c r="Y1674" s="5">
        <f>IF(D1674="","",X1674*IF(AND(ISNUMBER(AC1674),AC1674&gt;0,AC1674&lt;1),AC1674*100,AC1674)/100)</f>
        <v/>
      </c>
      <c r="Z1674" s="5">
        <f>IF(D1674="","",AB1674*AA1674/100)</f>
        <v/>
      </c>
      <c r="AA1674" s="5">
        <f>IF(D1674="","",X1674-Y1674)</f>
        <v/>
      </c>
      <c r="AD1674" s="5">
        <f>IF(D1674="","",AA1674-Z1674)</f>
        <v/>
      </c>
      <c r="AG1674">
        <f>IF(D1674="","",N(AG1673)+IF(MATCH(D1674,$D$2:$D$3001,0)=ROW()-1,1,0))</f>
        <v/>
      </c>
    </row>
    <row r="1675">
      <c r="Y1675" s="5">
        <f>IF(D1675="","",X1675*IF(AND(ISNUMBER(AC1675),AC1675&gt;0,AC1675&lt;1),AC1675*100,AC1675)/100)</f>
        <v/>
      </c>
      <c r="Z1675" s="5">
        <f>IF(D1675="","",AB1675*AA1675/100)</f>
        <v/>
      </c>
      <c r="AA1675" s="5">
        <f>IF(D1675="","",X1675-Y1675)</f>
        <v/>
      </c>
      <c r="AD1675" s="5">
        <f>IF(D1675="","",AA1675-Z1675)</f>
        <v/>
      </c>
      <c r="AG1675">
        <f>IF(D1675="","",N(AG1674)+IF(MATCH(D1675,$D$2:$D$3001,0)=ROW()-1,1,0))</f>
        <v/>
      </c>
    </row>
    <row r="1676">
      <c r="Y1676" s="5">
        <f>IF(D1676="","",X1676*IF(AND(ISNUMBER(AC1676),AC1676&gt;0,AC1676&lt;1),AC1676*100,AC1676)/100)</f>
        <v/>
      </c>
      <c r="Z1676" s="5">
        <f>IF(D1676="","",AB1676*AA1676/100)</f>
        <v/>
      </c>
      <c r="AA1676" s="5">
        <f>IF(D1676="","",X1676-Y1676)</f>
        <v/>
      </c>
      <c r="AD1676" s="5">
        <f>IF(D1676="","",AA1676-Z1676)</f>
        <v/>
      </c>
      <c r="AG1676">
        <f>IF(D1676="","",N(AG1675)+IF(MATCH(D1676,$D$2:$D$3001,0)=ROW()-1,1,0))</f>
        <v/>
      </c>
    </row>
    <row r="1677">
      <c r="Y1677" s="5">
        <f>IF(D1677="","",X1677*IF(AND(ISNUMBER(AC1677),AC1677&gt;0,AC1677&lt;1),AC1677*100,AC1677)/100)</f>
        <v/>
      </c>
      <c r="Z1677" s="5">
        <f>IF(D1677="","",AB1677*AA1677/100)</f>
        <v/>
      </c>
      <c r="AA1677" s="5">
        <f>IF(D1677="","",X1677-Y1677)</f>
        <v/>
      </c>
      <c r="AD1677" s="5">
        <f>IF(D1677="","",AA1677-Z1677)</f>
        <v/>
      </c>
      <c r="AG1677">
        <f>IF(D1677="","",N(AG1676)+IF(MATCH(D1677,$D$2:$D$3001,0)=ROW()-1,1,0))</f>
        <v/>
      </c>
    </row>
    <row r="1678">
      <c r="Y1678" s="5">
        <f>IF(D1678="","",X1678*IF(AND(ISNUMBER(AC1678),AC1678&gt;0,AC1678&lt;1),AC1678*100,AC1678)/100)</f>
        <v/>
      </c>
      <c r="Z1678" s="5">
        <f>IF(D1678="","",AB1678*AA1678/100)</f>
        <v/>
      </c>
      <c r="AA1678" s="5">
        <f>IF(D1678="","",X1678-Y1678)</f>
        <v/>
      </c>
      <c r="AD1678" s="5">
        <f>IF(D1678="","",AA1678-Z1678)</f>
        <v/>
      </c>
      <c r="AG1678">
        <f>IF(D1678="","",N(AG1677)+IF(MATCH(D1678,$D$2:$D$3001,0)=ROW()-1,1,0))</f>
        <v/>
      </c>
    </row>
    <row r="1679">
      <c r="Y1679" s="5">
        <f>IF(D1679="","",X1679*IF(AND(ISNUMBER(AC1679),AC1679&gt;0,AC1679&lt;1),AC1679*100,AC1679)/100)</f>
        <v/>
      </c>
      <c r="Z1679" s="5">
        <f>IF(D1679="","",AB1679*AA1679/100)</f>
        <v/>
      </c>
      <c r="AA1679" s="5">
        <f>IF(D1679="","",X1679-Y1679)</f>
        <v/>
      </c>
      <c r="AD1679" s="5">
        <f>IF(D1679="","",AA1679-Z1679)</f>
        <v/>
      </c>
      <c r="AG1679">
        <f>IF(D1679="","",N(AG1678)+IF(MATCH(D1679,$D$2:$D$3001,0)=ROW()-1,1,0))</f>
        <v/>
      </c>
    </row>
    <row r="1680">
      <c r="Y1680" s="5">
        <f>IF(D1680="","",X1680*IF(AND(ISNUMBER(AC1680),AC1680&gt;0,AC1680&lt;1),AC1680*100,AC1680)/100)</f>
        <v/>
      </c>
      <c r="Z1680" s="5">
        <f>IF(D1680="","",AB1680*AA1680/100)</f>
        <v/>
      </c>
      <c r="AA1680" s="5">
        <f>IF(D1680="","",X1680-Y1680)</f>
        <v/>
      </c>
      <c r="AD1680" s="5">
        <f>IF(D1680="","",AA1680-Z1680)</f>
        <v/>
      </c>
      <c r="AG1680">
        <f>IF(D1680="","",N(AG1679)+IF(MATCH(D1680,$D$2:$D$3001,0)=ROW()-1,1,0))</f>
        <v/>
      </c>
    </row>
    <row r="1681">
      <c r="Y1681" s="5">
        <f>IF(D1681="","",X1681*IF(AND(ISNUMBER(AC1681),AC1681&gt;0,AC1681&lt;1),AC1681*100,AC1681)/100)</f>
        <v/>
      </c>
      <c r="Z1681" s="5">
        <f>IF(D1681="","",AB1681*AA1681/100)</f>
        <v/>
      </c>
      <c r="AA1681" s="5">
        <f>IF(D1681="","",X1681-Y1681)</f>
        <v/>
      </c>
      <c r="AD1681" s="5">
        <f>IF(D1681="","",AA1681-Z1681)</f>
        <v/>
      </c>
      <c r="AG1681">
        <f>IF(D1681="","",N(AG1680)+IF(MATCH(D1681,$D$2:$D$3001,0)=ROW()-1,1,0))</f>
        <v/>
      </c>
    </row>
    <row r="1682">
      <c r="Y1682" s="5">
        <f>IF(D1682="","",X1682*IF(AND(ISNUMBER(AC1682),AC1682&gt;0,AC1682&lt;1),AC1682*100,AC1682)/100)</f>
        <v/>
      </c>
      <c r="Z1682" s="5">
        <f>IF(D1682="","",AB1682*AA1682/100)</f>
        <v/>
      </c>
      <c r="AA1682" s="5">
        <f>IF(D1682="","",X1682-Y1682)</f>
        <v/>
      </c>
      <c r="AD1682" s="5">
        <f>IF(D1682="","",AA1682-Z1682)</f>
        <v/>
      </c>
      <c r="AG1682">
        <f>IF(D1682="","",N(AG1681)+IF(MATCH(D1682,$D$2:$D$3001,0)=ROW()-1,1,0))</f>
        <v/>
      </c>
    </row>
    <row r="1683">
      <c r="Y1683" s="5">
        <f>IF(D1683="","",X1683*IF(AND(ISNUMBER(AC1683),AC1683&gt;0,AC1683&lt;1),AC1683*100,AC1683)/100)</f>
        <v/>
      </c>
      <c r="Z1683" s="5">
        <f>IF(D1683="","",AB1683*AA1683/100)</f>
        <v/>
      </c>
      <c r="AA1683" s="5">
        <f>IF(D1683="","",X1683-Y1683)</f>
        <v/>
      </c>
      <c r="AD1683" s="5">
        <f>IF(D1683="","",AA1683-Z1683)</f>
        <v/>
      </c>
      <c r="AG1683">
        <f>IF(D1683="","",N(AG1682)+IF(MATCH(D1683,$D$2:$D$3001,0)=ROW()-1,1,0))</f>
        <v/>
      </c>
    </row>
    <row r="1684">
      <c r="Y1684" s="5">
        <f>IF(D1684="","",X1684*IF(AND(ISNUMBER(AC1684),AC1684&gt;0,AC1684&lt;1),AC1684*100,AC1684)/100)</f>
        <v/>
      </c>
      <c r="Z1684" s="5">
        <f>IF(D1684="","",AB1684*AA1684/100)</f>
        <v/>
      </c>
      <c r="AA1684" s="5">
        <f>IF(D1684="","",X1684-Y1684)</f>
        <v/>
      </c>
      <c r="AD1684" s="5">
        <f>IF(D1684="","",AA1684-Z1684)</f>
        <v/>
      </c>
      <c r="AG1684">
        <f>IF(D1684="","",N(AG1683)+IF(MATCH(D1684,$D$2:$D$3001,0)=ROW()-1,1,0))</f>
        <v/>
      </c>
    </row>
    <row r="1685">
      <c r="Y1685" s="5">
        <f>IF(D1685="","",X1685*IF(AND(ISNUMBER(AC1685),AC1685&gt;0,AC1685&lt;1),AC1685*100,AC1685)/100)</f>
        <v/>
      </c>
      <c r="Z1685" s="5">
        <f>IF(D1685="","",AB1685*AA1685/100)</f>
        <v/>
      </c>
      <c r="AA1685" s="5">
        <f>IF(D1685="","",X1685-Y1685)</f>
        <v/>
      </c>
      <c r="AD1685" s="5">
        <f>IF(D1685="","",AA1685-Z1685)</f>
        <v/>
      </c>
      <c r="AG1685">
        <f>IF(D1685="","",N(AG1684)+IF(MATCH(D1685,$D$2:$D$3001,0)=ROW()-1,1,0))</f>
        <v/>
      </c>
    </row>
    <row r="1686">
      <c r="Y1686" s="5">
        <f>IF(D1686="","",X1686*IF(AND(ISNUMBER(AC1686),AC1686&gt;0,AC1686&lt;1),AC1686*100,AC1686)/100)</f>
        <v/>
      </c>
      <c r="Z1686" s="5">
        <f>IF(D1686="","",AB1686*AA1686/100)</f>
        <v/>
      </c>
      <c r="AA1686" s="5">
        <f>IF(D1686="","",X1686-Y1686)</f>
        <v/>
      </c>
      <c r="AD1686" s="5">
        <f>IF(D1686="","",AA1686-Z1686)</f>
        <v/>
      </c>
      <c r="AG1686">
        <f>IF(D1686="","",N(AG1685)+IF(MATCH(D1686,$D$2:$D$3001,0)=ROW()-1,1,0))</f>
        <v/>
      </c>
    </row>
    <row r="1687">
      <c r="Y1687" s="5">
        <f>IF(D1687="","",X1687*IF(AND(ISNUMBER(AC1687),AC1687&gt;0,AC1687&lt;1),AC1687*100,AC1687)/100)</f>
        <v/>
      </c>
      <c r="Z1687" s="5">
        <f>IF(D1687="","",AB1687*AA1687/100)</f>
        <v/>
      </c>
      <c r="AA1687" s="5">
        <f>IF(D1687="","",X1687-Y1687)</f>
        <v/>
      </c>
      <c r="AD1687" s="5">
        <f>IF(D1687="","",AA1687-Z1687)</f>
        <v/>
      </c>
      <c r="AG1687">
        <f>IF(D1687="","",N(AG1686)+IF(MATCH(D1687,$D$2:$D$3001,0)=ROW()-1,1,0))</f>
        <v/>
      </c>
    </row>
    <row r="1688">
      <c r="Y1688" s="5">
        <f>IF(D1688="","",X1688*IF(AND(ISNUMBER(AC1688),AC1688&gt;0,AC1688&lt;1),AC1688*100,AC1688)/100)</f>
        <v/>
      </c>
      <c r="Z1688" s="5">
        <f>IF(D1688="","",AB1688*AA1688/100)</f>
        <v/>
      </c>
      <c r="AA1688" s="5">
        <f>IF(D1688="","",X1688-Y1688)</f>
        <v/>
      </c>
      <c r="AD1688" s="5">
        <f>IF(D1688="","",AA1688-Z1688)</f>
        <v/>
      </c>
      <c r="AG1688">
        <f>IF(D1688="","",N(AG1687)+IF(MATCH(D1688,$D$2:$D$3001,0)=ROW()-1,1,0))</f>
        <v/>
      </c>
    </row>
    <row r="1689">
      <c r="Y1689" s="5">
        <f>IF(D1689="","",X1689*IF(AND(ISNUMBER(AC1689),AC1689&gt;0,AC1689&lt;1),AC1689*100,AC1689)/100)</f>
        <v/>
      </c>
      <c r="Z1689" s="5">
        <f>IF(D1689="","",AB1689*AA1689/100)</f>
        <v/>
      </c>
      <c r="AA1689" s="5">
        <f>IF(D1689="","",X1689-Y1689)</f>
        <v/>
      </c>
      <c r="AD1689" s="5">
        <f>IF(D1689="","",AA1689-Z1689)</f>
        <v/>
      </c>
      <c r="AG1689">
        <f>IF(D1689="","",N(AG1688)+IF(MATCH(D1689,$D$2:$D$3001,0)=ROW()-1,1,0))</f>
        <v/>
      </c>
    </row>
    <row r="1690">
      <c r="Y1690" s="5">
        <f>IF(D1690="","",X1690*IF(AND(ISNUMBER(AC1690),AC1690&gt;0,AC1690&lt;1),AC1690*100,AC1690)/100)</f>
        <v/>
      </c>
      <c r="Z1690" s="5">
        <f>IF(D1690="","",AB1690*AA1690/100)</f>
        <v/>
      </c>
      <c r="AA1690" s="5">
        <f>IF(D1690="","",X1690-Y1690)</f>
        <v/>
      </c>
      <c r="AD1690" s="5">
        <f>IF(D1690="","",AA1690-Z1690)</f>
        <v/>
      </c>
      <c r="AG1690">
        <f>IF(D1690="","",N(AG1689)+IF(MATCH(D1690,$D$2:$D$3001,0)=ROW()-1,1,0))</f>
        <v/>
      </c>
    </row>
    <row r="1691">
      <c r="Y1691" s="5">
        <f>IF(D1691="","",X1691*IF(AND(ISNUMBER(AC1691),AC1691&gt;0,AC1691&lt;1),AC1691*100,AC1691)/100)</f>
        <v/>
      </c>
      <c r="Z1691" s="5">
        <f>IF(D1691="","",AB1691*AA1691/100)</f>
        <v/>
      </c>
      <c r="AA1691" s="5">
        <f>IF(D1691="","",X1691-Y1691)</f>
        <v/>
      </c>
      <c r="AD1691" s="5">
        <f>IF(D1691="","",AA1691-Z1691)</f>
        <v/>
      </c>
      <c r="AG1691">
        <f>IF(D1691="","",N(AG1690)+IF(MATCH(D1691,$D$2:$D$3001,0)=ROW()-1,1,0))</f>
        <v/>
      </c>
    </row>
    <row r="1692">
      <c r="Y1692" s="5">
        <f>IF(D1692="","",X1692*IF(AND(ISNUMBER(AC1692),AC1692&gt;0,AC1692&lt;1),AC1692*100,AC1692)/100)</f>
        <v/>
      </c>
      <c r="Z1692" s="5">
        <f>IF(D1692="","",AB1692*AA1692/100)</f>
        <v/>
      </c>
      <c r="AA1692" s="5">
        <f>IF(D1692="","",X1692-Y1692)</f>
        <v/>
      </c>
      <c r="AD1692" s="5">
        <f>IF(D1692="","",AA1692-Z1692)</f>
        <v/>
      </c>
      <c r="AG1692">
        <f>IF(D1692="","",N(AG1691)+IF(MATCH(D1692,$D$2:$D$3001,0)=ROW()-1,1,0))</f>
        <v/>
      </c>
    </row>
    <row r="1693">
      <c r="Y1693" s="5">
        <f>IF(D1693="","",X1693*IF(AND(ISNUMBER(AC1693),AC1693&gt;0,AC1693&lt;1),AC1693*100,AC1693)/100)</f>
        <v/>
      </c>
      <c r="Z1693" s="5">
        <f>IF(D1693="","",AB1693*AA1693/100)</f>
        <v/>
      </c>
      <c r="AA1693" s="5">
        <f>IF(D1693="","",X1693-Y1693)</f>
        <v/>
      </c>
      <c r="AD1693" s="5">
        <f>IF(D1693="","",AA1693-Z1693)</f>
        <v/>
      </c>
      <c r="AG1693">
        <f>IF(D1693="","",N(AG1692)+IF(MATCH(D1693,$D$2:$D$3001,0)=ROW()-1,1,0))</f>
        <v/>
      </c>
    </row>
    <row r="1694">
      <c r="Y1694" s="5">
        <f>IF(D1694="","",X1694*IF(AND(ISNUMBER(AC1694),AC1694&gt;0,AC1694&lt;1),AC1694*100,AC1694)/100)</f>
        <v/>
      </c>
      <c r="Z1694" s="5">
        <f>IF(D1694="","",AB1694*AA1694/100)</f>
        <v/>
      </c>
      <c r="AA1694" s="5">
        <f>IF(D1694="","",X1694-Y1694)</f>
        <v/>
      </c>
      <c r="AD1694" s="5">
        <f>IF(D1694="","",AA1694-Z1694)</f>
        <v/>
      </c>
      <c r="AG1694">
        <f>IF(D1694="","",N(AG1693)+IF(MATCH(D1694,$D$2:$D$3001,0)=ROW()-1,1,0))</f>
        <v/>
      </c>
    </row>
    <row r="1695">
      <c r="Y1695" s="5">
        <f>IF(D1695="","",X1695*IF(AND(ISNUMBER(AC1695),AC1695&gt;0,AC1695&lt;1),AC1695*100,AC1695)/100)</f>
        <v/>
      </c>
      <c r="Z1695" s="5">
        <f>IF(D1695="","",AB1695*AA1695/100)</f>
        <v/>
      </c>
      <c r="AA1695" s="5">
        <f>IF(D1695="","",X1695-Y1695)</f>
        <v/>
      </c>
      <c r="AD1695" s="5">
        <f>IF(D1695="","",AA1695-Z1695)</f>
        <v/>
      </c>
      <c r="AG1695">
        <f>IF(D1695="","",N(AG1694)+IF(MATCH(D1695,$D$2:$D$3001,0)=ROW()-1,1,0))</f>
        <v/>
      </c>
    </row>
    <row r="1696">
      <c r="Y1696" s="5">
        <f>IF(D1696="","",X1696*IF(AND(ISNUMBER(AC1696),AC1696&gt;0,AC1696&lt;1),AC1696*100,AC1696)/100)</f>
        <v/>
      </c>
      <c r="Z1696" s="5">
        <f>IF(D1696="","",AB1696*AA1696/100)</f>
        <v/>
      </c>
      <c r="AA1696" s="5">
        <f>IF(D1696="","",X1696-Y1696)</f>
        <v/>
      </c>
      <c r="AD1696" s="5">
        <f>IF(D1696="","",AA1696-Z1696)</f>
        <v/>
      </c>
      <c r="AG1696">
        <f>IF(D1696="","",N(AG1695)+IF(MATCH(D1696,$D$2:$D$3001,0)=ROW()-1,1,0))</f>
        <v/>
      </c>
    </row>
    <row r="1697">
      <c r="Y1697" s="5">
        <f>IF(D1697="","",X1697*IF(AND(ISNUMBER(AC1697),AC1697&gt;0,AC1697&lt;1),AC1697*100,AC1697)/100)</f>
        <v/>
      </c>
      <c r="Z1697" s="5">
        <f>IF(D1697="","",AB1697*AA1697/100)</f>
        <v/>
      </c>
      <c r="AA1697" s="5">
        <f>IF(D1697="","",X1697-Y1697)</f>
        <v/>
      </c>
      <c r="AD1697" s="5">
        <f>IF(D1697="","",AA1697-Z1697)</f>
        <v/>
      </c>
      <c r="AG1697">
        <f>IF(D1697="","",N(AG1696)+IF(MATCH(D1697,$D$2:$D$3001,0)=ROW()-1,1,0))</f>
        <v/>
      </c>
    </row>
    <row r="1698">
      <c r="Y1698" s="5">
        <f>IF(D1698="","",X1698*IF(AND(ISNUMBER(AC1698),AC1698&gt;0,AC1698&lt;1),AC1698*100,AC1698)/100)</f>
        <v/>
      </c>
      <c r="Z1698" s="5">
        <f>IF(D1698="","",AB1698*AA1698/100)</f>
        <v/>
      </c>
      <c r="AA1698" s="5">
        <f>IF(D1698="","",X1698-Y1698)</f>
        <v/>
      </c>
      <c r="AD1698" s="5">
        <f>IF(D1698="","",AA1698-Z1698)</f>
        <v/>
      </c>
      <c r="AG1698">
        <f>IF(D1698="","",N(AG1697)+IF(MATCH(D1698,$D$2:$D$3001,0)=ROW()-1,1,0))</f>
        <v/>
      </c>
    </row>
    <row r="1699">
      <c r="Y1699" s="5">
        <f>IF(D1699="","",X1699*IF(AND(ISNUMBER(AC1699),AC1699&gt;0,AC1699&lt;1),AC1699*100,AC1699)/100)</f>
        <v/>
      </c>
      <c r="Z1699" s="5">
        <f>IF(D1699="","",AB1699*AA1699/100)</f>
        <v/>
      </c>
      <c r="AA1699" s="5">
        <f>IF(D1699="","",X1699-Y1699)</f>
        <v/>
      </c>
      <c r="AD1699" s="5">
        <f>IF(D1699="","",AA1699-Z1699)</f>
        <v/>
      </c>
      <c r="AG1699">
        <f>IF(D1699="","",N(AG1698)+IF(MATCH(D1699,$D$2:$D$3001,0)=ROW()-1,1,0))</f>
        <v/>
      </c>
    </row>
    <row r="1700">
      <c r="Y1700" s="5">
        <f>IF(D1700="","",X1700*IF(AND(ISNUMBER(AC1700),AC1700&gt;0,AC1700&lt;1),AC1700*100,AC1700)/100)</f>
        <v/>
      </c>
      <c r="Z1700" s="5">
        <f>IF(D1700="","",AB1700*AA1700/100)</f>
        <v/>
      </c>
      <c r="AA1700" s="5">
        <f>IF(D1700="","",X1700-Y1700)</f>
        <v/>
      </c>
      <c r="AD1700" s="5">
        <f>IF(D1700="","",AA1700-Z1700)</f>
        <v/>
      </c>
      <c r="AG1700">
        <f>IF(D1700="","",N(AG1699)+IF(MATCH(D1700,$D$2:$D$3001,0)=ROW()-1,1,0))</f>
        <v/>
      </c>
    </row>
    <row r="1701">
      <c r="Y1701" s="5">
        <f>IF(D1701="","",X1701*IF(AND(ISNUMBER(AC1701),AC1701&gt;0,AC1701&lt;1),AC1701*100,AC1701)/100)</f>
        <v/>
      </c>
      <c r="Z1701" s="5">
        <f>IF(D1701="","",AB1701*AA1701/100)</f>
        <v/>
      </c>
      <c r="AA1701" s="5">
        <f>IF(D1701="","",X1701-Y1701)</f>
        <v/>
      </c>
      <c r="AD1701" s="5">
        <f>IF(D1701="","",AA1701-Z1701)</f>
        <v/>
      </c>
      <c r="AG1701">
        <f>IF(D1701="","",N(AG1700)+IF(MATCH(D1701,$D$2:$D$3001,0)=ROW()-1,1,0))</f>
        <v/>
      </c>
    </row>
    <row r="1702">
      <c r="Y1702" s="5">
        <f>IF(D1702="","",X1702*IF(AND(ISNUMBER(AC1702),AC1702&gt;0,AC1702&lt;1),AC1702*100,AC1702)/100)</f>
        <v/>
      </c>
      <c r="Z1702" s="5">
        <f>IF(D1702="","",AB1702*AA1702/100)</f>
        <v/>
      </c>
      <c r="AA1702" s="5">
        <f>IF(D1702="","",X1702-Y1702)</f>
        <v/>
      </c>
      <c r="AD1702" s="5">
        <f>IF(D1702="","",AA1702-Z1702)</f>
        <v/>
      </c>
      <c r="AG1702">
        <f>IF(D1702="","",N(AG1701)+IF(MATCH(D1702,$D$2:$D$3001,0)=ROW()-1,1,0))</f>
        <v/>
      </c>
    </row>
    <row r="1703">
      <c r="Y1703" s="5">
        <f>IF(D1703="","",X1703*IF(AND(ISNUMBER(AC1703),AC1703&gt;0,AC1703&lt;1),AC1703*100,AC1703)/100)</f>
        <v/>
      </c>
      <c r="Z1703" s="5">
        <f>IF(D1703="","",AB1703*AA1703/100)</f>
        <v/>
      </c>
      <c r="AA1703" s="5">
        <f>IF(D1703="","",X1703-Y1703)</f>
        <v/>
      </c>
      <c r="AD1703" s="5">
        <f>IF(D1703="","",AA1703-Z1703)</f>
        <v/>
      </c>
      <c r="AG1703">
        <f>IF(D1703="","",N(AG1702)+IF(MATCH(D1703,$D$2:$D$3001,0)=ROW()-1,1,0))</f>
        <v/>
      </c>
    </row>
    <row r="1704">
      <c r="Y1704" s="5">
        <f>IF(D1704="","",X1704*IF(AND(ISNUMBER(AC1704),AC1704&gt;0,AC1704&lt;1),AC1704*100,AC1704)/100)</f>
        <v/>
      </c>
      <c r="Z1704" s="5">
        <f>IF(D1704="","",AB1704*AA1704/100)</f>
        <v/>
      </c>
      <c r="AA1704" s="5">
        <f>IF(D1704="","",X1704-Y1704)</f>
        <v/>
      </c>
      <c r="AD1704" s="5">
        <f>IF(D1704="","",AA1704-Z1704)</f>
        <v/>
      </c>
      <c r="AG1704">
        <f>IF(D1704="","",N(AG1703)+IF(MATCH(D1704,$D$2:$D$3001,0)=ROW()-1,1,0))</f>
        <v/>
      </c>
    </row>
    <row r="1705">
      <c r="Y1705" s="5">
        <f>IF(D1705="","",X1705*IF(AND(ISNUMBER(AC1705),AC1705&gt;0,AC1705&lt;1),AC1705*100,AC1705)/100)</f>
        <v/>
      </c>
      <c r="Z1705" s="5">
        <f>IF(D1705="","",AB1705*AA1705/100)</f>
        <v/>
      </c>
      <c r="AA1705" s="5">
        <f>IF(D1705="","",X1705-Y1705)</f>
        <v/>
      </c>
      <c r="AD1705" s="5">
        <f>IF(D1705="","",AA1705-Z1705)</f>
        <v/>
      </c>
      <c r="AG1705">
        <f>IF(D1705="","",N(AG1704)+IF(MATCH(D1705,$D$2:$D$3001,0)=ROW()-1,1,0))</f>
        <v/>
      </c>
    </row>
    <row r="1706">
      <c r="Y1706" s="5">
        <f>IF(D1706="","",X1706*IF(AND(ISNUMBER(AC1706),AC1706&gt;0,AC1706&lt;1),AC1706*100,AC1706)/100)</f>
        <v/>
      </c>
      <c r="Z1706" s="5">
        <f>IF(D1706="","",AB1706*AA1706/100)</f>
        <v/>
      </c>
      <c r="AA1706" s="5">
        <f>IF(D1706="","",X1706-Y1706)</f>
        <v/>
      </c>
      <c r="AD1706" s="5">
        <f>IF(D1706="","",AA1706-Z1706)</f>
        <v/>
      </c>
      <c r="AG1706">
        <f>IF(D1706="","",N(AG1705)+IF(MATCH(D1706,$D$2:$D$3001,0)=ROW()-1,1,0))</f>
        <v/>
      </c>
    </row>
    <row r="1707">
      <c r="Y1707" s="5">
        <f>IF(D1707="","",X1707*IF(AND(ISNUMBER(AC1707),AC1707&gt;0,AC1707&lt;1),AC1707*100,AC1707)/100)</f>
        <v/>
      </c>
      <c r="Z1707" s="5">
        <f>IF(D1707="","",AB1707*AA1707/100)</f>
        <v/>
      </c>
      <c r="AA1707" s="5">
        <f>IF(D1707="","",X1707-Y1707)</f>
        <v/>
      </c>
      <c r="AD1707" s="5">
        <f>IF(D1707="","",AA1707-Z1707)</f>
        <v/>
      </c>
      <c r="AG1707">
        <f>IF(D1707="","",N(AG1706)+IF(MATCH(D1707,$D$2:$D$3001,0)=ROW()-1,1,0))</f>
        <v/>
      </c>
    </row>
    <row r="1708">
      <c r="Y1708" s="5">
        <f>IF(D1708="","",X1708*IF(AND(ISNUMBER(AC1708),AC1708&gt;0,AC1708&lt;1),AC1708*100,AC1708)/100)</f>
        <v/>
      </c>
      <c r="Z1708" s="5">
        <f>IF(D1708="","",AB1708*AA1708/100)</f>
        <v/>
      </c>
      <c r="AA1708" s="5">
        <f>IF(D1708="","",X1708-Y1708)</f>
        <v/>
      </c>
      <c r="AD1708" s="5">
        <f>IF(D1708="","",AA1708-Z1708)</f>
        <v/>
      </c>
      <c r="AG1708">
        <f>IF(D1708="","",N(AG1707)+IF(MATCH(D1708,$D$2:$D$3001,0)=ROW()-1,1,0))</f>
        <v/>
      </c>
    </row>
    <row r="1709">
      <c r="Y1709" s="5">
        <f>IF(D1709="","",X1709*IF(AND(ISNUMBER(AC1709),AC1709&gt;0,AC1709&lt;1),AC1709*100,AC1709)/100)</f>
        <v/>
      </c>
      <c r="Z1709" s="5">
        <f>IF(D1709="","",AB1709*AA1709/100)</f>
        <v/>
      </c>
      <c r="AA1709" s="5">
        <f>IF(D1709="","",X1709-Y1709)</f>
        <v/>
      </c>
      <c r="AD1709" s="5">
        <f>IF(D1709="","",AA1709-Z1709)</f>
        <v/>
      </c>
      <c r="AG1709">
        <f>IF(D1709="","",N(AG1708)+IF(MATCH(D1709,$D$2:$D$3001,0)=ROW()-1,1,0))</f>
        <v/>
      </c>
    </row>
    <row r="1710">
      <c r="Y1710" s="5">
        <f>IF(D1710="","",X1710*IF(AND(ISNUMBER(AC1710),AC1710&gt;0,AC1710&lt;1),AC1710*100,AC1710)/100)</f>
        <v/>
      </c>
      <c r="Z1710" s="5">
        <f>IF(D1710="","",AB1710*AA1710/100)</f>
        <v/>
      </c>
      <c r="AA1710" s="5">
        <f>IF(D1710="","",X1710-Y1710)</f>
        <v/>
      </c>
      <c r="AD1710" s="5">
        <f>IF(D1710="","",AA1710-Z1710)</f>
        <v/>
      </c>
      <c r="AG1710">
        <f>IF(D1710="","",N(AG1709)+IF(MATCH(D1710,$D$2:$D$3001,0)=ROW()-1,1,0))</f>
        <v/>
      </c>
    </row>
    <row r="1711">
      <c r="Y1711" s="5">
        <f>IF(D1711="","",X1711*IF(AND(ISNUMBER(AC1711),AC1711&gt;0,AC1711&lt;1),AC1711*100,AC1711)/100)</f>
        <v/>
      </c>
      <c r="Z1711" s="5">
        <f>IF(D1711="","",AB1711*AA1711/100)</f>
        <v/>
      </c>
      <c r="AA1711" s="5">
        <f>IF(D1711="","",X1711-Y1711)</f>
        <v/>
      </c>
      <c r="AD1711" s="5">
        <f>IF(D1711="","",AA1711-Z1711)</f>
        <v/>
      </c>
      <c r="AG1711">
        <f>IF(D1711="","",N(AG1710)+IF(MATCH(D1711,$D$2:$D$3001,0)=ROW()-1,1,0))</f>
        <v/>
      </c>
    </row>
    <row r="1712">
      <c r="Y1712" s="5">
        <f>IF(D1712="","",X1712*IF(AND(ISNUMBER(AC1712),AC1712&gt;0,AC1712&lt;1),AC1712*100,AC1712)/100)</f>
        <v/>
      </c>
      <c r="Z1712" s="5">
        <f>IF(D1712="","",AB1712*AA1712/100)</f>
        <v/>
      </c>
      <c r="AA1712" s="5">
        <f>IF(D1712="","",X1712-Y1712)</f>
        <v/>
      </c>
      <c r="AD1712" s="5">
        <f>IF(D1712="","",AA1712-Z1712)</f>
        <v/>
      </c>
      <c r="AG1712">
        <f>IF(D1712="","",N(AG1711)+IF(MATCH(D1712,$D$2:$D$3001,0)=ROW()-1,1,0))</f>
        <v/>
      </c>
    </row>
    <row r="1713">
      <c r="Y1713" s="5">
        <f>IF(D1713="","",X1713*IF(AND(ISNUMBER(AC1713),AC1713&gt;0,AC1713&lt;1),AC1713*100,AC1713)/100)</f>
        <v/>
      </c>
      <c r="Z1713" s="5">
        <f>IF(D1713="","",AB1713*AA1713/100)</f>
        <v/>
      </c>
      <c r="AA1713" s="5">
        <f>IF(D1713="","",X1713-Y1713)</f>
        <v/>
      </c>
      <c r="AD1713" s="5">
        <f>IF(D1713="","",AA1713-Z1713)</f>
        <v/>
      </c>
      <c r="AG1713">
        <f>IF(D1713="","",N(AG1712)+IF(MATCH(D1713,$D$2:$D$3001,0)=ROW()-1,1,0))</f>
        <v/>
      </c>
    </row>
    <row r="1714">
      <c r="Y1714" s="5">
        <f>IF(D1714="","",X1714*IF(AND(ISNUMBER(AC1714),AC1714&gt;0,AC1714&lt;1),AC1714*100,AC1714)/100)</f>
        <v/>
      </c>
      <c r="Z1714" s="5">
        <f>IF(D1714="","",AB1714*AA1714/100)</f>
        <v/>
      </c>
      <c r="AA1714" s="5">
        <f>IF(D1714="","",X1714-Y1714)</f>
        <v/>
      </c>
      <c r="AD1714" s="5">
        <f>IF(D1714="","",AA1714-Z1714)</f>
        <v/>
      </c>
      <c r="AG1714">
        <f>IF(D1714="","",N(AG1713)+IF(MATCH(D1714,$D$2:$D$3001,0)=ROW()-1,1,0))</f>
        <v/>
      </c>
    </row>
    <row r="1715">
      <c r="Y1715" s="5">
        <f>IF(D1715="","",X1715*IF(AND(ISNUMBER(AC1715),AC1715&gt;0,AC1715&lt;1),AC1715*100,AC1715)/100)</f>
        <v/>
      </c>
      <c r="Z1715" s="5">
        <f>IF(D1715="","",AB1715*AA1715/100)</f>
        <v/>
      </c>
      <c r="AA1715" s="5">
        <f>IF(D1715="","",X1715-Y1715)</f>
        <v/>
      </c>
      <c r="AD1715" s="5">
        <f>IF(D1715="","",AA1715-Z1715)</f>
        <v/>
      </c>
      <c r="AG1715">
        <f>IF(D1715="","",N(AG1714)+IF(MATCH(D1715,$D$2:$D$3001,0)=ROW()-1,1,0))</f>
        <v/>
      </c>
    </row>
    <row r="1716">
      <c r="Y1716" s="5">
        <f>IF(D1716="","",X1716*IF(AND(ISNUMBER(AC1716),AC1716&gt;0,AC1716&lt;1),AC1716*100,AC1716)/100)</f>
        <v/>
      </c>
      <c r="Z1716" s="5">
        <f>IF(D1716="","",AB1716*AA1716/100)</f>
        <v/>
      </c>
      <c r="AA1716" s="5">
        <f>IF(D1716="","",X1716-Y1716)</f>
        <v/>
      </c>
      <c r="AD1716" s="5">
        <f>IF(D1716="","",AA1716-Z1716)</f>
        <v/>
      </c>
      <c r="AG1716">
        <f>IF(D1716="","",N(AG1715)+IF(MATCH(D1716,$D$2:$D$3001,0)=ROW()-1,1,0))</f>
        <v/>
      </c>
    </row>
    <row r="1717">
      <c r="Y1717" s="5">
        <f>IF(D1717="","",X1717*IF(AND(ISNUMBER(AC1717),AC1717&gt;0,AC1717&lt;1),AC1717*100,AC1717)/100)</f>
        <v/>
      </c>
      <c r="Z1717" s="5">
        <f>IF(D1717="","",AB1717*AA1717/100)</f>
        <v/>
      </c>
      <c r="AA1717" s="5">
        <f>IF(D1717="","",X1717-Y1717)</f>
        <v/>
      </c>
      <c r="AD1717" s="5">
        <f>IF(D1717="","",AA1717-Z1717)</f>
        <v/>
      </c>
      <c r="AG1717">
        <f>IF(D1717="","",N(AG1716)+IF(MATCH(D1717,$D$2:$D$3001,0)=ROW()-1,1,0))</f>
        <v/>
      </c>
    </row>
    <row r="1718">
      <c r="Y1718" s="5">
        <f>IF(D1718="","",X1718*IF(AND(ISNUMBER(AC1718),AC1718&gt;0,AC1718&lt;1),AC1718*100,AC1718)/100)</f>
        <v/>
      </c>
      <c r="Z1718" s="5">
        <f>IF(D1718="","",AB1718*AA1718/100)</f>
        <v/>
      </c>
      <c r="AA1718" s="5">
        <f>IF(D1718="","",X1718-Y1718)</f>
        <v/>
      </c>
      <c r="AD1718" s="5">
        <f>IF(D1718="","",AA1718-Z1718)</f>
        <v/>
      </c>
      <c r="AG1718">
        <f>IF(D1718="","",N(AG1717)+IF(MATCH(D1718,$D$2:$D$3001,0)=ROW()-1,1,0))</f>
        <v/>
      </c>
    </row>
    <row r="1719">
      <c r="Y1719" s="5">
        <f>IF(D1719="","",X1719*IF(AND(ISNUMBER(AC1719),AC1719&gt;0,AC1719&lt;1),AC1719*100,AC1719)/100)</f>
        <v/>
      </c>
      <c r="Z1719" s="5">
        <f>IF(D1719="","",AB1719*AA1719/100)</f>
        <v/>
      </c>
      <c r="AA1719" s="5">
        <f>IF(D1719="","",X1719-Y1719)</f>
        <v/>
      </c>
      <c r="AD1719" s="5">
        <f>IF(D1719="","",AA1719-Z1719)</f>
        <v/>
      </c>
      <c r="AG1719">
        <f>IF(D1719="","",N(AG1718)+IF(MATCH(D1719,$D$2:$D$3001,0)=ROW()-1,1,0))</f>
        <v/>
      </c>
    </row>
    <row r="1720">
      <c r="Y1720" s="5">
        <f>IF(D1720="","",X1720*IF(AND(ISNUMBER(AC1720),AC1720&gt;0,AC1720&lt;1),AC1720*100,AC1720)/100)</f>
        <v/>
      </c>
      <c r="Z1720" s="5">
        <f>IF(D1720="","",AB1720*AA1720/100)</f>
        <v/>
      </c>
      <c r="AA1720" s="5">
        <f>IF(D1720="","",X1720-Y1720)</f>
        <v/>
      </c>
      <c r="AD1720" s="5">
        <f>IF(D1720="","",AA1720-Z1720)</f>
        <v/>
      </c>
      <c r="AG1720">
        <f>IF(D1720="","",N(AG1719)+IF(MATCH(D1720,$D$2:$D$3001,0)=ROW()-1,1,0))</f>
        <v/>
      </c>
    </row>
    <row r="1721">
      <c r="Y1721" s="5">
        <f>IF(D1721="","",X1721*IF(AND(ISNUMBER(AC1721),AC1721&gt;0,AC1721&lt;1),AC1721*100,AC1721)/100)</f>
        <v/>
      </c>
      <c r="Z1721" s="5">
        <f>IF(D1721="","",AB1721*AA1721/100)</f>
        <v/>
      </c>
      <c r="AA1721" s="5">
        <f>IF(D1721="","",X1721-Y1721)</f>
        <v/>
      </c>
      <c r="AD1721" s="5">
        <f>IF(D1721="","",AA1721-Z1721)</f>
        <v/>
      </c>
      <c r="AG1721">
        <f>IF(D1721="","",N(AG1720)+IF(MATCH(D1721,$D$2:$D$3001,0)=ROW()-1,1,0))</f>
        <v/>
      </c>
    </row>
    <row r="1722">
      <c r="Y1722" s="5">
        <f>IF(D1722="","",X1722*IF(AND(ISNUMBER(AC1722),AC1722&gt;0,AC1722&lt;1),AC1722*100,AC1722)/100)</f>
        <v/>
      </c>
      <c r="Z1722" s="5">
        <f>IF(D1722="","",AB1722*AA1722/100)</f>
        <v/>
      </c>
      <c r="AA1722" s="5">
        <f>IF(D1722="","",X1722-Y1722)</f>
        <v/>
      </c>
      <c r="AD1722" s="5">
        <f>IF(D1722="","",AA1722-Z1722)</f>
        <v/>
      </c>
      <c r="AG1722">
        <f>IF(D1722="","",N(AG1721)+IF(MATCH(D1722,$D$2:$D$3001,0)=ROW()-1,1,0))</f>
        <v/>
      </c>
    </row>
    <row r="1723">
      <c r="Y1723" s="5">
        <f>IF(D1723="","",X1723*IF(AND(ISNUMBER(AC1723),AC1723&gt;0,AC1723&lt;1),AC1723*100,AC1723)/100)</f>
        <v/>
      </c>
      <c r="Z1723" s="5">
        <f>IF(D1723="","",AB1723*AA1723/100)</f>
        <v/>
      </c>
      <c r="AA1723" s="5">
        <f>IF(D1723="","",X1723-Y1723)</f>
        <v/>
      </c>
      <c r="AD1723" s="5">
        <f>IF(D1723="","",AA1723-Z1723)</f>
        <v/>
      </c>
      <c r="AG1723">
        <f>IF(D1723="","",N(AG1722)+IF(MATCH(D1723,$D$2:$D$3001,0)=ROW()-1,1,0))</f>
        <v/>
      </c>
    </row>
    <row r="1724">
      <c r="Y1724" s="5">
        <f>IF(D1724="","",X1724*IF(AND(ISNUMBER(AC1724),AC1724&gt;0,AC1724&lt;1),AC1724*100,AC1724)/100)</f>
        <v/>
      </c>
      <c r="Z1724" s="5">
        <f>IF(D1724="","",AB1724*AA1724/100)</f>
        <v/>
      </c>
      <c r="AA1724" s="5">
        <f>IF(D1724="","",X1724-Y1724)</f>
        <v/>
      </c>
      <c r="AD1724" s="5">
        <f>IF(D1724="","",AA1724-Z1724)</f>
        <v/>
      </c>
      <c r="AG1724">
        <f>IF(D1724="","",N(AG1723)+IF(MATCH(D1724,$D$2:$D$3001,0)=ROW()-1,1,0))</f>
        <v/>
      </c>
    </row>
    <row r="1725">
      <c r="Y1725" s="5">
        <f>IF(D1725="","",X1725*IF(AND(ISNUMBER(AC1725),AC1725&gt;0,AC1725&lt;1),AC1725*100,AC1725)/100)</f>
        <v/>
      </c>
      <c r="Z1725" s="5">
        <f>IF(D1725="","",AB1725*AA1725/100)</f>
        <v/>
      </c>
      <c r="AA1725" s="5">
        <f>IF(D1725="","",X1725-Y1725)</f>
        <v/>
      </c>
      <c r="AD1725" s="5">
        <f>IF(D1725="","",AA1725-Z1725)</f>
        <v/>
      </c>
      <c r="AG1725">
        <f>IF(D1725="","",N(AG1724)+IF(MATCH(D1725,$D$2:$D$3001,0)=ROW()-1,1,0))</f>
        <v/>
      </c>
    </row>
    <row r="1726">
      <c r="Y1726" s="5">
        <f>IF(D1726="","",X1726*IF(AND(ISNUMBER(AC1726),AC1726&gt;0,AC1726&lt;1),AC1726*100,AC1726)/100)</f>
        <v/>
      </c>
      <c r="Z1726" s="5">
        <f>IF(D1726="","",AB1726*AA1726/100)</f>
        <v/>
      </c>
      <c r="AA1726" s="5">
        <f>IF(D1726="","",X1726-Y1726)</f>
        <v/>
      </c>
      <c r="AD1726" s="5">
        <f>IF(D1726="","",AA1726-Z1726)</f>
        <v/>
      </c>
      <c r="AG1726">
        <f>IF(D1726="","",N(AG1725)+IF(MATCH(D1726,$D$2:$D$3001,0)=ROW()-1,1,0))</f>
        <v/>
      </c>
    </row>
    <row r="1727">
      <c r="Y1727" s="5">
        <f>IF(D1727="","",X1727*IF(AND(ISNUMBER(AC1727),AC1727&gt;0,AC1727&lt;1),AC1727*100,AC1727)/100)</f>
        <v/>
      </c>
      <c r="Z1727" s="5">
        <f>IF(D1727="","",AB1727*AA1727/100)</f>
        <v/>
      </c>
      <c r="AA1727" s="5">
        <f>IF(D1727="","",X1727-Y1727)</f>
        <v/>
      </c>
      <c r="AD1727" s="5">
        <f>IF(D1727="","",AA1727-Z1727)</f>
        <v/>
      </c>
      <c r="AG1727">
        <f>IF(D1727="","",N(AG1726)+IF(MATCH(D1727,$D$2:$D$3001,0)=ROW()-1,1,0))</f>
        <v/>
      </c>
    </row>
    <row r="1728">
      <c r="Y1728" s="5">
        <f>IF(D1728="","",X1728*IF(AND(ISNUMBER(AC1728),AC1728&gt;0,AC1728&lt;1),AC1728*100,AC1728)/100)</f>
        <v/>
      </c>
      <c r="Z1728" s="5">
        <f>IF(D1728="","",AB1728*AA1728/100)</f>
        <v/>
      </c>
      <c r="AA1728" s="5">
        <f>IF(D1728="","",X1728-Y1728)</f>
        <v/>
      </c>
      <c r="AD1728" s="5">
        <f>IF(D1728="","",AA1728-Z1728)</f>
        <v/>
      </c>
      <c r="AG1728">
        <f>IF(D1728="","",N(AG1727)+IF(MATCH(D1728,$D$2:$D$3001,0)=ROW()-1,1,0))</f>
        <v/>
      </c>
    </row>
    <row r="1729">
      <c r="Y1729" s="5">
        <f>IF(D1729="","",X1729*IF(AND(ISNUMBER(AC1729),AC1729&gt;0,AC1729&lt;1),AC1729*100,AC1729)/100)</f>
        <v/>
      </c>
      <c r="Z1729" s="5">
        <f>IF(D1729="","",AB1729*AA1729/100)</f>
        <v/>
      </c>
      <c r="AA1729" s="5">
        <f>IF(D1729="","",X1729-Y1729)</f>
        <v/>
      </c>
      <c r="AD1729" s="5">
        <f>IF(D1729="","",AA1729-Z1729)</f>
        <v/>
      </c>
      <c r="AG1729">
        <f>IF(D1729="","",N(AG1728)+IF(MATCH(D1729,$D$2:$D$3001,0)=ROW()-1,1,0))</f>
        <v/>
      </c>
    </row>
    <row r="1730">
      <c r="Y1730" s="5">
        <f>IF(D1730="","",X1730*IF(AND(ISNUMBER(AC1730),AC1730&gt;0,AC1730&lt;1),AC1730*100,AC1730)/100)</f>
        <v/>
      </c>
      <c r="Z1730" s="5">
        <f>IF(D1730="","",AB1730*AA1730/100)</f>
        <v/>
      </c>
      <c r="AA1730" s="5">
        <f>IF(D1730="","",X1730-Y1730)</f>
        <v/>
      </c>
      <c r="AD1730" s="5">
        <f>IF(D1730="","",AA1730-Z1730)</f>
        <v/>
      </c>
      <c r="AG1730">
        <f>IF(D1730="","",N(AG1729)+IF(MATCH(D1730,$D$2:$D$3001,0)=ROW()-1,1,0))</f>
        <v/>
      </c>
    </row>
    <row r="1731">
      <c r="Y1731" s="5">
        <f>IF(D1731="","",X1731*IF(AND(ISNUMBER(AC1731),AC1731&gt;0,AC1731&lt;1),AC1731*100,AC1731)/100)</f>
        <v/>
      </c>
      <c r="Z1731" s="5">
        <f>IF(D1731="","",AB1731*AA1731/100)</f>
        <v/>
      </c>
      <c r="AA1731" s="5">
        <f>IF(D1731="","",X1731-Y1731)</f>
        <v/>
      </c>
      <c r="AD1731" s="5">
        <f>IF(D1731="","",AA1731-Z1731)</f>
        <v/>
      </c>
      <c r="AG1731">
        <f>IF(D1731="","",N(AG1730)+IF(MATCH(D1731,$D$2:$D$3001,0)=ROW()-1,1,0))</f>
        <v/>
      </c>
    </row>
    <row r="1732">
      <c r="Y1732" s="5">
        <f>IF(D1732="","",X1732*IF(AND(ISNUMBER(AC1732),AC1732&gt;0,AC1732&lt;1),AC1732*100,AC1732)/100)</f>
        <v/>
      </c>
      <c r="Z1732" s="5">
        <f>IF(D1732="","",AB1732*AA1732/100)</f>
        <v/>
      </c>
      <c r="AA1732" s="5">
        <f>IF(D1732="","",X1732-Y1732)</f>
        <v/>
      </c>
      <c r="AD1732" s="5">
        <f>IF(D1732="","",AA1732-Z1732)</f>
        <v/>
      </c>
      <c r="AG1732">
        <f>IF(D1732="","",N(AG1731)+IF(MATCH(D1732,$D$2:$D$3001,0)=ROW()-1,1,0))</f>
        <v/>
      </c>
    </row>
    <row r="1733">
      <c r="Y1733" s="5">
        <f>IF(D1733="","",X1733*IF(AND(ISNUMBER(AC1733),AC1733&gt;0,AC1733&lt;1),AC1733*100,AC1733)/100)</f>
        <v/>
      </c>
      <c r="Z1733" s="5">
        <f>IF(D1733="","",AB1733*AA1733/100)</f>
        <v/>
      </c>
      <c r="AA1733" s="5">
        <f>IF(D1733="","",X1733-Y1733)</f>
        <v/>
      </c>
      <c r="AD1733" s="5">
        <f>IF(D1733="","",AA1733-Z1733)</f>
        <v/>
      </c>
      <c r="AG1733">
        <f>IF(D1733="","",N(AG1732)+IF(MATCH(D1733,$D$2:$D$3001,0)=ROW()-1,1,0))</f>
        <v/>
      </c>
    </row>
    <row r="1734">
      <c r="Y1734" s="5">
        <f>IF(D1734="","",X1734*IF(AND(ISNUMBER(AC1734),AC1734&gt;0,AC1734&lt;1),AC1734*100,AC1734)/100)</f>
        <v/>
      </c>
      <c r="Z1734" s="5">
        <f>IF(D1734="","",AB1734*AA1734/100)</f>
        <v/>
      </c>
      <c r="AA1734" s="5">
        <f>IF(D1734="","",X1734-Y1734)</f>
        <v/>
      </c>
      <c r="AD1734" s="5">
        <f>IF(D1734="","",AA1734-Z1734)</f>
        <v/>
      </c>
      <c r="AG1734">
        <f>IF(D1734="","",N(AG1733)+IF(MATCH(D1734,$D$2:$D$3001,0)=ROW()-1,1,0))</f>
        <v/>
      </c>
    </row>
    <row r="1735">
      <c r="Y1735" s="5">
        <f>IF(D1735="","",X1735*IF(AND(ISNUMBER(AC1735),AC1735&gt;0,AC1735&lt;1),AC1735*100,AC1735)/100)</f>
        <v/>
      </c>
      <c r="Z1735" s="5">
        <f>IF(D1735="","",AB1735*AA1735/100)</f>
        <v/>
      </c>
      <c r="AA1735" s="5">
        <f>IF(D1735="","",X1735-Y1735)</f>
        <v/>
      </c>
      <c r="AD1735" s="5">
        <f>IF(D1735="","",AA1735-Z1735)</f>
        <v/>
      </c>
      <c r="AG1735">
        <f>IF(D1735="","",N(AG1734)+IF(MATCH(D1735,$D$2:$D$3001,0)=ROW()-1,1,0))</f>
        <v/>
      </c>
    </row>
    <row r="1736">
      <c r="Y1736" s="5">
        <f>IF(D1736="","",X1736*IF(AND(ISNUMBER(AC1736),AC1736&gt;0,AC1736&lt;1),AC1736*100,AC1736)/100)</f>
        <v/>
      </c>
      <c r="Z1736" s="5">
        <f>IF(D1736="","",AB1736*AA1736/100)</f>
        <v/>
      </c>
      <c r="AA1736" s="5">
        <f>IF(D1736="","",X1736-Y1736)</f>
        <v/>
      </c>
      <c r="AD1736" s="5">
        <f>IF(D1736="","",AA1736-Z1736)</f>
        <v/>
      </c>
      <c r="AG1736">
        <f>IF(D1736="","",N(AG1735)+IF(MATCH(D1736,$D$2:$D$3001,0)=ROW()-1,1,0))</f>
        <v/>
      </c>
    </row>
    <row r="1737">
      <c r="Y1737" s="5">
        <f>IF(D1737="","",X1737*IF(AND(ISNUMBER(AC1737),AC1737&gt;0,AC1737&lt;1),AC1737*100,AC1737)/100)</f>
        <v/>
      </c>
      <c r="Z1737" s="5">
        <f>IF(D1737="","",AB1737*AA1737/100)</f>
        <v/>
      </c>
      <c r="AA1737" s="5">
        <f>IF(D1737="","",X1737-Y1737)</f>
        <v/>
      </c>
      <c r="AD1737" s="5">
        <f>IF(D1737="","",AA1737-Z1737)</f>
        <v/>
      </c>
      <c r="AG1737">
        <f>IF(D1737="","",N(AG1736)+IF(MATCH(D1737,$D$2:$D$3001,0)=ROW()-1,1,0))</f>
        <v/>
      </c>
    </row>
    <row r="1738">
      <c r="Y1738" s="5">
        <f>IF(D1738="","",X1738*IF(AND(ISNUMBER(AC1738),AC1738&gt;0,AC1738&lt;1),AC1738*100,AC1738)/100)</f>
        <v/>
      </c>
      <c r="Z1738" s="5">
        <f>IF(D1738="","",AB1738*AA1738/100)</f>
        <v/>
      </c>
      <c r="AA1738" s="5">
        <f>IF(D1738="","",X1738-Y1738)</f>
        <v/>
      </c>
      <c r="AD1738" s="5">
        <f>IF(D1738="","",AA1738-Z1738)</f>
        <v/>
      </c>
      <c r="AG1738">
        <f>IF(D1738="","",N(AG1737)+IF(MATCH(D1738,$D$2:$D$3001,0)=ROW()-1,1,0))</f>
        <v/>
      </c>
    </row>
    <row r="1739">
      <c r="Y1739" s="5">
        <f>IF(D1739="","",X1739*IF(AND(ISNUMBER(AC1739),AC1739&gt;0,AC1739&lt;1),AC1739*100,AC1739)/100)</f>
        <v/>
      </c>
      <c r="Z1739" s="5">
        <f>IF(D1739="","",AB1739*AA1739/100)</f>
        <v/>
      </c>
      <c r="AA1739" s="5">
        <f>IF(D1739="","",X1739-Y1739)</f>
        <v/>
      </c>
      <c r="AD1739" s="5">
        <f>IF(D1739="","",AA1739-Z1739)</f>
        <v/>
      </c>
      <c r="AG1739">
        <f>IF(D1739="","",N(AG1738)+IF(MATCH(D1739,$D$2:$D$3001,0)=ROW()-1,1,0))</f>
        <v/>
      </c>
    </row>
    <row r="1740">
      <c r="Y1740" s="5">
        <f>IF(D1740="","",X1740*IF(AND(ISNUMBER(AC1740),AC1740&gt;0,AC1740&lt;1),AC1740*100,AC1740)/100)</f>
        <v/>
      </c>
      <c r="Z1740" s="5">
        <f>IF(D1740="","",AB1740*AA1740/100)</f>
        <v/>
      </c>
      <c r="AA1740" s="5">
        <f>IF(D1740="","",X1740-Y1740)</f>
        <v/>
      </c>
      <c r="AD1740" s="5">
        <f>IF(D1740="","",AA1740-Z1740)</f>
        <v/>
      </c>
      <c r="AG1740">
        <f>IF(D1740="","",N(AG1739)+IF(MATCH(D1740,$D$2:$D$3001,0)=ROW()-1,1,0))</f>
        <v/>
      </c>
    </row>
    <row r="1741">
      <c r="Y1741" s="5">
        <f>IF(D1741="","",X1741*IF(AND(ISNUMBER(AC1741),AC1741&gt;0,AC1741&lt;1),AC1741*100,AC1741)/100)</f>
        <v/>
      </c>
      <c r="Z1741" s="5">
        <f>IF(D1741="","",AB1741*AA1741/100)</f>
        <v/>
      </c>
      <c r="AA1741" s="5">
        <f>IF(D1741="","",X1741-Y1741)</f>
        <v/>
      </c>
      <c r="AD1741" s="5">
        <f>IF(D1741="","",AA1741-Z1741)</f>
        <v/>
      </c>
      <c r="AG1741">
        <f>IF(D1741="","",N(AG1740)+IF(MATCH(D1741,$D$2:$D$3001,0)=ROW()-1,1,0))</f>
        <v/>
      </c>
    </row>
    <row r="1742">
      <c r="Y1742" s="5">
        <f>IF(D1742="","",X1742*IF(AND(ISNUMBER(AC1742),AC1742&gt;0,AC1742&lt;1),AC1742*100,AC1742)/100)</f>
        <v/>
      </c>
      <c r="Z1742" s="5">
        <f>IF(D1742="","",AB1742*AA1742/100)</f>
        <v/>
      </c>
      <c r="AA1742" s="5">
        <f>IF(D1742="","",X1742-Y1742)</f>
        <v/>
      </c>
      <c r="AD1742" s="5">
        <f>IF(D1742="","",AA1742-Z1742)</f>
        <v/>
      </c>
      <c r="AG1742">
        <f>IF(D1742="","",N(AG1741)+IF(MATCH(D1742,$D$2:$D$3001,0)=ROW()-1,1,0))</f>
        <v/>
      </c>
    </row>
    <row r="1743">
      <c r="Y1743" s="5">
        <f>IF(D1743="","",X1743*IF(AND(ISNUMBER(AC1743),AC1743&gt;0,AC1743&lt;1),AC1743*100,AC1743)/100)</f>
        <v/>
      </c>
      <c r="Z1743" s="5">
        <f>IF(D1743="","",AB1743*AA1743/100)</f>
        <v/>
      </c>
      <c r="AA1743" s="5">
        <f>IF(D1743="","",X1743-Y1743)</f>
        <v/>
      </c>
      <c r="AD1743" s="5">
        <f>IF(D1743="","",AA1743-Z1743)</f>
        <v/>
      </c>
      <c r="AG1743">
        <f>IF(D1743="","",N(AG1742)+IF(MATCH(D1743,$D$2:$D$3001,0)=ROW()-1,1,0))</f>
        <v/>
      </c>
    </row>
    <row r="1744">
      <c r="Y1744" s="5">
        <f>IF(D1744="","",X1744*IF(AND(ISNUMBER(AC1744),AC1744&gt;0,AC1744&lt;1),AC1744*100,AC1744)/100)</f>
        <v/>
      </c>
      <c r="Z1744" s="5">
        <f>IF(D1744="","",AB1744*AA1744/100)</f>
        <v/>
      </c>
      <c r="AA1744" s="5">
        <f>IF(D1744="","",X1744-Y1744)</f>
        <v/>
      </c>
      <c r="AD1744" s="5">
        <f>IF(D1744="","",AA1744-Z1744)</f>
        <v/>
      </c>
      <c r="AG1744">
        <f>IF(D1744="","",N(AG1743)+IF(MATCH(D1744,$D$2:$D$3001,0)=ROW()-1,1,0))</f>
        <v/>
      </c>
    </row>
    <row r="1745">
      <c r="Y1745" s="5">
        <f>IF(D1745="","",X1745*IF(AND(ISNUMBER(AC1745),AC1745&gt;0,AC1745&lt;1),AC1745*100,AC1745)/100)</f>
        <v/>
      </c>
      <c r="Z1745" s="5">
        <f>IF(D1745="","",AB1745*AA1745/100)</f>
        <v/>
      </c>
      <c r="AA1745" s="5">
        <f>IF(D1745="","",X1745-Y1745)</f>
        <v/>
      </c>
      <c r="AD1745" s="5">
        <f>IF(D1745="","",AA1745-Z1745)</f>
        <v/>
      </c>
      <c r="AG1745">
        <f>IF(D1745="","",N(AG1744)+IF(MATCH(D1745,$D$2:$D$3001,0)=ROW()-1,1,0))</f>
        <v/>
      </c>
    </row>
    <row r="1746">
      <c r="Y1746" s="5">
        <f>IF(D1746="","",X1746*IF(AND(ISNUMBER(AC1746),AC1746&gt;0,AC1746&lt;1),AC1746*100,AC1746)/100)</f>
        <v/>
      </c>
      <c r="Z1746" s="5">
        <f>IF(D1746="","",AB1746*AA1746/100)</f>
        <v/>
      </c>
      <c r="AA1746" s="5">
        <f>IF(D1746="","",X1746-Y1746)</f>
        <v/>
      </c>
      <c r="AD1746" s="5">
        <f>IF(D1746="","",AA1746-Z1746)</f>
        <v/>
      </c>
      <c r="AG1746">
        <f>IF(D1746="","",N(AG1745)+IF(MATCH(D1746,$D$2:$D$3001,0)=ROW()-1,1,0))</f>
        <v/>
      </c>
    </row>
    <row r="1747">
      <c r="Y1747" s="5">
        <f>IF(D1747="","",X1747*IF(AND(ISNUMBER(AC1747),AC1747&gt;0,AC1747&lt;1),AC1747*100,AC1747)/100)</f>
        <v/>
      </c>
      <c r="Z1747" s="5">
        <f>IF(D1747="","",AB1747*AA1747/100)</f>
        <v/>
      </c>
      <c r="AA1747" s="5">
        <f>IF(D1747="","",X1747-Y1747)</f>
        <v/>
      </c>
      <c r="AD1747" s="5">
        <f>IF(D1747="","",AA1747-Z1747)</f>
        <v/>
      </c>
      <c r="AG1747">
        <f>IF(D1747="","",N(AG1746)+IF(MATCH(D1747,$D$2:$D$3001,0)=ROW()-1,1,0))</f>
        <v/>
      </c>
    </row>
    <row r="1748">
      <c r="Y1748" s="5">
        <f>IF(D1748="","",X1748*IF(AND(ISNUMBER(AC1748),AC1748&gt;0,AC1748&lt;1),AC1748*100,AC1748)/100)</f>
        <v/>
      </c>
      <c r="Z1748" s="5">
        <f>IF(D1748="","",AB1748*AA1748/100)</f>
        <v/>
      </c>
      <c r="AA1748" s="5">
        <f>IF(D1748="","",X1748-Y1748)</f>
        <v/>
      </c>
      <c r="AD1748" s="5">
        <f>IF(D1748="","",AA1748-Z1748)</f>
        <v/>
      </c>
      <c r="AG1748">
        <f>IF(D1748="","",N(AG1747)+IF(MATCH(D1748,$D$2:$D$3001,0)=ROW()-1,1,0))</f>
        <v/>
      </c>
    </row>
    <row r="1749">
      <c r="Y1749" s="5">
        <f>IF(D1749="","",X1749*IF(AND(ISNUMBER(AC1749),AC1749&gt;0,AC1749&lt;1),AC1749*100,AC1749)/100)</f>
        <v/>
      </c>
      <c r="Z1749" s="5">
        <f>IF(D1749="","",AB1749*AA1749/100)</f>
        <v/>
      </c>
      <c r="AA1749" s="5">
        <f>IF(D1749="","",X1749-Y1749)</f>
        <v/>
      </c>
      <c r="AD1749" s="5">
        <f>IF(D1749="","",AA1749-Z1749)</f>
        <v/>
      </c>
      <c r="AG1749">
        <f>IF(D1749="","",N(AG1748)+IF(MATCH(D1749,$D$2:$D$3001,0)=ROW()-1,1,0))</f>
        <v/>
      </c>
    </row>
    <row r="1750">
      <c r="Y1750" s="5">
        <f>IF(D1750="","",X1750*IF(AND(ISNUMBER(AC1750),AC1750&gt;0,AC1750&lt;1),AC1750*100,AC1750)/100)</f>
        <v/>
      </c>
      <c r="Z1750" s="5">
        <f>IF(D1750="","",AB1750*AA1750/100)</f>
        <v/>
      </c>
      <c r="AA1750" s="5">
        <f>IF(D1750="","",X1750-Y1750)</f>
        <v/>
      </c>
      <c r="AD1750" s="5">
        <f>IF(D1750="","",AA1750-Z1750)</f>
        <v/>
      </c>
      <c r="AG1750">
        <f>IF(D1750="","",N(AG1749)+IF(MATCH(D1750,$D$2:$D$3001,0)=ROW()-1,1,0))</f>
        <v/>
      </c>
    </row>
    <row r="1751">
      <c r="Y1751" s="5">
        <f>IF(D1751="","",X1751*IF(AND(ISNUMBER(AC1751),AC1751&gt;0,AC1751&lt;1),AC1751*100,AC1751)/100)</f>
        <v/>
      </c>
      <c r="Z1751" s="5">
        <f>IF(D1751="","",AB1751*AA1751/100)</f>
        <v/>
      </c>
      <c r="AA1751" s="5">
        <f>IF(D1751="","",X1751-Y1751)</f>
        <v/>
      </c>
      <c r="AD1751" s="5">
        <f>IF(D1751="","",AA1751-Z1751)</f>
        <v/>
      </c>
      <c r="AG1751">
        <f>IF(D1751="","",N(AG1750)+IF(MATCH(D1751,$D$2:$D$3001,0)=ROW()-1,1,0))</f>
        <v/>
      </c>
    </row>
    <row r="1752">
      <c r="Y1752" s="5">
        <f>IF(D1752="","",X1752*IF(AND(ISNUMBER(AC1752),AC1752&gt;0,AC1752&lt;1),AC1752*100,AC1752)/100)</f>
        <v/>
      </c>
      <c r="Z1752" s="5">
        <f>IF(D1752="","",AB1752*AA1752/100)</f>
        <v/>
      </c>
      <c r="AA1752" s="5">
        <f>IF(D1752="","",X1752-Y1752)</f>
        <v/>
      </c>
      <c r="AD1752" s="5">
        <f>IF(D1752="","",AA1752-Z1752)</f>
        <v/>
      </c>
      <c r="AG1752">
        <f>IF(D1752="","",N(AG1751)+IF(MATCH(D1752,$D$2:$D$3001,0)=ROW()-1,1,0))</f>
        <v/>
      </c>
    </row>
    <row r="1753">
      <c r="Y1753" s="5">
        <f>IF(D1753="","",X1753*IF(AND(ISNUMBER(AC1753),AC1753&gt;0,AC1753&lt;1),AC1753*100,AC1753)/100)</f>
        <v/>
      </c>
      <c r="Z1753" s="5">
        <f>IF(D1753="","",AB1753*AA1753/100)</f>
        <v/>
      </c>
      <c r="AA1753" s="5">
        <f>IF(D1753="","",X1753-Y1753)</f>
        <v/>
      </c>
      <c r="AD1753" s="5">
        <f>IF(D1753="","",AA1753-Z1753)</f>
        <v/>
      </c>
      <c r="AG1753">
        <f>IF(D1753="","",N(AG1752)+IF(MATCH(D1753,$D$2:$D$3001,0)=ROW()-1,1,0))</f>
        <v/>
      </c>
    </row>
    <row r="1754">
      <c r="Y1754" s="5">
        <f>IF(D1754="","",X1754*IF(AND(ISNUMBER(AC1754),AC1754&gt;0,AC1754&lt;1),AC1754*100,AC1754)/100)</f>
        <v/>
      </c>
      <c r="Z1754" s="5">
        <f>IF(D1754="","",AB1754*AA1754/100)</f>
        <v/>
      </c>
      <c r="AA1754" s="5">
        <f>IF(D1754="","",X1754-Y1754)</f>
        <v/>
      </c>
      <c r="AD1754" s="5">
        <f>IF(D1754="","",AA1754-Z1754)</f>
        <v/>
      </c>
      <c r="AG1754">
        <f>IF(D1754="","",N(AG1753)+IF(MATCH(D1754,$D$2:$D$3001,0)=ROW()-1,1,0))</f>
        <v/>
      </c>
    </row>
    <row r="1755">
      <c r="Y1755" s="5">
        <f>IF(D1755="","",X1755*IF(AND(ISNUMBER(AC1755),AC1755&gt;0,AC1755&lt;1),AC1755*100,AC1755)/100)</f>
        <v/>
      </c>
      <c r="Z1755" s="5">
        <f>IF(D1755="","",AB1755*AA1755/100)</f>
        <v/>
      </c>
      <c r="AA1755" s="5">
        <f>IF(D1755="","",X1755-Y1755)</f>
        <v/>
      </c>
      <c r="AD1755" s="5">
        <f>IF(D1755="","",AA1755-Z1755)</f>
        <v/>
      </c>
      <c r="AG1755">
        <f>IF(D1755="","",N(AG1754)+IF(MATCH(D1755,$D$2:$D$3001,0)=ROW()-1,1,0))</f>
        <v/>
      </c>
    </row>
    <row r="1756">
      <c r="Y1756" s="5">
        <f>IF(D1756="","",X1756*IF(AND(ISNUMBER(AC1756),AC1756&gt;0,AC1756&lt;1),AC1756*100,AC1756)/100)</f>
        <v/>
      </c>
      <c r="Z1756" s="5">
        <f>IF(D1756="","",AB1756*AA1756/100)</f>
        <v/>
      </c>
      <c r="AA1756" s="5">
        <f>IF(D1756="","",X1756-Y1756)</f>
        <v/>
      </c>
      <c r="AD1756" s="5">
        <f>IF(D1756="","",AA1756-Z1756)</f>
        <v/>
      </c>
      <c r="AG1756">
        <f>IF(D1756="","",N(AG1755)+IF(MATCH(D1756,$D$2:$D$3001,0)=ROW()-1,1,0))</f>
        <v/>
      </c>
    </row>
    <row r="1757">
      <c r="Y1757" s="5">
        <f>IF(D1757="","",X1757*IF(AND(ISNUMBER(AC1757),AC1757&gt;0,AC1757&lt;1),AC1757*100,AC1757)/100)</f>
        <v/>
      </c>
      <c r="Z1757" s="5">
        <f>IF(D1757="","",AB1757*AA1757/100)</f>
        <v/>
      </c>
      <c r="AA1757" s="5">
        <f>IF(D1757="","",X1757-Y1757)</f>
        <v/>
      </c>
      <c r="AD1757" s="5">
        <f>IF(D1757="","",AA1757-Z1757)</f>
        <v/>
      </c>
      <c r="AG1757">
        <f>IF(D1757="","",N(AG1756)+IF(MATCH(D1757,$D$2:$D$3001,0)=ROW()-1,1,0))</f>
        <v/>
      </c>
    </row>
    <row r="1758">
      <c r="Y1758" s="5">
        <f>IF(D1758="","",X1758*IF(AND(ISNUMBER(AC1758),AC1758&gt;0,AC1758&lt;1),AC1758*100,AC1758)/100)</f>
        <v/>
      </c>
      <c r="Z1758" s="5">
        <f>IF(D1758="","",AB1758*AA1758/100)</f>
        <v/>
      </c>
      <c r="AA1758" s="5">
        <f>IF(D1758="","",X1758-Y1758)</f>
        <v/>
      </c>
      <c r="AD1758" s="5">
        <f>IF(D1758="","",AA1758-Z1758)</f>
        <v/>
      </c>
      <c r="AG1758">
        <f>IF(D1758="","",N(AG1757)+IF(MATCH(D1758,$D$2:$D$3001,0)=ROW()-1,1,0))</f>
        <v/>
      </c>
    </row>
    <row r="1759">
      <c r="Y1759" s="5">
        <f>IF(D1759="","",X1759*IF(AND(ISNUMBER(AC1759),AC1759&gt;0,AC1759&lt;1),AC1759*100,AC1759)/100)</f>
        <v/>
      </c>
      <c r="Z1759" s="5">
        <f>IF(D1759="","",AB1759*AA1759/100)</f>
        <v/>
      </c>
      <c r="AA1759" s="5">
        <f>IF(D1759="","",X1759-Y1759)</f>
        <v/>
      </c>
      <c r="AD1759" s="5">
        <f>IF(D1759="","",AA1759-Z1759)</f>
        <v/>
      </c>
      <c r="AG1759">
        <f>IF(D1759="","",N(AG1758)+IF(MATCH(D1759,$D$2:$D$3001,0)=ROW()-1,1,0))</f>
        <v/>
      </c>
    </row>
    <row r="1760">
      <c r="Y1760" s="5">
        <f>IF(D1760="","",X1760*IF(AND(ISNUMBER(AC1760),AC1760&gt;0,AC1760&lt;1),AC1760*100,AC1760)/100)</f>
        <v/>
      </c>
      <c r="Z1760" s="5">
        <f>IF(D1760="","",AB1760*AA1760/100)</f>
        <v/>
      </c>
      <c r="AA1760" s="5">
        <f>IF(D1760="","",X1760-Y1760)</f>
        <v/>
      </c>
      <c r="AD1760" s="5">
        <f>IF(D1760="","",AA1760-Z1760)</f>
        <v/>
      </c>
      <c r="AG1760">
        <f>IF(D1760="","",N(AG1759)+IF(MATCH(D1760,$D$2:$D$3001,0)=ROW()-1,1,0))</f>
        <v/>
      </c>
    </row>
    <row r="1761">
      <c r="Y1761" s="5">
        <f>IF(D1761="","",X1761*IF(AND(ISNUMBER(AC1761),AC1761&gt;0,AC1761&lt;1),AC1761*100,AC1761)/100)</f>
        <v/>
      </c>
      <c r="Z1761" s="5">
        <f>IF(D1761="","",AB1761*AA1761/100)</f>
        <v/>
      </c>
      <c r="AA1761" s="5">
        <f>IF(D1761="","",X1761-Y1761)</f>
        <v/>
      </c>
      <c r="AD1761" s="5">
        <f>IF(D1761="","",AA1761-Z1761)</f>
        <v/>
      </c>
      <c r="AG1761">
        <f>IF(D1761="","",N(AG1760)+IF(MATCH(D1761,$D$2:$D$3001,0)=ROW()-1,1,0))</f>
        <v/>
      </c>
    </row>
    <row r="1762">
      <c r="Y1762" s="5">
        <f>IF(D1762="","",X1762*IF(AND(ISNUMBER(AC1762),AC1762&gt;0,AC1762&lt;1),AC1762*100,AC1762)/100)</f>
        <v/>
      </c>
      <c r="Z1762" s="5">
        <f>IF(D1762="","",AB1762*AA1762/100)</f>
        <v/>
      </c>
      <c r="AA1762" s="5">
        <f>IF(D1762="","",X1762-Y1762)</f>
        <v/>
      </c>
      <c r="AD1762" s="5">
        <f>IF(D1762="","",AA1762-Z1762)</f>
        <v/>
      </c>
      <c r="AG1762">
        <f>IF(D1762="","",N(AG1761)+IF(MATCH(D1762,$D$2:$D$3001,0)=ROW()-1,1,0))</f>
        <v/>
      </c>
    </row>
    <row r="1763">
      <c r="Y1763" s="5">
        <f>IF(D1763="","",X1763*IF(AND(ISNUMBER(AC1763),AC1763&gt;0,AC1763&lt;1),AC1763*100,AC1763)/100)</f>
        <v/>
      </c>
      <c r="Z1763" s="5">
        <f>IF(D1763="","",AB1763*AA1763/100)</f>
        <v/>
      </c>
      <c r="AA1763" s="5">
        <f>IF(D1763="","",X1763-Y1763)</f>
        <v/>
      </c>
      <c r="AD1763" s="5">
        <f>IF(D1763="","",AA1763-Z1763)</f>
        <v/>
      </c>
      <c r="AG1763">
        <f>IF(D1763="","",N(AG1762)+IF(MATCH(D1763,$D$2:$D$3001,0)=ROW()-1,1,0))</f>
        <v/>
      </c>
    </row>
    <row r="1764">
      <c r="Y1764" s="5">
        <f>IF(D1764="","",X1764*IF(AND(ISNUMBER(AC1764),AC1764&gt;0,AC1764&lt;1),AC1764*100,AC1764)/100)</f>
        <v/>
      </c>
      <c r="Z1764" s="5">
        <f>IF(D1764="","",AB1764*AA1764/100)</f>
        <v/>
      </c>
      <c r="AA1764" s="5">
        <f>IF(D1764="","",X1764-Y1764)</f>
        <v/>
      </c>
      <c r="AD1764" s="5">
        <f>IF(D1764="","",AA1764-Z1764)</f>
        <v/>
      </c>
      <c r="AG1764">
        <f>IF(D1764="","",N(AG1763)+IF(MATCH(D1764,$D$2:$D$3001,0)=ROW()-1,1,0))</f>
        <v/>
      </c>
    </row>
    <row r="1765">
      <c r="Y1765" s="5">
        <f>IF(D1765="","",X1765*IF(AND(ISNUMBER(AC1765),AC1765&gt;0,AC1765&lt;1),AC1765*100,AC1765)/100)</f>
        <v/>
      </c>
      <c r="Z1765" s="5">
        <f>IF(D1765="","",AB1765*AA1765/100)</f>
        <v/>
      </c>
      <c r="AA1765" s="5">
        <f>IF(D1765="","",X1765-Y1765)</f>
        <v/>
      </c>
      <c r="AD1765" s="5">
        <f>IF(D1765="","",AA1765-Z1765)</f>
        <v/>
      </c>
      <c r="AG1765">
        <f>IF(D1765="","",N(AG1764)+IF(MATCH(D1765,$D$2:$D$3001,0)=ROW()-1,1,0))</f>
        <v/>
      </c>
    </row>
    <row r="1766">
      <c r="Y1766" s="5">
        <f>IF(D1766="","",X1766*IF(AND(ISNUMBER(AC1766),AC1766&gt;0,AC1766&lt;1),AC1766*100,AC1766)/100)</f>
        <v/>
      </c>
      <c r="Z1766" s="5">
        <f>IF(D1766="","",AB1766*AA1766/100)</f>
        <v/>
      </c>
      <c r="AA1766" s="5">
        <f>IF(D1766="","",X1766-Y1766)</f>
        <v/>
      </c>
      <c r="AD1766" s="5">
        <f>IF(D1766="","",AA1766-Z1766)</f>
        <v/>
      </c>
      <c r="AG1766">
        <f>IF(D1766="","",N(AG1765)+IF(MATCH(D1766,$D$2:$D$3001,0)=ROW()-1,1,0))</f>
        <v/>
      </c>
    </row>
    <row r="1767">
      <c r="Y1767" s="5">
        <f>IF(D1767="","",X1767*IF(AND(ISNUMBER(AC1767),AC1767&gt;0,AC1767&lt;1),AC1767*100,AC1767)/100)</f>
        <v/>
      </c>
      <c r="Z1767" s="5">
        <f>IF(D1767="","",AB1767*AA1767/100)</f>
        <v/>
      </c>
      <c r="AA1767" s="5">
        <f>IF(D1767="","",X1767-Y1767)</f>
        <v/>
      </c>
      <c r="AD1767" s="5">
        <f>IF(D1767="","",AA1767-Z1767)</f>
        <v/>
      </c>
      <c r="AG1767">
        <f>IF(D1767="","",N(AG1766)+IF(MATCH(D1767,$D$2:$D$3001,0)=ROW()-1,1,0))</f>
        <v/>
      </c>
    </row>
    <row r="1768">
      <c r="Y1768" s="5">
        <f>IF(D1768="","",X1768*IF(AND(ISNUMBER(AC1768),AC1768&gt;0,AC1768&lt;1),AC1768*100,AC1768)/100)</f>
        <v/>
      </c>
      <c r="Z1768" s="5">
        <f>IF(D1768="","",AB1768*AA1768/100)</f>
        <v/>
      </c>
      <c r="AA1768" s="5">
        <f>IF(D1768="","",X1768-Y1768)</f>
        <v/>
      </c>
      <c r="AD1768" s="5">
        <f>IF(D1768="","",AA1768-Z1768)</f>
        <v/>
      </c>
      <c r="AG1768">
        <f>IF(D1768="","",N(AG1767)+IF(MATCH(D1768,$D$2:$D$3001,0)=ROW()-1,1,0))</f>
        <v/>
      </c>
    </row>
    <row r="1769">
      <c r="Y1769" s="5">
        <f>IF(D1769="","",X1769*IF(AND(ISNUMBER(AC1769),AC1769&gt;0,AC1769&lt;1),AC1769*100,AC1769)/100)</f>
        <v/>
      </c>
      <c r="Z1769" s="5">
        <f>IF(D1769="","",AB1769*AA1769/100)</f>
        <v/>
      </c>
      <c r="AA1769" s="5">
        <f>IF(D1769="","",X1769-Y1769)</f>
        <v/>
      </c>
      <c r="AD1769" s="5">
        <f>IF(D1769="","",AA1769-Z1769)</f>
        <v/>
      </c>
      <c r="AG1769">
        <f>IF(D1769="","",N(AG1768)+IF(MATCH(D1769,$D$2:$D$3001,0)=ROW()-1,1,0))</f>
        <v/>
      </c>
    </row>
    <row r="1770">
      <c r="Y1770" s="5">
        <f>IF(D1770="","",X1770*IF(AND(ISNUMBER(AC1770),AC1770&gt;0,AC1770&lt;1),AC1770*100,AC1770)/100)</f>
        <v/>
      </c>
      <c r="Z1770" s="5">
        <f>IF(D1770="","",AB1770*AA1770/100)</f>
        <v/>
      </c>
      <c r="AA1770" s="5">
        <f>IF(D1770="","",X1770-Y1770)</f>
        <v/>
      </c>
      <c r="AD1770" s="5">
        <f>IF(D1770="","",AA1770-Z1770)</f>
        <v/>
      </c>
      <c r="AG1770">
        <f>IF(D1770="","",N(AG1769)+IF(MATCH(D1770,$D$2:$D$3001,0)=ROW()-1,1,0))</f>
        <v/>
      </c>
    </row>
    <row r="1771">
      <c r="Y1771" s="5">
        <f>IF(D1771="","",X1771*IF(AND(ISNUMBER(AC1771),AC1771&gt;0,AC1771&lt;1),AC1771*100,AC1771)/100)</f>
        <v/>
      </c>
      <c r="Z1771" s="5">
        <f>IF(D1771="","",AB1771*AA1771/100)</f>
        <v/>
      </c>
      <c r="AA1771" s="5">
        <f>IF(D1771="","",X1771-Y1771)</f>
        <v/>
      </c>
      <c r="AD1771" s="5">
        <f>IF(D1771="","",AA1771-Z1771)</f>
        <v/>
      </c>
      <c r="AG1771">
        <f>IF(D1771="","",N(AG1770)+IF(MATCH(D1771,$D$2:$D$3001,0)=ROW()-1,1,0))</f>
        <v/>
      </c>
    </row>
    <row r="1772">
      <c r="Y1772" s="5">
        <f>IF(D1772="","",X1772*IF(AND(ISNUMBER(AC1772),AC1772&gt;0,AC1772&lt;1),AC1772*100,AC1772)/100)</f>
        <v/>
      </c>
      <c r="Z1772" s="5">
        <f>IF(D1772="","",AB1772*AA1772/100)</f>
        <v/>
      </c>
      <c r="AA1772" s="5">
        <f>IF(D1772="","",X1772-Y1772)</f>
        <v/>
      </c>
      <c r="AD1772" s="5">
        <f>IF(D1772="","",AA1772-Z1772)</f>
        <v/>
      </c>
      <c r="AG1772">
        <f>IF(D1772="","",N(AG1771)+IF(MATCH(D1772,$D$2:$D$3001,0)=ROW()-1,1,0))</f>
        <v/>
      </c>
    </row>
    <row r="1773">
      <c r="Y1773" s="5">
        <f>IF(D1773="","",X1773*IF(AND(ISNUMBER(AC1773),AC1773&gt;0,AC1773&lt;1),AC1773*100,AC1773)/100)</f>
        <v/>
      </c>
      <c r="Z1773" s="5">
        <f>IF(D1773="","",AB1773*AA1773/100)</f>
        <v/>
      </c>
      <c r="AA1773" s="5">
        <f>IF(D1773="","",X1773-Y1773)</f>
        <v/>
      </c>
      <c r="AD1773" s="5">
        <f>IF(D1773="","",AA1773-Z1773)</f>
        <v/>
      </c>
      <c r="AG1773">
        <f>IF(D1773="","",N(AG1772)+IF(MATCH(D1773,$D$2:$D$3001,0)=ROW()-1,1,0))</f>
        <v/>
      </c>
    </row>
    <row r="1774">
      <c r="Y1774" s="5">
        <f>IF(D1774="","",X1774*IF(AND(ISNUMBER(AC1774),AC1774&gt;0,AC1774&lt;1),AC1774*100,AC1774)/100)</f>
        <v/>
      </c>
      <c r="Z1774" s="5">
        <f>IF(D1774="","",AB1774*AA1774/100)</f>
        <v/>
      </c>
      <c r="AA1774" s="5">
        <f>IF(D1774="","",X1774-Y1774)</f>
        <v/>
      </c>
      <c r="AD1774" s="5">
        <f>IF(D1774="","",AA1774-Z1774)</f>
        <v/>
      </c>
      <c r="AG1774">
        <f>IF(D1774="","",N(AG1773)+IF(MATCH(D1774,$D$2:$D$3001,0)=ROW()-1,1,0))</f>
        <v/>
      </c>
    </row>
    <row r="1775">
      <c r="Y1775" s="5">
        <f>IF(D1775="","",X1775*IF(AND(ISNUMBER(AC1775),AC1775&gt;0,AC1775&lt;1),AC1775*100,AC1775)/100)</f>
        <v/>
      </c>
      <c r="Z1775" s="5">
        <f>IF(D1775="","",AB1775*AA1775/100)</f>
        <v/>
      </c>
      <c r="AA1775" s="5">
        <f>IF(D1775="","",X1775-Y1775)</f>
        <v/>
      </c>
      <c r="AD1775" s="5">
        <f>IF(D1775="","",AA1775-Z1775)</f>
        <v/>
      </c>
      <c r="AG1775">
        <f>IF(D1775="","",N(AG1774)+IF(MATCH(D1775,$D$2:$D$3001,0)=ROW()-1,1,0))</f>
        <v/>
      </c>
    </row>
    <row r="1776">
      <c r="Y1776" s="5">
        <f>IF(D1776="","",X1776*IF(AND(ISNUMBER(AC1776),AC1776&gt;0,AC1776&lt;1),AC1776*100,AC1776)/100)</f>
        <v/>
      </c>
      <c r="Z1776" s="5">
        <f>IF(D1776="","",AB1776*AA1776/100)</f>
        <v/>
      </c>
      <c r="AA1776" s="5">
        <f>IF(D1776="","",X1776-Y1776)</f>
        <v/>
      </c>
      <c r="AD1776" s="5">
        <f>IF(D1776="","",AA1776-Z1776)</f>
        <v/>
      </c>
      <c r="AG1776">
        <f>IF(D1776="","",N(AG1775)+IF(MATCH(D1776,$D$2:$D$3001,0)=ROW()-1,1,0))</f>
        <v/>
      </c>
    </row>
    <row r="1777">
      <c r="Y1777" s="5">
        <f>IF(D1777="","",X1777*IF(AND(ISNUMBER(AC1777),AC1777&gt;0,AC1777&lt;1),AC1777*100,AC1777)/100)</f>
        <v/>
      </c>
      <c r="Z1777" s="5">
        <f>IF(D1777="","",AB1777*AA1777/100)</f>
        <v/>
      </c>
      <c r="AA1777" s="5">
        <f>IF(D1777="","",X1777-Y1777)</f>
        <v/>
      </c>
      <c r="AD1777" s="5">
        <f>IF(D1777="","",AA1777-Z1777)</f>
        <v/>
      </c>
      <c r="AG1777">
        <f>IF(D1777="","",N(AG1776)+IF(MATCH(D1777,$D$2:$D$3001,0)=ROW()-1,1,0))</f>
        <v/>
      </c>
    </row>
    <row r="1778">
      <c r="Y1778" s="5">
        <f>IF(D1778="","",X1778*IF(AND(ISNUMBER(AC1778),AC1778&gt;0,AC1778&lt;1),AC1778*100,AC1778)/100)</f>
        <v/>
      </c>
      <c r="Z1778" s="5">
        <f>IF(D1778="","",AB1778*AA1778/100)</f>
        <v/>
      </c>
      <c r="AA1778" s="5">
        <f>IF(D1778="","",X1778-Y1778)</f>
        <v/>
      </c>
      <c r="AD1778" s="5">
        <f>IF(D1778="","",AA1778-Z1778)</f>
        <v/>
      </c>
      <c r="AG1778">
        <f>IF(D1778="","",N(AG1777)+IF(MATCH(D1778,$D$2:$D$3001,0)=ROW()-1,1,0))</f>
        <v/>
      </c>
    </row>
    <row r="1779">
      <c r="Y1779" s="5">
        <f>IF(D1779="","",X1779*IF(AND(ISNUMBER(AC1779),AC1779&gt;0,AC1779&lt;1),AC1779*100,AC1779)/100)</f>
        <v/>
      </c>
      <c r="Z1779" s="5">
        <f>IF(D1779="","",AB1779*AA1779/100)</f>
        <v/>
      </c>
      <c r="AA1779" s="5">
        <f>IF(D1779="","",X1779-Y1779)</f>
        <v/>
      </c>
      <c r="AD1779" s="5">
        <f>IF(D1779="","",AA1779-Z1779)</f>
        <v/>
      </c>
      <c r="AG1779">
        <f>IF(D1779="","",N(AG1778)+IF(MATCH(D1779,$D$2:$D$3001,0)=ROW()-1,1,0))</f>
        <v/>
      </c>
    </row>
    <row r="1780">
      <c r="Y1780" s="5">
        <f>IF(D1780="","",X1780*IF(AND(ISNUMBER(AC1780),AC1780&gt;0,AC1780&lt;1),AC1780*100,AC1780)/100)</f>
        <v/>
      </c>
      <c r="Z1780" s="5">
        <f>IF(D1780="","",AB1780*AA1780/100)</f>
        <v/>
      </c>
      <c r="AA1780" s="5">
        <f>IF(D1780="","",X1780-Y1780)</f>
        <v/>
      </c>
      <c r="AD1780" s="5">
        <f>IF(D1780="","",AA1780-Z1780)</f>
        <v/>
      </c>
      <c r="AG1780">
        <f>IF(D1780="","",N(AG1779)+IF(MATCH(D1780,$D$2:$D$3001,0)=ROW()-1,1,0))</f>
        <v/>
      </c>
    </row>
    <row r="1781">
      <c r="Y1781" s="5">
        <f>IF(D1781="","",X1781*IF(AND(ISNUMBER(AC1781),AC1781&gt;0,AC1781&lt;1),AC1781*100,AC1781)/100)</f>
        <v/>
      </c>
      <c r="Z1781" s="5">
        <f>IF(D1781="","",AB1781*AA1781/100)</f>
        <v/>
      </c>
      <c r="AA1781" s="5">
        <f>IF(D1781="","",X1781-Y1781)</f>
        <v/>
      </c>
      <c r="AD1781" s="5">
        <f>IF(D1781="","",AA1781-Z1781)</f>
        <v/>
      </c>
      <c r="AG1781">
        <f>IF(D1781="","",N(AG1780)+IF(MATCH(D1781,$D$2:$D$3001,0)=ROW()-1,1,0))</f>
        <v/>
      </c>
    </row>
    <row r="1782">
      <c r="Y1782" s="5">
        <f>IF(D1782="","",X1782*IF(AND(ISNUMBER(AC1782),AC1782&gt;0,AC1782&lt;1),AC1782*100,AC1782)/100)</f>
        <v/>
      </c>
      <c r="Z1782" s="5">
        <f>IF(D1782="","",AB1782*AA1782/100)</f>
        <v/>
      </c>
      <c r="AA1782" s="5">
        <f>IF(D1782="","",X1782-Y1782)</f>
        <v/>
      </c>
      <c r="AD1782" s="5">
        <f>IF(D1782="","",AA1782-Z1782)</f>
        <v/>
      </c>
      <c r="AG1782">
        <f>IF(D1782="","",N(AG1781)+IF(MATCH(D1782,$D$2:$D$3001,0)=ROW()-1,1,0))</f>
        <v/>
      </c>
    </row>
    <row r="1783">
      <c r="Y1783" s="5">
        <f>IF(D1783="","",X1783*IF(AND(ISNUMBER(AC1783),AC1783&gt;0,AC1783&lt;1),AC1783*100,AC1783)/100)</f>
        <v/>
      </c>
      <c r="Z1783" s="5">
        <f>IF(D1783="","",AB1783*AA1783/100)</f>
        <v/>
      </c>
      <c r="AA1783" s="5">
        <f>IF(D1783="","",X1783-Y1783)</f>
        <v/>
      </c>
      <c r="AD1783" s="5">
        <f>IF(D1783="","",AA1783-Z1783)</f>
        <v/>
      </c>
      <c r="AG1783">
        <f>IF(D1783="","",N(AG1782)+IF(MATCH(D1783,$D$2:$D$3001,0)=ROW()-1,1,0))</f>
        <v/>
      </c>
    </row>
    <row r="1784">
      <c r="Y1784" s="5">
        <f>IF(D1784="","",X1784*IF(AND(ISNUMBER(AC1784),AC1784&gt;0,AC1784&lt;1),AC1784*100,AC1784)/100)</f>
        <v/>
      </c>
      <c r="Z1784" s="5">
        <f>IF(D1784="","",AB1784*AA1784/100)</f>
        <v/>
      </c>
      <c r="AA1784" s="5">
        <f>IF(D1784="","",X1784-Y1784)</f>
        <v/>
      </c>
      <c r="AD1784" s="5">
        <f>IF(D1784="","",AA1784-Z1784)</f>
        <v/>
      </c>
      <c r="AG1784">
        <f>IF(D1784="","",N(AG1783)+IF(MATCH(D1784,$D$2:$D$3001,0)=ROW()-1,1,0))</f>
        <v/>
      </c>
    </row>
    <row r="1785">
      <c r="Y1785" s="5">
        <f>IF(D1785="","",X1785*IF(AND(ISNUMBER(AC1785),AC1785&gt;0,AC1785&lt;1),AC1785*100,AC1785)/100)</f>
        <v/>
      </c>
      <c r="Z1785" s="5">
        <f>IF(D1785="","",AB1785*AA1785/100)</f>
        <v/>
      </c>
      <c r="AA1785" s="5">
        <f>IF(D1785="","",X1785-Y1785)</f>
        <v/>
      </c>
      <c r="AD1785" s="5">
        <f>IF(D1785="","",AA1785-Z1785)</f>
        <v/>
      </c>
      <c r="AG1785">
        <f>IF(D1785="","",N(AG1784)+IF(MATCH(D1785,$D$2:$D$3001,0)=ROW()-1,1,0))</f>
        <v/>
      </c>
    </row>
    <row r="1786">
      <c r="Y1786" s="5">
        <f>IF(D1786="","",X1786*IF(AND(ISNUMBER(AC1786),AC1786&gt;0,AC1786&lt;1),AC1786*100,AC1786)/100)</f>
        <v/>
      </c>
      <c r="Z1786" s="5">
        <f>IF(D1786="","",AB1786*AA1786/100)</f>
        <v/>
      </c>
      <c r="AA1786" s="5">
        <f>IF(D1786="","",X1786-Y1786)</f>
        <v/>
      </c>
      <c r="AD1786" s="5">
        <f>IF(D1786="","",AA1786-Z1786)</f>
        <v/>
      </c>
      <c r="AG1786">
        <f>IF(D1786="","",N(AG1785)+IF(MATCH(D1786,$D$2:$D$3001,0)=ROW()-1,1,0))</f>
        <v/>
      </c>
    </row>
    <row r="1787">
      <c r="Y1787" s="5">
        <f>IF(D1787="","",X1787*IF(AND(ISNUMBER(AC1787),AC1787&gt;0,AC1787&lt;1),AC1787*100,AC1787)/100)</f>
        <v/>
      </c>
      <c r="Z1787" s="5">
        <f>IF(D1787="","",AB1787*AA1787/100)</f>
        <v/>
      </c>
      <c r="AA1787" s="5">
        <f>IF(D1787="","",X1787-Y1787)</f>
        <v/>
      </c>
      <c r="AD1787" s="5">
        <f>IF(D1787="","",AA1787-Z1787)</f>
        <v/>
      </c>
      <c r="AG1787">
        <f>IF(D1787="","",N(AG1786)+IF(MATCH(D1787,$D$2:$D$3001,0)=ROW()-1,1,0))</f>
        <v/>
      </c>
    </row>
    <row r="1788">
      <c r="Y1788" s="5">
        <f>IF(D1788="","",X1788*IF(AND(ISNUMBER(AC1788),AC1788&gt;0,AC1788&lt;1),AC1788*100,AC1788)/100)</f>
        <v/>
      </c>
      <c r="Z1788" s="5">
        <f>IF(D1788="","",AB1788*AA1788/100)</f>
        <v/>
      </c>
      <c r="AA1788" s="5">
        <f>IF(D1788="","",X1788-Y1788)</f>
        <v/>
      </c>
      <c r="AD1788" s="5">
        <f>IF(D1788="","",AA1788-Z1788)</f>
        <v/>
      </c>
      <c r="AG1788">
        <f>IF(D1788="","",N(AG1787)+IF(MATCH(D1788,$D$2:$D$3001,0)=ROW()-1,1,0))</f>
        <v/>
      </c>
    </row>
    <row r="1789">
      <c r="Y1789" s="5">
        <f>IF(D1789="","",X1789*IF(AND(ISNUMBER(AC1789),AC1789&gt;0,AC1789&lt;1),AC1789*100,AC1789)/100)</f>
        <v/>
      </c>
      <c r="Z1789" s="5">
        <f>IF(D1789="","",AB1789*AA1789/100)</f>
        <v/>
      </c>
      <c r="AA1789" s="5">
        <f>IF(D1789="","",X1789-Y1789)</f>
        <v/>
      </c>
      <c r="AD1789" s="5">
        <f>IF(D1789="","",AA1789-Z1789)</f>
        <v/>
      </c>
      <c r="AG1789">
        <f>IF(D1789="","",N(AG1788)+IF(MATCH(D1789,$D$2:$D$3001,0)=ROW()-1,1,0))</f>
        <v/>
      </c>
    </row>
    <row r="1790">
      <c r="Y1790" s="5">
        <f>IF(D1790="","",X1790*IF(AND(ISNUMBER(AC1790),AC1790&gt;0,AC1790&lt;1),AC1790*100,AC1790)/100)</f>
        <v/>
      </c>
      <c r="Z1790" s="5">
        <f>IF(D1790="","",AB1790*AA1790/100)</f>
        <v/>
      </c>
      <c r="AA1790" s="5">
        <f>IF(D1790="","",X1790-Y1790)</f>
        <v/>
      </c>
      <c r="AD1790" s="5">
        <f>IF(D1790="","",AA1790-Z1790)</f>
        <v/>
      </c>
      <c r="AG1790">
        <f>IF(D1790="","",N(AG1789)+IF(MATCH(D1790,$D$2:$D$3001,0)=ROW()-1,1,0))</f>
        <v/>
      </c>
    </row>
    <row r="1791">
      <c r="Y1791" s="5">
        <f>IF(D1791="","",X1791*IF(AND(ISNUMBER(AC1791),AC1791&gt;0,AC1791&lt;1),AC1791*100,AC1791)/100)</f>
        <v/>
      </c>
      <c r="Z1791" s="5">
        <f>IF(D1791="","",AB1791*AA1791/100)</f>
        <v/>
      </c>
      <c r="AA1791" s="5">
        <f>IF(D1791="","",X1791-Y1791)</f>
        <v/>
      </c>
      <c r="AD1791" s="5">
        <f>IF(D1791="","",AA1791-Z1791)</f>
        <v/>
      </c>
      <c r="AG1791">
        <f>IF(D1791="","",N(AG1790)+IF(MATCH(D1791,$D$2:$D$3001,0)=ROW()-1,1,0))</f>
        <v/>
      </c>
    </row>
    <row r="1792">
      <c r="Y1792" s="5">
        <f>IF(D1792="","",X1792*IF(AND(ISNUMBER(AC1792),AC1792&gt;0,AC1792&lt;1),AC1792*100,AC1792)/100)</f>
        <v/>
      </c>
      <c r="Z1792" s="5">
        <f>IF(D1792="","",AB1792*AA1792/100)</f>
        <v/>
      </c>
      <c r="AA1792" s="5">
        <f>IF(D1792="","",X1792-Y1792)</f>
        <v/>
      </c>
      <c r="AD1792" s="5">
        <f>IF(D1792="","",AA1792-Z1792)</f>
        <v/>
      </c>
      <c r="AG1792">
        <f>IF(D1792="","",N(AG1791)+IF(MATCH(D1792,$D$2:$D$3001,0)=ROW()-1,1,0))</f>
        <v/>
      </c>
    </row>
    <row r="1793">
      <c r="Y1793" s="5">
        <f>IF(D1793="","",X1793*IF(AND(ISNUMBER(AC1793),AC1793&gt;0,AC1793&lt;1),AC1793*100,AC1793)/100)</f>
        <v/>
      </c>
      <c r="Z1793" s="5">
        <f>IF(D1793="","",AB1793*AA1793/100)</f>
        <v/>
      </c>
      <c r="AA1793" s="5">
        <f>IF(D1793="","",X1793-Y1793)</f>
        <v/>
      </c>
      <c r="AD1793" s="5">
        <f>IF(D1793="","",AA1793-Z1793)</f>
        <v/>
      </c>
      <c r="AG1793">
        <f>IF(D1793="","",N(AG1792)+IF(MATCH(D1793,$D$2:$D$3001,0)=ROW()-1,1,0))</f>
        <v/>
      </c>
    </row>
    <row r="1794">
      <c r="Y1794" s="5">
        <f>IF(D1794="","",X1794*IF(AND(ISNUMBER(AC1794),AC1794&gt;0,AC1794&lt;1),AC1794*100,AC1794)/100)</f>
        <v/>
      </c>
      <c r="Z1794" s="5">
        <f>IF(D1794="","",AB1794*AA1794/100)</f>
        <v/>
      </c>
      <c r="AA1794" s="5">
        <f>IF(D1794="","",X1794-Y1794)</f>
        <v/>
      </c>
      <c r="AD1794" s="5">
        <f>IF(D1794="","",AA1794-Z1794)</f>
        <v/>
      </c>
      <c r="AG1794">
        <f>IF(D1794="","",N(AG1793)+IF(MATCH(D1794,$D$2:$D$3001,0)=ROW()-1,1,0))</f>
        <v/>
      </c>
    </row>
    <row r="1795">
      <c r="Y1795" s="5">
        <f>IF(D1795="","",X1795*IF(AND(ISNUMBER(AC1795),AC1795&gt;0,AC1795&lt;1),AC1795*100,AC1795)/100)</f>
        <v/>
      </c>
      <c r="Z1795" s="5">
        <f>IF(D1795="","",AB1795*AA1795/100)</f>
        <v/>
      </c>
      <c r="AA1795" s="5">
        <f>IF(D1795="","",X1795-Y1795)</f>
        <v/>
      </c>
      <c r="AD1795" s="5">
        <f>IF(D1795="","",AA1795-Z1795)</f>
        <v/>
      </c>
      <c r="AG1795">
        <f>IF(D1795="","",N(AG1794)+IF(MATCH(D1795,$D$2:$D$3001,0)=ROW()-1,1,0))</f>
        <v/>
      </c>
    </row>
    <row r="1796">
      <c r="Y1796" s="5">
        <f>IF(D1796="","",X1796*IF(AND(ISNUMBER(AC1796),AC1796&gt;0,AC1796&lt;1),AC1796*100,AC1796)/100)</f>
        <v/>
      </c>
      <c r="Z1796" s="5">
        <f>IF(D1796="","",AB1796*AA1796/100)</f>
        <v/>
      </c>
      <c r="AA1796" s="5">
        <f>IF(D1796="","",X1796-Y1796)</f>
        <v/>
      </c>
      <c r="AD1796" s="5">
        <f>IF(D1796="","",AA1796-Z1796)</f>
        <v/>
      </c>
      <c r="AG1796">
        <f>IF(D1796="","",N(AG1795)+IF(MATCH(D1796,$D$2:$D$3001,0)=ROW()-1,1,0))</f>
        <v/>
      </c>
    </row>
    <row r="1797">
      <c r="Y1797" s="5">
        <f>IF(D1797="","",X1797*IF(AND(ISNUMBER(AC1797),AC1797&gt;0,AC1797&lt;1),AC1797*100,AC1797)/100)</f>
        <v/>
      </c>
      <c r="Z1797" s="5">
        <f>IF(D1797="","",AB1797*AA1797/100)</f>
        <v/>
      </c>
      <c r="AA1797" s="5">
        <f>IF(D1797="","",X1797-Y1797)</f>
        <v/>
      </c>
      <c r="AD1797" s="5">
        <f>IF(D1797="","",AA1797-Z1797)</f>
        <v/>
      </c>
      <c r="AG1797">
        <f>IF(D1797="","",N(AG1796)+IF(MATCH(D1797,$D$2:$D$3001,0)=ROW()-1,1,0))</f>
        <v/>
      </c>
    </row>
    <row r="1798">
      <c r="Y1798" s="5">
        <f>IF(D1798="","",X1798*IF(AND(ISNUMBER(AC1798),AC1798&gt;0,AC1798&lt;1),AC1798*100,AC1798)/100)</f>
        <v/>
      </c>
      <c r="Z1798" s="5">
        <f>IF(D1798="","",AB1798*AA1798/100)</f>
        <v/>
      </c>
      <c r="AA1798" s="5">
        <f>IF(D1798="","",X1798-Y1798)</f>
        <v/>
      </c>
      <c r="AD1798" s="5">
        <f>IF(D1798="","",AA1798-Z1798)</f>
        <v/>
      </c>
      <c r="AG1798">
        <f>IF(D1798="","",N(AG1797)+IF(MATCH(D1798,$D$2:$D$3001,0)=ROW()-1,1,0))</f>
        <v/>
      </c>
    </row>
    <row r="1799">
      <c r="Y1799" s="5">
        <f>IF(D1799="","",X1799*IF(AND(ISNUMBER(AC1799),AC1799&gt;0,AC1799&lt;1),AC1799*100,AC1799)/100)</f>
        <v/>
      </c>
      <c r="Z1799" s="5">
        <f>IF(D1799="","",AB1799*AA1799/100)</f>
        <v/>
      </c>
      <c r="AA1799" s="5">
        <f>IF(D1799="","",X1799-Y1799)</f>
        <v/>
      </c>
      <c r="AD1799" s="5">
        <f>IF(D1799="","",AA1799-Z1799)</f>
        <v/>
      </c>
      <c r="AG1799">
        <f>IF(D1799="","",N(AG1798)+IF(MATCH(D1799,$D$2:$D$3001,0)=ROW()-1,1,0))</f>
        <v/>
      </c>
    </row>
    <row r="1800">
      <c r="Y1800" s="5">
        <f>IF(D1800="","",X1800*IF(AND(ISNUMBER(AC1800),AC1800&gt;0,AC1800&lt;1),AC1800*100,AC1800)/100)</f>
        <v/>
      </c>
      <c r="Z1800" s="5">
        <f>IF(D1800="","",AB1800*AA1800/100)</f>
        <v/>
      </c>
      <c r="AA1800" s="5">
        <f>IF(D1800="","",X1800-Y1800)</f>
        <v/>
      </c>
      <c r="AD1800" s="5">
        <f>IF(D1800="","",AA1800-Z1800)</f>
        <v/>
      </c>
      <c r="AG1800">
        <f>IF(D1800="","",N(AG1799)+IF(MATCH(D1800,$D$2:$D$3001,0)=ROW()-1,1,0))</f>
        <v/>
      </c>
    </row>
    <row r="1801">
      <c r="Y1801" s="5">
        <f>IF(D1801="","",X1801*IF(AND(ISNUMBER(AC1801),AC1801&gt;0,AC1801&lt;1),AC1801*100,AC1801)/100)</f>
        <v/>
      </c>
      <c r="Z1801" s="5">
        <f>IF(D1801="","",AB1801*AA1801/100)</f>
        <v/>
      </c>
      <c r="AA1801" s="5">
        <f>IF(D1801="","",X1801-Y1801)</f>
        <v/>
      </c>
      <c r="AD1801" s="5">
        <f>IF(D1801="","",AA1801-Z1801)</f>
        <v/>
      </c>
      <c r="AG1801">
        <f>IF(D1801="","",N(AG1800)+IF(MATCH(D1801,$D$2:$D$3001,0)=ROW()-1,1,0))</f>
        <v/>
      </c>
    </row>
    <row r="1802">
      <c r="Y1802" s="5">
        <f>IF(D1802="","",X1802*IF(AND(ISNUMBER(AC1802),AC1802&gt;0,AC1802&lt;1),AC1802*100,AC1802)/100)</f>
        <v/>
      </c>
      <c r="Z1802" s="5">
        <f>IF(D1802="","",AB1802*AA1802/100)</f>
        <v/>
      </c>
      <c r="AA1802" s="5">
        <f>IF(D1802="","",X1802-Y1802)</f>
        <v/>
      </c>
      <c r="AD1802" s="5">
        <f>IF(D1802="","",AA1802-Z1802)</f>
        <v/>
      </c>
      <c r="AG1802">
        <f>IF(D1802="","",N(AG1801)+IF(MATCH(D1802,$D$2:$D$3001,0)=ROW()-1,1,0))</f>
        <v/>
      </c>
    </row>
    <row r="1803">
      <c r="Y1803" s="5">
        <f>IF(D1803="","",X1803*IF(AND(ISNUMBER(AC1803),AC1803&gt;0,AC1803&lt;1),AC1803*100,AC1803)/100)</f>
        <v/>
      </c>
      <c r="Z1803" s="5">
        <f>IF(D1803="","",AB1803*AA1803/100)</f>
        <v/>
      </c>
      <c r="AA1803" s="5">
        <f>IF(D1803="","",X1803-Y1803)</f>
        <v/>
      </c>
      <c r="AD1803" s="5">
        <f>IF(D1803="","",AA1803-Z1803)</f>
        <v/>
      </c>
      <c r="AG1803">
        <f>IF(D1803="","",N(AG1802)+IF(MATCH(D1803,$D$2:$D$3001,0)=ROW()-1,1,0))</f>
        <v/>
      </c>
    </row>
    <row r="1804">
      <c r="Y1804" s="5">
        <f>IF(D1804="","",X1804*IF(AND(ISNUMBER(AC1804),AC1804&gt;0,AC1804&lt;1),AC1804*100,AC1804)/100)</f>
        <v/>
      </c>
      <c r="Z1804" s="5">
        <f>IF(D1804="","",AB1804*AA1804/100)</f>
        <v/>
      </c>
      <c r="AA1804" s="5">
        <f>IF(D1804="","",X1804-Y1804)</f>
        <v/>
      </c>
      <c r="AD1804" s="5">
        <f>IF(D1804="","",AA1804-Z1804)</f>
        <v/>
      </c>
      <c r="AG1804">
        <f>IF(D1804="","",N(AG1803)+IF(MATCH(D1804,$D$2:$D$3001,0)=ROW()-1,1,0))</f>
        <v/>
      </c>
    </row>
    <row r="1805">
      <c r="Y1805" s="5">
        <f>IF(D1805="","",X1805*IF(AND(ISNUMBER(AC1805),AC1805&gt;0,AC1805&lt;1),AC1805*100,AC1805)/100)</f>
        <v/>
      </c>
      <c r="Z1805" s="5">
        <f>IF(D1805="","",AB1805*AA1805/100)</f>
        <v/>
      </c>
      <c r="AA1805" s="5">
        <f>IF(D1805="","",X1805-Y1805)</f>
        <v/>
      </c>
      <c r="AD1805" s="5">
        <f>IF(D1805="","",AA1805-Z1805)</f>
        <v/>
      </c>
      <c r="AG1805">
        <f>IF(D1805="","",N(AG1804)+IF(MATCH(D1805,$D$2:$D$3001,0)=ROW()-1,1,0))</f>
        <v/>
      </c>
    </row>
    <row r="1806">
      <c r="Y1806" s="5">
        <f>IF(D1806="","",X1806*IF(AND(ISNUMBER(AC1806),AC1806&gt;0,AC1806&lt;1),AC1806*100,AC1806)/100)</f>
        <v/>
      </c>
      <c r="Z1806" s="5">
        <f>IF(D1806="","",AB1806*AA1806/100)</f>
        <v/>
      </c>
      <c r="AA1806" s="5">
        <f>IF(D1806="","",X1806-Y1806)</f>
        <v/>
      </c>
      <c r="AD1806" s="5">
        <f>IF(D1806="","",AA1806-Z1806)</f>
        <v/>
      </c>
      <c r="AG1806">
        <f>IF(D1806="","",N(AG1805)+IF(MATCH(D1806,$D$2:$D$3001,0)=ROW()-1,1,0))</f>
        <v/>
      </c>
    </row>
    <row r="1807">
      <c r="Y1807" s="5">
        <f>IF(D1807="","",X1807*IF(AND(ISNUMBER(AC1807),AC1807&gt;0,AC1807&lt;1),AC1807*100,AC1807)/100)</f>
        <v/>
      </c>
      <c r="Z1807" s="5">
        <f>IF(D1807="","",AB1807*AA1807/100)</f>
        <v/>
      </c>
      <c r="AA1807" s="5">
        <f>IF(D1807="","",X1807-Y1807)</f>
        <v/>
      </c>
      <c r="AD1807" s="5">
        <f>IF(D1807="","",AA1807-Z1807)</f>
        <v/>
      </c>
      <c r="AG1807">
        <f>IF(D1807="","",N(AG1806)+IF(MATCH(D1807,$D$2:$D$3001,0)=ROW()-1,1,0))</f>
        <v/>
      </c>
    </row>
    <row r="1808">
      <c r="Y1808" s="5">
        <f>IF(D1808="","",X1808*IF(AND(ISNUMBER(AC1808),AC1808&gt;0,AC1808&lt;1),AC1808*100,AC1808)/100)</f>
        <v/>
      </c>
      <c r="Z1808" s="5">
        <f>IF(D1808="","",AB1808*AA1808/100)</f>
        <v/>
      </c>
      <c r="AA1808" s="5">
        <f>IF(D1808="","",X1808-Y1808)</f>
        <v/>
      </c>
      <c r="AD1808" s="5">
        <f>IF(D1808="","",AA1808-Z1808)</f>
        <v/>
      </c>
      <c r="AG1808">
        <f>IF(D1808="","",N(AG1807)+IF(MATCH(D1808,$D$2:$D$3001,0)=ROW()-1,1,0))</f>
        <v/>
      </c>
    </row>
    <row r="1809">
      <c r="Y1809" s="5">
        <f>IF(D1809="","",X1809*IF(AND(ISNUMBER(AC1809),AC1809&gt;0,AC1809&lt;1),AC1809*100,AC1809)/100)</f>
        <v/>
      </c>
      <c r="Z1809" s="5">
        <f>IF(D1809="","",AB1809*AA1809/100)</f>
        <v/>
      </c>
      <c r="AA1809" s="5">
        <f>IF(D1809="","",X1809-Y1809)</f>
        <v/>
      </c>
      <c r="AD1809" s="5">
        <f>IF(D1809="","",AA1809-Z1809)</f>
        <v/>
      </c>
      <c r="AG1809">
        <f>IF(D1809="","",N(AG1808)+IF(MATCH(D1809,$D$2:$D$3001,0)=ROW()-1,1,0))</f>
        <v/>
      </c>
    </row>
    <row r="1810">
      <c r="Y1810" s="5">
        <f>IF(D1810="","",X1810*IF(AND(ISNUMBER(AC1810),AC1810&gt;0,AC1810&lt;1),AC1810*100,AC1810)/100)</f>
        <v/>
      </c>
      <c r="Z1810" s="5">
        <f>IF(D1810="","",AB1810*AA1810/100)</f>
        <v/>
      </c>
      <c r="AA1810" s="5">
        <f>IF(D1810="","",X1810-Y1810)</f>
        <v/>
      </c>
      <c r="AD1810" s="5">
        <f>IF(D1810="","",AA1810-Z1810)</f>
        <v/>
      </c>
      <c r="AG1810">
        <f>IF(D1810="","",N(AG1809)+IF(MATCH(D1810,$D$2:$D$3001,0)=ROW()-1,1,0))</f>
        <v/>
      </c>
    </row>
    <row r="1811">
      <c r="Y1811" s="5">
        <f>IF(D1811="","",X1811*IF(AND(ISNUMBER(AC1811),AC1811&gt;0,AC1811&lt;1),AC1811*100,AC1811)/100)</f>
        <v/>
      </c>
      <c r="Z1811" s="5">
        <f>IF(D1811="","",AB1811*AA1811/100)</f>
        <v/>
      </c>
      <c r="AA1811" s="5">
        <f>IF(D1811="","",X1811-Y1811)</f>
        <v/>
      </c>
      <c r="AD1811" s="5">
        <f>IF(D1811="","",AA1811-Z1811)</f>
        <v/>
      </c>
      <c r="AG1811">
        <f>IF(D1811="","",N(AG1810)+IF(MATCH(D1811,$D$2:$D$3001,0)=ROW()-1,1,0))</f>
        <v/>
      </c>
    </row>
    <row r="1812">
      <c r="Y1812" s="5">
        <f>IF(D1812="","",X1812*IF(AND(ISNUMBER(AC1812),AC1812&gt;0,AC1812&lt;1),AC1812*100,AC1812)/100)</f>
        <v/>
      </c>
      <c r="Z1812" s="5">
        <f>IF(D1812="","",AB1812*AA1812/100)</f>
        <v/>
      </c>
      <c r="AA1812" s="5">
        <f>IF(D1812="","",X1812-Y1812)</f>
        <v/>
      </c>
      <c r="AD1812" s="5">
        <f>IF(D1812="","",AA1812-Z1812)</f>
        <v/>
      </c>
      <c r="AG1812">
        <f>IF(D1812="","",N(AG1811)+IF(MATCH(D1812,$D$2:$D$3001,0)=ROW()-1,1,0))</f>
        <v/>
      </c>
    </row>
    <row r="1813">
      <c r="Y1813" s="5">
        <f>IF(D1813="","",X1813*IF(AND(ISNUMBER(AC1813),AC1813&gt;0,AC1813&lt;1),AC1813*100,AC1813)/100)</f>
        <v/>
      </c>
      <c r="Z1813" s="5">
        <f>IF(D1813="","",AB1813*AA1813/100)</f>
        <v/>
      </c>
      <c r="AA1813" s="5">
        <f>IF(D1813="","",X1813-Y1813)</f>
        <v/>
      </c>
      <c r="AD1813" s="5">
        <f>IF(D1813="","",AA1813-Z1813)</f>
        <v/>
      </c>
      <c r="AG1813">
        <f>IF(D1813="","",N(AG1812)+IF(MATCH(D1813,$D$2:$D$3001,0)=ROW()-1,1,0))</f>
        <v/>
      </c>
    </row>
    <row r="1814">
      <c r="Y1814" s="5">
        <f>IF(D1814="","",X1814*IF(AND(ISNUMBER(AC1814),AC1814&gt;0,AC1814&lt;1),AC1814*100,AC1814)/100)</f>
        <v/>
      </c>
      <c r="Z1814" s="5">
        <f>IF(D1814="","",AB1814*AA1814/100)</f>
        <v/>
      </c>
      <c r="AA1814" s="5">
        <f>IF(D1814="","",X1814-Y1814)</f>
        <v/>
      </c>
      <c r="AD1814" s="5">
        <f>IF(D1814="","",AA1814-Z1814)</f>
        <v/>
      </c>
      <c r="AG1814">
        <f>IF(D1814="","",N(AG1813)+IF(MATCH(D1814,$D$2:$D$3001,0)=ROW()-1,1,0))</f>
        <v/>
      </c>
    </row>
    <row r="1815">
      <c r="Y1815" s="5">
        <f>IF(D1815="","",X1815*IF(AND(ISNUMBER(AC1815),AC1815&gt;0,AC1815&lt;1),AC1815*100,AC1815)/100)</f>
        <v/>
      </c>
      <c r="Z1815" s="5">
        <f>IF(D1815="","",AB1815*AA1815/100)</f>
        <v/>
      </c>
      <c r="AA1815" s="5">
        <f>IF(D1815="","",X1815-Y1815)</f>
        <v/>
      </c>
      <c r="AD1815" s="5">
        <f>IF(D1815="","",AA1815-Z1815)</f>
        <v/>
      </c>
      <c r="AG1815">
        <f>IF(D1815="","",N(AG1814)+IF(MATCH(D1815,$D$2:$D$3001,0)=ROW()-1,1,0))</f>
        <v/>
      </c>
    </row>
    <row r="1816">
      <c r="Y1816" s="5">
        <f>IF(D1816="","",X1816*IF(AND(ISNUMBER(AC1816),AC1816&gt;0,AC1816&lt;1),AC1816*100,AC1816)/100)</f>
        <v/>
      </c>
      <c r="Z1816" s="5">
        <f>IF(D1816="","",AB1816*AA1816/100)</f>
        <v/>
      </c>
      <c r="AA1816" s="5">
        <f>IF(D1816="","",X1816-Y1816)</f>
        <v/>
      </c>
      <c r="AD1816" s="5">
        <f>IF(D1816="","",AA1816-Z1816)</f>
        <v/>
      </c>
      <c r="AG1816">
        <f>IF(D1816="","",N(AG1815)+IF(MATCH(D1816,$D$2:$D$3001,0)=ROW()-1,1,0))</f>
        <v/>
      </c>
    </row>
    <row r="1817">
      <c r="Y1817" s="5">
        <f>IF(D1817="","",X1817*IF(AND(ISNUMBER(AC1817),AC1817&gt;0,AC1817&lt;1),AC1817*100,AC1817)/100)</f>
        <v/>
      </c>
      <c r="Z1817" s="5">
        <f>IF(D1817="","",AB1817*AA1817/100)</f>
        <v/>
      </c>
      <c r="AA1817" s="5">
        <f>IF(D1817="","",X1817-Y1817)</f>
        <v/>
      </c>
      <c r="AD1817" s="5">
        <f>IF(D1817="","",AA1817-Z1817)</f>
        <v/>
      </c>
      <c r="AG1817">
        <f>IF(D1817="","",N(AG1816)+IF(MATCH(D1817,$D$2:$D$3001,0)=ROW()-1,1,0))</f>
        <v/>
      </c>
    </row>
    <row r="1818">
      <c r="Y1818" s="5">
        <f>IF(D1818="","",X1818*IF(AND(ISNUMBER(AC1818),AC1818&gt;0,AC1818&lt;1),AC1818*100,AC1818)/100)</f>
        <v/>
      </c>
      <c r="Z1818" s="5">
        <f>IF(D1818="","",AB1818*AA1818/100)</f>
        <v/>
      </c>
      <c r="AA1818" s="5">
        <f>IF(D1818="","",X1818-Y1818)</f>
        <v/>
      </c>
      <c r="AD1818" s="5">
        <f>IF(D1818="","",AA1818-Z1818)</f>
        <v/>
      </c>
      <c r="AG1818">
        <f>IF(D1818="","",N(AG1817)+IF(MATCH(D1818,$D$2:$D$3001,0)=ROW()-1,1,0))</f>
        <v/>
      </c>
    </row>
    <row r="1819">
      <c r="Y1819" s="5">
        <f>IF(D1819="","",X1819*IF(AND(ISNUMBER(AC1819),AC1819&gt;0,AC1819&lt;1),AC1819*100,AC1819)/100)</f>
        <v/>
      </c>
      <c r="Z1819" s="5">
        <f>IF(D1819="","",AB1819*AA1819/100)</f>
        <v/>
      </c>
      <c r="AA1819" s="5">
        <f>IF(D1819="","",X1819-Y1819)</f>
        <v/>
      </c>
      <c r="AD1819" s="5">
        <f>IF(D1819="","",AA1819-Z1819)</f>
        <v/>
      </c>
      <c r="AG1819">
        <f>IF(D1819="","",N(AG1818)+IF(MATCH(D1819,$D$2:$D$3001,0)=ROW()-1,1,0))</f>
        <v/>
      </c>
    </row>
    <row r="1820">
      <c r="Y1820" s="5">
        <f>IF(D1820="","",X1820*IF(AND(ISNUMBER(AC1820),AC1820&gt;0,AC1820&lt;1),AC1820*100,AC1820)/100)</f>
        <v/>
      </c>
      <c r="Z1820" s="5">
        <f>IF(D1820="","",AB1820*AA1820/100)</f>
        <v/>
      </c>
      <c r="AA1820" s="5">
        <f>IF(D1820="","",X1820-Y1820)</f>
        <v/>
      </c>
      <c r="AD1820" s="5">
        <f>IF(D1820="","",AA1820-Z1820)</f>
        <v/>
      </c>
      <c r="AG1820">
        <f>IF(D1820="","",N(AG1819)+IF(MATCH(D1820,$D$2:$D$3001,0)=ROW()-1,1,0))</f>
        <v/>
      </c>
    </row>
    <row r="1821">
      <c r="Y1821" s="5">
        <f>IF(D1821="","",X1821*IF(AND(ISNUMBER(AC1821),AC1821&gt;0,AC1821&lt;1),AC1821*100,AC1821)/100)</f>
        <v/>
      </c>
      <c r="Z1821" s="5">
        <f>IF(D1821="","",AB1821*AA1821/100)</f>
        <v/>
      </c>
      <c r="AA1821" s="5">
        <f>IF(D1821="","",X1821-Y1821)</f>
        <v/>
      </c>
      <c r="AD1821" s="5">
        <f>IF(D1821="","",AA1821-Z1821)</f>
        <v/>
      </c>
      <c r="AG1821">
        <f>IF(D1821="","",N(AG1820)+IF(MATCH(D1821,$D$2:$D$3001,0)=ROW()-1,1,0))</f>
        <v/>
      </c>
    </row>
    <row r="1822">
      <c r="Y1822" s="5">
        <f>IF(D1822="","",X1822*IF(AND(ISNUMBER(AC1822),AC1822&gt;0,AC1822&lt;1),AC1822*100,AC1822)/100)</f>
        <v/>
      </c>
      <c r="Z1822" s="5">
        <f>IF(D1822="","",AB1822*AA1822/100)</f>
        <v/>
      </c>
      <c r="AA1822" s="5">
        <f>IF(D1822="","",X1822-Y1822)</f>
        <v/>
      </c>
      <c r="AD1822" s="5">
        <f>IF(D1822="","",AA1822-Z1822)</f>
        <v/>
      </c>
      <c r="AG1822">
        <f>IF(D1822="","",N(AG1821)+IF(MATCH(D1822,$D$2:$D$3001,0)=ROW()-1,1,0))</f>
        <v/>
      </c>
    </row>
    <row r="1823">
      <c r="Y1823" s="5">
        <f>IF(D1823="","",X1823*IF(AND(ISNUMBER(AC1823),AC1823&gt;0,AC1823&lt;1),AC1823*100,AC1823)/100)</f>
        <v/>
      </c>
      <c r="Z1823" s="5">
        <f>IF(D1823="","",AB1823*AA1823/100)</f>
        <v/>
      </c>
      <c r="AA1823" s="5">
        <f>IF(D1823="","",X1823-Y1823)</f>
        <v/>
      </c>
      <c r="AD1823" s="5">
        <f>IF(D1823="","",AA1823-Z1823)</f>
        <v/>
      </c>
      <c r="AG1823">
        <f>IF(D1823="","",N(AG1822)+IF(MATCH(D1823,$D$2:$D$3001,0)=ROW()-1,1,0))</f>
        <v/>
      </c>
    </row>
    <row r="1824">
      <c r="Y1824" s="5">
        <f>IF(D1824="","",X1824*IF(AND(ISNUMBER(AC1824),AC1824&gt;0,AC1824&lt;1),AC1824*100,AC1824)/100)</f>
        <v/>
      </c>
      <c r="Z1824" s="5">
        <f>IF(D1824="","",AB1824*AA1824/100)</f>
        <v/>
      </c>
      <c r="AA1824" s="5">
        <f>IF(D1824="","",X1824-Y1824)</f>
        <v/>
      </c>
      <c r="AD1824" s="5">
        <f>IF(D1824="","",AA1824-Z1824)</f>
        <v/>
      </c>
      <c r="AG1824">
        <f>IF(D1824="","",N(AG1823)+IF(MATCH(D1824,$D$2:$D$3001,0)=ROW()-1,1,0))</f>
        <v/>
      </c>
    </row>
    <row r="1825">
      <c r="Y1825" s="5">
        <f>IF(D1825="","",X1825*IF(AND(ISNUMBER(AC1825),AC1825&gt;0,AC1825&lt;1),AC1825*100,AC1825)/100)</f>
        <v/>
      </c>
      <c r="Z1825" s="5">
        <f>IF(D1825="","",AB1825*AA1825/100)</f>
        <v/>
      </c>
      <c r="AA1825" s="5">
        <f>IF(D1825="","",X1825-Y1825)</f>
        <v/>
      </c>
      <c r="AD1825" s="5">
        <f>IF(D1825="","",AA1825-Z1825)</f>
        <v/>
      </c>
      <c r="AG1825">
        <f>IF(D1825="","",N(AG1824)+IF(MATCH(D1825,$D$2:$D$3001,0)=ROW()-1,1,0))</f>
        <v/>
      </c>
    </row>
    <row r="1826">
      <c r="Y1826" s="5">
        <f>IF(D1826="","",X1826*IF(AND(ISNUMBER(AC1826),AC1826&gt;0,AC1826&lt;1),AC1826*100,AC1826)/100)</f>
        <v/>
      </c>
      <c r="Z1826" s="5">
        <f>IF(D1826="","",AB1826*AA1826/100)</f>
        <v/>
      </c>
      <c r="AA1826" s="5">
        <f>IF(D1826="","",X1826-Y1826)</f>
        <v/>
      </c>
      <c r="AD1826" s="5">
        <f>IF(D1826="","",AA1826-Z1826)</f>
        <v/>
      </c>
      <c r="AG1826">
        <f>IF(D1826="","",N(AG1825)+IF(MATCH(D1826,$D$2:$D$3001,0)=ROW()-1,1,0))</f>
        <v/>
      </c>
    </row>
    <row r="1827">
      <c r="Y1827" s="5">
        <f>IF(D1827="","",X1827*IF(AND(ISNUMBER(AC1827),AC1827&gt;0,AC1827&lt;1),AC1827*100,AC1827)/100)</f>
        <v/>
      </c>
      <c r="Z1827" s="5">
        <f>IF(D1827="","",AB1827*AA1827/100)</f>
        <v/>
      </c>
      <c r="AA1827" s="5">
        <f>IF(D1827="","",X1827-Y1827)</f>
        <v/>
      </c>
      <c r="AD1827" s="5">
        <f>IF(D1827="","",AA1827-Z1827)</f>
        <v/>
      </c>
      <c r="AG1827">
        <f>IF(D1827="","",N(AG1826)+IF(MATCH(D1827,$D$2:$D$3001,0)=ROW()-1,1,0))</f>
        <v/>
      </c>
    </row>
    <row r="1828">
      <c r="Y1828" s="5">
        <f>IF(D1828="","",X1828*IF(AND(ISNUMBER(AC1828),AC1828&gt;0,AC1828&lt;1),AC1828*100,AC1828)/100)</f>
        <v/>
      </c>
      <c r="Z1828" s="5">
        <f>IF(D1828="","",AB1828*AA1828/100)</f>
        <v/>
      </c>
      <c r="AA1828" s="5">
        <f>IF(D1828="","",X1828-Y1828)</f>
        <v/>
      </c>
      <c r="AD1828" s="5">
        <f>IF(D1828="","",AA1828-Z1828)</f>
        <v/>
      </c>
      <c r="AG1828">
        <f>IF(D1828="","",N(AG1827)+IF(MATCH(D1828,$D$2:$D$3001,0)=ROW()-1,1,0))</f>
        <v/>
      </c>
    </row>
    <row r="1829">
      <c r="Y1829" s="5">
        <f>IF(D1829="","",X1829*IF(AND(ISNUMBER(AC1829),AC1829&gt;0,AC1829&lt;1),AC1829*100,AC1829)/100)</f>
        <v/>
      </c>
      <c r="Z1829" s="5">
        <f>IF(D1829="","",AB1829*AA1829/100)</f>
        <v/>
      </c>
      <c r="AA1829" s="5">
        <f>IF(D1829="","",X1829-Y1829)</f>
        <v/>
      </c>
      <c r="AD1829" s="5">
        <f>IF(D1829="","",AA1829-Z1829)</f>
        <v/>
      </c>
      <c r="AG1829">
        <f>IF(D1829="","",N(AG1828)+IF(MATCH(D1829,$D$2:$D$3001,0)=ROW()-1,1,0))</f>
        <v/>
      </c>
    </row>
    <row r="1830">
      <c r="Y1830" s="5">
        <f>IF(D1830="","",X1830*IF(AND(ISNUMBER(AC1830),AC1830&gt;0,AC1830&lt;1),AC1830*100,AC1830)/100)</f>
        <v/>
      </c>
      <c r="Z1830" s="5">
        <f>IF(D1830="","",AB1830*AA1830/100)</f>
        <v/>
      </c>
      <c r="AA1830" s="5">
        <f>IF(D1830="","",X1830-Y1830)</f>
        <v/>
      </c>
      <c r="AD1830" s="5">
        <f>IF(D1830="","",AA1830-Z1830)</f>
        <v/>
      </c>
      <c r="AG1830">
        <f>IF(D1830="","",N(AG1829)+IF(MATCH(D1830,$D$2:$D$3001,0)=ROW()-1,1,0))</f>
        <v/>
      </c>
    </row>
    <row r="1831">
      <c r="Y1831" s="5">
        <f>IF(D1831="","",X1831*IF(AND(ISNUMBER(AC1831),AC1831&gt;0,AC1831&lt;1),AC1831*100,AC1831)/100)</f>
        <v/>
      </c>
      <c r="Z1831" s="5">
        <f>IF(D1831="","",AB1831*AA1831/100)</f>
        <v/>
      </c>
      <c r="AA1831" s="5">
        <f>IF(D1831="","",X1831-Y1831)</f>
        <v/>
      </c>
      <c r="AD1831" s="5">
        <f>IF(D1831="","",AA1831-Z1831)</f>
        <v/>
      </c>
      <c r="AG1831">
        <f>IF(D1831="","",N(AG1830)+IF(MATCH(D1831,$D$2:$D$3001,0)=ROW()-1,1,0))</f>
        <v/>
      </c>
    </row>
    <row r="1832">
      <c r="Y1832" s="5">
        <f>IF(D1832="","",X1832*IF(AND(ISNUMBER(AC1832),AC1832&gt;0,AC1832&lt;1),AC1832*100,AC1832)/100)</f>
        <v/>
      </c>
      <c r="Z1832" s="5">
        <f>IF(D1832="","",AB1832*AA1832/100)</f>
        <v/>
      </c>
      <c r="AA1832" s="5">
        <f>IF(D1832="","",X1832-Y1832)</f>
        <v/>
      </c>
      <c r="AD1832" s="5">
        <f>IF(D1832="","",AA1832-Z1832)</f>
        <v/>
      </c>
      <c r="AG1832">
        <f>IF(D1832="","",N(AG1831)+IF(MATCH(D1832,$D$2:$D$3001,0)=ROW()-1,1,0))</f>
        <v/>
      </c>
    </row>
    <row r="1833">
      <c r="Y1833" s="5">
        <f>IF(D1833="","",X1833*IF(AND(ISNUMBER(AC1833),AC1833&gt;0,AC1833&lt;1),AC1833*100,AC1833)/100)</f>
        <v/>
      </c>
      <c r="Z1833" s="5">
        <f>IF(D1833="","",AB1833*AA1833/100)</f>
        <v/>
      </c>
      <c r="AA1833" s="5">
        <f>IF(D1833="","",X1833-Y1833)</f>
        <v/>
      </c>
      <c r="AD1833" s="5">
        <f>IF(D1833="","",AA1833-Z1833)</f>
        <v/>
      </c>
      <c r="AG1833">
        <f>IF(D1833="","",N(AG1832)+IF(MATCH(D1833,$D$2:$D$3001,0)=ROW()-1,1,0))</f>
        <v/>
      </c>
    </row>
    <row r="1834">
      <c r="Y1834" s="5">
        <f>IF(D1834="","",X1834*IF(AND(ISNUMBER(AC1834),AC1834&gt;0,AC1834&lt;1),AC1834*100,AC1834)/100)</f>
        <v/>
      </c>
      <c r="Z1834" s="5">
        <f>IF(D1834="","",AB1834*AA1834/100)</f>
        <v/>
      </c>
      <c r="AA1834" s="5">
        <f>IF(D1834="","",X1834-Y1834)</f>
        <v/>
      </c>
      <c r="AD1834" s="5">
        <f>IF(D1834="","",AA1834-Z1834)</f>
        <v/>
      </c>
      <c r="AG1834">
        <f>IF(D1834="","",N(AG1833)+IF(MATCH(D1834,$D$2:$D$3001,0)=ROW()-1,1,0))</f>
        <v/>
      </c>
    </row>
    <row r="1835">
      <c r="Y1835" s="5">
        <f>IF(D1835="","",X1835*IF(AND(ISNUMBER(AC1835),AC1835&gt;0,AC1835&lt;1),AC1835*100,AC1835)/100)</f>
        <v/>
      </c>
      <c r="Z1835" s="5">
        <f>IF(D1835="","",AB1835*AA1835/100)</f>
        <v/>
      </c>
      <c r="AA1835" s="5">
        <f>IF(D1835="","",X1835-Y1835)</f>
        <v/>
      </c>
      <c r="AD1835" s="5">
        <f>IF(D1835="","",AA1835-Z1835)</f>
        <v/>
      </c>
      <c r="AG1835">
        <f>IF(D1835="","",N(AG1834)+IF(MATCH(D1835,$D$2:$D$3001,0)=ROW()-1,1,0))</f>
        <v/>
      </c>
    </row>
    <row r="1836">
      <c r="Y1836" s="5">
        <f>IF(D1836="","",X1836*IF(AND(ISNUMBER(AC1836),AC1836&gt;0,AC1836&lt;1),AC1836*100,AC1836)/100)</f>
        <v/>
      </c>
      <c r="Z1836" s="5">
        <f>IF(D1836="","",AB1836*AA1836/100)</f>
        <v/>
      </c>
      <c r="AA1836" s="5">
        <f>IF(D1836="","",X1836-Y1836)</f>
        <v/>
      </c>
      <c r="AD1836" s="5">
        <f>IF(D1836="","",AA1836-Z1836)</f>
        <v/>
      </c>
      <c r="AG1836">
        <f>IF(D1836="","",N(AG1835)+IF(MATCH(D1836,$D$2:$D$3001,0)=ROW()-1,1,0))</f>
        <v/>
      </c>
    </row>
    <row r="1837">
      <c r="Y1837" s="5">
        <f>IF(D1837="","",X1837*IF(AND(ISNUMBER(AC1837),AC1837&gt;0,AC1837&lt;1),AC1837*100,AC1837)/100)</f>
        <v/>
      </c>
      <c r="Z1837" s="5">
        <f>IF(D1837="","",AB1837*AA1837/100)</f>
        <v/>
      </c>
      <c r="AA1837" s="5">
        <f>IF(D1837="","",X1837-Y1837)</f>
        <v/>
      </c>
      <c r="AD1837" s="5">
        <f>IF(D1837="","",AA1837-Z1837)</f>
        <v/>
      </c>
      <c r="AG1837">
        <f>IF(D1837="","",N(AG1836)+IF(MATCH(D1837,$D$2:$D$3001,0)=ROW()-1,1,0))</f>
        <v/>
      </c>
    </row>
    <row r="1838">
      <c r="Y1838" s="5">
        <f>IF(D1838="","",X1838*IF(AND(ISNUMBER(AC1838),AC1838&gt;0,AC1838&lt;1),AC1838*100,AC1838)/100)</f>
        <v/>
      </c>
      <c r="Z1838" s="5">
        <f>IF(D1838="","",AB1838*AA1838/100)</f>
        <v/>
      </c>
      <c r="AA1838" s="5">
        <f>IF(D1838="","",X1838-Y1838)</f>
        <v/>
      </c>
      <c r="AD1838" s="5">
        <f>IF(D1838="","",AA1838-Z1838)</f>
        <v/>
      </c>
      <c r="AG1838">
        <f>IF(D1838="","",N(AG1837)+IF(MATCH(D1838,$D$2:$D$3001,0)=ROW()-1,1,0))</f>
        <v/>
      </c>
    </row>
    <row r="1839">
      <c r="Y1839" s="5">
        <f>IF(D1839="","",X1839*IF(AND(ISNUMBER(AC1839),AC1839&gt;0,AC1839&lt;1),AC1839*100,AC1839)/100)</f>
        <v/>
      </c>
      <c r="Z1839" s="5">
        <f>IF(D1839="","",AB1839*AA1839/100)</f>
        <v/>
      </c>
      <c r="AA1839" s="5">
        <f>IF(D1839="","",X1839-Y1839)</f>
        <v/>
      </c>
      <c r="AD1839" s="5">
        <f>IF(D1839="","",AA1839-Z1839)</f>
        <v/>
      </c>
      <c r="AG1839">
        <f>IF(D1839="","",N(AG1838)+IF(MATCH(D1839,$D$2:$D$3001,0)=ROW()-1,1,0))</f>
        <v/>
      </c>
    </row>
    <row r="1840">
      <c r="Y1840" s="5">
        <f>IF(D1840="","",X1840*IF(AND(ISNUMBER(AC1840),AC1840&gt;0,AC1840&lt;1),AC1840*100,AC1840)/100)</f>
        <v/>
      </c>
      <c r="Z1840" s="5">
        <f>IF(D1840="","",AB1840*AA1840/100)</f>
        <v/>
      </c>
      <c r="AA1840" s="5">
        <f>IF(D1840="","",X1840-Y1840)</f>
        <v/>
      </c>
      <c r="AD1840" s="5">
        <f>IF(D1840="","",AA1840-Z1840)</f>
        <v/>
      </c>
      <c r="AG1840">
        <f>IF(D1840="","",N(AG1839)+IF(MATCH(D1840,$D$2:$D$3001,0)=ROW()-1,1,0))</f>
        <v/>
      </c>
    </row>
    <row r="1841">
      <c r="Y1841" s="5">
        <f>IF(D1841="","",X1841*IF(AND(ISNUMBER(AC1841),AC1841&gt;0,AC1841&lt;1),AC1841*100,AC1841)/100)</f>
        <v/>
      </c>
      <c r="Z1841" s="5">
        <f>IF(D1841="","",AB1841*AA1841/100)</f>
        <v/>
      </c>
      <c r="AA1841" s="5">
        <f>IF(D1841="","",X1841-Y1841)</f>
        <v/>
      </c>
      <c r="AD1841" s="5">
        <f>IF(D1841="","",AA1841-Z1841)</f>
        <v/>
      </c>
      <c r="AG1841">
        <f>IF(D1841="","",N(AG1840)+IF(MATCH(D1841,$D$2:$D$3001,0)=ROW()-1,1,0))</f>
        <v/>
      </c>
    </row>
    <row r="1842">
      <c r="Y1842" s="5">
        <f>IF(D1842="","",X1842*IF(AND(ISNUMBER(AC1842),AC1842&gt;0,AC1842&lt;1),AC1842*100,AC1842)/100)</f>
        <v/>
      </c>
      <c r="Z1842" s="5">
        <f>IF(D1842="","",AB1842*AA1842/100)</f>
        <v/>
      </c>
      <c r="AA1842" s="5">
        <f>IF(D1842="","",X1842-Y1842)</f>
        <v/>
      </c>
      <c r="AD1842" s="5">
        <f>IF(D1842="","",AA1842-Z1842)</f>
        <v/>
      </c>
      <c r="AG1842">
        <f>IF(D1842="","",N(AG1841)+IF(MATCH(D1842,$D$2:$D$3001,0)=ROW()-1,1,0))</f>
        <v/>
      </c>
    </row>
    <row r="1843">
      <c r="Y1843" s="5">
        <f>IF(D1843="","",X1843*IF(AND(ISNUMBER(AC1843),AC1843&gt;0,AC1843&lt;1),AC1843*100,AC1843)/100)</f>
        <v/>
      </c>
      <c r="Z1843" s="5">
        <f>IF(D1843="","",AB1843*AA1843/100)</f>
        <v/>
      </c>
      <c r="AA1843" s="5">
        <f>IF(D1843="","",X1843-Y1843)</f>
        <v/>
      </c>
      <c r="AD1843" s="5">
        <f>IF(D1843="","",AA1843-Z1843)</f>
        <v/>
      </c>
      <c r="AG1843">
        <f>IF(D1843="","",N(AG1842)+IF(MATCH(D1843,$D$2:$D$3001,0)=ROW()-1,1,0))</f>
        <v/>
      </c>
    </row>
    <row r="1844">
      <c r="Y1844" s="5">
        <f>IF(D1844="","",X1844*IF(AND(ISNUMBER(AC1844),AC1844&gt;0,AC1844&lt;1),AC1844*100,AC1844)/100)</f>
        <v/>
      </c>
      <c r="Z1844" s="5">
        <f>IF(D1844="","",AB1844*AA1844/100)</f>
        <v/>
      </c>
      <c r="AA1844" s="5">
        <f>IF(D1844="","",X1844-Y1844)</f>
        <v/>
      </c>
      <c r="AD1844" s="5">
        <f>IF(D1844="","",AA1844-Z1844)</f>
        <v/>
      </c>
      <c r="AG1844">
        <f>IF(D1844="","",N(AG1843)+IF(MATCH(D1844,$D$2:$D$3001,0)=ROW()-1,1,0))</f>
        <v/>
      </c>
    </row>
    <row r="1845">
      <c r="Y1845" s="5">
        <f>IF(D1845="","",X1845*IF(AND(ISNUMBER(AC1845),AC1845&gt;0,AC1845&lt;1),AC1845*100,AC1845)/100)</f>
        <v/>
      </c>
      <c r="Z1845" s="5">
        <f>IF(D1845="","",AB1845*AA1845/100)</f>
        <v/>
      </c>
      <c r="AA1845" s="5">
        <f>IF(D1845="","",X1845-Y1845)</f>
        <v/>
      </c>
      <c r="AD1845" s="5">
        <f>IF(D1845="","",AA1845-Z1845)</f>
        <v/>
      </c>
      <c r="AG1845">
        <f>IF(D1845="","",N(AG1844)+IF(MATCH(D1845,$D$2:$D$3001,0)=ROW()-1,1,0))</f>
        <v/>
      </c>
    </row>
    <row r="1846">
      <c r="Y1846" s="5">
        <f>IF(D1846="","",X1846*IF(AND(ISNUMBER(AC1846),AC1846&gt;0,AC1846&lt;1),AC1846*100,AC1846)/100)</f>
        <v/>
      </c>
      <c r="Z1846" s="5">
        <f>IF(D1846="","",AB1846*AA1846/100)</f>
        <v/>
      </c>
      <c r="AA1846" s="5">
        <f>IF(D1846="","",X1846-Y1846)</f>
        <v/>
      </c>
      <c r="AD1846" s="5">
        <f>IF(D1846="","",AA1846-Z1846)</f>
        <v/>
      </c>
      <c r="AG1846">
        <f>IF(D1846="","",N(AG1845)+IF(MATCH(D1846,$D$2:$D$3001,0)=ROW()-1,1,0))</f>
        <v/>
      </c>
    </row>
    <row r="1847">
      <c r="Y1847" s="5">
        <f>IF(D1847="","",X1847*IF(AND(ISNUMBER(AC1847),AC1847&gt;0,AC1847&lt;1),AC1847*100,AC1847)/100)</f>
        <v/>
      </c>
      <c r="Z1847" s="5">
        <f>IF(D1847="","",AB1847*AA1847/100)</f>
        <v/>
      </c>
      <c r="AA1847" s="5">
        <f>IF(D1847="","",X1847-Y1847)</f>
        <v/>
      </c>
      <c r="AD1847" s="5">
        <f>IF(D1847="","",AA1847-Z1847)</f>
        <v/>
      </c>
      <c r="AG1847">
        <f>IF(D1847="","",N(AG1846)+IF(MATCH(D1847,$D$2:$D$3001,0)=ROW()-1,1,0))</f>
        <v/>
      </c>
    </row>
    <row r="1848">
      <c r="Y1848" s="5">
        <f>IF(D1848="","",X1848*IF(AND(ISNUMBER(AC1848),AC1848&gt;0,AC1848&lt;1),AC1848*100,AC1848)/100)</f>
        <v/>
      </c>
      <c r="Z1848" s="5">
        <f>IF(D1848="","",AB1848*AA1848/100)</f>
        <v/>
      </c>
      <c r="AA1848" s="5">
        <f>IF(D1848="","",X1848-Y1848)</f>
        <v/>
      </c>
      <c r="AD1848" s="5">
        <f>IF(D1848="","",AA1848-Z1848)</f>
        <v/>
      </c>
      <c r="AG1848">
        <f>IF(D1848="","",N(AG1847)+IF(MATCH(D1848,$D$2:$D$3001,0)=ROW()-1,1,0))</f>
        <v/>
      </c>
    </row>
    <row r="1849">
      <c r="Y1849" s="5">
        <f>IF(D1849="","",X1849*IF(AND(ISNUMBER(AC1849),AC1849&gt;0,AC1849&lt;1),AC1849*100,AC1849)/100)</f>
        <v/>
      </c>
      <c r="Z1849" s="5">
        <f>IF(D1849="","",AB1849*AA1849/100)</f>
        <v/>
      </c>
      <c r="AA1849" s="5">
        <f>IF(D1849="","",X1849-Y1849)</f>
        <v/>
      </c>
      <c r="AD1849" s="5">
        <f>IF(D1849="","",AA1849-Z1849)</f>
        <v/>
      </c>
      <c r="AG1849">
        <f>IF(D1849="","",N(AG1848)+IF(MATCH(D1849,$D$2:$D$3001,0)=ROW()-1,1,0))</f>
        <v/>
      </c>
    </row>
    <row r="1850">
      <c r="Y1850" s="5">
        <f>IF(D1850="","",X1850*IF(AND(ISNUMBER(AC1850),AC1850&gt;0,AC1850&lt;1),AC1850*100,AC1850)/100)</f>
        <v/>
      </c>
      <c r="Z1850" s="5">
        <f>IF(D1850="","",AB1850*AA1850/100)</f>
        <v/>
      </c>
      <c r="AA1850" s="5">
        <f>IF(D1850="","",X1850-Y1850)</f>
        <v/>
      </c>
      <c r="AD1850" s="5">
        <f>IF(D1850="","",AA1850-Z1850)</f>
        <v/>
      </c>
      <c r="AG1850">
        <f>IF(D1850="","",N(AG1849)+IF(MATCH(D1850,$D$2:$D$3001,0)=ROW()-1,1,0))</f>
        <v/>
      </c>
    </row>
    <row r="1851">
      <c r="Y1851" s="5">
        <f>IF(D1851="","",X1851*IF(AND(ISNUMBER(AC1851),AC1851&gt;0,AC1851&lt;1),AC1851*100,AC1851)/100)</f>
        <v/>
      </c>
      <c r="Z1851" s="5">
        <f>IF(D1851="","",AB1851*AA1851/100)</f>
        <v/>
      </c>
      <c r="AA1851" s="5">
        <f>IF(D1851="","",X1851-Y1851)</f>
        <v/>
      </c>
      <c r="AD1851" s="5">
        <f>IF(D1851="","",AA1851-Z1851)</f>
        <v/>
      </c>
      <c r="AG1851">
        <f>IF(D1851="","",N(AG1850)+IF(MATCH(D1851,$D$2:$D$3001,0)=ROW()-1,1,0))</f>
        <v/>
      </c>
    </row>
    <row r="1852">
      <c r="Y1852" s="5">
        <f>IF(D1852="","",X1852*IF(AND(ISNUMBER(AC1852),AC1852&gt;0,AC1852&lt;1),AC1852*100,AC1852)/100)</f>
        <v/>
      </c>
      <c r="Z1852" s="5">
        <f>IF(D1852="","",AB1852*AA1852/100)</f>
        <v/>
      </c>
      <c r="AA1852" s="5">
        <f>IF(D1852="","",X1852-Y1852)</f>
        <v/>
      </c>
      <c r="AD1852" s="5">
        <f>IF(D1852="","",AA1852-Z1852)</f>
        <v/>
      </c>
      <c r="AG1852">
        <f>IF(D1852="","",N(AG1851)+IF(MATCH(D1852,$D$2:$D$3001,0)=ROW()-1,1,0))</f>
        <v/>
      </c>
    </row>
    <row r="1853">
      <c r="Y1853" s="5">
        <f>IF(D1853="","",X1853*IF(AND(ISNUMBER(AC1853),AC1853&gt;0,AC1853&lt;1),AC1853*100,AC1853)/100)</f>
        <v/>
      </c>
      <c r="Z1853" s="5">
        <f>IF(D1853="","",AB1853*AA1853/100)</f>
        <v/>
      </c>
      <c r="AA1853" s="5">
        <f>IF(D1853="","",X1853-Y1853)</f>
        <v/>
      </c>
      <c r="AD1853" s="5">
        <f>IF(D1853="","",AA1853-Z1853)</f>
        <v/>
      </c>
      <c r="AG1853">
        <f>IF(D1853="","",N(AG1852)+IF(MATCH(D1853,$D$2:$D$3001,0)=ROW()-1,1,0))</f>
        <v/>
      </c>
    </row>
    <row r="1854">
      <c r="Y1854" s="5">
        <f>IF(D1854="","",X1854*IF(AND(ISNUMBER(AC1854),AC1854&gt;0,AC1854&lt;1),AC1854*100,AC1854)/100)</f>
        <v/>
      </c>
      <c r="Z1854" s="5">
        <f>IF(D1854="","",AB1854*AA1854/100)</f>
        <v/>
      </c>
      <c r="AA1854" s="5">
        <f>IF(D1854="","",X1854-Y1854)</f>
        <v/>
      </c>
      <c r="AD1854" s="5">
        <f>IF(D1854="","",AA1854-Z1854)</f>
        <v/>
      </c>
      <c r="AG1854">
        <f>IF(D1854="","",N(AG1853)+IF(MATCH(D1854,$D$2:$D$3001,0)=ROW()-1,1,0))</f>
        <v/>
      </c>
    </row>
    <row r="1855">
      <c r="Y1855" s="5">
        <f>IF(D1855="","",X1855*IF(AND(ISNUMBER(AC1855),AC1855&gt;0,AC1855&lt;1),AC1855*100,AC1855)/100)</f>
        <v/>
      </c>
      <c r="Z1855" s="5">
        <f>IF(D1855="","",AB1855*AA1855/100)</f>
        <v/>
      </c>
      <c r="AA1855" s="5">
        <f>IF(D1855="","",X1855-Y1855)</f>
        <v/>
      </c>
      <c r="AD1855" s="5">
        <f>IF(D1855="","",AA1855-Z1855)</f>
        <v/>
      </c>
      <c r="AG1855">
        <f>IF(D1855="","",N(AG1854)+IF(MATCH(D1855,$D$2:$D$3001,0)=ROW()-1,1,0))</f>
        <v/>
      </c>
    </row>
    <row r="1856">
      <c r="Y1856" s="5">
        <f>IF(D1856="","",X1856*IF(AND(ISNUMBER(AC1856),AC1856&gt;0,AC1856&lt;1),AC1856*100,AC1856)/100)</f>
        <v/>
      </c>
      <c r="Z1856" s="5">
        <f>IF(D1856="","",AB1856*AA1856/100)</f>
        <v/>
      </c>
      <c r="AA1856" s="5">
        <f>IF(D1856="","",X1856-Y1856)</f>
        <v/>
      </c>
      <c r="AD1856" s="5">
        <f>IF(D1856="","",AA1856-Z1856)</f>
        <v/>
      </c>
      <c r="AG1856">
        <f>IF(D1856="","",N(AG1855)+IF(MATCH(D1856,$D$2:$D$3001,0)=ROW()-1,1,0))</f>
        <v/>
      </c>
    </row>
    <row r="1857">
      <c r="Y1857" s="5">
        <f>IF(D1857="","",X1857*IF(AND(ISNUMBER(AC1857),AC1857&gt;0,AC1857&lt;1),AC1857*100,AC1857)/100)</f>
        <v/>
      </c>
      <c r="Z1857" s="5">
        <f>IF(D1857="","",AB1857*AA1857/100)</f>
        <v/>
      </c>
      <c r="AA1857" s="5">
        <f>IF(D1857="","",X1857-Y1857)</f>
        <v/>
      </c>
      <c r="AD1857" s="5">
        <f>IF(D1857="","",AA1857-Z1857)</f>
        <v/>
      </c>
      <c r="AG1857">
        <f>IF(D1857="","",N(AG1856)+IF(MATCH(D1857,$D$2:$D$3001,0)=ROW()-1,1,0))</f>
        <v/>
      </c>
    </row>
    <row r="1858">
      <c r="Y1858" s="5">
        <f>IF(D1858="","",X1858*IF(AND(ISNUMBER(AC1858),AC1858&gt;0,AC1858&lt;1),AC1858*100,AC1858)/100)</f>
        <v/>
      </c>
      <c r="Z1858" s="5">
        <f>IF(D1858="","",AB1858*AA1858/100)</f>
        <v/>
      </c>
      <c r="AA1858" s="5">
        <f>IF(D1858="","",X1858-Y1858)</f>
        <v/>
      </c>
      <c r="AD1858" s="5">
        <f>IF(D1858="","",AA1858-Z1858)</f>
        <v/>
      </c>
      <c r="AG1858">
        <f>IF(D1858="","",N(AG1857)+IF(MATCH(D1858,$D$2:$D$3001,0)=ROW()-1,1,0))</f>
        <v/>
      </c>
    </row>
    <row r="1859">
      <c r="Y1859" s="5">
        <f>IF(D1859="","",X1859*IF(AND(ISNUMBER(AC1859),AC1859&gt;0,AC1859&lt;1),AC1859*100,AC1859)/100)</f>
        <v/>
      </c>
      <c r="Z1859" s="5">
        <f>IF(D1859="","",AB1859*AA1859/100)</f>
        <v/>
      </c>
      <c r="AA1859" s="5">
        <f>IF(D1859="","",X1859-Y1859)</f>
        <v/>
      </c>
      <c r="AD1859" s="5">
        <f>IF(D1859="","",AA1859-Z1859)</f>
        <v/>
      </c>
      <c r="AG1859">
        <f>IF(D1859="","",N(AG1858)+IF(MATCH(D1859,$D$2:$D$3001,0)=ROW()-1,1,0))</f>
        <v/>
      </c>
    </row>
    <row r="1860">
      <c r="Y1860" s="5">
        <f>IF(D1860="","",X1860*IF(AND(ISNUMBER(AC1860),AC1860&gt;0,AC1860&lt;1),AC1860*100,AC1860)/100)</f>
        <v/>
      </c>
      <c r="Z1860" s="5">
        <f>IF(D1860="","",AB1860*AA1860/100)</f>
        <v/>
      </c>
      <c r="AA1860" s="5">
        <f>IF(D1860="","",X1860-Y1860)</f>
        <v/>
      </c>
      <c r="AD1860" s="5">
        <f>IF(D1860="","",AA1860-Z1860)</f>
        <v/>
      </c>
      <c r="AG1860">
        <f>IF(D1860="","",N(AG1859)+IF(MATCH(D1860,$D$2:$D$3001,0)=ROW()-1,1,0))</f>
        <v/>
      </c>
    </row>
    <row r="1861">
      <c r="Y1861" s="5">
        <f>IF(D1861="","",X1861*IF(AND(ISNUMBER(AC1861),AC1861&gt;0,AC1861&lt;1),AC1861*100,AC1861)/100)</f>
        <v/>
      </c>
      <c r="Z1861" s="5">
        <f>IF(D1861="","",AB1861*AA1861/100)</f>
        <v/>
      </c>
      <c r="AA1861" s="5">
        <f>IF(D1861="","",X1861-Y1861)</f>
        <v/>
      </c>
      <c r="AD1861" s="5">
        <f>IF(D1861="","",AA1861-Z1861)</f>
        <v/>
      </c>
      <c r="AG1861">
        <f>IF(D1861="","",N(AG1860)+IF(MATCH(D1861,$D$2:$D$3001,0)=ROW()-1,1,0))</f>
        <v/>
      </c>
    </row>
    <row r="1862">
      <c r="Y1862" s="5">
        <f>IF(D1862="","",X1862*IF(AND(ISNUMBER(AC1862),AC1862&gt;0,AC1862&lt;1),AC1862*100,AC1862)/100)</f>
        <v/>
      </c>
      <c r="Z1862" s="5">
        <f>IF(D1862="","",AB1862*AA1862/100)</f>
        <v/>
      </c>
      <c r="AA1862" s="5">
        <f>IF(D1862="","",X1862-Y1862)</f>
        <v/>
      </c>
      <c r="AD1862" s="5">
        <f>IF(D1862="","",AA1862-Z1862)</f>
        <v/>
      </c>
      <c r="AG1862">
        <f>IF(D1862="","",N(AG1861)+IF(MATCH(D1862,$D$2:$D$3001,0)=ROW()-1,1,0))</f>
        <v/>
      </c>
    </row>
    <row r="1863">
      <c r="Y1863" s="5">
        <f>IF(D1863="","",X1863*IF(AND(ISNUMBER(AC1863),AC1863&gt;0,AC1863&lt;1),AC1863*100,AC1863)/100)</f>
        <v/>
      </c>
      <c r="Z1863" s="5">
        <f>IF(D1863="","",AB1863*AA1863/100)</f>
        <v/>
      </c>
      <c r="AA1863" s="5">
        <f>IF(D1863="","",X1863-Y1863)</f>
        <v/>
      </c>
      <c r="AD1863" s="5">
        <f>IF(D1863="","",AA1863-Z1863)</f>
        <v/>
      </c>
      <c r="AG1863">
        <f>IF(D1863="","",N(AG1862)+IF(MATCH(D1863,$D$2:$D$3001,0)=ROW()-1,1,0))</f>
        <v/>
      </c>
    </row>
    <row r="1864">
      <c r="Y1864" s="5">
        <f>IF(D1864="","",X1864*IF(AND(ISNUMBER(AC1864),AC1864&gt;0,AC1864&lt;1),AC1864*100,AC1864)/100)</f>
        <v/>
      </c>
      <c r="Z1864" s="5">
        <f>IF(D1864="","",AB1864*AA1864/100)</f>
        <v/>
      </c>
      <c r="AA1864" s="5">
        <f>IF(D1864="","",X1864-Y1864)</f>
        <v/>
      </c>
      <c r="AD1864" s="5">
        <f>IF(D1864="","",AA1864-Z1864)</f>
        <v/>
      </c>
      <c r="AG1864">
        <f>IF(D1864="","",N(AG1863)+IF(MATCH(D1864,$D$2:$D$3001,0)=ROW()-1,1,0))</f>
        <v/>
      </c>
    </row>
    <row r="1865">
      <c r="Y1865" s="5">
        <f>IF(D1865="","",X1865*IF(AND(ISNUMBER(AC1865),AC1865&gt;0,AC1865&lt;1),AC1865*100,AC1865)/100)</f>
        <v/>
      </c>
      <c r="Z1865" s="5">
        <f>IF(D1865="","",AB1865*AA1865/100)</f>
        <v/>
      </c>
      <c r="AA1865" s="5">
        <f>IF(D1865="","",X1865-Y1865)</f>
        <v/>
      </c>
      <c r="AD1865" s="5">
        <f>IF(D1865="","",AA1865-Z1865)</f>
        <v/>
      </c>
      <c r="AG1865">
        <f>IF(D1865="","",N(AG1864)+IF(MATCH(D1865,$D$2:$D$3001,0)=ROW()-1,1,0))</f>
        <v/>
      </c>
    </row>
    <row r="1866">
      <c r="Y1866" s="5">
        <f>IF(D1866="","",X1866*IF(AND(ISNUMBER(AC1866),AC1866&gt;0,AC1866&lt;1),AC1866*100,AC1866)/100)</f>
        <v/>
      </c>
      <c r="Z1866" s="5">
        <f>IF(D1866="","",AB1866*AA1866/100)</f>
        <v/>
      </c>
      <c r="AA1866" s="5">
        <f>IF(D1866="","",X1866-Y1866)</f>
        <v/>
      </c>
      <c r="AD1866" s="5">
        <f>IF(D1866="","",AA1866-Z1866)</f>
        <v/>
      </c>
      <c r="AG1866">
        <f>IF(D1866="","",N(AG1865)+IF(MATCH(D1866,$D$2:$D$3001,0)=ROW()-1,1,0))</f>
        <v/>
      </c>
    </row>
    <row r="1867">
      <c r="Y1867" s="5">
        <f>IF(D1867="","",X1867*IF(AND(ISNUMBER(AC1867),AC1867&gt;0,AC1867&lt;1),AC1867*100,AC1867)/100)</f>
        <v/>
      </c>
      <c r="Z1867" s="5">
        <f>IF(D1867="","",AB1867*AA1867/100)</f>
        <v/>
      </c>
      <c r="AA1867" s="5">
        <f>IF(D1867="","",X1867-Y1867)</f>
        <v/>
      </c>
      <c r="AD1867" s="5">
        <f>IF(D1867="","",AA1867-Z1867)</f>
        <v/>
      </c>
      <c r="AG1867">
        <f>IF(D1867="","",N(AG1866)+IF(MATCH(D1867,$D$2:$D$3001,0)=ROW()-1,1,0))</f>
        <v/>
      </c>
    </row>
    <row r="1868">
      <c r="Y1868" s="5">
        <f>IF(D1868="","",X1868*IF(AND(ISNUMBER(AC1868),AC1868&gt;0,AC1868&lt;1),AC1868*100,AC1868)/100)</f>
        <v/>
      </c>
      <c r="Z1868" s="5">
        <f>IF(D1868="","",AB1868*AA1868/100)</f>
        <v/>
      </c>
      <c r="AA1868" s="5">
        <f>IF(D1868="","",X1868-Y1868)</f>
        <v/>
      </c>
      <c r="AD1868" s="5">
        <f>IF(D1868="","",AA1868-Z1868)</f>
        <v/>
      </c>
      <c r="AG1868">
        <f>IF(D1868="","",N(AG1867)+IF(MATCH(D1868,$D$2:$D$3001,0)=ROW()-1,1,0))</f>
        <v/>
      </c>
    </row>
    <row r="1869">
      <c r="Y1869" s="5">
        <f>IF(D1869="","",X1869*IF(AND(ISNUMBER(AC1869),AC1869&gt;0,AC1869&lt;1),AC1869*100,AC1869)/100)</f>
        <v/>
      </c>
      <c r="Z1869" s="5">
        <f>IF(D1869="","",AB1869*AA1869/100)</f>
        <v/>
      </c>
      <c r="AA1869" s="5">
        <f>IF(D1869="","",X1869-Y1869)</f>
        <v/>
      </c>
      <c r="AD1869" s="5">
        <f>IF(D1869="","",AA1869-Z1869)</f>
        <v/>
      </c>
      <c r="AG1869">
        <f>IF(D1869="","",N(AG1868)+IF(MATCH(D1869,$D$2:$D$3001,0)=ROW()-1,1,0))</f>
        <v/>
      </c>
    </row>
    <row r="1870">
      <c r="Y1870" s="5">
        <f>IF(D1870="","",X1870*IF(AND(ISNUMBER(AC1870),AC1870&gt;0,AC1870&lt;1),AC1870*100,AC1870)/100)</f>
        <v/>
      </c>
      <c r="Z1870" s="5">
        <f>IF(D1870="","",AB1870*AA1870/100)</f>
        <v/>
      </c>
      <c r="AA1870" s="5">
        <f>IF(D1870="","",X1870-Y1870)</f>
        <v/>
      </c>
      <c r="AD1870" s="5">
        <f>IF(D1870="","",AA1870-Z1870)</f>
        <v/>
      </c>
      <c r="AG1870">
        <f>IF(D1870="","",N(AG1869)+IF(MATCH(D1870,$D$2:$D$3001,0)=ROW()-1,1,0))</f>
        <v/>
      </c>
    </row>
    <row r="1871">
      <c r="Y1871" s="5">
        <f>IF(D1871="","",X1871*IF(AND(ISNUMBER(AC1871),AC1871&gt;0,AC1871&lt;1),AC1871*100,AC1871)/100)</f>
        <v/>
      </c>
      <c r="Z1871" s="5">
        <f>IF(D1871="","",AB1871*AA1871/100)</f>
        <v/>
      </c>
      <c r="AA1871" s="5">
        <f>IF(D1871="","",X1871-Y1871)</f>
        <v/>
      </c>
      <c r="AD1871" s="5">
        <f>IF(D1871="","",AA1871-Z1871)</f>
        <v/>
      </c>
      <c r="AG1871">
        <f>IF(D1871="","",N(AG1870)+IF(MATCH(D1871,$D$2:$D$3001,0)=ROW()-1,1,0))</f>
        <v/>
      </c>
    </row>
    <row r="1872">
      <c r="Y1872" s="5">
        <f>IF(D1872="","",X1872*IF(AND(ISNUMBER(AC1872),AC1872&gt;0,AC1872&lt;1),AC1872*100,AC1872)/100)</f>
        <v/>
      </c>
      <c r="Z1872" s="5">
        <f>IF(D1872="","",AB1872*AA1872/100)</f>
        <v/>
      </c>
      <c r="AA1872" s="5">
        <f>IF(D1872="","",X1872-Y1872)</f>
        <v/>
      </c>
      <c r="AD1872" s="5">
        <f>IF(D1872="","",AA1872-Z1872)</f>
        <v/>
      </c>
      <c r="AG1872">
        <f>IF(D1872="","",N(AG1871)+IF(MATCH(D1872,$D$2:$D$3001,0)=ROW()-1,1,0))</f>
        <v/>
      </c>
    </row>
    <row r="1873">
      <c r="Y1873" s="5">
        <f>IF(D1873="","",X1873*IF(AND(ISNUMBER(AC1873),AC1873&gt;0,AC1873&lt;1),AC1873*100,AC1873)/100)</f>
        <v/>
      </c>
      <c r="Z1873" s="5">
        <f>IF(D1873="","",AB1873*AA1873/100)</f>
        <v/>
      </c>
      <c r="AA1873" s="5">
        <f>IF(D1873="","",X1873-Y1873)</f>
        <v/>
      </c>
      <c r="AD1873" s="5">
        <f>IF(D1873="","",AA1873-Z1873)</f>
        <v/>
      </c>
      <c r="AG1873">
        <f>IF(D1873="","",N(AG1872)+IF(MATCH(D1873,$D$2:$D$3001,0)=ROW()-1,1,0))</f>
        <v/>
      </c>
    </row>
    <row r="1874">
      <c r="Y1874" s="5">
        <f>IF(D1874="","",X1874*IF(AND(ISNUMBER(AC1874),AC1874&gt;0,AC1874&lt;1),AC1874*100,AC1874)/100)</f>
        <v/>
      </c>
      <c r="Z1874" s="5">
        <f>IF(D1874="","",AB1874*AA1874/100)</f>
        <v/>
      </c>
      <c r="AA1874" s="5">
        <f>IF(D1874="","",X1874-Y1874)</f>
        <v/>
      </c>
      <c r="AD1874" s="5">
        <f>IF(D1874="","",AA1874-Z1874)</f>
        <v/>
      </c>
      <c r="AG1874">
        <f>IF(D1874="","",N(AG1873)+IF(MATCH(D1874,$D$2:$D$3001,0)=ROW()-1,1,0))</f>
        <v/>
      </c>
    </row>
    <row r="1875">
      <c r="Y1875" s="5">
        <f>IF(D1875="","",X1875*IF(AND(ISNUMBER(AC1875),AC1875&gt;0,AC1875&lt;1),AC1875*100,AC1875)/100)</f>
        <v/>
      </c>
      <c r="Z1875" s="5">
        <f>IF(D1875="","",AB1875*AA1875/100)</f>
        <v/>
      </c>
      <c r="AA1875" s="5">
        <f>IF(D1875="","",X1875-Y1875)</f>
        <v/>
      </c>
      <c r="AD1875" s="5">
        <f>IF(D1875="","",AA1875-Z1875)</f>
        <v/>
      </c>
      <c r="AG1875">
        <f>IF(D1875="","",N(AG1874)+IF(MATCH(D1875,$D$2:$D$3001,0)=ROW()-1,1,0))</f>
        <v/>
      </c>
    </row>
    <row r="1876">
      <c r="Y1876" s="5">
        <f>IF(D1876="","",X1876*IF(AND(ISNUMBER(AC1876),AC1876&gt;0,AC1876&lt;1),AC1876*100,AC1876)/100)</f>
        <v/>
      </c>
      <c r="Z1876" s="5">
        <f>IF(D1876="","",AB1876*AA1876/100)</f>
        <v/>
      </c>
      <c r="AA1876" s="5">
        <f>IF(D1876="","",X1876-Y1876)</f>
        <v/>
      </c>
      <c r="AD1876" s="5">
        <f>IF(D1876="","",AA1876-Z1876)</f>
        <v/>
      </c>
      <c r="AG1876">
        <f>IF(D1876="","",N(AG1875)+IF(MATCH(D1876,$D$2:$D$3001,0)=ROW()-1,1,0))</f>
        <v/>
      </c>
    </row>
    <row r="1877">
      <c r="Y1877" s="5">
        <f>IF(D1877="","",X1877*IF(AND(ISNUMBER(AC1877),AC1877&gt;0,AC1877&lt;1),AC1877*100,AC1877)/100)</f>
        <v/>
      </c>
      <c r="Z1877" s="5">
        <f>IF(D1877="","",AB1877*AA1877/100)</f>
        <v/>
      </c>
      <c r="AA1877" s="5">
        <f>IF(D1877="","",X1877-Y1877)</f>
        <v/>
      </c>
      <c r="AD1877" s="5">
        <f>IF(D1877="","",AA1877-Z1877)</f>
        <v/>
      </c>
      <c r="AG1877">
        <f>IF(D1877="","",N(AG1876)+IF(MATCH(D1877,$D$2:$D$3001,0)=ROW()-1,1,0))</f>
        <v/>
      </c>
    </row>
    <row r="1878">
      <c r="Y1878" s="5">
        <f>IF(D1878="","",X1878*IF(AND(ISNUMBER(AC1878),AC1878&gt;0,AC1878&lt;1),AC1878*100,AC1878)/100)</f>
        <v/>
      </c>
      <c r="Z1878" s="5">
        <f>IF(D1878="","",AB1878*AA1878/100)</f>
        <v/>
      </c>
      <c r="AA1878" s="5">
        <f>IF(D1878="","",X1878-Y1878)</f>
        <v/>
      </c>
      <c r="AD1878" s="5">
        <f>IF(D1878="","",AA1878-Z1878)</f>
        <v/>
      </c>
      <c r="AG1878">
        <f>IF(D1878="","",N(AG1877)+IF(MATCH(D1878,$D$2:$D$3001,0)=ROW()-1,1,0))</f>
        <v/>
      </c>
    </row>
    <row r="1879">
      <c r="Y1879" s="5">
        <f>IF(D1879="","",X1879*IF(AND(ISNUMBER(AC1879),AC1879&gt;0,AC1879&lt;1),AC1879*100,AC1879)/100)</f>
        <v/>
      </c>
      <c r="Z1879" s="5">
        <f>IF(D1879="","",AB1879*AA1879/100)</f>
        <v/>
      </c>
      <c r="AA1879" s="5">
        <f>IF(D1879="","",X1879-Y1879)</f>
        <v/>
      </c>
      <c r="AD1879" s="5">
        <f>IF(D1879="","",AA1879-Z1879)</f>
        <v/>
      </c>
      <c r="AG1879">
        <f>IF(D1879="","",N(AG1878)+IF(MATCH(D1879,$D$2:$D$3001,0)=ROW()-1,1,0))</f>
        <v/>
      </c>
    </row>
    <row r="1880">
      <c r="Y1880" s="5">
        <f>IF(D1880="","",X1880*IF(AND(ISNUMBER(AC1880),AC1880&gt;0,AC1880&lt;1),AC1880*100,AC1880)/100)</f>
        <v/>
      </c>
      <c r="Z1880" s="5">
        <f>IF(D1880="","",AB1880*AA1880/100)</f>
        <v/>
      </c>
      <c r="AA1880" s="5">
        <f>IF(D1880="","",X1880-Y1880)</f>
        <v/>
      </c>
      <c r="AD1880" s="5">
        <f>IF(D1880="","",AA1880-Z1880)</f>
        <v/>
      </c>
      <c r="AG1880">
        <f>IF(D1880="","",N(AG1879)+IF(MATCH(D1880,$D$2:$D$3001,0)=ROW()-1,1,0))</f>
        <v/>
      </c>
    </row>
    <row r="1881">
      <c r="Y1881" s="5">
        <f>IF(D1881="","",X1881*IF(AND(ISNUMBER(AC1881),AC1881&gt;0,AC1881&lt;1),AC1881*100,AC1881)/100)</f>
        <v/>
      </c>
      <c r="Z1881" s="5">
        <f>IF(D1881="","",AB1881*AA1881/100)</f>
        <v/>
      </c>
      <c r="AA1881" s="5">
        <f>IF(D1881="","",X1881-Y1881)</f>
        <v/>
      </c>
      <c r="AD1881" s="5">
        <f>IF(D1881="","",AA1881-Z1881)</f>
        <v/>
      </c>
      <c r="AG1881">
        <f>IF(D1881="","",N(AG1880)+IF(MATCH(D1881,$D$2:$D$3001,0)=ROW()-1,1,0))</f>
        <v/>
      </c>
    </row>
    <row r="1882">
      <c r="Y1882" s="5">
        <f>IF(D1882="","",X1882*IF(AND(ISNUMBER(AC1882),AC1882&gt;0,AC1882&lt;1),AC1882*100,AC1882)/100)</f>
        <v/>
      </c>
      <c r="Z1882" s="5">
        <f>IF(D1882="","",AB1882*AA1882/100)</f>
        <v/>
      </c>
      <c r="AA1882" s="5">
        <f>IF(D1882="","",X1882-Y1882)</f>
        <v/>
      </c>
      <c r="AD1882" s="5">
        <f>IF(D1882="","",AA1882-Z1882)</f>
        <v/>
      </c>
      <c r="AG1882">
        <f>IF(D1882="","",N(AG1881)+IF(MATCH(D1882,$D$2:$D$3001,0)=ROW()-1,1,0))</f>
        <v/>
      </c>
    </row>
    <row r="1883">
      <c r="Y1883" s="5">
        <f>IF(D1883="","",X1883*IF(AND(ISNUMBER(AC1883),AC1883&gt;0,AC1883&lt;1),AC1883*100,AC1883)/100)</f>
        <v/>
      </c>
      <c r="Z1883" s="5">
        <f>IF(D1883="","",AB1883*AA1883/100)</f>
        <v/>
      </c>
      <c r="AA1883" s="5">
        <f>IF(D1883="","",X1883-Y1883)</f>
        <v/>
      </c>
      <c r="AD1883" s="5">
        <f>IF(D1883="","",AA1883-Z1883)</f>
        <v/>
      </c>
      <c r="AG1883">
        <f>IF(D1883="","",N(AG1882)+IF(MATCH(D1883,$D$2:$D$3001,0)=ROW()-1,1,0))</f>
        <v/>
      </c>
    </row>
    <row r="1884">
      <c r="Y1884" s="5">
        <f>IF(D1884="","",X1884*IF(AND(ISNUMBER(AC1884),AC1884&gt;0,AC1884&lt;1),AC1884*100,AC1884)/100)</f>
        <v/>
      </c>
      <c r="Z1884" s="5">
        <f>IF(D1884="","",AB1884*AA1884/100)</f>
        <v/>
      </c>
      <c r="AA1884" s="5">
        <f>IF(D1884="","",X1884-Y1884)</f>
        <v/>
      </c>
      <c r="AD1884" s="5">
        <f>IF(D1884="","",AA1884-Z1884)</f>
        <v/>
      </c>
      <c r="AG1884">
        <f>IF(D1884="","",N(AG1883)+IF(MATCH(D1884,$D$2:$D$3001,0)=ROW()-1,1,0))</f>
        <v/>
      </c>
    </row>
    <row r="1885">
      <c r="Y1885" s="5">
        <f>IF(D1885="","",X1885*IF(AND(ISNUMBER(AC1885),AC1885&gt;0,AC1885&lt;1),AC1885*100,AC1885)/100)</f>
        <v/>
      </c>
      <c r="Z1885" s="5">
        <f>IF(D1885="","",AB1885*AA1885/100)</f>
        <v/>
      </c>
      <c r="AA1885" s="5">
        <f>IF(D1885="","",X1885-Y1885)</f>
        <v/>
      </c>
      <c r="AD1885" s="5">
        <f>IF(D1885="","",AA1885-Z1885)</f>
        <v/>
      </c>
      <c r="AG1885">
        <f>IF(D1885="","",N(AG1884)+IF(MATCH(D1885,$D$2:$D$3001,0)=ROW()-1,1,0))</f>
        <v/>
      </c>
    </row>
    <row r="1886">
      <c r="Y1886" s="5">
        <f>IF(D1886="","",X1886*IF(AND(ISNUMBER(AC1886),AC1886&gt;0,AC1886&lt;1),AC1886*100,AC1886)/100)</f>
        <v/>
      </c>
      <c r="Z1886" s="5">
        <f>IF(D1886="","",AB1886*AA1886/100)</f>
        <v/>
      </c>
      <c r="AA1886" s="5">
        <f>IF(D1886="","",X1886-Y1886)</f>
        <v/>
      </c>
      <c r="AD1886" s="5">
        <f>IF(D1886="","",AA1886-Z1886)</f>
        <v/>
      </c>
      <c r="AG1886">
        <f>IF(D1886="","",N(AG1885)+IF(MATCH(D1886,$D$2:$D$3001,0)=ROW()-1,1,0))</f>
        <v/>
      </c>
    </row>
    <row r="1887">
      <c r="Y1887" s="5">
        <f>IF(D1887="","",X1887*IF(AND(ISNUMBER(AC1887),AC1887&gt;0,AC1887&lt;1),AC1887*100,AC1887)/100)</f>
        <v/>
      </c>
      <c r="Z1887" s="5">
        <f>IF(D1887="","",AB1887*AA1887/100)</f>
        <v/>
      </c>
      <c r="AA1887" s="5">
        <f>IF(D1887="","",X1887-Y1887)</f>
        <v/>
      </c>
      <c r="AD1887" s="5">
        <f>IF(D1887="","",AA1887-Z1887)</f>
        <v/>
      </c>
      <c r="AG1887">
        <f>IF(D1887="","",N(AG1886)+IF(MATCH(D1887,$D$2:$D$3001,0)=ROW()-1,1,0))</f>
        <v/>
      </c>
    </row>
    <row r="1888">
      <c r="Y1888" s="5">
        <f>IF(D1888="","",X1888*IF(AND(ISNUMBER(AC1888),AC1888&gt;0,AC1888&lt;1),AC1888*100,AC1888)/100)</f>
        <v/>
      </c>
      <c r="Z1888" s="5">
        <f>IF(D1888="","",AB1888*AA1888/100)</f>
        <v/>
      </c>
      <c r="AA1888" s="5">
        <f>IF(D1888="","",X1888-Y1888)</f>
        <v/>
      </c>
      <c r="AD1888" s="5">
        <f>IF(D1888="","",AA1888-Z1888)</f>
        <v/>
      </c>
      <c r="AG1888">
        <f>IF(D1888="","",N(AG1887)+IF(MATCH(D1888,$D$2:$D$3001,0)=ROW()-1,1,0))</f>
        <v/>
      </c>
    </row>
    <row r="1889">
      <c r="Y1889" s="5">
        <f>IF(D1889="","",X1889*IF(AND(ISNUMBER(AC1889),AC1889&gt;0,AC1889&lt;1),AC1889*100,AC1889)/100)</f>
        <v/>
      </c>
      <c r="Z1889" s="5">
        <f>IF(D1889="","",AB1889*AA1889/100)</f>
        <v/>
      </c>
      <c r="AA1889" s="5">
        <f>IF(D1889="","",X1889-Y1889)</f>
        <v/>
      </c>
      <c r="AD1889" s="5">
        <f>IF(D1889="","",AA1889-Z1889)</f>
        <v/>
      </c>
      <c r="AG1889">
        <f>IF(D1889="","",N(AG1888)+IF(MATCH(D1889,$D$2:$D$3001,0)=ROW()-1,1,0))</f>
        <v/>
      </c>
    </row>
    <row r="1890">
      <c r="Y1890" s="5">
        <f>IF(D1890="","",X1890*IF(AND(ISNUMBER(AC1890),AC1890&gt;0,AC1890&lt;1),AC1890*100,AC1890)/100)</f>
        <v/>
      </c>
      <c r="Z1890" s="5">
        <f>IF(D1890="","",AB1890*AA1890/100)</f>
        <v/>
      </c>
      <c r="AA1890" s="5">
        <f>IF(D1890="","",X1890-Y1890)</f>
        <v/>
      </c>
      <c r="AD1890" s="5">
        <f>IF(D1890="","",AA1890-Z1890)</f>
        <v/>
      </c>
      <c r="AG1890">
        <f>IF(D1890="","",N(AG1889)+IF(MATCH(D1890,$D$2:$D$3001,0)=ROW()-1,1,0))</f>
        <v/>
      </c>
    </row>
    <row r="1891">
      <c r="Y1891" s="5">
        <f>IF(D1891="","",X1891*IF(AND(ISNUMBER(AC1891),AC1891&gt;0,AC1891&lt;1),AC1891*100,AC1891)/100)</f>
        <v/>
      </c>
      <c r="Z1891" s="5">
        <f>IF(D1891="","",AB1891*AA1891/100)</f>
        <v/>
      </c>
      <c r="AA1891" s="5">
        <f>IF(D1891="","",X1891-Y1891)</f>
        <v/>
      </c>
      <c r="AD1891" s="5">
        <f>IF(D1891="","",AA1891-Z1891)</f>
        <v/>
      </c>
      <c r="AG1891">
        <f>IF(D1891="","",N(AG1890)+IF(MATCH(D1891,$D$2:$D$3001,0)=ROW()-1,1,0))</f>
        <v/>
      </c>
    </row>
    <row r="1892">
      <c r="Y1892" s="5">
        <f>IF(D1892="","",X1892*IF(AND(ISNUMBER(AC1892),AC1892&gt;0,AC1892&lt;1),AC1892*100,AC1892)/100)</f>
        <v/>
      </c>
      <c r="Z1892" s="5">
        <f>IF(D1892="","",AB1892*AA1892/100)</f>
        <v/>
      </c>
      <c r="AA1892" s="5">
        <f>IF(D1892="","",X1892-Y1892)</f>
        <v/>
      </c>
      <c r="AD1892" s="5">
        <f>IF(D1892="","",AA1892-Z1892)</f>
        <v/>
      </c>
      <c r="AG1892">
        <f>IF(D1892="","",N(AG1891)+IF(MATCH(D1892,$D$2:$D$3001,0)=ROW()-1,1,0))</f>
        <v/>
      </c>
    </row>
    <row r="1893">
      <c r="Y1893" s="5">
        <f>IF(D1893="","",X1893*IF(AND(ISNUMBER(AC1893),AC1893&gt;0,AC1893&lt;1),AC1893*100,AC1893)/100)</f>
        <v/>
      </c>
      <c r="Z1893" s="5">
        <f>IF(D1893="","",AB1893*AA1893/100)</f>
        <v/>
      </c>
      <c r="AA1893" s="5">
        <f>IF(D1893="","",X1893-Y1893)</f>
        <v/>
      </c>
      <c r="AD1893" s="5">
        <f>IF(D1893="","",AA1893-Z1893)</f>
        <v/>
      </c>
      <c r="AG1893">
        <f>IF(D1893="","",N(AG1892)+IF(MATCH(D1893,$D$2:$D$3001,0)=ROW()-1,1,0))</f>
        <v/>
      </c>
    </row>
    <row r="1894">
      <c r="Y1894" s="5">
        <f>IF(D1894="","",X1894*IF(AND(ISNUMBER(AC1894),AC1894&gt;0,AC1894&lt;1),AC1894*100,AC1894)/100)</f>
        <v/>
      </c>
      <c r="Z1894" s="5">
        <f>IF(D1894="","",AB1894*AA1894/100)</f>
        <v/>
      </c>
      <c r="AA1894" s="5">
        <f>IF(D1894="","",X1894-Y1894)</f>
        <v/>
      </c>
      <c r="AD1894" s="5">
        <f>IF(D1894="","",AA1894-Z1894)</f>
        <v/>
      </c>
      <c r="AG1894">
        <f>IF(D1894="","",N(AG1893)+IF(MATCH(D1894,$D$2:$D$3001,0)=ROW()-1,1,0))</f>
        <v/>
      </c>
    </row>
    <row r="1895">
      <c r="Y1895" s="5">
        <f>IF(D1895="","",X1895*IF(AND(ISNUMBER(AC1895),AC1895&gt;0,AC1895&lt;1),AC1895*100,AC1895)/100)</f>
        <v/>
      </c>
      <c r="Z1895" s="5">
        <f>IF(D1895="","",AB1895*AA1895/100)</f>
        <v/>
      </c>
      <c r="AA1895" s="5">
        <f>IF(D1895="","",X1895-Y1895)</f>
        <v/>
      </c>
      <c r="AD1895" s="5">
        <f>IF(D1895="","",AA1895-Z1895)</f>
        <v/>
      </c>
      <c r="AG1895">
        <f>IF(D1895="","",N(AG1894)+IF(MATCH(D1895,$D$2:$D$3001,0)=ROW()-1,1,0))</f>
        <v/>
      </c>
    </row>
    <row r="1896">
      <c r="Y1896" s="5">
        <f>IF(D1896="","",X1896*IF(AND(ISNUMBER(AC1896),AC1896&gt;0,AC1896&lt;1),AC1896*100,AC1896)/100)</f>
        <v/>
      </c>
      <c r="Z1896" s="5">
        <f>IF(D1896="","",AB1896*AA1896/100)</f>
        <v/>
      </c>
      <c r="AA1896" s="5">
        <f>IF(D1896="","",X1896-Y1896)</f>
        <v/>
      </c>
      <c r="AD1896" s="5">
        <f>IF(D1896="","",AA1896-Z1896)</f>
        <v/>
      </c>
      <c r="AG1896">
        <f>IF(D1896="","",N(AG1895)+IF(MATCH(D1896,$D$2:$D$3001,0)=ROW()-1,1,0))</f>
        <v/>
      </c>
    </row>
    <row r="1897">
      <c r="Y1897" s="5">
        <f>IF(D1897="","",X1897*IF(AND(ISNUMBER(AC1897),AC1897&gt;0,AC1897&lt;1),AC1897*100,AC1897)/100)</f>
        <v/>
      </c>
      <c r="Z1897" s="5">
        <f>IF(D1897="","",AB1897*AA1897/100)</f>
        <v/>
      </c>
      <c r="AA1897" s="5">
        <f>IF(D1897="","",X1897-Y1897)</f>
        <v/>
      </c>
      <c r="AD1897" s="5">
        <f>IF(D1897="","",AA1897-Z1897)</f>
        <v/>
      </c>
      <c r="AG1897">
        <f>IF(D1897="","",N(AG1896)+IF(MATCH(D1897,$D$2:$D$3001,0)=ROW()-1,1,0))</f>
        <v/>
      </c>
    </row>
    <row r="1898">
      <c r="Y1898" s="5">
        <f>IF(D1898="","",X1898*IF(AND(ISNUMBER(AC1898),AC1898&gt;0,AC1898&lt;1),AC1898*100,AC1898)/100)</f>
        <v/>
      </c>
      <c r="Z1898" s="5">
        <f>IF(D1898="","",AB1898*AA1898/100)</f>
        <v/>
      </c>
      <c r="AA1898" s="5">
        <f>IF(D1898="","",X1898-Y1898)</f>
        <v/>
      </c>
      <c r="AD1898" s="5">
        <f>IF(D1898="","",AA1898-Z1898)</f>
        <v/>
      </c>
      <c r="AG1898">
        <f>IF(D1898="","",N(AG1897)+IF(MATCH(D1898,$D$2:$D$3001,0)=ROW()-1,1,0))</f>
        <v/>
      </c>
    </row>
    <row r="1899">
      <c r="Y1899" s="5">
        <f>IF(D1899="","",X1899*IF(AND(ISNUMBER(AC1899),AC1899&gt;0,AC1899&lt;1),AC1899*100,AC1899)/100)</f>
        <v/>
      </c>
      <c r="Z1899" s="5">
        <f>IF(D1899="","",AB1899*AA1899/100)</f>
        <v/>
      </c>
      <c r="AA1899" s="5">
        <f>IF(D1899="","",X1899-Y1899)</f>
        <v/>
      </c>
      <c r="AD1899" s="5">
        <f>IF(D1899="","",AA1899-Z1899)</f>
        <v/>
      </c>
      <c r="AG1899">
        <f>IF(D1899="","",N(AG1898)+IF(MATCH(D1899,$D$2:$D$3001,0)=ROW()-1,1,0))</f>
        <v/>
      </c>
    </row>
    <row r="1900">
      <c r="Y1900" s="5">
        <f>IF(D1900="","",X1900*IF(AND(ISNUMBER(AC1900),AC1900&gt;0,AC1900&lt;1),AC1900*100,AC1900)/100)</f>
        <v/>
      </c>
      <c r="Z1900" s="5">
        <f>IF(D1900="","",AB1900*AA1900/100)</f>
        <v/>
      </c>
      <c r="AA1900" s="5">
        <f>IF(D1900="","",X1900-Y1900)</f>
        <v/>
      </c>
      <c r="AD1900" s="5">
        <f>IF(D1900="","",AA1900-Z1900)</f>
        <v/>
      </c>
      <c r="AG1900">
        <f>IF(D1900="","",N(AG1899)+IF(MATCH(D1900,$D$2:$D$3001,0)=ROW()-1,1,0))</f>
        <v/>
      </c>
    </row>
    <row r="1901">
      <c r="Y1901" s="5">
        <f>IF(D1901="","",X1901*IF(AND(ISNUMBER(AC1901),AC1901&gt;0,AC1901&lt;1),AC1901*100,AC1901)/100)</f>
        <v/>
      </c>
      <c r="Z1901" s="5">
        <f>IF(D1901="","",AB1901*AA1901/100)</f>
        <v/>
      </c>
      <c r="AA1901" s="5">
        <f>IF(D1901="","",X1901-Y1901)</f>
        <v/>
      </c>
      <c r="AD1901" s="5">
        <f>IF(D1901="","",AA1901-Z1901)</f>
        <v/>
      </c>
      <c r="AG1901">
        <f>IF(D1901="","",N(AG1900)+IF(MATCH(D1901,$D$2:$D$3001,0)=ROW()-1,1,0))</f>
        <v/>
      </c>
    </row>
    <row r="1902">
      <c r="Y1902" s="5">
        <f>IF(D1902="","",X1902*IF(AND(ISNUMBER(AC1902),AC1902&gt;0,AC1902&lt;1),AC1902*100,AC1902)/100)</f>
        <v/>
      </c>
      <c r="Z1902" s="5">
        <f>IF(D1902="","",AB1902*AA1902/100)</f>
        <v/>
      </c>
      <c r="AA1902" s="5">
        <f>IF(D1902="","",X1902-Y1902)</f>
        <v/>
      </c>
      <c r="AD1902" s="5">
        <f>IF(D1902="","",AA1902-Z1902)</f>
        <v/>
      </c>
      <c r="AG1902">
        <f>IF(D1902="","",N(AG1901)+IF(MATCH(D1902,$D$2:$D$3001,0)=ROW()-1,1,0))</f>
        <v/>
      </c>
    </row>
    <row r="1903">
      <c r="Y1903" s="5">
        <f>IF(D1903="","",X1903*IF(AND(ISNUMBER(AC1903),AC1903&gt;0,AC1903&lt;1),AC1903*100,AC1903)/100)</f>
        <v/>
      </c>
      <c r="Z1903" s="5">
        <f>IF(D1903="","",AB1903*AA1903/100)</f>
        <v/>
      </c>
      <c r="AA1903" s="5">
        <f>IF(D1903="","",X1903-Y1903)</f>
        <v/>
      </c>
      <c r="AD1903" s="5">
        <f>IF(D1903="","",AA1903-Z1903)</f>
        <v/>
      </c>
      <c r="AG1903">
        <f>IF(D1903="","",N(AG1902)+IF(MATCH(D1903,$D$2:$D$3001,0)=ROW()-1,1,0))</f>
        <v/>
      </c>
    </row>
    <row r="1904">
      <c r="Y1904" s="5">
        <f>IF(D1904="","",X1904*IF(AND(ISNUMBER(AC1904),AC1904&gt;0,AC1904&lt;1),AC1904*100,AC1904)/100)</f>
        <v/>
      </c>
      <c r="Z1904" s="5">
        <f>IF(D1904="","",AB1904*AA1904/100)</f>
        <v/>
      </c>
      <c r="AA1904" s="5">
        <f>IF(D1904="","",X1904-Y1904)</f>
        <v/>
      </c>
      <c r="AD1904" s="5">
        <f>IF(D1904="","",AA1904-Z1904)</f>
        <v/>
      </c>
      <c r="AG1904">
        <f>IF(D1904="","",N(AG1903)+IF(MATCH(D1904,$D$2:$D$3001,0)=ROW()-1,1,0))</f>
        <v/>
      </c>
    </row>
    <row r="1905">
      <c r="Y1905" s="5">
        <f>IF(D1905="","",X1905*IF(AND(ISNUMBER(AC1905),AC1905&gt;0,AC1905&lt;1),AC1905*100,AC1905)/100)</f>
        <v/>
      </c>
      <c r="Z1905" s="5">
        <f>IF(D1905="","",AB1905*AA1905/100)</f>
        <v/>
      </c>
      <c r="AA1905" s="5">
        <f>IF(D1905="","",X1905-Y1905)</f>
        <v/>
      </c>
      <c r="AD1905" s="5">
        <f>IF(D1905="","",AA1905-Z1905)</f>
        <v/>
      </c>
      <c r="AG1905">
        <f>IF(D1905="","",N(AG1904)+IF(MATCH(D1905,$D$2:$D$3001,0)=ROW()-1,1,0))</f>
        <v/>
      </c>
    </row>
    <row r="1906">
      <c r="Y1906" s="5">
        <f>IF(D1906="","",X1906*IF(AND(ISNUMBER(AC1906),AC1906&gt;0,AC1906&lt;1),AC1906*100,AC1906)/100)</f>
        <v/>
      </c>
      <c r="Z1906" s="5">
        <f>IF(D1906="","",AB1906*AA1906/100)</f>
        <v/>
      </c>
      <c r="AA1906" s="5">
        <f>IF(D1906="","",X1906-Y1906)</f>
        <v/>
      </c>
      <c r="AD1906" s="5">
        <f>IF(D1906="","",AA1906-Z1906)</f>
        <v/>
      </c>
      <c r="AG1906">
        <f>IF(D1906="","",N(AG1905)+IF(MATCH(D1906,$D$2:$D$3001,0)=ROW()-1,1,0))</f>
        <v/>
      </c>
    </row>
    <row r="1907">
      <c r="Y1907" s="5">
        <f>IF(D1907="","",X1907*IF(AND(ISNUMBER(AC1907),AC1907&gt;0,AC1907&lt;1),AC1907*100,AC1907)/100)</f>
        <v/>
      </c>
      <c r="Z1907" s="5">
        <f>IF(D1907="","",AB1907*AA1907/100)</f>
        <v/>
      </c>
      <c r="AA1907" s="5">
        <f>IF(D1907="","",X1907-Y1907)</f>
        <v/>
      </c>
      <c r="AD1907" s="5">
        <f>IF(D1907="","",AA1907-Z1907)</f>
        <v/>
      </c>
      <c r="AG1907">
        <f>IF(D1907="","",N(AG1906)+IF(MATCH(D1907,$D$2:$D$3001,0)=ROW()-1,1,0))</f>
        <v/>
      </c>
    </row>
    <row r="1908">
      <c r="Y1908" s="5">
        <f>IF(D1908="","",X1908*IF(AND(ISNUMBER(AC1908),AC1908&gt;0,AC1908&lt;1),AC1908*100,AC1908)/100)</f>
        <v/>
      </c>
      <c r="Z1908" s="5">
        <f>IF(D1908="","",AB1908*AA1908/100)</f>
        <v/>
      </c>
      <c r="AA1908" s="5">
        <f>IF(D1908="","",X1908-Y1908)</f>
        <v/>
      </c>
      <c r="AD1908" s="5">
        <f>IF(D1908="","",AA1908-Z1908)</f>
        <v/>
      </c>
      <c r="AG1908">
        <f>IF(D1908="","",N(AG1907)+IF(MATCH(D1908,$D$2:$D$3001,0)=ROW()-1,1,0))</f>
        <v/>
      </c>
    </row>
    <row r="1909">
      <c r="Y1909" s="5">
        <f>IF(D1909="","",X1909*IF(AND(ISNUMBER(AC1909),AC1909&gt;0,AC1909&lt;1),AC1909*100,AC1909)/100)</f>
        <v/>
      </c>
      <c r="Z1909" s="5">
        <f>IF(D1909="","",AB1909*AA1909/100)</f>
        <v/>
      </c>
      <c r="AA1909" s="5">
        <f>IF(D1909="","",X1909-Y1909)</f>
        <v/>
      </c>
      <c r="AD1909" s="5">
        <f>IF(D1909="","",AA1909-Z1909)</f>
        <v/>
      </c>
      <c r="AG1909">
        <f>IF(D1909="","",N(AG1908)+IF(MATCH(D1909,$D$2:$D$3001,0)=ROW()-1,1,0))</f>
        <v/>
      </c>
    </row>
    <row r="1910">
      <c r="Y1910" s="5">
        <f>IF(D1910="","",X1910*IF(AND(ISNUMBER(AC1910),AC1910&gt;0,AC1910&lt;1),AC1910*100,AC1910)/100)</f>
        <v/>
      </c>
      <c r="Z1910" s="5">
        <f>IF(D1910="","",AB1910*AA1910/100)</f>
        <v/>
      </c>
      <c r="AA1910" s="5">
        <f>IF(D1910="","",X1910-Y1910)</f>
        <v/>
      </c>
      <c r="AD1910" s="5">
        <f>IF(D1910="","",AA1910-Z1910)</f>
        <v/>
      </c>
      <c r="AG1910">
        <f>IF(D1910="","",N(AG1909)+IF(MATCH(D1910,$D$2:$D$3001,0)=ROW()-1,1,0))</f>
        <v/>
      </c>
    </row>
    <row r="1911">
      <c r="Y1911" s="5">
        <f>IF(D1911="","",X1911*IF(AND(ISNUMBER(AC1911),AC1911&gt;0,AC1911&lt;1),AC1911*100,AC1911)/100)</f>
        <v/>
      </c>
      <c r="Z1911" s="5">
        <f>IF(D1911="","",AB1911*AA1911/100)</f>
        <v/>
      </c>
      <c r="AA1911" s="5">
        <f>IF(D1911="","",X1911-Y1911)</f>
        <v/>
      </c>
      <c r="AD1911" s="5">
        <f>IF(D1911="","",AA1911-Z1911)</f>
        <v/>
      </c>
      <c r="AG1911">
        <f>IF(D1911="","",N(AG1910)+IF(MATCH(D1911,$D$2:$D$3001,0)=ROW()-1,1,0))</f>
        <v/>
      </c>
    </row>
    <row r="1912">
      <c r="Y1912" s="5">
        <f>IF(D1912="","",X1912*IF(AND(ISNUMBER(AC1912),AC1912&gt;0,AC1912&lt;1),AC1912*100,AC1912)/100)</f>
        <v/>
      </c>
      <c r="Z1912" s="5">
        <f>IF(D1912="","",AB1912*AA1912/100)</f>
        <v/>
      </c>
      <c r="AA1912" s="5">
        <f>IF(D1912="","",X1912-Y1912)</f>
        <v/>
      </c>
      <c r="AD1912" s="5">
        <f>IF(D1912="","",AA1912-Z1912)</f>
        <v/>
      </c>
      <c r="AG1912">
        <f>IF(D1912="","",N(AG1911)+IF(MATCH(D1912,$D$2:$D$3001,0)=ROW()-1,1,0))</f>
        <v/>
      </c>
    </row>
    <row r="1913">
      <c r="Y1913" s="5">
        <f>IF(D1913="","",X1913*IF(AND(ISNUMBER(AC1913),AC1913&gt;0,AC1913&lt;1),AC1913*100,AC1913)/100)</f>
        <v/>
      </c>
      <c r="Z1913" s="5">
        <f>IF(D1913="","",AB1913*AA1913/100)</f>
        <v/>
      </c>
      <c r="AA1913" s="5">
        <f>IF(D1913="","",X1913-Y1913)</f>
        <v/>
      </c>
      <c r="AD1913" s="5">
        <f>IF(D1913="","",AA1913-Z1913)</f>
        <v/>
      </c>
      <c r="AG1913">
        <f>IF(D1913="","",N(AG1912)+IF(MATCH(D1913,$D$2:$D$3001,0)=ROW()-1,1,0))</f>
        <v/>
      </c>
    </row>
    <row r="1914">
      <c r="Y1914" s="5">
        <f>IF(D1914="","",X1914*IF(AND(ISNUMBER(AC1914),AC1914&gt;0,AC1914&lt;1),AC1914*100,AC1914)/100)</f>
        <v/>
      </c>
      <c r="Z1914" s="5">
        <f>IF(D1914="","",AB1914*AA1914/100)</f>
        <v/>
      </c>
      <c r="AA1914" s="5">
        <f>IF(D1914="","",X1914-Y1914)</f>
        <v/>
      </c>
      <c r="AD1914" s="5">
        <f>IF(D1914="","",AA1914-Z1914)</f>
        <v/>
      </c>
      <c r="AG1914">
        <f>IF(D1914="","",N(AG1913)+IF(MATCH(D1914,$D$2:$D$3001,0)=ROW()-1,1,0))</f>
        <v/>
      </c>
    </row>
    <row r="1915">
      <c r="Y1915" s="5">
        <f>IF(D1915="","",X1915*IF(AND(ISNUMBER(AC1915),AC1915&gt;0,AC1915&lt;1),AC1915*100,AC1915)/100)</f>
        <v/>
      </c>
      <c r="Z1915" s="5">
        <f>IF(D1915="","",AB1915*AA1915/100)</f>
        <v/>
      </c>
      <c r="AA1915" s="5">
        <f>IF(D1915="","",X1915-Y1915)</f>
        <v/>
      </c>
      <c r="AD1915" s="5">
        <f>IF(D1915="","",AA1915-Z1915)</f>
        <v/>
      </c>
      <c r="AG1915">
        <f>IF(D1915="","",N(AG1914)+IF(MATCH(D1915,$D$2:$D$3001,0)=ROW()-1,1,0))</f>
        <v/>
      </c>
    </row>
    <row r="1916">
      <c r="Y1916" s="5">
        <f>IF(D1916="","",X1916*IF(AND(ISNUMBER(AC1916),AC1916&gt;0,AC1916&lt;1),AC1916*100,AC1916)/100)</f>
        <v/>
      </c>
      <c r="Z1916" s="5">
        <f>IF(D1916="","",AB1916*AA1916/100)</f>
        <v/>
      </c>
      <c r="AA1916" s="5">
        <f>IF(D1916="","",X1916-Y1916)</f>
        <v/>
      </c>
      <c r="AD1916" s="5">
        <f>IF(D1916="","",AA1916-Z1916)</f>
        <v/>
      </c>
      <c r="AG1916">
        <f>IF(D1916="","",N(AG1915)+IF(MATCH(D1916,$D$2:$D$3001,0)=ROW()-1,1,0))</f>
        <v/>
      </c>
    </row>
    <row r="1917">
      <c r="Y1917" s="5">
        <f>IF(D1917="","",X1917*IF(AND(ISNUMBER(AC1917),AC1917&gt;0,AC1917&lt;1),AC1917*100,AC1917)/100)</f>
        <v/>
      </c>
      <c r="Z1917" s="5">
        <f>IF(D1917="","",AB1917*AA1917/100)</f>
        <v/>
      </c>
      <c r="AA1917" s="5">
        <f>IF(D1917="","",X1917-Y1917)</f>
        <v/>
      </c>
      <c r="AD1917" s="5">
        <f>IF(D1917="","",AA1917-Z1917)</f>
        <v/>
      </c>
      <c r="AG1917">
        <f>IF(D1917="","",N(AG1916)+IF(MATCH(D1917,$D$2:$D$3001,0)=ROW()-1,1,0))</f>
        <v/>
      </c>
    </row>
    <row r="1918">
      <c r="Y1918" s="5">
        <f>IF(D1918="","",X1918*IF(AND(ISNUMBER(AC1918),AC1918&gt;0,AC1918&lt;1),AC1918*100,AC1918)/100)</f>
        <v/>
      </c>
      <c r="Z1918" s="5">
        <f>IF(D1918="","",AB1918*AA1918/100)</f>
        <v/>
      </c>
      <c r="AA1918" s="5">
        <f>IF(D1918="","",X1918-Y1918)</f>
        <v/>
      </c>
      <c r="AD1918" s="5">
        <f>IF(D1918="","",AA1918-Z1918)</f>
        <v/>
      </c>
      <c r="AG1918">
        <f>IF(D1918="","",N(AG1917)+IF(MATCH(D1918,$D$2:$D$3001,0)=ROW()-1,1,0))</f>
        <v/>
      </c>
    </row>
    <row r="1919">
      <c r="Y1919" s="5">
        <f>IF(D1919="","",X1919*IF(AND(ISNUMBER(AC1919),AC1919&gt;0,AC1919&lt;1),AC1919*100,AC1919)/100)</f>
        <v/>
      </c>
      <c r="Z1919" s="5">
        <f>IF(D1919="","",AB1919*AA1919/100)</f>
        <v/>
      </c>
      <c r="AA1919" s="5">
        <f>IF(D1919="","",X1919-Y1919)</f>
        <v/>
      </c>
      <c r="AD1919" s="5">
        <f>IF(D1919="","",AA1919-Z1919)</f>
        <v/>
      </c>
      <c r="AG1919">
        <f>IF(D1919="","",N(AG1918)+IF(MATCH(D1919,$D$2:$D$3001,0)=ROW()-1,1,0))</f>
        <v/>
      </c>
    </row>
    <row r="1920">
      <c r="Y1920" s="5">
        <f>IF(D1920="","",X1920*IF(AND(ISNUMBER(AC1920),AC1920&gt;0,AC1920&lt;1),AC1920*100,AC1920)/100)</f>
        <v/>
      </c>
      <c r="Z1920" s="5">
        <f>IF(D1920="","",AB1920*AA1920/100)</f>
        <v/>
      </c>
      <c r="AA1920" s="5">
        <f>IF(D1920="","",X1920-Y1920)</f>
        <v/>
      </c>
      <c r="AD1920" s="5">
        <f>IF(D1920="","",AA1920-Z1920)</f>
        <v/>
      </c>
      <c r="AG1920">
        <f>IF(D1920="","",N(AG1919)+IF(MATCH(D1920,$D$2:$D$3001,0)=ROW()-1,1,0))</f>
        <v/>
      </c>
    </row>
    <row r="1921">
      <c r="Y1921" s="5">
        <f>IF(D1921="","",X1921*IF(AND(ISNUMBER(AC1921),AC1921&gt;0,AC1921&lt;1),AC1921*100,AC1921)/100)</f>
        <v/>
      </c>
      <c r="Z1921" s="5">
        <f>IF(D1921="","",AB1921*AA1921/100)</f>
        <v/>
      </c>
      <c r="AA1921" s="5">
        <f>IF(D1921="","",X1921-Y1921)</f>
        <v/>
      </c>
      <c r="AD1921" s="5">
        <f>IF(D1921="","",AA1921-Z1921)</f>
        <v/>
      </c>
      <c r="AG1921">
        <f>IF(D1921="","",N(AG1920)+IF(MATCH(D1921,$D$2:$D$3001,0)=ROW()-1,1,0))</f>
        <v/>
      </c>
    </row>
    <row r="1922">
      <c r="Y1922" s="5">
        <f>IF(D1922="","",X1922*IF(AND(ISNUMBER(AC1922),AC1922&gt;0,AC1922&lt;1),AC1922*100,AC1922)/100)</f>
        <v/>
      </c>
      <c r="Z1922" s="5">
        <f>IF(D1922="","",AB1922*AA1922/100)</f>
        <v/>
      </c>
      <c r="AA1922" s="5">
        <f>IF(D1922="","",X1922-Y1922)</f>
        <v/>
      </c>
      <c r="AD1922" s="5">
        <f>IF(D1922="","",AA1922-Z1922)</f>
        <v/>
      </c>
      <c r="AG1922">
        <f>IF(D1922="","",N(AG1921)+IF(MATCH(D1922,$D$2:$D$3001,0)=ROW()-1,1,0))</f>
        <v/>
      </c>
    </row>
    <row r="1923">
      <c r="Y1923" s="5">
        <f>IF(D1923="","",X1923*IF(AND(ISNUMBER(AC1923),AC1923&gt;0,AC1923&lt;1),AC1923*100,AC1923)/100)</f>
        <v/>
      </c>
      <c r="Z1923" s="5">
        <f>IF(D1923="","",AB1923*AA1923/100)</f>
        <v/>
      </c>
      <c r="AA1923" s="5">
        <f>IF(D1923="","",X1923-Y1923)</f>
        <v/>
      </c>
      <c r="AD1923" s="5">
        <f>IF(D1923="","",AA1923-Z1923)</f>
        <v/>
      </c>
      <c r="AG1923">
        <f>IF(D1923="","",N(AG1922)+IF(MATCH(D1923,$D$2:$D$3001,0)=ROW()-1,1,0))</f>
        <v/>
      </c>
    </row>
    <row r="1924">
      <c r="Y1924" s="5">
        <f>IF(D1924="","",X1924*IF(AND(ISNUMBER(AC1924),AC1924&gt;0,AC1924&lt;1),AC1924*100,AC1924)/100)</f>
        <v/>
      </c>
      <c r="Z1924" s="5">
        <f>IF(D1924="","",AB1924*AA1924/100)</f>
        <v/>
      </c>
      <c r="AA1924" s="5">
        <f>IF(D1924="","",X1924-Y1924)</f>
        <v/>
      </c>
      <c r="AD1924" s="5">
        <f>IF(D1924="","",AA1924-Z1924)</f>
        <v/>
      </c>
      <c r="AG1924">
        <f>IF(D1924="","",N(AG1923)+IF(MATCH(D1924,$D$2:$D$3001,0)=ROW()-1,1,0))</f>
        <v/>
      </c>
    </row>
    <row r="1925">
      <c r="Y1925" s="5">
        <f>IF(D1925="","",X1925*IF(AND(ISNUMBER(AC1925),AC1925&gt;0,AC1925&lt;1),AC1925*100,AC1925)/100)</f>
        <v/>
      </c>
      <c r="Z1925" s="5">
        <f>IF(D1925="","",AB1925*AA1925/100)</f>
        <v/>
      </c>
      <c r="AA1925" s="5">
        <f>IF(D1925="","",X1925-Y1925)</f>
        <v/>
      </c>
      <c r="AD1925" s="5">
        <f>IF(D1925="","",AA1925-Z1925)</f>
        <v/>
      </c>
      <c r="AG1925">
        <f>IF(D1925="","",N(AG1924)+IF(MATCH(D1925,$D$2:$D$3001,0)=ROW()-1,1,0))</f>
        <v/>
      </c>
    </row>
    <row r="1926">
      <c r="Y1926" s="5">
        <f>IF(D1926="","",X1926*IF(AND(ISNUMBER(AC1926),AC1926&gt;0,AC1926&lt;1),AC1926*100,AC1926)/100)</f>
        <v/>
      </c>
      <c r="Z1926" s="5">
        <f>IF(D1926="","",AB1926*AA1926/100)</f>
        <v/>
      </c>
      <c r="AA1926" s="5">
        <f>IF(D1926="","",X1926-Y1926)</f>
        <v/>
      </c>
      <c r="AD1926" s="5">
        <f>IF(D1926="","",AA1926-Z1926)</f>
        <v/>
      </c>
      <c r="AG1926">
        <f>IF(D1926="","",N(AG1925)+IF(MATCH(D1926,$D$2:$D$3001,0)=ROW()-1,1,0))</f>
        <v/>
      </c>
    </row>
    <row r="1927">
      <c r="Y1927" s="5">
        <f>IF(D1927="","",X1927*IF(AND(ISNUMBER(AC1927),AC1927&gt;0,AC1927&lt;1),AC1927*100,AC1927)/100)</f>
        <v/>
      </c>
      <c r="Z1927" s="5">
        <f>IF(D1927="","",AB1927*AA1927/100)</f>
        <v/>
      </c>
      <c r="AA1927" s="5">
        <f>IF(D1927="","",X1927-Y1927)</f>
        <v/>
      </c>
      <c r="AD1927" s="5">
        <f>IF(D1927="","",AA1927-Z1927)</f>
        <v/>
      </c>
      <c r="AG1927">
        <f>IF(D1927="","",N(AG1926)+IF(MATCH(D1927,$D$2:$D$3001,0)=ROW()-1,1,0))</f>
        <v/>
      </c>
    </row>
    <row r="1928">
      <c r="Y1928" s="5">
        <f>IF(D1928="","",X1928*IF(AND(ISNUMBER(AC1928),AC1928&gt;0,AC1928&lt;1),AC1928*100,AC1928)/100)</f>
        <v/>
      </c>
      <c r="Z1928" s="5">
        <f>IF(D1928="","",AB1928*AA1928/100)</f>
        <v/>
      </c>
      <c r="AA1928" s="5">
        <f>IF(D1928="","",X1928-Y1928)</f>
        <v/>
      </c>
      <c r="AD1928" s="5">
        <f>IF(D1928="","",AA1928-Z1928)</f>
        <v/>
      </c>
      <c r="AG1928">
        <f>IF(D1928="","",N(AG1927)+IF(MATCH(D1928,$D$2:$D$3001,0)=ROW()-1,1,0))</f>
        <v/>
      </c>
    </row>
    <row r="1929">
      <c r="Y1929" s="5">
        <f>IF(D1929="","",X1929*IF(AND(ISNUMBER(AC1929),AC1929&gt;0,AC1929&lt;1),AC1929*100,AC1929)/100)</f>
        <v/>
      </c>
      <c r="Z1929" s="5">
        <f>IF(D1929="","",AB1929*AA1929/100)</f>
        <v/>
      </c>
      <c r="AA1929" s="5">
        <f>IF(D1929="","",X1929-Y1929)</f>
        <v/>
      </c>
      <c r="AD1929" s="5">
        <f>IF(D1929="","",AA1929-Z1929)</f>
        <v/>
      </c>
      <c r="AG1929">
        <f>IF(D1929="","",N(AG1928)+IF(MATCH(D1929,$D$2:$D$3001,0)=ROW()-1,1,0))</f>
        <v/>
      </c>
    </row>
    <row r="1930">
      <c r="Y1930" s="5">
        <f>IF(D1930="","",X1930*IF(AND(ISNUMBER(AC1930),AC1930&gt;0,AC1930&lt;1),AC1930*100,AC1930)/100)</f>
        <v/>
      </c>
      <c r="Z1930" s="5">
        <f>IF(D1930="","",AB1930*AA1930/100)</f>
        <v/>
      </c>
      <c r="AA1930" s="5">
        <f>IF(D1930="","",X1930-Y1930)</f>
        <v/>
      </c>
      <c r="AD1930" s="5">
        <f>IF(D1930="","",AA1930-Z1930)</f>
        <v/>
      </c>
      <c r="AG1930">
        <f>IF(D1930="","",N(AG1929)+IF(MATCH(D1930,$D$2:$D$3001,0)=ROW()-1,1,0))</f>
        <v/>
      </c>
    </row>
    <row r="1931">
      <c r="Y1931" s="5">
        <f>IF(D1931="","",X1931*IF(AND(ISNUMBER(AC1931),AC1931&gt;0,AC1931&lt;1),AC1931*100,AC1931)/100)</f>
        <v/>
      </c>
      <c r="Z1931" s="5">
        <f>IF(D1931="","",AB1931*AA1931/100)</f>
        <v/>
      </c>
      <c r="AA1931" s="5">
        <f>IF(D1931="","",X1931-Y1931)</f>
        <v/>
      </c>
      <c r="AD1931" s="5">
        <f>IF(D1931="","",AA1931-Z1931)</f>
        <v/>
      </c>
      <c r="AG1931">
        <f>IF(D1931="","",N(AG1930)+IF(MATCH(D1931,$D$2:$D$3001,0)=ROW()-1,1,0))</f>
        <v/>
      </c>
    </row>
    <row r="1932">
      <c r="Y1932" s="5">
        <f>IF(D1932="","",X1932*IF(AND(ISNUMBER(AC1932),AC1932&gt;0,AC1932&lt;1),AC1932*100,AC1932)/100)</f>
        <v/>
      </c>
      <c r="Z1932" s="5">
        <f>IF(D1932="","",AB1932*AA1932/100)</f>
        <v/>
      </c>
      <c r="AA1932" s="5">
        <f>IF(D1932="","",X1932-Y1932)</f>
        <v/>
      </c>
      <c r="AD1932" s="5">
        <f>IF(D1932="","",AA1932-Z1932)</f>
        <v/>
      </c>
      <c r="AG1932">
        <f>IF(D1932="","",N(AG1931)+IF(MATCH(D1932,$D$2:$D$3001,0)=ROW()-1,1,0))</f>
        <v/>
      </c>
    </row>
    <row r="1933">
      <c r="Y1933" s="5">
        <f>IF(D1933="","",X1933*IF(AND(ISNUMBER(AC1933),AC1933&gt;0,AC1933&lt;1),AC1933*100,AC1933)/100)</f>
        <v/>
      </c>
      <c r="Z1933" s="5">
        <f>IF(D1933="","",AB1933*AA1933/100)</f>
        <v/>
      </c>
      <c r="AA1933" s="5">
        <f>IF(D1933="","",X1933-Y1933)</f>
        <v/>
      </c>
      <c r="AD1933" s="5">
        <f>IF(D1933="","",AA1933-Z1933)</f>
        <v/>
      </c>
      <c r="AG1933">
        <f>IF(D1933="","",N(AG1932)+IF(MATCH(D1933,$D$2:$D$3001,0)=ROW()-1,1,0))</f>
        <v/>
      </c>
    </row>
    <row r="1934">
      <c r="Y1934" s="5">
        <f>IF(D1934="","",X1934*IF(AND(ISNUMBER(AC1934),AC1934&gt;0,AC1934&lt;1),AC1934*100,AC1934)/100)</f>
        <v/>
      </c>
      <c r="Z1934" s="5">
        <f>IF(D1934="","",AB1934*AA1934/100)</f>
        <v/>
      </c>
      <c r="AA1934" s="5">
        <f>IF(D1934="","",X1934-Y1934)</f>
        <v/>
      </c>
      <c r="AD1934" s="5">
        <f>IF(D1934="","",AA1934-Z1934)</f>
        <v/>
      </c>
      <c r="AG1934">
        <f>IF(D1934="","",N(AG1933)+IF(MATCH(D1934,$D$2:$D$3001,0)=ROW()-1,1,0))</f>
        <v/>
      </c>
    </row>
    <row r="1935">
      <c r="Y1935" s="5">
        <f>IF(D1935="","",X1935*IF(AND(ISNUMBER(AC1935),AC1935&gt;0,AC1935&lt;1),AC1935*100,AC1935)/100)</f>
        <v/>
      </c>
      <c r="Z1935" s="5">
        <f>IF(D1935="","",AB1935*AA1935/100)</f>
        <v/>
      </c>
      <c r="AA1935" s="5">
        <f>IF(D1935="","",X1935-Y1935)</f>
        <v/>
      </c>
      <c r="AD1935" s="5">
        <f>IF(D1935="","",AA1935-Z1935)</f>
        <v/>
      </c>
      <c r="AG1935">
        <f>IF(D1935="","",N(AG1934)+IF(MATCH(D1935,$D$2:$D$3001,0)=ROW()-1,1,0))</f>
        <v/>
      </c>
    </row>
    <row r="1936">
      <c r="Y1936" s="5">
        <f>IF(D1936="","",X1936*IF(AND(ISNUMBER(AC1936),AC1936&gt;0,AC1936&lt;1),AC1936*100,AC1936)/100)</f>
        <v/>
      </c>
      <c r="Z1936" s="5">
        <f>IF(D1936="","",AB1936*AA1936/100)</f>
        <v/>
      </c>
      <c r="AA1936" s="5">
        <f>IF(D1936="","",X1936-Y1936)</f>
        <v/>
      </c>
      <c r="AD1936" s="5">
        <f>IF(D1936="","",AA1936-Z1936)</f>
        <v/>
      </c>
      <c r="AG1936">
        <f>IF(D1936="","",N(AG1935)+IF(MATCH(D1936,$D$2:$D$3001,0)=ROW()-1,1,0))</f>
        <v/>
      </c>
    </row>
    <row r="1937">
      <c r="Y1937" s="5">
        <f>IF(D1937="","",X1937*IF(AND(ISNUMBER(AC1937),AC1937&gt;0,AC1937&lt;1),AC1937*100,AC1937)/100)</f>
        <v/>
      </c>
      <c r="Z1937" s="5">
        <f>IF(D1937="","",AB1937*AA1937/100)</f>
        <v/>
      </c>
      <c r="AA1937" s="5">
        <f>IF(D1937="","",X1937-Y1937)</f>
        <v/>
      </c>
      <c r="AD1937" s="5">
        <f>IF(D1937="","",AA1937-Z1937)</f>
        <v/>
      </c>
      <c r="AG1937">
        <f>IF(D1937="","",N(AG1936)+IF(MATCH(D1937,$D$2:$D$3001,0)=ROW()-1,1,0))</f>
        <v/>
      </c>
    </row>
    <row r="1938">
      <c r="Y1938" s="5">
        <f>IF(D1938="","",X1938*IF(AND(ISNUMBER(AC1938),AC1938&gt;0,AC1938&lt;1),AC1938*100,AC1938)/100)</f>
        <v/>
      </c>
      <c r="Z1938" s="5">
        <f>IF(D1938="","",AB1938*AA1938/100)</f>
        <v/>
      </c>
      <c r="AA1938" s="5">
        <f>IF(D1938="","",X1938-Y1938)</f>
        <v/>
      </c>
      <c r="AD1938" s="5">
        <f>IF(D1938="","",AA1938-Z1938)</f>
        <v/>
      </c>
      <c r="AG1938">
        <f>IF(D1938="","",N(AG1937)+IF(MATCH(D1938,$D$2:$D$3001,0)=ROW()-1,1,0))</f>
        <v/>
      </c>
    </row>
    <row r="1939">
      <c r="Y1939" s="5">
        <f>IF(D1939="","",X1939*IF(AND(ISNUMBER(AC1939),AC1939&gt;0,AC1939&lt;1),AC1939*100,AC1939)/100)</f>
        <v/>
      </c>
      <c r="Z1939" s="5">
        <f>IF(D1939="","",AB1939*AA1939/100)</f>
        <v/>
      </c>
      <c r="AA1939" s="5">
        <f>IF(D1939="","",X1939-Y1939)</f>
        <v/>
      </c>
      <c r="AD1939" s="5">
        <f>IF(D1939="","",AA1939-Z1939)</f>
        <v/>
      </c>
      <c r="AG1939">
        <f>IF(D1939="","",N(AG1938)+IF(MATCH(D1939,$D$2:$D$3001,0)=ROW()-1,1,0))</f>
        <v/>
      </c>
    </row>
    <row r="1940">
      <c r="Y1940" s="5">
        <f>IF(D1940="","",X1940*IF(AND(ISNUMBER(AC1940),AC1940&gt;0,AC1940&lt;1),AC1940*100,AC1940)/100)</f>
        <v/>
      </c>
      <c r="Z1940" s="5">
        <f>IF(D1940="","",AB1940*AA1940/100)</f>
        <v/>
      </c>
      <c r="AA1940" s="5">
        <f>IF(D1940="","",X1940-Y1940)</f>
        <v/>
      </c>
      <c r="AD1940" s="5">
        <f>IF(D1940="","",AA1940-Z1940)</f>
        <v/>
      </c>
      <c r="AG1940">
        <f>IF(D1940="","",N(AG1939)+IF(MATCH(D1940,$D$2:$D$3001,0)=ROW()-1,1,0))</f>
        <v/>
      </c>
    </row>
    <row r="1941">
      <c r="Y1941" s="5">
        <f>IF(D1941="","",X1941*IF(AND(ISNUMBER(AC1941),AC1941&gt;0,AC1941&lt;1),AC1941*100,AC1941)/100)</f>
        <v/>
      </c>
      <c r="Z1941" s="5">
        <f>IF(D1941="","",AB1941*AA1941/100)</f>
        <v/>
      </c>
      <c r="AA1941" s="5">
        <f>IF(D1941="","",X1941-Y1941)</f>
        <v/>
      </c>
      <c r="AD1941" s="5">
        <f>IF(D1941="","",AA1941-Z1941)</f>
        <v/>
      </c>
      <c r="AG1941">
        <f>IF(D1941="","",N(AG1940)+IF(MATCH(D1941,$D$2:$D$3001,0)=ROW()-1,1,0))</f>
        <v/>
      </c>
    </row>
    <row r="1942">
      <c r="Y1942" s="5">
        <f>IF(D1942="","",X1942*IF(AND(ISNUMBER(AC1942),AC1942&gt;0,AC1942&lt;1),AC1942*100,AC1942)/100)</f>
        <v/>
      </c>
      <c r="Z1942" s="5">
        <f>IF(D1942="","",AB1942*AA1942/100)</f>
        <v/>
      </c>
      <c r="AA1942" s="5">
        <f>IF(D1942="","",X1942-Y1942)</f>
        <v/>
      </c>
      <c r="AD1942" s="5">
        <f>IF(D1942="","",AA1942-Z1942)</f>
        <v/>
      </c>
      <c r="AG1942">
        <f>IF(D1942="","",N(AG1941)+IF(MATCH(D1942,$D$2:$D$3001,0)=ROW()-1,1,0))</f>
        <v/>
      </c>
    </row>
    <row r="1943">
      <c r="Y1943" s="5">
        <f>IF(D1943="","",X1943*IF(AND(ISNUMBER(AC1943),AC1943&gt;0,AC1943&lt;1),AC1943*100,AC1943)/100)</f>
        <v/>
      </c>
      <c r="Z1943" s="5">
        <f>IF(D1943="","",AB1943*AA1943/100)</f>
        <v/>
      </c>
      <c r="AA1943" s="5">
        <f>IF(D1943="","",X1943-Y1943)</f>
        <v/>
      </c>
      <c r="AD1943" s="5">
        <f>IF(D1943="","",AA1943-Z1943)</f>
        <v/>
      </c>
      <c r="AG1943">
        <f>IF(D1943="","",N(AG1942)+IF(MATCH(D1943,$D$2:$D$3001,0)=ROW()-1,1,0))</f>
        <v/>
      </c>
    </row>
    <row r="1944">
      <c r="Y1944" s="5">
        <f>IF(D1944="","",X1944*IF(AND(ISNUMBER(AC1944),AC1944&gt;0,AC1944&lt;1),AC1944*100,AC1944)/100)</f>
        <v/>
      </c>
      <c r="Z1944" s="5">
        <f>IF(D1944="","",AB1944*AA1944/100)</f>
        <v/>
      </c>
      <c r="AA1944" s="5">
        <f>IF(D1944="","",X1944-Y1944)</f>
        <v/>
      </c>
      <c r="AD1944" s="5">
        <f>IF(D1944="","",AA1944-Z1944)</f>
        <v/>
      </c>
      <c r="AG1944">
        <f>IF(D1944="","",N(AG1943)+IF(MATCH(D1944,$D$2:$D$3001,0)=ROW()-1,1,0))</f>
        <v/>
      </c>
    </row>
    <row r="1945">
      <c r="Y1945" s="5">
        <f>IF(D1945="","",X1945*IF(AND(ISNUMBER(AC1945),AC1945&gt;0,AC1945&lt;1),AC1945*100,AC1945)/100)</f>
        <v/>
      </c>
      <c r="Z1945" s="5">
        <f>IF(D1945="","",AB1945*AA1945/100)</f>
        <v/>
      </c>
      <c r="AA1945" s="5">
        <f>IF(D1945="","",X1945-Y1945)</f>
        <v/>
      </c>
      <c r="AD1945" s="5">
        <f>IF(D1945="","",AA1945-Z1945)</f>
        <v/>
      </c>
      <c r="AG1945">
        <f>IF(D1945="","",N(AG1944)+IF(MATCH(D1945,$D$2:$D$3001,0)=ROW()-1,1,0))</f>
        <v/>
      </c>
    </row>
    <row r="1946">
      <c r="Y1946" s="5">
        <f>IF(D1946="","",X1946*IF(AND(ISNUMBER(AC1946),AC1946&gt;0,AC1946&lt;1),AC1946*100,AC1946)/100)</f>
        <v/>
      </c>
      <c r="Z1946" s="5">
        <f>IF(D1946="","",AB1946*AA1946/100)</f>
        <v/>
      </c>
      <c r="AA1946" s="5">
        <f>IF(D1946="","",X1946-Y1946)</f>
        <v/>
      </c>
      <c r="AD1946" s="5">
        <f>IF(D1946="","",AA1946-Z1946)</f>
        <v/>
      </c>
      <c r="AG1946">
        <f>IF(D1946="","",N(AG1945)+IF(MATCH(D1946,$D$2:$D$3001,0)=ROW()-1,1,0))</f>
        <v/>
      </c>
    </row>
    <row r="1947">
      <c r="Y1947" s="5">
        <f>IF(D1947="","",X1947*IF(AND(ISNUMBER(AC1947),AC1947&gt;0,AC1947&lt;1),AC1947*100,AC1947)/100)</f>
        <v/>
      </c>
      <c r="Z1947" s="5">
        <f>IF(D1947="","",AB1947*AA1947/100)</f>
        <v/>
      </c>
      <c r="AA1947" s="5">
        <f>IF(D1947="","",X1947-Y1947)</f>
        <v/>
      </c>
      <c r="AD1947" s="5">
        <f>IF(D1947="","",AA1947-Z1947)</f>
        <v/>
      </c>
      <c r="AG1947">
        <f>IF(D1947="","",N(AG1946)+IF(MATCH(D1947,$D$2:$D$3001,0)=ROW()-1,1,0))</f>
        <v/>
      </c>
    </row>
    <row r="1948">
      <c r="Y1948" s="5">
        <f>IF(D1948="","",X1948*IF(AND(ISNUMBER(AC1948),AC1948&gt;0,AC1948&lt;1),AC1948*100,AC1948)/100)</f>
        <v/>
      </c>
      <c r="Z1948" s="5">
        <f>IF(D1948="","",AB1948*AA1948/100)</f>
        <v/>
      </c>
      <c r="AA1948" s="5">
        <f>IF(D1948="","",X1948-Y1948)</f>
        <v/>
      </c>
      <c r="AD1948" s="5">
        <f>IF(D1948="","",AA1948-Z1948)</f>
        <v/>
      </c>
      <c r="AG1948">
        <f>IF(D1948="","",N(AG1947)+IF(MATCH(D1948,$D$2:$D$3001,0)=ROW()-1,1,0))</f>
        <v/>
      </c>
    </row>
    <row r="1949">
      <c r="Y1949" s="5">
        <f>IF(D1949="","",X1949*IF(AND(ISNUMBER(AC1949),AC1949&gt;0,AC1949&lt;1),AC1949*100,AC1949)/100)</f>
        <v/>
      </c>
      <c r="Z1949" s="5">
        <f>IF(D1949="","",AB1949*AA1949/100)</f>
        <v/>
      </c>
      <c r="AA1949" s="5">
        <f>IF(D1949="","",X1949-Y1949)</f>
        <v/>
      </c>
      <c r="AD1949" s="5">
        <f>IF(D1949="","",AA1949-Z1949)</f>
        <v/>
      </c>
      <c r="AG1949">
        <f>IF(D1949="","",N(AG1948)+IF(MATCH(D1949,$D$2:$D$3001,0)=ROW()-1,1,0))</f>
        <v/>
      </c>
    </row>
    <row r="1950">
      <c r="Y1950" s="5">
        <f>IF(D1950="","",X1950*IF(AND(ISNUMBER(AC1950),AC1950&gt;0,AC1950&lt;1),AC1950*100,AC1950)/100)</f>
        <v/>
      </c>
      <c r="Z1950" s="5">
        <f>IF(D1950="","",AB1950*AA1950/100)</f>
        <v/>
      </c>
      <c r="AA1950" s="5">
        <f>IF(D1950="","",X1950-Y1950)</f>
        <v/>
      </c>
      <c r="AD1950" s="5">
        <f>IF(D1950="","",AA1950-Z1950)</f>
        <v/>
      </c>
      <c r="AG1950">
        <f>IF(D1950="","",N(AG1949)+IF(MATCH(D1950,$D$2:$D$3001,0)=ROW()-1,1,0))</f>
        <v/>
      </c>
    </row>
    <row r="1951">
      <c r="Y1951" s="5">
        <f>IF(D1951="","",X1951*IF(AND(ISNUMBER(AC1951),AC1951&gt;0,AC1951&lt;1),AC1951*100,AC1951)/100)</f>
        <v/>
      </c>
      <c r="Z1951" s="5">
        <f>IF(D1951="","",AB1951*AA1951/100)</f>
        <v/>
      </c>
      <c r="AA1951" s="5">
        <f>IF(D1951="","",X1951-Y1951)</f>
        <v/>
      </c>
      <c r="AD1951" s="5">
        <f>IF(D1951="","",AA1951-Z1951)</f>
        <v/>
      </c>
      <c r="AG1951">
        <f>IF(D1951="","",N(AG1950)+IF(MATCH(D1951,$D$2:$D$3001,0)=ROW()-1,1,0))</f>
        <v/>
      </c>
    </row>
    <row r="1952">
      <c r="Y1952" s="5">
        <f>IF(D1952="","",X1952*IF(AND(ISNUMBER(AC1952),AC1952&gt;0,AC1952&lt;1),AC1952*100,AC1952)/100)</f>
        <v/>
      </c>
      <c r="Z1952" s="5">
        <f>IF(D1952="","",AB1952*AA1952/100)</f>
        <v/>
      </c>
      <c r="AA1952" s="5">
        <f>IF(D1952="","",X1952-Y1952)</f>
        <v/>
      </c>
      <c r="AD1952" s="5">
        <f>IF(D1952="","",AA1952-Z1952)</f>
        <v/>
      </c>
      <c r="AG1952">
        <f>IF(D1952="","",N(AG1951)+IF(MATCH(D1952,$D$2:$D$3001,0)=ROW()-1,1,0))</f>
        <v/>
      </c>
    </row>
    <row r="1953">
      <c r="Y1953" s="5">
        <f>IF(D1953="","",X1953*IF(AND(ISNUMBER(AC1953),AC1953&gt;0,AC1953&lt;1),AC1953*100,AC1953)/100)</f>
        <v/>
      </c>
      <c r="Z1953" s="5">
        <f>IF(D1953="","",AB1953*AA1953/100)</f>
        <v/>
      </c>
      <c r="AA1953" s="5">
        <f>IF(D1953="","",X1953-Y1953)</f>
        <v/>
      </c>
      <c r="AD1953" s="5">
        <f>IF(D1953="","",AA1953-Z1953)</f>
        <v/>
      </c>
      <c r="AG1953">
        <f>IF(D1953="","",N(AG1952)+IF(MATCH(D1953,$D$2:$D$3001,0)=ROW()-1,1,0))</f>
        <v/>
      </c>
    </row>
    <row r="1954">
      <c r="Y1954" s="5">
        <f>IF(D1954="","",X1954*IF(AND(ISNUMBER(AC1954),AC1954&gt;0,AC1954&lt;1),AC1954*100,AC1954)/100)</f>
        <v/>
      </c>
      <c r="Z1954" s="5">
        <f>IF(D1954="","",AB1954*AA1954/100)</f>
        <v/>
      </c>
      <c r="AA1954" s="5">
        <f>IF(D1954="","",X1954-Y1954)</f>
        <v/>
      </c>
      <c r="AD1954" s="5">
        <f>IF(D1954="","",AA1954-Z1954)</f>
        <v/>
      </c>
      <c r="AG1954">
        <f>IF(D1954="","",N(AG1953)+IF(MATCH(D1954,$D$2:$D$3001,0)=ROW()-1,1,0))</f>
        <v/>
      </c>
    </row>
    <row r="1955">
      <c r="Y1955" s="5">
        <f>IF(D1955="","",X1955*IF(AND(ISNUMBER(AC1955),AC1955&gt;0,AC1955&lt;1),AC1955*100,AC1955)/100)</f>
        <v/>
      </c>
      <c r="Z1955" s="5">
        <f>IF(D1955="","",AB1955*AA1955/100)</f>
        <v/>
      </c>
      <c r="AA1955" s="5">
        <f>IF(D1955="","",X1955-Y1955)</f>
        <v/>
      </c>
      <c r="AD1955" s="5">
        <f>IF(D1955="","",AA1955-Z1955)</f>
        <v/>
      </c>
      <c r="AG1955">
        <f>IF(D1955="","",N(AG1954)+IF(MATCH(D1955,$D$2:$D$3001,0)=ROW()-1,1,0))</f>
        <v/>
      </c>
    </row>
    <row r="1956">
      <c r="Y1956" s="5">
        <f>IF(D1956="","",X1956*IF(AND(ISNUMBER(AC1956),AC1956&gt;0,AC1956&lt;1),AC1956*100,AC1956)/100)</f>
        <v/>
      </c>
      <c r="Z1956" s="5">
        <f>IF(D1956="","",AB1956*AA1956/100)</f>
        <v/>
      </c>
      <c r="AA1956" s="5">
        <f>IF(D1956="","",X1956-Y1956)</f>
        <v/>
      </c>
      <c r="AD1956" s="5">
        <f>IF(D1956="","",AA1956-Z1956)</f>
        <v/>
      </c>
      <c r="AG1956">
        <f>IF(D1956="","",N(AG1955)+IF(MATCH(D1956,$D$2:$D$3001,0)=ROW()-1,1,0))</f>
        <v/>
      </c>
    </row>
    <row r="1957">
      <c r="Y1957" s="5">
        <f>IF(D1957="","",X1957*IF(AND(ISNUMBER(AC1957),AC1957&gt;0,AC1957&lt;1),AC1957*100,AC1957)/100)</f>
        <v/>
      </c>
      <c r="Z1957" s="5">
        <f>IF(D1957="","",AB1957*AA1957/100)</f>
        <v/>
      </c>
      <c r="AA1957" s="5">
        <f>IF(D1957="","",X1957-Y1957)</f>
        <v/>
      </c>
      <c r="AD1957" s="5">
        <f>IF(D1957="","",AA1957-Z1957)</f>
        <v/>
      </c>
      <c r="AG1957">
        <f>IF(D1957="","",N(AG1956)+IF(MATCH(D1957,$D$2:$D$3001,0)=ROW()-1,1,0))</f>
        <v/>
      </c>
    </row>
    <row r="1958">
      <c r="Y1958" s="5">
        <f>IF(D1958="","",X1958*IF(AND(ISNUMBER(AC1958),AC1958&gt;0,AC1958&lt;1),AC1958*100,AC1958)/100)</f>
        <v/>
      </c>
      <c r="Z1958" s="5">
        <f>IF(D1958="","",AB1958*AA1958/100)</f>
        <v/>
      </c>
      <c r="AA1958" s="5">
        <f>IF(D1958="","",X1958-Y1958)</f>
        <v/>
      </c>
      <c r="AD1958" s="5">
        <f>IF(D1958="","",AA1958-Z1958)</f>
        <v/>
      </c>
      <c r="AG1958">
        <f>IF(D1958="","",N(AG1957)+IF(MATCH(D1958,$D$2:$D$3001,0)=ROW()-1,1,0))</f>
        <v/>
      </c>
    </row>
    <row r="1959">
      <c r="Y1959" s="5">
        <f>IF(D1959="","",X1959*IF(AND(ISNUMBER(AC1959),AC1959&gt;0,AC1959&lt;1),AC1959*100,AC1959)/100)</f>
        <v/>
      </c>
      <c r="Z1959" s="5">
        <f>IF(D1959="","",AB1959*AA1959/100)</f>
        <v/>
      </c>
      <c r="AA1959" s="5">
        <f>IF(D1959="","",X1959-Y1959)</f>
        <v/>
      </c>
      <c r="AD1959" s="5">
        <f>IF(D1959="","",AA1959-Z1959)</f>
        <v/>
      </c>
      <c r="AG1959">
        <f>IF(D1959="","",N(AG1958)+IF(MATCH(D1959,$D$2:$D$3001,0)=ROW()-1,1,0))</f>
        <v/>
      </c>
    </row>
    <row r="1960">
      <c r="Y1960" s="5">
        <f>IF(D1960="","",X1960*IF(AND(ISNUMBER(AC1960),AC1960&gt;0,AC1960&lt;1),AC1960*100,AC1960)/100)</f>
        <v/>
      </c>
      <c r="Z1960" s="5">
        <f>IF(D1960="","",AB1960*AA1960/100)</f>
        <v/>
      </c>
      <c r="AA1960" s="5">
        <f>IF(D1960="","",X1960-Y1960)</f>
        <v/>
      </c>
      <c r="AD1960" s="5">
        <f>IF(D1960="","",AA1960-Z1960)</f>
        <v/>
      </c>
      <c r="AG1960">
        <f>IF(D1960="","",N(AG1959)+IF(MATCH(D1960,$D$2:$D$3001,0)=ROW()-1,1,0))</f>
        <v/>
      </c>
    </row>
    <row r="1961">
      <c r="Y1961" s="5">
        <f>IF(D1961="","",X1961*IF(AND(ISNUMBER(AC1961),AC1961&gt;0,AC1961&lt;1),AC1961*100,AC1961)/100)</f>
        <v/>
      </c>
      <c r="Z1961" s="5">
        <f>IF(D1961="","",AB1961*AA1961/100)</f>
        <v/>
      </c>
      <c r="AA1961" s="5">
        <f>IF(D1961="","",X1961-Y1961)</f>
        <v/>
      </c>
      <c r="AD1961" s="5">
        <f>IF(D1961="","",AA1961-Z1961)</f>
        <v/>
      </c>
      <c r="AG1961">
        <f>IF(D1961="","",N(AG1960)+IF(MATCH(D1961,$D$2:$D$3001,0)=ROW()-1,1,0))</f>
        <v/>
      </c>
    </row>
    <row r="1962">
      <c r="Y1962" s="5">
        <f>IF(D1962="","",X1962*IF(AND(ISNUMBER(AC1962),AC1962&gt;0,AC1962&lt;1),AC1962*100,AC1962)/100)</f>
        <v/>
      </c>
      <c r="Z1962" s="5">
        <f>IF(D1962="","",AB1962*AA1962/100)</f>
        <v/>
      </c>
      <c r="AA1962" s="5">
        <f>IF(D1962="","",X1962-Y1962)</f>
        <v/>
      </c>
      <c r="AD1962" s="5">
        <f>IF(D1962="","",AA1962-Z1962)</f>
        <v/>
      </c>
      <c r="AG1962">
        <f>IF(D1962="","",N(AG1961)+IF(MATCH(D1962,$D$2:$D$3001,0)=ROW()-1,1,0))</f>
        <v/>
      </c>
    </row>
    <row r="1963">
      <c r="Y1963" s="5">
        <f>IF(D1963="","",X1963*IF(AND(ISNUMBER(AC1963),AC1963&gt;0,AC1963&lt;1),AC1963*100,AC1963)/100)</f>
        <v/>
      </c>
      <c r="Z1963" s="5">
        <f>IF(D1963="","",AB1963*AA1963/100)</f>
        <v/>
      </c>
      <c r="AA1963" s="5">
        <f>IF(D1963="","",X1963-Y1963)</f>
        <v/>
      </c>
      <c r="AD1963" s="5">
        <f>IF(D1963="","",AA1963-Z1963)</f>
        <v/>
      </c>
      <c r="AG1963">
        <f>IF(D1963="","",N(AG1962)+IF(MATCH(D1963,$D$2:$D$3001,0)=ROW()-1,1,0))</f>
        <v/>
      </c>
    </row>
    <row r="1964">
      <c r="Y1964" s="5">
        <f>IF(D1964="","",X1964*IF(AND(ISNUMBER(AC1964),AC1964&gt;0,AC1964&lt;1),AC1964*100,AC1964)/100)</f>
        <v/>
      </c>
      <c r="Z1964" s="5">
        <f>IF(D1964="","",AB1964*AA1964/100)</f>
        <v/>
      </c>
      <c r="AA1964" s="5">
        <f>IF(D1964="","",X1964-Y1964)</f>
        <v/>
      </c>
      <c r="AD1964" s="5">
        <f>IF(D1964="","",AA1964-Z1964)</f>
        <v/>
      </c>
      <c r="AG1964">
        <f>IF(D1964="","",N(AG1963)+IF(MATCH(D1964,$D$2:$D$3001,0)=ROW()-1,1,0))</f>
        <v/>
      </c>
    </row>
    <row r="1965">
      <c r="Y1965" s="5">
        <f>IF(D1965="","",X1965*IF(AND(ISNUMBER(AC1965),AC1965&gt;0,AC1965&lt;1),AC1965*100,AC1965)/100)</f>
        <v/>
      </c>
      <c r="Z1965" s="5">
        <f>IF(D1965="","",AB1965*AA1965/100)</f>
        <v/>
      </c>
      <c r="AA1965" s="5">
        <f>IF(D1965="","",X1965-Y1965)</f>
        <v/>
      </c>
      <c r="AD1965" s="5">
        <f>IF(D1965="","",AA1965-Z1965)</f>
        <v/>
      </c>
      <c r="AG1965">
        <f>IF(D1965="","",N(AG1964)+IF(MATCH(D1965,$D$2:$D$3001,0)=ROW()-1,1,0))</f>
        <v/>
      </c>
    </row>
    <row r="1966">
      <c r="Y1966" s="5">
        <f>IF(D1966="","",X1966*IF(AND(ISNUMBER(AC1966),AC1966&gt;0,AC1966&lt;1),AC1966*100,AC1966)/100)</f>
        <v/>
      </c>
      <c r="Z1966" s="5">
        <f>IF(D1966="","",AB1966*AA1966/100)</f>
        <v/>
      </c>
      <c r="AA1966" s="5">
        <f>IF(D1966="","",X1966-Y1966)</f>
        <v/>
      </c>
      <c r="AD1966" s="5">
        <f>IF(D1966="","",AA1966-Z1966)</f>
        <v/>
      </c>
      <c r="AG1966">
        <f>IF(D1966="","",N(AG1965)+IF(MATCH(D1966,$D$2:$D$3001,0)=ROW()-1,1,0))</f>
        <v/>
      </c>
    </row>
    <row r="1967">
      <c r="Y1967" s="5">
        <f>IF(D1967="","",X1967*IF(AND(ISNUMBER(AC1967),AC1967&gt;0,AC1967&lt;1),AC1967*100,AC1967)/100)</f>
        <v/>
      </c>
      <c r="Z1967" s="5">
        <f>IF(D1967="","",AB1967*AA1967/100)</f>
        <v/>
      </c>
      <c r="AA1967" s="5">
        <f>IF(D1967="","",X1967-Y1967)</f>
        <v/>
      </c>
      <c r="AD1967" s="5">
        <f>IF(D1967="","",AA1967-Z1967)</f>
        <v/>
      </c>
      <c r="AG1967">
        <f>IF(D1967="","",N(AG1966)+IF(MATCH(D1967,$D$2:$D$3001,0)=ROW()-1,1,0))</f>
        <v/>
      </c>
    </row>
    <row r="1968">
      <c r="Y1968" s="5">
        <f>IF(D1968="","",X1968*IF(AND(ISNUMBER(AC1968),AC1968&gt;0,AC1968&lt;1),AC1968*100,AC1968)/100)</f>
        <v/>
      </c>
      <c r="Z1968" s="5">
        <f>IF(D1968="","",AB1968*AA1968/100)</f>
        <v/>
      </c>
      <c r="AA1968" s="5">
        <f>IF(D1968="","",X1968-Y1968)</f>
        <v/>
      </c>
      <c r="AD1968" s="5">
        <f>IF(D1968="","",AA1968-Z1968)</f>
        <v/>
      </c>
      <c r="AG1968">
        <f>IF(D1968="","",N(AG1967)+IF(MATCH(D1968,$D$2:$D$3001,0)=ROW()-1,1,0))</f>
        <v/>
      </c>
    </row>
    <row r="1969">
      <c r="Y1969" s="5">
        <f>IF(D1969="","",X1969*IF(AND(ISNUMBER(AC1969),AC1969&gt;0,AC1969&lt;1),AC1969*100,AC1969)/100)</f>
        <v/>
      </c>
      <c r="Z1969" s="5">
        <f>IF(D1969="","",AB1969*AA1969/100)</f>
        <v/>
      </c>
      <c r="AA1969" s="5">
        <f>IF(D1969="","",X1969-Y1969)</f>
        <v/>
      </c>
      <c r="AD1969" s="5">
        <f>IF(D1969="","",AA1969-Z1969)</f>
        <v/>
      </c>
      <c r="AG1969">
        <f>IF(D1969="","",N(AG1968)+IF(MATCH(D1969,$D$2:$D$3001,0)=ROW()-1,1,0))</f>
        <v/>
      </c>
    </row>
    <row r="1970">
      <c r="Y1970" s="5">
        <f>IF(D1970="","",X1970*IF(AND(ISNUMBER(AC1970),AC1970&gt;0,AC1970&lt;1),AC1970*100,AC1970)/100)</f>
        <v/>
      </c>
      <c r="Z1970" s="5">
        <f>IF(D1970="","",AB1970*AA1970/100)</f>
        <v/>
      </c>
      <c r="AA1970" s="5">
        <f>IF(D1970="","",X1970-Y1970)</f>
        <v/>
      </c>
      <c r="AD1970" s="5">
        <f>IF(D1970="","",AA1970-Z1970)</f>
        <v/>
      </c>
      <c r="AG1970">
        <f>IF(D1970="","",N(AG1969)+IF(MATCH(D1970,$D$2:$D$3001,0)=ROW()-1,1,0))</f>
        <v/>
      </c>
    </row>
    <row r="1971">
      <c r="Y1971" s="5">
        <f>IF(D1971="","",X1971*IF(AND(ISNUMBER(AC1971),AC1971&gt;0,AC1971&lt;1),AC1971*100,AC1971)/100)</f>
        <v/>
      </c>
      <c r="Z1971" s="5">
        <f>IF(D1971="","",AB1971*AA1971/100)</f>
        <v/>
      </c>
      <c r="AA1971" s="5">
        <f>IF(D1971="","",X1971-Y1971)</f>
        <v/>
      </c>
      <c r="AD1971" s="5">
        <f>IF(D1971="","",AA1971-Z1971)</f>
        <v/>
      </c>
      <c r="AG1971">
        <f>IF(D1971="","",N(AG1970)+IF(MATCH(D1971,$D$2:$D$3001,0)=ROW()-1,1,0))</f>
        <v/>
      </c>
    </row>
    <row r="1972">
      <c r="Y1972" s="5">
        <f>IF(D1972="","",X1972*IF(AND(ISNUMBER(AC1972),AC1972&gt;0,AC1972&lt;1),AC1972*100,AC1972)/100)</f>
        <v/>
      </c>
      <c r="Z1972" s="5">
        <f>IF(D1972="","",AB1972*AA1972/100)</f>
        <v/>
      </c>
      <c r="AA1972" s="5">
        <f>IF(D1972="","",X1972-Y1972)</f>
        <v/>
      </c>
      <c r="AD1972" s="5">
        <f>IF(D1972="","",AA1972-Z1972)</f>
        <v/>
      </c>
      <c r="AG1972">
        <f>IF(D1972="","",N(AG1971)+IF(MATCH(D1972,$D$2:$D$3001,0)=ROW()-1,1,0))</f>
        <v/>
      </c>
    </row>
    <row r="1973">
      <c r="Y1973" s="5">
        <f>IF(D1973="","",X1973*IF(AND(ISNUMBER(AC1973),AC1973&gt;0,AC1973&lt;1),AC1973*100,AC1973)/100)</f>
        <v/>
      </c>
      <c r="Z1973" s="5">
        <f>IF(D1973="","",AB1973*AA1973/100)</f>
        <v/>
      </c>
      <c r="AA1973" s="5">
        <f>IF(D1973="","",X1973-Y1973)</f>
        <v/>
      </c>
      <c r="AD1973" s="5">
        <f>IF(D1973="","",AA1973-Z1973)</f>
        <v/>
      </c>
      <c r="AG1973">
        <f>IF(D1973="","",N(AG1972)+IF(MATCH(D1973,$D$2:$D$3001,0)=ROW()-1,1,0))</f>
        <v/>
      </c>
    </row>
    <row r="1974">
      <c r="Y1974" s="5">
        <f>IF(D1974="","",X1974*IF(AND(ISNUMBER(AC1974),AC1974&gt;0,AC1974&lt;1),AC1974*100,AC1974)/100)</f>
        <v/>
      </c>
      <c r="Z1974" s="5">
        <f>IF(D1974="","",AB1974*AA1974/100)</f>
        <v/>
      </c>
      <c r="AA1974" s="5">
        <f>IF(D1974="","",X1974-Y1974)</f>
        <v/>
      </c>
      <c r="AD1974" s="5">
        <f>IF(D1974="","",AA1974-Z1974)</f>
        <v/>
      </c>
      <c r="AG1974">
        <f>IF(D1974="","",N(AG1973)+IF(MATCH(D1974,$D$2:$D$3001,0)=ROW()-1,1,0))</f>
        <v/>
      </c>
    </row>
    <row r="1975">
      <c r="Y1975" s="5">
        <f>IF(D1975="","",X1975*IF(AND(ISNUMBER(AC1975),AC1975&gt;0,AC1975&lt;1),AC1975*100,AC1975)/100)</f>
        <v/>
      </c>
      <c r="Z1975" s="5">
        <f>IF(D1975="","",AB1975*AA1975/100)</f>
        <v/>
      </c>
      <c r="AA1975" s="5">
        <f>IF(D1975="","",X1975-Y1975)</f>
        <v/>
      </c>
      <c r="AD1975" s="5">
        <f>IF(D1975="","",AA1975-Z1975)</f>
        <v/>
      </c>
      <c r="AG1975">
        <f>IF(D1975="","",N(AG1974)+IF(MATCH(D1975,$D$2:$D$3001,0)=ROW()-1,1,0))</f>
        <v/>
      </c>
    </row>
    <row r="1976">
      <c r="Y1976" s="5">
        <f>IF(D1976="","",X1976*IF(AND(ISNUMBER(AC1976),AC1976&gt;0,AC1976&lt;1),AC1976*100,AC1976)/100)</f>
        <v/>
      </c>
      <c r="Z1976" s="5">
        <f>IF(D1976="","",AB1976*AA1976/100)</f>
        <v/>
      </c>
      <c r="AA1976" s="5">
        <f>IF(D1976="","",X1976-Y1976)</f>
        <v/>
      </c>
      <c r="AD1976" s="5">
        <f>IF(D1976="","",AA1976-Z1976)</f>
        <v/>
      </c>
      <c r="AG1976">
        <f>IF(D1976="","",N(AG1975)+IF(MATCH(D1976,$D$2:$D$3001,0)=ROW()-1,1,0))</f>
        <v/>
      </c>
    </row>
    <row r="1977">
      <c r="Y1977" s="5">
        <f>IF(D1977="","",X1977*IF(AND(ISNUMBER(AC1977),AC1977&gt;0,AC1977&lt;1),AC1977*100,AC1977)/100)</f>
        <v/>
      </c>
      <c r="Z1977" s="5">
        <f>IF(D1977="","",AB1977*AA1977/100)</f>
        <v/>
      </c>
      <c r="AA1977" s="5">
        <f>IF(D1977="","",X1977-Y1977)</f>
        <v/>
      </c>
      <c r="AD1977" s="5">
        <f>IF(D1977="","",AA1977-Z1977)</f>
        <v/>
      </c>
      <c r="AG1977">
        <f>IF(D1977="","",N(AG1976)+IF(MATCH(D1977,$D$2:$D$3001,0)=ROW()-1,1,0))</f>
        <v/>
      </c>
    </row>
    <row r="1978">
      <c r="Y1978" s="5">
        <f>IF(D1978="","",X1978*IF(AND(ISNUMBER(AC1978),AC1978&gt;0,AC1978&lt;1),AC1978*100,AC1978)/100)</f>
        <v/>
      </c>
      <c r="Z1978" s="5">
        <f>IF(D1978="","",AB1978*AA1978/100)</f>
        <v/>
      </c>
      <c r="AA1978" s="5">
        <f>IF(D1978="","",X1978-Y1978)</f>
        <v/>
      </c>
      <c r="AD1978" s="5">
        <f>IF(D1978="","",AA1978-Z1978)</f>
        <v/>
      </c>
      <c r="AG1978">
        <f>IF(D1978="","",N(AG1977)+IF(MATCH(D1978,$D$2:$D$3001,0)=ROW()-1,1,0))</f>
        <v/>
      </c>
    </row>
    <row r="1979">
      <c r="Y1979" s="5">
        <f>IF(D1979="","",X1979*IF(AND(ISNUMBER(AC1979),AC1979&gt;0,AC1979&lt;1),AC1979*100,AC1979)/100)</f>
        <v/>
      </c>
      <c r="Z1979" s="5">
        <f>IF(D1979="","",AB1979*AA1979/100)</f>
        <v/>
      </c>
      <c r="AA1979" s="5">
        <f>IF(D1979="","",X1979-Y1979)</f>
        <v/>
      </c>
      <c r="AD1979" s="5">
        <f>IF(D1979="","",AA1979-Z1979)</f>
        <v/>
      </c>
      <c r="AG1979">
        <f>IF(D1979="","",N(AG1978)+IF(MATCH(D1979,$D$2:$D$3001,0)=ROW()-1,1,0))</f>
        <v/>
      </c>
    </row>
    <row r="1980">
      <c r="Y1980" s="5">
        <f>IF(D1980="","",X1980*IF(AND(ISNUMBER(AC1980),AC1980&gt;0,AC1980&lt;1),AC1980*100,AC1980)/100)</f>
        <v/>
      </c>
      <c r="Z1980" s="5">
        <f>IF(D1980="","",AB1980*AA1980/100)</f>
        <v/>
      </c>
      <c r="AA1980" s="5">
        <f>IF(D1980="","",X1980-Y1980)</f>
        <v/>
      </c>
      <c r="AD1980" s="5">
        <f>IF(D1980="","",AA1980-Z1980)</f>
        <v/>
      </c>
      <c r="AG1980">
        <f>IF(D1980="","",N(AG1979)+IF(MATCH(D1980,$D$2:$D$3001,0)=ROW()-1,1,0))</f>
        <v/>
      </c>
    </row>
    <row r="1981">
      <c r="Y1981" s="5">
        <f>IF(D1981="","",X1981*IF(AND(ISNUMBER(AC1981),AC1981&gt;0,AC1981&lt;1),AC1981*100,AC1981)/100)</f>
        <v/>
      </c>
      <c r="Z1981" s="5">
        <f>IF(D1981="","",AB1981*AA1981/100)</f>
        <v/>
      </c>
      <c r="AA1981" s="5">
        <f>IF(D1981="","",X1981-Y1981)</f>
        <v/>
      </c>
      <c r="AD1981" s="5">
        <f>IF(D1981="","",AA1981-Z1981)</f>
        <v/>
      </c>
      <c r="AG1981">
        <f>IF(D1981="","",N(AG1980)+IF(MATCH(D1981,$D$2:$D$3001,0)=ROW()-1,1,0))</f>
        <v/>
      </c>
    </row>
    <row r="1982">
      <c r="Y1982" s="5">
        <f>IF(D1982="","",X1982*IF(AND(ISNUMBER(AC1982),AC1982&gt;0,AC1982&lt;1),AC1982*100,AC1982)/100)</f>
        <v/>
      </c>
      <c r="Z1982" s="5">
        <f>IF(D1982="","",AB1982*AA1982/100)</f>
        <v/>
      </c>
      <c r="AA1982" s="5">
        <f>IF(D1982="","",X1982-Y1982)</f>
        <v/>
      </c>
      <c r="AD1982" s="5">
        <f>IF(D1982="","",AA1982-Z1982)</f>
        <v/>
      </c>
      <c r="AG1982">
        <f>IF(D1982="","",N(AG1981)+IF(MATCH(D1982,$D$2:$D$3001,0)=ROW()-1,1,0))</f>
        <v/>
      </c>
    </row>
    <row r="1983">
      <c r="Y1983" s="5">
        <f>IF(D1983="","",X1983*IF(AND(ISNUMBER(AC1983),AC1983&gt;0,AC1983&lt;1),AC1983*100,AC1983)/100)</f>
        <v/>
      </c>
      <c r="Z1983" s="5">
        <f>IF(D1983="","",AB1983*AA1983/100)</f>
        <v/>
      </c>
      <c r="AA1983" s="5">
        <f>IF(D1983="","",X1983-Y1983)</f>
        <v/>
      </c>
      <c r="AD1983" s="5">
        <f>IF(D1983="","",AA1983-Z1983)</f>
        <v/>
      </c>
      <c r="AG1983">
        <f>IF(D1983="","",N(AG1982)+IF(MATCH(D1983,$D$2:$D$3001,0)=ROW()-1,1,0))</f>
        <v/>
      </c>
    </row>
    <row r="1984">
      <c r="Y1984" s="5">
        <f>IF(D1984="","",X1984*IF(AND(ISNUMBER(AC1984),AC1984&gt;0,AC1984&lt;1),AC1984*100,AC1984)/100)</f>
        <v/>
      </c>
      <c r="Z1984" s="5">
        <f>IF(D1984="","",AB1984*AA1984/100)</f>
        <v/>
      </c>
      <c r="AA1984" s="5">
        <f>IF(D1984="","",X1984-Y1984)</f>
        <v/>
      </c>
      <c r="AD1984" s="5">
        <f>IF(D1984="","",AA1984-Z1984)</f>
        <v/>
      </c>
      <c r="AG1984">
        <f>IF(D1984="","",N(AG1983)+IF(MATCH(D1984,$D$2:$D$3001,0)=ROW()-1,1,0))</f>
        <v/>
      </c>
    </row>
    <row r="1985">
      <c r="Y1985" s="5">
        <f>IF(D1985="","",X1985*IF(AND(ISNUMBER(AC1985),AC1985&gt;0,AC1985&lt;1),AC1985*100,AC1985)/100)</f>
        <v/>
      </c>
      <c r="Z1985" s="5">
        <f>IF(D1985="","",AB1985*AA1985/100)</f>
        <v/>
      </c>
      <c r="AA1985" s="5">
        <f>IF(D1985="","",X1985-Y1985)</f>
        <v/>
      </c>
      <c r="AD1985" s="5">
        <f>IF(D1985="","",AA1985-Z1985)</f>
        <v/>
      </c>
      <c r="AG1985">
        <f>IF(D1985="","",N(AG1984)+IF(MATCH(D1985,$D$2:$D$3001,0)=ROW()-1,1,0))</f>
        <v/>
      </c>
    </row>
    <row r="1986">
      <c r="Y1986" s="5">
        <f>IF(D1986="","",X1986*IF(AND(ISNUMBER(AC1986),AC1986&gt;0,AC1986&lt;1),AC1986*100,AC1986)/100)</f>
        <v/>
      </c>
      <c r="Z1986" s="5">
        <f>IF(D1986="","",AB1986*AA1986/100)</f>
        <v/>
      </c>
      <c r="AA1986" s="5">
        <f>IF(D1986="","",X1986-Y1986)</f>
        <v/>
      </c>
      <c r="AD1986" s="5">
        <f>IF(D1986="","",AA1986-Z1986)</f>
        <v/>
      </c>
      <c r="AG1986">
        <f>IF(D1986="","",N(AG1985)+IF(MATCH(D1986,$D$2:$D$3001,0)=ROW()-1,1,0))</f>
        <v/>
      </c>
    </row>
    <row r="1987">
      <c r="Y1987" s="5">
        <f>IF(D1987="","",X1987*IF(AND(ISNUMBER(AC1987),AC1987&gt;0,AC1987&lt;1),AC1987*100,AC1987)/100)</f>
        <v/>
      </c>
      <c r="Z1987" s="5">
        <f>IF(D1987="","",AB1987*AA1987/100)</f>
        <v/>
      </c>
      <c r="AA1987" s="5">
        <f>IF(D1987="","",X1987-Y1987)</f>
        <v/>
      </c>
      <c r="AD1987" s="5">
        <f>IF(D1987="","",AA1987-Z1987)</f>
        <v/>
      </c>
      <c r="AG1987">
        <f>IF(D1987="","",N(AG1986)+IF(MATCH(D1987,$D$2:$D$3001,0)=ROW()-1,1,0))</f>
        <v/>
      </c>
    </row>
    <row r="1988">
      <c r="Y1988" s="5">
        <f>IF(D1988="","",X1988*IF(AND(ISNUMBER(AC1988),AC1988&gt;0,AC1988&lt;1),AC1988*100,AC1988)/100)</f>
        <v/>
      </c>
      <c r="Z1988" s="5">
        <f>IF(D1988="","",AB1988*AA1988/100)</f>
        <v/>
      </c>
      <c r="AA1988" s="5">
        <f>IF(D1988="","",X1988-Y1988)</f>
        <v/>
      </c>
      <c r="AD1988" s="5">
        <f>IF(D1988="","",AA1988-Z1988)</f>
        <v/>
      </c>
      <c r="AG1988">
        <f>IF(D1988="","",N(AG1987)+IF(MATCH(D1988,$D$2:$D$3001,0)=ROW()-1,1,0))</f>
        <v/>
      </c>
    </row>
    <row r="1989">
      <c r="Y1989" s="5">
        <f>IF(D1989="","",X1989*IF(AND(ISNUMBER(AC1989),AC1989&gt;0,AC1989&lt;1),AC1989*100,AC1989)/100)</f>
        <v/>
      </c>
      <c r="Z1989" s="5">
        <f>IF(D1989="","",AB1989*AA1989/100)</f>
        <v/>
      </c>
      <c r="AA1989" s="5">
        <f>IF(D1989="","",X1989-Y1989)</f>
        <v/>
      </c>
      <c r="AD1989" s="5">
        <f>IF(D1989="","",AA1989-Z1989)</f>
        <v/>
      </c>
      <c r="AG1989">
        <f>IF(D1989="","",N(AG1988)+IF(MATCH(D1989,$D$2:$D$3001,0)=ROW()-1,1,0))</f>
        <v/>
      </c>
    </row>
    <row r="1990">
      <c r="Y1990" s="5">
        <f>IF(D1990="","",X1990*IF(AND(ISNUMBER(AC1990),AC1990&gt;0,AC1990&lt;1),AC1990*100,AC1990)/100)</f>
        <v/>
      </c>
      <c r="Z1990" s="5">
        <f>IF(D1990="","",AB1990*AA1990/100)</f>
        <v/>
      </c>
      <c r="AA1990" s="5">
        <f>IF(D1990="","",X1990-Y1990)</f>
        <v/>
      </c>
      <c r="AD1990" s="5">
        <f>IF(D1990="","",AA1990-Z1990)</f>
        <v/>
      </c>
      <c r="AG1990">
        <f>IF(D1990="","",N(AG1989)+IF(MATCH(D1990,$D$2:$D$3001,0)=ROW()-1,1,0))</f>
        <v/>
      </c>
    </row>
    <row r="1991">
      <c r="Y1991" s="5">
        <f>IF(D1991="","",X1991*IF(AND(ISNUMBER(AC1991),AC1991&gt;0,AC1991&lt;1),AC1991*100,AC1991)/100)</f>
        <v/>
      </c>
      <c r="Z1991" s="5">
        <f>IF(D1991="","",AB1991*AA1991/100)</f>
        <v/>
      </c>
      <c r="AA1991" s="5">
        <f>IF(D1991="","",X1991-Y1991)</f>
        <v/>
      </c>
      <c r="AD1991" s="5">
        <f>IF(D1991="","",AA1991-Z1991)</f>
        <v/>
      </c>
      <c r="AG1991">
        <f>IF(D1991="","",N(AG1990)+IF(MATCH(D1991,$D$2:$D$3001,0)=ROW()-1,1,0))</f>
        <v/>
      </c>
    </row>
    <row r="1992">
      <c r="Y1992" s="5">
        <f>IF(D1992="","",X1992*IF(AND(ISNUMBER(AC1992),AC1992&gt;0,AC1992&lt;1),AC1992*100,AC1992)/100)</f>
        <v/>
      </c>
      <c r="Z1992" s="5">
        <f>IF(D1992="","",AB1992*AA1992/100)</f>
        <v/>
      </c>
      <c r="AA1992" s="5">
        <f>IF(D1992="","",X1992-Y1992)</f>
        <v/>
      </c>
      <c r="AD1992" s="5">
        <f>IF(D1992="","",AA1992-Z1992)</f>
        <v/>
      </c>
      <c r="AG1992">
        <f>IF(D1992="","",N(AG1991)+IF(MATCH(D1992,$D$2:$D$3001,0)=ROW()-1,1,0))</f>
        <v/>
      </c>
    </row>
    <row r="1993">
      <c r="Y1993" s="5">
        <f>IF(D1993="","",X1993*IF(AND(ISNUMBER(AC1993),AC1993&gt;0,AC1993&lt;1),AC1993*100,AC1993)/100)</f>
        <v/>
      </c>
      <c r="Z1993" s="5">
        <f>IF(D1993="","",AB1993*AA1993/100)</f>
        <v/>
      </c>
      <c r="AA1993" s="5">
        <f>IF(D1993="","",X1993-Y1993)</f>
        <v/>
      </c>
      <c r="AD1993" s="5">
        <f>IF(D1993="","",AA1993-Z1993)</f>
        <v/>
      </c>
      <c r="AG1993">
        <f>IF(D1993="","",N(AG1992)+IF(MATCH(D1993,$D$2:$D$3001,0)=ROW()-1,1,0))</f>
        <v/>
      </c>
    </row>
    <row r="1994">
      <c r="Y1994" s="5">
        <f>IF(D1994="","",X1994*IF(AND(ISNUMBER(AC1994),AC1994&gt;0,AC1994&lt;1),AC1994*100,AC1994)/100)</f>
        <v/>
      </c>
      <c r="Z1994" s="5">
        <f>IF(D1994="","",AB1994*AA1994/100)</f>
        <v/>
      </c>
      <c r="AA1994" s="5">
        <f>IF(D1994="","",X1994-Y1994)</f>
        <v/>
      </c>
      <c r="AD1994" s="5">
        <f>IF(D1994="","",AA1994-Z1994)</f>
        <v/>
      </c>
      <c r="AG1994">
        <f>IF(D1994="","",N(AG1993)+IF(MATCH(D1994,$D$2:$D$3001,0)=ROW()-1,1,0))</f>
        <v/>
      </c>
    </row>
    <row r="1995">
      <c r="Y1995" s="5">
        <f>IF(D1995="","",X1995*IF(AND(ISNUMBER(AC1995),AC1995&gt;0,AC1995&lt;1),AC1995*100,AC1995)/100)</f>
        <v/>
      </c>
      <c r="Z1995" s="5">
        <f>IF(D1995="","",AB1995*AA1995/100)</f>
        <v/>
      </c>
      <c r="AA1995" s="5">
        <f>IF(D1995="","",X1995-Y1995)</f>
        <v/>
      </c>
      <c r="AD1995" s="5">
        <f>IF(D1995="","",AA1995-Z1995)</f>
        <v/>
      </c>
      <c r="AG1995">
        <f>IF(D1995="","",N(AG1994)+IF(MATCH(D1995,$D$2:$D$3001,0)=ROW()-1,1,0))</f>
        <v/>
      </c>
    </row>
    <row r="1996">
      <c r="Y1996" s="5">
        <f>IF(D1996="","",X1996*IF(AND(ISNUMBER(AC1996),AC1996&gt;0,AC1996&lt;1),AC1996*100,AC1996)/100)</f>
        <v/>
      </c>
      <c r="Z1996" s="5">
        <f>IF(D1996="","",AB1996*AA1996/100)</f>
        <v/>
      </c>
      <c r="AA1996" s="5">
        <f>IF(D1996="","",X1996-Y1996)</f>
        <v/>
      </c>
      <c r="AD1996" s="5">
        <f>IF(D1996="","",AA1996-Z1996)</f>
        <v/>
      </c>
      <c r="AG1996">
        <f>IF(D1996="","",N(AG1995)+IF(MATCH(D1996,$D$2:$D$3001,0)=ROW()-1,1,0))</f>
        <v/>
      </c>
    </row>
    <row r="1997">
      <c r="Y1997" s="5">
        <f>IF(D1997="","",X1997*IF(AND(ISNUMBER(AC1997),AC1997&gt;0,AC1997&lt;1),AC1997*100,AC1997)/100)</f>
        <v/>
      </c>
      <c r="Z1997" s="5">
        <f>IF(D1997="","",AB1997*AA1997/100)</f>
        <v/>
      </c>
      <c r="AA1997" s="5">
        <f>IF(D1997="","",X1997-Y1997)</f>
        <v/>
      </c>
      <c r="AD1997" s="5">
        <f>IF(D1997="","",AA1997-Z1997)</f>
        <v/>
      </c>
      <c r="AG1997">
        <f>IF(D1997="","",N(AG1996)+IF(MATCH(D1997,$D$2:$D$3001,0)=ROW()-1,1,0))</f>
        <v/>
      </c>
    </row>
    <row r="1998">
      <c r="Y1998" s="5">
        <f>IF(D1998="","",X1998*IF(AND(ISNUMBER(AC1998),AC1998&gt;0,AC1998&lt;1),AC1998*100,AC1998)/100)</f>
        <v/>
      </c>
      <c r="Z1998" s="5">
        <f>IF(D1998="","",AB1998*AA1998/100)</f>
        <v/>
      </c>
      <c r="AA1998" s="5">
        <f>IF(D1998="","",X1998-Y1998)</f>
        <v/>
      </c>
      <c r="AD1998" s="5">
        <f>IF(D1998="","",AA1998-Z1998)</f>
        <v/>
      </c>
      <c r="AG1998">
        <f>IF(D1998="","",N(AG1997)+IF(MATCH(D1998,$D$2:$D$3001,0)=ROW()-1,1,0))</f>
        <v/>
      </c>
    </row>
    <row r="1999">
      <c r="Y1999" s="5">
        <f>IF(D1999="","",X1999*IF(AND(ISNUMBER(AC1999),AC1999&gt;0,AC1999&lt;1),AC1999*100,AC1999)/100)</f>
        <v/>
      </c>
      <c r="Z1999" s="5">
        <f>IF(D1999="","",AB1999*AA1999/100)</f>
        <v/>
      </c>
      <c r="AA1999" s="5">
        <f>IF(D1999="","",X1999-Y1999)</f>
        <v/>
      </c>
      <c r="AD1999" s="5">
        <f>IF(D1999="","",AA1999-Z1999)</f>
        <v/>
      </c>
      <c r="AG1999">
        <f>IF(D1999="","",N(AG1998)+IF(MATCH(D1999,$D$2:$D$3001,0)=ROW()-1,1,0))</f>
        <v/>
      </c>
    </row>
    <row r="2000">
      <c r="Y2000" s="5">
        <f>IF(D2000="","",X2000*IF(AND(ISNUMBER(AC2000),AC2000&gt;0,AC2000&lt;1),AC2000*100,AC2000)/100)</f>
        <v/>
      </c>
      <c r="Z2000" s="5">
        <f>IF(D2000="","",AB2000*AA2000/100)</f>
        <v/>
      </c>
      <c r="AA2000" s="5">
        <f>IF(D2000="","",X2000-Y2000)</f>
        <v/>
      </c>
      <c r="AD2000" s="5">
        <f>IF(D2000="","",AA2000-Z2000)</f>
        <v/>
      </c>
      <c r="AG2000">
        <f>IF(D2000="","",N(AG1999)+IF(MATCH(D2000,$D$2:$D$3001,0)=ROW()-1,1,0))</f>
        <v/>
      </c>
    </row>
    <row r="2001">
      <c r="Y2001" s="5">
        <f>IF(D2001="","",X2001*IF(AND(ISNUMBER(AC2001),AC2001&gt;0,AC2001&lt;1),AC2001*100,AC2001)/100)</f>
        <v/>
      </c>
      <c r="Z2001" s="5">
        <f>IF(D2001="","",AB2001*AA2001/100)</f>
        <v/>
      </c>
      <c r="AA2001" s="5">
        <f>IF(D2001="","",X2001-Y2001)</f>
        <v/>
      </c>
      <c r="AD2001" s="5">
        <f>IF(D2001="","",AA2001-Z2001)</f>
        <v/>
      </c>
      <c r="AG2001">
        <f>IF(D2001="","",N(AG2000)+IF(MATCH(D2001,$D$2:$D$3001,0)=ROW()-1,1,0))</f>
        <v/>
      </c>
    </row>
    <row r="2002">
      <c r="Y2002" s="5">
        <f>IF(D2002="","",X2002*IF(AND(ISNUMBER(AC2002),AC2002&gt;0,AC2002&lt;1),AC2002*100,AC2002)/100)</f>
        <v/>
      </c>
      <c r="Z2002" s="5">
        <f>IF(D2002="","",AB2002*AA2002/100)</f>
        <v/>
      </c>
      <c r="AA2002" s="5">
        <f>IF(D2002="","",X2002-Y2002)</f>
        <v/>
      </c>
      <c r="AD2002" s="5">
        <f>IF(D2002="","",AA2002-Z2002)</f>
        <v/>
      </c>
      <c r="AG2002">
        <f>IF(D2002="","",N(AG2001)+IF(MATCH(D2002,$D$2:$D$3001,0)=ROW()-1,1,0))</f>
        <v/>
      </c>
    </row>
    <row r="2003">
      <c r="Y2003" s="5">
        <f>IF(D2003="","",X2003*IF(AND(ISNUMBER(AC2003),AC2003&gt;0,AC2003&lt;1),AC2003*100,AC2003)/100)</f>
        <v/>
      </c>
      <c r="Z2003" s="5">
        <f>IF(D2003="","",AB2003*AA2003/100)</f>
        <v/>
      </c>
      <c r="AA2003" s="5">
        <f>IF(D2003="","",X2003-Y2003)</f>
        <v/>
      </c>
      <c r="AD2003" s="5">
        <f>IF(D2003="","",AA2003-Z2003)</f>
        <v/>
      </c>
      <c r="AG2003">
        <f>IF(D2003="","",N(AG2002)+IF(MATCH(D2003,$D$2:$D$3001,0)=ROW()-1,1,0))</f>
        <v/>
      </c>
    </row>
    <row r="2004">
      <c r="Y2004" s="5">
        <f>IF(D2004="","",X2004*IF(AND(ISNUMBER(AC2004),AC2004&gt;0,AC2004&lt;1),AC2004*100,AC2004)/100)</f>
        <v/>
      </c>
      <c r="Z2004" s="5">
        <f>IF(D2004="","",AB2004*AA2004/100)</f>
        <v/>
      </c>
      <c r="AA2004" s="5">
        <f>IF(D2004="","",X2004-Y2004)</f>
        <v/>
      </c>
      <c r="AD2004" s="5">
        <f>IF(D2004="","",AA2004-Z2004)</f>
        <v/>
      </c>
      <c r="AG2004">
        <f>IF(D2004="","",N(AG2003)+IF(MATCH(D2004,$D$2:$D$3001,0)=ROW()-1,1,0))</f>
        <v/>
      </c>
    </row>
    <row r="2005">
      <c r="Y2005" s="5">
        <f>IF(D2005="","",X2005*IF(AND(ISNUMBER(AC2005),AC2005&gt;0,AC2005&lt;1),AC2005*100,AC2005)/100)</f>
        <v/>
      </c>
      <c r="Z2005" s="5">
        <f>IF(D2005="","",AB2005*AA2005/100)</f>
        <v/>
      </c>
      <c r="AA2005" s="5">
        <f>IF(D2005="","",X2005-Y2005)</f>
        <v/>
      </c>
      <c r="AD2005" s="5">
        <f>IF(D2005="","",AA2005-Z2005)</f>
        <v/>
      </c>
      <c r="AG2005">
        <f>IF(D2005="","",N(AG2004)+IF(MATCH(D2005,$D$2:$D$3001,0)=ROW()-1,1,0))</f>
        <v/>
      </c>
    </row>
    <row r="2006">
      <c r="Y2006" s="5">
        <f>IF(D2006="","",X2006*IF(AND(ISNUMBER(AC2006),AC2006&gt;0,AC2006&lt;1),AC2006*100,AC2006)/100)</f>
        <v/>
      </c>
      <c r="Z2006" s="5">
        <f>IF(D2006="","",AB2006*AA2006/100)</f>
        <v/>
      </c>
      <c r="AA2006" s="5">
        <f>IF(D2006="","",X2006-Y2006)</f>
        <v/>
      </c>
      <c r="AD2006" s="5">
        <f>IF(D2006="","",AA2006-Z2006)</f>
        <v/>
      </c>
      <c r="AG2006">
        <f>IF(D2006="","",N(AG2005)+IF(MATCH(D2006,$D$2:$D$3001,0)=ROW()-1,1,0))</f>
        <v/>
      </c>
    </row>
    <row r="2007">
      <c r="Y2007" s="5">
        <f>IF(D2007="","",X2007*IF(AND(ISNUMBER(AC2007),AC2007&gt;0,AC2007&lt;1),AC2007*100,AC2007)/100)</f>
        <v/>
      </c>
      <c r="Z2007" s="5">
        <f>IF(D2007="","",AB2007*AA2007/100)</f>
        <v/>
      </c>
      <c r="AA2007" s="5">
        <f>IF(D2007="","",X2007-Y2007)</f>
        <v/>
      </c>
      <c r="AD2007" s="5">
        <f>IF(D2007="","",AA2007-Z2007)</f>
        <v/>
      </c>
      <c r="AG2007">
        <f>IF(D2007="","",N(AG2006)+IF(MATCH(D2007,$D$2:$D$3001,0)=ROW()-1,1,0))</f>
        <v/>
      </c>
    </row>
    <row r="2008">
      <c r="Y2008" s="5">
        <f>IF(D2008="","",X2008*IF(AND(ISNUMBER(AC2008),AC2008&gt;0,AC2008&lt;1),AC2008*100,AC2008)/100)</f>
        <v/>
      </c>
      <c r="Z2008" s="5">
        <f>IF(D2008="","",AB2008*AA2008/100)</f>
        <v/>
      </c>
      <c r="AA2008" s="5">
        <f>IF(D2008="","",X2008-Y2008)</f>
        <v/>
      </c>
      <c r="AD2008" s="5">
        <f>IF(D2008="","",AA2008-Z2008)</f>
        <v/>
      </c>
      <c r="AG2008">
        <f>IF(D2008="","",N(AG2007)+IF(MATCH(D2008,$D$2:$D$3001,0)=ROW()-1,1,0))</f>
        <v/>
      </c>
    </row>
    <row r="2009">
      <c r="Y2009" s="5">
        <f>IF(D2009="","",X2009*IF(AND(ISNUMBER(AC2009),AC2009&gt;0,AC2009&lt;1),AC2009*100,AC2009)/100)</f>
        <v/>
      </c>
      <c r="Z2009" s="5">
        <f>IF(D2009="","",AB2009*AA2009/100)</f>
        <v/>
      </c>
      <c r="AA2009" s="5">
        <f>IF(D2009="","",X2009-Y2009)</f>
        <v/>
      </c>
      <c r="AD2009" s="5">
        <f>IF(D2009="","",AA2009-Z2009)</f>
        <v/>
      </c>
      <c r="AG2009">
        <f>IF(D2009="","",N(AG2008)+IF(MATCH(D2009,$D$2:$D$3001,0)=ROW()-1,1,0))</f>
        <v/>
      </c>
    </row>
    <row r="2010">
      <c r="Y2010" s="5">
        <f>IF(D2010="","",X2010*IF(AND(ISNUMBER(AC2010),AC2010&gt;0,AC2010&lt;1),AC2010*100,AC2010)/100)</f>
        <v/>
      </c>
      <c r="Z2010" s="5">
        <f>IF(D2010="","",AB2010*AA2010/100)</f>
        <v/>
      </c>
      <c r="AA2010" s="5">
        <f>IF(D2010="","",X2010-Y2010)</f>
        <v/>
      </c>
      <c r="AD2010" s="5">
        <f>IF(D2010="","",AA2010-Z2010)</f>
        <v/>
      </c>
      <c r="AG2010">
        <f>IF(D2010="","",N(AG2009)+IF(MATCH(D2010,$D$2:$D$3001,0)=ROW()-1,1,0))</f>
        <v/>
      </c>
    </row>
    <row r="2011">
      <c r="Y2011" s="5">
        <f>IF(D2011="","",X2011*IF(AND(ISNUMBER(AC2011),AC2011&gt;0,AC2011&lt;1),AC2011*100,AC2011)/100)</f>
        <v/>
      </c>
      <c r="Z2011" s="5">
        <f>IF(D2011="","",AB2011*AA2011/100)</f>
        <v/>
      </c>
      <c r="AA2011" s="5">
        <f>IF(D2011="","",X2011-Y2011)</f>
        <v/>
      </c>
      <c r="AD2011" s="5">
        <f>IF(D2011="","",AA2011-Z2011)</f>
        <v/>
      </c>
      <c r="AG2011">
        <f>IF(D2011="","",N(AG2010)+IF(MATCH(D2011,$D$2:$D$3001,0)=ROW()-1,1,0))</f>
        <v/>
      </c>
    </row>
    <row r="2012">
      <c r="Y2012" s="5">
        <f>IF(D2012="","",X2012*IF(AND(ISNUMBER(AC2012),AC2012&gt;0,AC2012&lt;1),AC2012*100,AC2012)/100)</f>
        <v/>
      </c>
      <c r="Z2012" s="5">
        <f>IF(D2012="","",AB2012*AA2012/100)</f>
        <v/>
      </c>
      <c r="AA2012" s="5">
        <f>IF(D2012="","",X2012-Y2012)</f>
        <v/>
      </c>
      <c r="AD2012" s="5">
        <f>IF(D2012="","",AA2012-Z2012)</f>
        <v/>
      </c>
      <c r="AG2012">
        <f>IF(D2012="","",N(AG2011)+IF(MATCH(D2012,$D$2:$D$3001,0)=ROW()-1,1,0))</f>
        <v/>
      </c>
    </row>
    <row r="2013">
      <c r="Y2013" s="5">
        <f>IF(D2013="","",X2013*IF(AND(ISNUMBER(AC2013),AC2013&gt;0,AC2013&lt;1),AC2013*100,AC2013)/100)</f>
        <v/>
      </c>
      <c r="Z2013" s="5">
        <f>IF(D2013="","",AB2013*AA2013/100)</f>
        <v/>
      </c>
      <c r="AA2013" s="5">
        <f>IF(D2013="","",X2013-Y2013)</f>
        <v/>
      </c>
      <c r="AD2013" s="5">
        <f>IF(D2013="","",AA2013-Z2013)</f>
        <v/>
      </c>
      <c r="AG2013">
        <f>IF(D2013="","",N(AG2012)+IF(MATCH(D2013,$D$2:$D$3001,0)=ROW()-1,1,0))</f>
        <v/>
      </c>
    </row>
    <row r="2014">
      <c r="Y2014" s="5">
        <f>IF(D2014="","",X2014*IF(AND(ISNUMBER(AC2014),AC2014&gt;0,AC2014&lt;1),AC2014*100,AC2014)/100)</f>
        <v/>
      </c>
      <c r="Z2014" s="5">
        <f>IF(D2014="","",AB2014*AA2014/100)</f>
        <v/>
      </c>
      <c r="AA2014" s="5">
        <f>IF(D2014="","",X2014-Y2014)</f>
        <v/>
      </c>
      <c r="AD2014" s="5">
        <f>IF(D2014="","",AA2014-Z2014)</f>
        <v/>
      </c>
      <c r="AG2014">
        <f>IF(D2014="","",N(AG2013)+IF(MATCH(D2014,$D$2:$D$3001,0)=ROW()-1,1,0))</f>
        <v/>
      </c>
    </row>
    <row r="2015">
      <c r="Y2015" s="5">
        <f>IF(D2015="","",X2015*IF(AND(ISNUMBER(AC2015),AC2015&gt;0,AC2015&lt;1),AC2015*100,AC2015)/100)</f>
        <v/>
      </c>
      <c r="Z2015" s="5">
        <f>IF(D2015="","",AB2015*AA2015/100)</f>
        <v/>
      </c>
      <c r="AA2015" s="5">
        <f>IF(D2015="","",X2015-Y2015)</f>
        <v/>
      </c>
      <c r="AD2015" s="5">
        <f>IF(D2015="","",AA2015-Z2015)</f>
        <v/>
      </c>
      <c r="AG2015">
        <f>IF(D2015="","",N(AG2014)+IF(MATCH(D2015,$D$2:$D$3001,0)=ROW()-1,1,0))</f>
        <v/>
      </c>
    </row>
    <row r="2016">
      <c r="Y2016" s="5">
        <f>IF(D2016="","",X2016*IF(AND(ISNUMBER(AC2016),AC2016&gt;0,AC2016&lt;1),AC2016*100,AC2016)/100)</f>
        <v/>
      </c>
      <c r="Z2016" s="5">
        <f>IF(D2016="","",AB2016*AA2016/100)</f>
        <v/>
      </c>
      <c r="AA2016" s="5">
        <f>IF(D2016="","",X2016-Y2016)</f>
        <v/>
      </c>
      <c r="AD2016" s="5">
        <f>IF(D2016="","",AA2016-Z2016)</f>
        <v/>
      </c>
      <c r="AG2016">
        <f>IF(D2016="","",N(AG2015)+IF(MATCH(D2016,$D$2:$D$3001,0)=ROW()-1,1,0))</f>
        <v/>
      </c>
    </row>
    <row r="2017">
      <c r="Y2017" s="5">
        <f>IF(D2017="","",X2017*IF(AND(ISNUMBER(AC2017),AC2017&gt;0,AC2017&lt;1),AC2017*100,AC2017)/100)</f>
        <v/>
      </c>
      <c r="Z2017" s="5">
        <f>IF(D2017="","",AB2017*AA2017/100)</f>
        <v/>
      </c>
      <c r="AA2017" s="5">
        <f>IF(D2017="","",X2017-Y2017)</f>
        <v/>
      </c>
      <c r="AD2017" s="5">
        <f>IF(D2017="","",AA2017-Z2017)</f>
        <v/>
      </c>
      <c r="AG2017">
        <f>IF(D2017="","",N(AG2016)+IF(MATCH(D2017,$D$2:$D$3001,0)=ROW()-1,1,0))</f>
        <v/>
      </c>
    </row>
    <row r="2018">
      <c r="Y2018" s="5">
        <f>IF(D2018="","",X2018*IF(AND(ISNUMBER(AC2018),AC2018&gt;0,AC2018&lt;1),AC2018*100,AC2018)/100)</f>
        <v/>
      </c>
      <c r="Z2018" s="5">
        <f>IF(D2018="","",AB2018*AA2018/100)</f>
        <v/>
      </c>
      <c r="AA2018" s="5">
        <f>IF(D2018="","",X2018-Y2018)</f>
        <v/>
      </c>
      <c r="AD2018" s="5">
        <f>IF(D2018="","",AA2018-Z2018)</f>
        <v/>
      </c>
      <c r="AG2018">
        <f>IF(D2018="","",N(AG2017)+IF(MATCH(D2018,$D$2:$D$3001,0)=ROW()-1,1,0))</f>
        <v/>
      </c>
    </row>
    <row r="2019">
      <c r="Y2019" s="5">
        <f>IF(D2019="","",X2019*IF(AND(ISNUMBER(AC2019),AC2019&gt;0,AC2019&lt;1),AC2019*100,AC2019)/100)</f>
        <v/>
      </c>
      <c r="Z2019" s="5">
        <f>IF(D2019="","",AB2019*AA2019/100)</f>
        <v/>
      </c>
      <c r="AA2019" s="5">
        <f>IF(D2019="","",X2019-Y2019)</f>
        <v/>
      </c>
      <c r="AD2019" s="5">
        <f>IF(D2019="","",AA2019-Z2019)</f>
        <v/>
      </c>
      <c r="AG2019">
        <f>IF(D2019="","",N(AG2018)+IF(MATCH(D2019,$D$2:$D$3001,0)=ROW()-1,1,0))</f>
        <v/>
      </c>
    </row>
    <row r="2020">
      <c r="Y2020" s="5">
        <f>IF(D2020="","",X2020*IF(AND(ISNUMBER(AC2020),AC2020&gt;0,AC2020&lt;1),AC2020*100,AC2020)/100)</f>
        <v/>
      </c>
      <c r="Z2020" s="5">
        <f>IF(D2020="","",AB2020*AA2020/100)</f>
        <v/>
      </c>
      <c r="AA2020" s="5">
        <f>IF(D2020="","",X2020-Y2020)</f>
        <v/>
      </c>
      <c r="AD2020" s="5">
        <f>IF(D2020="","",AA2020-Z2020)</f>
        <v/>
      </c>
      <c r="AG2020">
        <f>IF(D2020="","",N(AG2019)+IF(MATCH(D2020,$D$2:$D$3001,0)=ROW()-1,1,0))</f>
        <v/>
      </c>
    </row>
    <row r="2021">
      <c r="Y2021" s="5">
        <f>IF(D2021="","",X2021*IF(AND(ISNUMBER(AC2021),AC2021&gt;0,AC2021&lt;1),AC2021*100,AC2021)/100)</f>
        <v/>
      </c>
      <c r="Z2021" s="5">
        <f>IF(D2021="","",AB2021*AA2021/100)</f>
        <v/>
      </c>
      <c r="AA2021" s="5">
        <f>IF(D2021="","",X2021-Y2021)</f>
        <v/>
      </c>
      <c r="AD2021" s="5">
        <f>IF(D2021="","",AA2021-Z2021)</f>
        <v/>
      </c>
      <c r="AG2021">
        <f>IF(D2021="","",N(AG2020)+IF(MATCH(D2021,$D$2:$D$3001,0)=ROW()-1,1,0))</f>
        <v/>
      </c>
    </row>
    <row r="2022">
      <c r="Y2022" s="5">
        <f>IF(D2022="","",X2022*IF(AND(ISNUMBER(AC2022),AC2022&gt;0,AC2022&lt;1),AC2022*100,AC2022)/100)</f>
        <v/>
      </c>
      <c r="Z2022" s="5">
        <f>IF(D2022="","",AB2022*AA2022/100)</f>
        <v/>
      </c>
      <c r="AA2022" s="5">
        <f>IF(D2022="","",X2022-Y2022)</f>
        <v/>
      </c>
      <c r="AD2022" s="5">
        <f>IF(D2022="","",AA2022-Z2022)</f>
        <v/>
      </c>
      <c r="AG2022">
        <f>IF(D2022="","",N(AG2021)+IF(MATCH(D2022,$D$2:$D$3001,0)=ROW()-1,1,0))</f>
        <v/>
      </c>
    </row>
    <row r="2023">
      <c r="Y2023" s="5">
        <f>IF(D2023="","",X2023*IF(AND(ISNUMBER(AC2023),AC2023&gt;0,AC2023&lt;1),AC2023*100,AC2023)/100)</f>
        <v/>
      </c>
      <c r="Z2023" s="5">
        <f>IF(D2023="","",AB2023*AA2023/100)</f>
        <v/>
      </c>
      <c r="AA2023" s="5">
        <f>IF(D2023="","",X2023-Y2023)</f>
        <v/>
      </c>
      <c r="AD2023" s="5">
        <f>IF(D2023="","",AA2023-Z2023)</f>
        <v/>
      </c>
      <c r="AG2023">
        <f>IF(D2023="","",N(AG2022)+IF(MATCH(D2023,$D$2:$D$3001,0)=ROW()-1,1,0))</f>
        <v/>
      </c>
    </row>
    <row r="2024">
      <c r="Y2024" s="5">
        <f>IF(D2024="","",X2024*IF(AND(ISNUMBER(AC2024),AC2024&gt;0,AC2024&lt;1),AC2024*100,AC2024)/100)</f>
        <v/>
      </c>
      <c r="Z2024" s="5">
        <f>IF(D2024="","",AB2024*AA2024/100)</f>
        <v/>
      </c>
      <c r="AA2024" s="5">
        <f>IF(D2024="","",X2024-Y2024)</f>
        <v/>
      </c>
      <c r="AD2024" s="5">
        <f>IF(D2024="","",AA2024-Z2024)</f>
        <v/>
      </c>
      <c r="AG2024">
        <f>IF(D2024="","",N(AG2023)+IF(MATCH(D2024,$D$2:$D$3001,0)=ROW()-1,1,0))</f>
        <v/>
      </c>
    </row>
    <row r="2025">
      <c r="Y2025" s="5">
        <f>IF(D2025="","",X2025*IF(AND(ISNUMBER(AC2025),AC2025&gt;0,AC2025&lt;1),AC2025*100,AC2025)/100)</f>
        <v/>
      </c>
      <c r="Z2025" s="5">
        <f>IF(D2025="","",AB2025*AA2025/100)</f>
        <v/>
      </c>
      <c r="AA2025" s="5">
        <f>IF(D2025="","",X2025-Y2025)</f>
        <v/>
      </c>
      <c r="AD2025" s="5">
        <f>IF(D2025="","",AA2025-Z2025)</f>
        <v/>
      </c>
      <c r="AG2025">
        <f>IF(D2025="","",N(AG2024)+IF(MATCH(D2025,$D$2:$D$3001,0)=ROW()-1,1,0))</f>
        <v/>
      </c>
    </row>
    <row r="2026">
      <c r="Y2026" s="5">
        <f>IF(D2026="","",X2026*IF(AND(ISNUMBER(AC2026),AC2026&gt;0,AC2026&lt;1),AC2026*100,AC2026)/100)</f>
        <v/>
      </c>
      <c r="Z2026" s="5">
        <f>IF(D2026="","",AB2026*AA2026/100)</f>
        <v/>
      </c>
      <c r="AA2026" s="5">
        <f>IF(D2026="","",X2026-Y2026)</f>
        <v/>
      </c>
      <c r="AD2026" s="5">
        <f>IF(D2026="","",AA2026-Z2026)</f>
        <v/>
      </c>
      <c r="AG2026">
        <f>IF(D2026="","",N(AG2025)+IF(MATCH(D2026,$D$2:$D$3001,0)=ROW()-1,1,0))</f>
        <v/>
      </c>
    </row>
    <row r="2027">
      <c r="Y2027" s="5">
        <f>IF(D2027="","",X2027*IF(AND(ISNUMBER(AC2027),AC2027&gt;0,AC2027&lt;1),AC2027*100,AC2027)/100)</f>
        <v/>
      </c>
      <c r="Z2027" s="5">
        <f>IF(D2027="","",AB2027*AA2027/100)</f>
        <v/>
      </c>
      <c r="AA2027" s="5">
        <f>IF(D2027="","",X2027-Y2027)</f>
        <v/>
      </c>
      <c r="AD2027" s="5">
        <f>IF(D2027="","",AA2027-Z2027)</f>
        <v/>
      </c>
      <c r="AG2027">
        <f>IF(D2027="","",N(AG2026)+IF(MATCH(D2027,$D$2:$D$3001,0)=ROW()-1,1,0))</f>
        <v/>
      </c>
    </row>
    <row r="2028">
      <c r="Y2028" s="5">
        <f>IF(D2028="","",X2028*IF(AND(ISNUMBER(AC2028),AC2028&gt;0,AC2028&lt;1),AC2028*100,AC2028)/100)</f>
        <v/>
      </c>
      <c r="Z2028" s="5">
        <f>IF(D2028="","",AB2028*AA2028/100)</f>
        <v/>
      </c>
      <c r="AA2028" s="5">
        <f>IF(D2028="","",X2028-Y2028)</f>
        <v/>
      </c>
      <c r="AD2028" s="5">
        <f>IF(D2028="","",AA2028-Z2028)</f>
        <v/>
      </c>
      <c r="AG2028">
        <f>IF(D2028="","",N(AG2027)+IF(MATCH(D2028,$D$2:$D$3001,0)=ROW()-1,1,0))</f>
        <v/>
      </c>
    </row>
    <row r="2029">
      <c r="Y2029" s="5">
        <f>IF(D2029="","",X2029*IF(AND(ISNUMBER(AC2029),AC2029&gt;0,AC2029&lt;1),AC2029*100,AC2029)/100)</f>
        <v/>
      </c>
      <c r="Z2029" s="5">
        <f>IF(D2029="","",AB2029*AA2029/100)</f>
        <v/>
      </c>
      <c r="AA2029" s="5">
        <f>IF(D2029="","",X2029-Y2029)</f>
        <v/>
      </c>
      <c r="AD2029" s="5">
        <f>IF(D2029="","",AA2029-Z2029)</f>
        <v/>
      </c>
      <c r="AG2029">
        <f>IF(D2029="","",N(AG2028)+IF(MATCH(D2029,$D$2:$D$3001,0)=ROW()-1,1,0))</f>
        <v/>
      </c>
    </row>
    <row r="2030">
      <c r="Y2030" s="5">
        <f>IF(D2030="","",X2030*IF(AND(ISNUMBER(AC2030),AC2030&gt;0,AC2030&lt;1),AC2030*100,AC2030)/100)</f>
        <v/>
      </c>
      <c r="Z2030" s="5">
        <f>IF(D2030="","",AB2030*AA2030/100)</f>
        <v/>
      </c>
      <c r="AA2030" s="5">
        <f>IF(D2030="","",X2030-Y2030)</f>
        <v/>
      </c>
      <c r="AD2030" s="5">
        <f>IF(D2030="","",AA2030-Z2030)</f>
        <v/>
      </c>
      <c r="AG2030">
        <f>IF(D2030="","",N(AG2029)+IF(MATCH(D2030,$D$2:$D$3001,0)=ROW()-1,1,0))</f>
        <v/>
      </c>
    </row>
    <row r="2031">
      <c r="Y2031" s="5">
        <f>IF(D2031="","",X2031*IF(AND(ISNUMBER(AC2031),AC2031&gt;0,AC2031&lt;1),AC2031*100,AC2031)/100)</f>
        <v/>
      </c>
      <c r="Z2031" s="5">
        <f>IF(D2031="","",AB2031*AA2031/100)</f>
        <v/>
      </c>
      <c r="AA2031" s="5">
        <f>IF(D2031="","",X2031-Y2031)</f>
        <v/>
      </c>
      <c r="AD2031" s="5">
        <f>IF(D2031="","",AA2031-Z2031)</f>
        <v/>
      </c>
      <c r="AG2031">
        <f>IF(D2031="","",N(AG2030)+IF(MATCH(D2031,$D$2:$D$3001,0)=ROW()-1,1,0))</f>
        <v/>
      </c>
    </row>
    <row r="2032">
      <c r="Y2032" s="5">
        <f>IF(D2032="","",X2032*IF(AND(ISNUMBER(AC2032),AC2032&gt;0,AC2032&lt;1),AC2032*100,AC2032)/100)</f>
        <v/>
      </c>
      <c r="Z2032" s="5">
        <f>IF(D2032="","",AB2032*AA2032/100)</f>
        <v/>
      </c>
      <c r="AA2032" s="5">
        <f>IF(D2032="","",X2032-Y2032)</f>
        <v/>
      </c>
      <c r="AD2032" s="5">
        <f>IF(D2032="","",AA2032-Z2032)</f>
        <v/>
      </c>
      <c r="AG2032">
        <f>IF(D2032="","",N(AG2031)+IF(MATCH(D2032,$D$2:$D$3001,0)=ROW()-1,1,0))</f>
        <v/>
      </c>
    </row>
    <row r="2033">
      <c r="Y2033" s="5">
        <f>IF(D2033="","",X2033*IF(AND(ISNUMBER(AC2033),AC2033&gt;0,AC2033&lt;1),AC2033*100,AC2033)/100)</f>
        <v/>
      </c>
      <c r="Z2033" s="5">
        <f>IF(D2033="","",AB2033*AA2033/100)</f>
        <v/>
      </c>
      <c r="AA2033" s="5">
        <f>IF(D2033="","",X2033-Y2033)</f>
        <v/>
      </c>
      <c r="AD2033" s="5">
        <f>IF(D2033="","",AA2033-Z2033)</f>
        <v/>
      </c>
      <c r="AG2033">
        <f>IF(D2033="","",N(AG2032)+IF(MATCH(D2033,$D$2:$D$3001,0)=ROW()-1,1,0))</f>
        <v/>
      </c>
    </row>
    <row r="2034">
      <c r="Y2034" s="5">
        <f>IF(D2034="","",X2034*IF(AND(ISNUMBER(AC2034),AC2034&gt;0,AC2034&lt;1),AC2034*100,AC2034)/100)</f>
        <v/>
      </c>
      <c r="Z2034" s="5">
        <f>IF(D2034="","",AB2034*AA2034/100)</f>
        <v/>
      </c>
      <c r="AA2034" s="5">
        <f>IF(D2034="","",X2034-Y2034)</f>
        <v/>
      </c>
      <c r="AD2034" s="5">
        <f>IF(D2034="","",AA2034-Z2034)</f>
        <v/>
      </c>
      <c r="AG2034">
        <f>IF(D2034="","",N(AG2033)+IF(MATCH(D2034,$D$2:$D$3001,0)=ROW()-1,1,0))</f>
        <v/>
      </c>
    </row>
    <row r="2035">
      <c r="Y2035" s="5">
        <f>IF(D2035="","",X2035*IF(AND(ISNUMBER(AC2035),AC2035&gt;0,AC2035&lt;1),AC2035*100,AC2035)/100)</f>
        <v/>
      </c>
      <c r="Z2035" s="5">
        <f>IF(D2035="","",AB2035*AA2035/100)</f>
        <v/>
      </c>
      <c r="AA2035" s="5">
        <f>IF(D2035="","",X2035-Y2035)</f>
        <v/>
      </c>
      <c r="AD2035" s="5">
        <f>IF(D2035="","",AA2035-Z2035)</f>
        <v/>
      </c>
      <c r="AG2035">
        <f>IF(D2035="","",N(AG2034)+IF(MATCH(D2035,$D$2:$D$3001,0)=ROW()-1,1,0))</f>
        <v/>
      </c>
    </row>
    <row r="2036">
      <c r="Y2036" s="5">
        <f>IF(D2036="","",X2036*IF(AND(ISNUMBER(AC2036),AC2036&gt;0,AC2036&lt;1),AC2036*100,AC2036)/100)</f>
        <v/>
      </c>
      <c r="Z2036" s="5">
        <f>IF(D2036="","",AB2036*AA2036/100)</f>
        <v/>
      </c>
      <c r="AA2036" s="5">
        <f>IF(D2036="","",X2036-Y2036)</f>
        <v/>
      </c>
      <c r="AD2036" s="5">
        <f>IF(D2036="","",AA2036-Z2036)</f>
        <v/>
      </c>
      <c r="AG2036">
        <f>IF(D2036="","",N(AG2035)+IF(MATCH(D2036,$D$2:$D$3001,0)=ROW()-1,1,0))</f>
        <v/>
      </c>
    </row>
    <row r="2037">
      <c r="Y2037" s="5">
        <f>IF(D2037="","",X2037*IF(AND(ISNUMBER(AC2037),AC2037&gt;0,AC2037&lt;1),AC2037*100,AC2037)/100)</f>
        <v/>
      </c>
      <c r="Z2037" s="5">
        <f>IF(D2037="","",AB2037*AA2037/100)</f>
        <v/>
      </c>
      <c r="AA2037" s="5">
        <f>IF(D2037="","",X2037-Y2037)</f>
        <v/>
      </c>
      <c r="AD2037" s="5">
        <f>IF(D2037="","",AA2037-Z2037)</f>
        <v/>
      </c>
      <c r="AG2037">
        <f>IF(D2037="","",N(AG2036)+IF(MATCH(D2037,$D$2:$D$3001,0)=ROW()-1,1,0))</f>
        <v/>
      </c>
    </row>
    <row r="2038">
      <c r="Y2038" s="5">
        <f>IF(D2038="","",X2038*IF(AND(ISNUMBER(AC2038),AC2038&gt;0,AC2038&lt;1),AC2038*100,AC2038)/100)</f>
        <v/>
      </c>
      <c r="Z2038" s="5">
        <f>IF(D2038="","",AB2038*AA2038/100)</f>
        <v/>
      </c>
      <c r="AA2038" s="5">
        <f>IF(D2038="","",X2038-Y2038)</f>
        <v/>
      </c>
      <c r="AD2038" s="5">
        <f>IF(D2038="","",AA2038-Z2038)</f>
        <v/>
      </c>
      <c r="AG2038">
        <f>IF(D2038="","",N(AG2037)+IF(MATCH(D2038,$D$2:$D$3001,0)=ROW()-1,1,0))</f>
        <v/>
      </c>
    </row>
    <row r="2039">
      <c r="Y2039" s="5">
        <f>IF(D2039="","",X2039*IF(AND(ISNUMBER(AC2039),AC2039&gt;0,AC2039&lt;1),AC2039*100,AC2039)/100)</f>
        <v/>
      </c>
      <c r="Z2039" s="5">
        <f>IF(D2039="","",AB2039*AA2039/100)</f>
        <v/>
      </c>
      <c r="AA2039" s="5">
        <f>IF(D2039="","",X2039-Y2039)</f>
        <v/>
      </c>
      <c r="AD2039" s="5">
        <f>IF(D2039="","",AA2039-Z2039)</f>
        <v/>
      </c>
      <c r="AG2039">
        <f>IF(D2039="","",N(AG2038)+IF(MATCH(D2039,$D$2:$D$3001,0)=ROW()-1,1,0))</f>
        <v/>
      </c>
    </row>
    <row r="2040">
      <c r="Y2040" s="5">
        <f>IF(D2040="","",X2040*IF(AND(ISNUMBER(AC2040),AC2040&gt;0,AC2040&lt;1),AC2040*100,AC2040)/100)</f>
        <v/>
      </c>
      <c r="Z2040" s="5">
        <f>IF(D2040="","",AB2040*AA2040/100)</f>
        <v/>
      </c>
      <c r="AA2040" s="5">
        <f>IF(D2040="","",X2040-Y2040)</f>
        <v/>
      </c>
      <c r="AD2040" s="5">
        <f>IF(D2040="","",AA2040-Z2040)</f>
        <v/>
      </c>
      <c r="AG2040">
        <f>IF(D2040="","",N(AG2039)+IF(MATCH(D2040,$D$2:$D$3001,0)=ROW()-1,1,0))</f>
        <v/>
      </c>
    </row>
    <row r="2041">
      <c r="Y2041" s="5">
        <f>IF(D2041="","",X2041*IF(AND(ISNUMBER(AC2041),AC2041&gt;0,AC2041&lt;1),AC2041*100,AC2041)/100)</f>
        <v/>
      </c>
      <c r="Z2041" s="5">
        <f>IF(D2041="","",AB2041*AA2041/100)</f>
        <v/>
      </c>
      <c r="AA2041" s="5">
        <f>IF(D2041="","",X2041-Y2041)</f>
        <v/>
      </c>
      <c r="AD2041" s="5">
        <f>IF(D2041="","",AA2041-Z2041)</f>
        <v/>
      </c>
      <c r="AG2041">
        <f>IF(D2041="","",N(AG2040)+IF(MATCH(D2041,$D$2:$D$3001,0)=ROW()-1,1,0))</f>
        <v/>
      </c>
    </row>
    <row r="2042">
      <c r="Y2042" s="5">
        <f>IF(D2042="","",X2042*IF(AND(ISNUMBER(AC2042),AC2042&gt;0,AC2042&lt;1),AC2042*100,AC2042)/100)</f>
        <v/>
      </c>
      <c r="Z2042" s="5">
        <f>IF(D2042="","",AB2042*AA2042/100)</f>
        <v/>
      </c>
      <c r="AA2042" s="5">
        <f>IF(D2042="","",X2042-Y2042)</f>
        <v/>
      </c>
      <c r="AD2042" s="5">
        <f>IF(D2042="","",AA2042-Z2042)</f>
        <v/>
      </c>
      <c r="AG2042">
        <f>IF(D2042="","",N(AG2041)+IF(MATCH(D2042,$D$2:$D$3001,0)=ROW()-1,1,0))</f>
        <v/>
      </c>
    </row>
    <row r="2043">
      <c r="Y2043" s="5">
        <f>IF(D2043="","",X2043*IF(AND(ISNUMBER(AC2043),AC2043&gt;0,AC2043&lt;1),AC2043*100,AC2043)/100)</f>
        <v/>
      </c>
      <c r="Z2043" s="5">
        <f>IF(D2043="","",AB2043*AA2043/100)</f>
        <v/>
      </c>
      <c r="AA2043" s="5">
        <f>IF(D2043="","",X2043-Y2043)</f>
        <v/>
      </c>
      <c r="AD2043" s="5">
        <f>IF(D2043="","",AA2043-Z2043)</f>
        <v/>
      </c>
      <c r="AG2043">
        <f>IF(D2043="","",N(AG2042)+IF(MATCH(D2043,$D$2:$D$3001,0)=ROW()-1,1,0))</f>
        <v/>
      </c>
    </row>
    <row r="2044">
      <c r="Y2044" s="5">
        <f>IF(D2044="","",X2044*IF(AND(ISNUMBER(AC2044),AC2044&gt;0,AC2044&lt;1),AC2044*100,AC2044)/100)</f>
        <v/>
      </c>
      <c r="Z2044" s="5">
        <f>IF(D2044="","",AB2044*AA2044/100)</f>
        <v/>
      </c>
      <c r="AA2044" s="5">
        <f>IF(D2044="","",X2044-Y2044)</f>
        <v/>
      </c>
      <c r="AD2044" s="5">
        <f>IF(D2044="","",AA2044-Z2044)</f>
        <v/>
      </c>
      <c r="AG2044">
        <f>IF(D2044="","",N(AG2043)+IF(MATCH(D2044,$D$2:$D$3001,0)=ROW()-1,1,0))</f>
        <v/>
      </c>
    </row>
    <row r="2045">
      <c r="Y2045" s="5">
        <f>IF(D2045="","",X2045*IF(AND(ISNUMBER(AC2045),AC2045&gt;0,AC2045&lt;1),AC2045*100,AC2045)/100)</f>
        <v/>
      </c>
      <c r="Z2045" s="5">
        <f>IF(D2045="","",AB2045*AA2045/100)</f>
        <v/>
      </c>
      <c r="AA2045" s="5">
        <f>IF(D2045="","",X2045-Y2045)</f>
        <v/>
      </c>
      <c r="AD2045" s="5">
        <f>IF(D2045="","",AA2045-Z2045)</f>
        <v/>
      </c>
      <c r="AG2045">
        <f>IF(D2045="","",N(AG2044)+IF(MATCH(D2045,$D$2:$D$3001,0)=ROW()-1,1,0))</f>
        <v/>
      </c>
    </row>
    <row r="2046">
      <c r="Y2046" s="5">
        <f>IF(D2046="","",X2046*IF(AND(ISNUMBER(AC2046),AC2046&gt;0,AC2046&lt;1),AC2046*100,AC2046)/100)</f>
        <v/>
      </c>
      <c r="Z2046" s="5">
        <f>IF(D2046="","",AB2046*AA2046/100)</f>
        <v/>
      </c>
      <c r="AA2046" s="5">
        <f>IF(D2046="","",X2046-Y2046)</f>
        <v/>
      </c>
      <c r="AD2046" s="5">
        <f>IF(D2046="","",AA2046-Z2046)</f>
        <v/>
      </c>
      <c r="AG2046">
        <f>IF(D2046="","",N(AG2045)+IF(MATCH(D2046,$D$2:$D$3001,0)=ROW()-1,1,0))</f>
        <v/>
      </c>
    </row>
    <row r="2047">
      <c r="Y2047" s="5">
        <f>IF(D2047="","",X2047*IF(AND(ISNUMBER(AC2047),AC2047&gt;0,AC2047&lt;1),AC2047*100,AC2047)/100)</f>
        <v/>
      </c>
      <c r="Z2047" s="5">
        <f>IF(D2047="","",AB2047*AA2047/100)</f>
        <v/>
      </c>
      <c r="AA2047" s="5">
        <f>IF(D2047="","",X2047-Y2047)</f>
        <v/>
      </c>
      <c r="AD2047" s="5">
        <f>IF(D2047="","",AA2047-Z2047)</f>
        <v/>
      </c>
      <c r="AG2047">
        <f>IF(D2047="","",N(AG2046)+IF(MATCH(D2047,$D$2:$D$3001,0)=ROW()-1,1,0))</f>
        <v/>
      </c>
    </row>
    <row r="2048">
      <c r="Y2048" s="5">
        <f>IF(D2048="","",X2048*IF(AND(ISNUMBER(AC2048),AC2048&gt;0,AC2048&lt;1),AC2048*100,AC2048)/100)</f>
        <v/>
      </c>
      <c r="Z2048" s="5">
        <f>IF(D2048="","",AB2048*AA2048/100)</f>
        <v/>
      </c>
      <c r="AA2048" s="5">
        <f>IF(D2048="","",X2048-Y2048)</f>
        <v/>
      </c>
      <c r="AD2048" s="5">
        <f>IF(D2048="","",AA2048-Z2048)</f>
        <v/>
      </c>
      <c r="AG2048">
        <f>IF(D2048="","",N(AG2047)+IF(MATCH(D2048,$D$2:$D$3001,0)=ROW()-1,1,0))</f>
        <v/>
      </c>
    </row>
    <row r="2049">
      <c r="Y2049" s="5">
        <f>IF(D2049="","",X2049*IF(AND(ISNUMBER(AC2049),AC2049&gt;0,AC2049&lt;1),AC2049*100,AC2049)/100)</f>
        <v/>
      </c>
      <c r="Z2049" s="5">
        <f>IF(D2049="","",AB2049*AA2049/100)</f>
        <v/>
      </c>
      <c r="AA2049" s="5">
        <f>IF(D2049="","",X2049-Y2049)</f>
        <v/>
      </c>
      <c r="AD2049" s="5">
        <f>IF(D2049="","",AA2049-Z2049)</f>
        <v/>
      </c>
      <c r="AG2049">
        <f>IF(D2049="","",N(AG2048)+IF(MATCH(D2049,$D$2:$D$3001,0)=ROW()-1,1,0))</f>
        <v/>
      </c>
    </row>
    <row r="2050">
      <c r="Y2050" s="5">
        <f>IF(D2050="","",X2050*IF(AND(ISNUMBER(AC2050),AC2050&gt;0,AC2050&lt;1),AC2050*100,AC2050)/100)</f>
        <v/>
      </c>
      <c r="Z2050" s="5">
        <f>IF(D2050="","",AB2050*AA2050/100)</f>
        <v/>
      </c>
      <c r="AA2050" s="5">
        <f>IF(D2050="","",X2050-Y2050)</f>
        <v/>
      </c>
      <c r="AD2050" s="5">
        <f>IF(D2050="","",AA2050-Z2050)</f>
        <v/>
      </c>
      <c r="AG2050">
        <f>IF(D2050="","",N(AG2049)+IF(MATCH(D2050,$D$2:$D$3001,0)=ROW()-1,1,0))</f>
        <v/>
      </c>
    </row>
    <row r="2051">
      <c r="Y2051" s="5">
        <f>IF(D2051="","",X2051*IF(AND(ISNUMBER(AC2051),AC2051&gt;0,AC2051&lt;1),AC2051*100,AC2051)/100)</f>
        <v/>
      </c>
      <c r="Z2051" s="5">
        <f>IF(D2051="","",AB2051*AA2051/100)</f>
        <v/>
      </c>
      <c r="AA2051" s="5">
        <f>IF(D2051="","",X2051-Y2051)</f>
        <v/>
      </c>
      <c r="AD2051" s="5">
        <f>IF(D2051="","",AA2051-Z2051)</f>
        <v/>
      </c>
      <c r="AG2051">
        <f>IF(D2051="","",N(AG2050)+IF(MATCH(D2051,$D$2:$D$3001,0)=ROW()-1,1,0))</f>
        <v/>
      </c>
    </row>
    <row r="2052">
      <c r="Y2052" s="5">
        <f>IF(D2052="","",X2052*IF(AND(ISNUMBER(AC2052),AC2052&gt;0,AC2052&lt;1),AC2052*100,AC2052)/100)</f>
        <v/>
      </c>
      <c r="Z2052" s="5">
        <f>IF(D2052="","",AB2052*AA2052/100)</f>
        <v/>
      </c>
      <c r="AA2052" s="5">
        <f>IF(D2052="","",X2052-Y2052)</f>
        <v/>
      </c>
      <c r="AD2052" s="5">
        <f>IF(D2052="","",AA2052-Z2052)</f>
        <v/>
      </c>
      <c r="AG2052">
        <f>IF(D2052="","",N(AG2051)+IF(MATCH(D2052,$D$2:$D$3001,0)=ROW()-1,1,0))</f>
        <v/>
      </c>
    </row>
    <row r="2053">
      <c r="Y2053" s="5">
        <f>IF(D2053="","",X2053*IF(AND(ISNUMBER(AC2053),AC2053&gt;0,AC2053&lt;1),AC2053*100,AC2053)/100)</f>
        <v/>
      </c>
      <c r="Z2053" s="5">
        <f>IF(D2053="","",AB2053*AA2053/100)</f>
        <v/>
      </c>
      <c r="AA2053" s="5">
        <f>IF(D2053="","",X2053-Y2053)</f>
        <v/>
      </c>
      <c r="AD2053" s="5">
        <f>IF(D2053="","",AA2053-Z2053)</f>
        <v/>
      </c>
      <c r="AG2053">
        <f>IF(D2053="","",N(AG2052)+IF(MATCH(D2053,$D$2:$D$3001,0)=ROW()-1,1,0))</f>
        <v/>
      </c>
    </row>
    <row r="2054">
      <c r="Y2054" s="5">
        <f>IF(D2054="","",X2054*IF(AND(ISNUMBER(AC2054),AC2054&gt;0,AC2054&lt;1),AC2054*100,AC2054)/100)</f>
        <v/>
      </c>
      <c r="Z2054" s="5">
        <f>IF(D2054="","",AB2054*AA2054/100)</f>
        <v/>
      </c>
      <c r="AA2054" s="5">
        <f>IF(D2054="","",X2054-Y2054)</f>
        <v/>
      </c>
      <c r="AD2054" s="5">
        <f>IF(D2054="","",AA2054-Z2054)</f>
        <v/>
      </c>
      <c r="AG2054">
        <f>IF(D2054="","",N(AG2053)+IF(MATCH(D2054,$D$2:$D$3001,0)=ROW()-1,1,0))</f>
        <v/>
      </c>
    </row>
    <row r="2055">
      <c r="Y2055" s="5">
        <f>IF(D2055="","",X2055*IF(AND(ISNUMBER(AC2055),AC2055&gt;0,AC2055&lt;1),AC2055*100,AC2055)/100)</f>
        <v/>
      </c>
      <c r="Z2055" s="5">
        <f>IF(D2055="","",AB2055*AA2055/100)</f>
        <v/>
      </c>
      <c r="AA2055" s="5">
        <f>IF(D2055="","",X2055-Y2055)</f>
        <v/>
      </c>
      <c r="AD2055" s="5">
        <f>IF(D2055="","",AA2055-Z2055)</f>
        <v/>
      </c>
      <c r="AG2055">
        <f>IF(D2055="","",N(AG2054)+IF(MATCH(D2055,$D$2:$D$3001,0)=ROW()-1,1,0))</f>
        <v/>
      </c>
    </row>
    <row r="2056">
      <c r="Y2056" s="5">
        <f>IF(D2056="","",X2056*IF(AND(ISNUMBER(AC2056),AC2056&gt;0,AC2056&lt;1),AC2056*100,AC2056)/100)</f>
        <v/>
      </c>
      <c r="Z2056" s="5">
        <f>IF(D2056="","",AB2056*AA2056/100)</f>
        <v/>
      </c>
      <c r="AA2056" s="5">
        <f>IF(D2056="","",X2056-Y2056)</f>
        <v/>
      </c>
      <c r="AD2056" s="5">
        <f>IF(D2056="","",AA2056-Z2056)</f>
        <v/>
      </c>
      <c r="AG2056">
        <f>IF(D2056="","",N(AG2055)+IF(MATCH(D2056,$D$2:$D$3001,0)=ROW()-1,1,0))</f>
        <v/>
      </c>
    </row>
    <row r="2057">
      <c r="Y2057" s="5">
        <f>IF(D2057="","",X2057*IF(AND(ISNUMBER(AC2057),AC2057&gt;0,AC2057&lt;1),AC2057*100,AC2057)/100)</f>
        <v/>
      </c>
      <c r="Z2057" s="5">
        <f>IF(D2057="","",AB2057*AA2057/100)</f>
        <v/>
      </c>
      <c r="AA2057" s="5">
        <f>IF(D2057="","",X2057-Y2057)</f>
        <v/>
      </c>
      <c r="AD2057" s="5">
        <f>IF(D2057="","",AA2057-Z2057)</f>
        <v/>
      </c>
      <c r="AG2057">
        <f>IF(D2057="","",N(AG2056)+IF(MATCH(D2057,$D$2:$D$3001,0)=ROW()-1,1,0))</f>
        <v/>
      </c>
    </row>
    <row r="2058">
      <c r="Y2058" s="5">
        <f>IF(D2058="","",X2058*IF(AND(ISNUMBER(AC2058),AC2058&gt;0,AC2058&lt;1),AC2058*100,AC2058)/100)</f>
        <v/>
      </c>
      <c r="Z2058" s="5">
        <f>IF(D2058="","",AB2058*AA2058/100)</f>
        <v/>
      </c>
      <c r="AA2058" s="5">
        <f>IF(D2058="","",X2058-Y2058)</f>
        <v/>
      </c>
      <c r="AD2058" s="5">
        <f>IF(D2058="","",AA2058-Z2058)</f>
        <v/>
      </c>
      <c r="AG2058">
        <f>IF(D2058="","",N(AG2057)+IF(MATCH(D2058,$D$2:$D$3001,0)=ROW()-1,1,0))</f>
        <v/>
      </c>
    </row>
    <row r="2059">
      <c r="Y2059" s="5">
        <f>IF(D2059="","",X2059*IF(AND(ISNUMBER(AC2059),AC2059&gt;0,AC2059&lt;1),AC2059*100,AC2059)/100)</f>
        <v/>
      </c>
      <c r="Z2059" s="5">
        <f>IF(D2059="","",AB2059*AA2059/100)</f>
        <v/>
      </c>
      <c r="AA2059" s="5">
        <f>IF(D2059="","",X2059-Y2059)</f>
        <v/>
      </c>
      <c r="AD2059" s="5">
        <f>IF(D2059="","",AA2059-Z2059)</f>
        <v/>
      </c>
      <c r="AG2059">
        <f>IF(D2059="","",N(AG2058)+IF(MATCH(D2059,$D$2:$D$3001,0)=ROW()-1,1,0))</f>
        <v/>
      </c>
    </row>
    <row r="2060">
      <c r="Y2060" s="5">
        <f>IF(D2060="","",X2060*IF(AND(ISNUMBER(AC2060),AC2060&gt;0,AC2060&lt;1),AC2060*100,AC2060)/100)</f>
        <v/>
      </c>
      <c r="Z2060" s="5">
        <f>IF(D2060="","",AB2060*AA2060/100)</f>
        <v/>
      </c>
      <c r="AA2060" s="5">
        <f>IF(D2060="","",X2060-Y2060)</f>
        <v/>
      </c>
      <c r="AD2060" s="5">
        <f>IF(D2060="","",AA2060-Z2060)</f>
        <v/>
      </c>
      <c r="AG2060">
        <f>IF(D2060="","",N(AG2059)+IF(MATCH(D2060,$D$2:$D$3001,0)=ROW()-1,1,0))</f>
        <v/>
      </c>
    </row>
    <row r="2061">
      <c r="Y2061" s="5">
        <f>IF(D2061="","",X2061*IF(AND(ISNUMBER(AC2061),AC2061&gt;0,AC2061&lt;1),AC2061*100,AC2061)/100)</f>
        <v/>
      </c>
      <c r="Z2061" s="5">
        <f>IF(D2061="","",AB2061*AA2061/100)</f>
        <v/>
      </c>
      <c r="AA2061" s="5">
        <f>IF(D2061="","",X2061-Y2061)</f>
        <v/>
      </c>
      <c r="AD2061" s="5">
        <f>IF(D2061="","",AA2061-Z2061)</f>
        <v/>
      </c>
      <c r="AG2061">
        <f>IF(D2061="","",N(AG2060)+IF(MATCH(D2061,$D$2:$D$3001,0)=ROW()-1,1,0))</f>
        <v/>
      </c>
    </row>
    <row r="2062">
      <c r="Y2062" s="5">
        <f>IF(D2062="","",X2062*IF(AND(ISNUMBER(AC2062),AC2062&gt;0,AC2062&lt;1),AC2062*100,AC2062)/100)</f>
        <v/>
      </c>
      <c r="Z2062" s="5">
        <f>IF(D2062="","",AB2062*AA2062/100)</f>
        <v/>
      </c>
      <c r="AA2062" s="5">
        <f>IF(D2062="","",X2062-Y2062)</f>
        <v/>
      </c>
      <c r="AD2062" s="5">
        <f>IF(D2062="","",AA2062-Z2062)</f>
        <v/>
      </c>
      <c r="AG2062">
        <f>IF(D2062="","",N(AG2061)+IF(MATCH(D2062,$D$2:$D$3001,0)=ROW()-1,1,0))</f>
        <v/>
      </c>
    </row>
    <row r="2063">
      <c r="Y2063" s="5">
        <f>IF(D2063="","",X2063*IF(AND(ISNUMBER(AC2063),AC2063&gt;0,AC2063&lt;1),AC2063*100,AC2063)/100)</f>
        <v/>
      </c>
      <c r="Z2063" s="5">
        <f>IF(D2063="","",AB2063*AA2063/100)</f>
        <v/>
      </c>
      <c r="AA2063" s="5">
        <f>IF(D2063="","",X2063-Y2063)</f>
        <v/>
      </c>
      <c r="AD2063" s="5">
        <f>IF(D2063="","",AA2063-Z2063)</f>
        <v/>
      </c>
      <c r="AG2063">
        <f>IF(D2063="","",N(AG2062)+IF(MATCH(D2063,$D$2:$D$3001,0)=ROW()-1,1,0))</f>
        <v/>
      </c>
    </row>
    <row r="2064">
      <c r="Y2064" s="5">
        <f>IF(D2064="","",X2064*IF(AND(ISNUMBER(AC2064),AC2064&gt;0,AC2064&lt;1),AC2064*100,AC2064)/100)</f>
        <v/>
      </c>
      <c r="Z2064" s="5">
        <f>IF(D2064="","",AB2064*AA2064/100)</f>
        <v/>
      </c>
      <c r="AA2064" s="5">
        <f>IF(D2064="","",X2064-Y2064)</f>
        <v/>
      </c>
      <c r="AD2064" s="5">
        <f>IF(D2064="","",AA2064-Z2064)</f>
        <v/>
      </c>
      <c r="AG2064">
        <f>IF(D2064="","",N(AG2063)+IF(MATCH(D2064,$D$2:$D$3001,0)=ROW()-1,1,0))</f>
        <v/>
      </c>
    </row>
    <row r="2065">
      <c r="Y2065" s="5">
        <f>IF(D2065="","",X2065*IF(AND(ISNUMBER(AC2065),AC2065&gt;0,AC2065&lt;1),AC2065*100,AC2065)/100)</f>
        <v/>
      </c>
      <c r="Z2065" s="5">
        <f>IF(D2065="","",AB2065*AA2065/100)</f>
        <v/>
      </c>
      <c r="AA2065" s="5">
        <f>IF(D2065="","",X2065-Y2065)</f>
        <v/>
      </c>
      <c r="AD2065" s="5">
        <f>IF(D2065="","",AA2065-Z2065)</f>
        <v/>
      </c>
      <c r="AG2065">
        <f>IF(D2065="","",N(AG2064)+IF(MATCH(D2065,$D$2:$D$3001,0)=ROW()-1,1,0))</f>
        <v/>
      </c>
    </row>
    <row r="2066">
      <c r="Y2066" s="5">
        <f>IF(D2066="","",X2066*IF(AND(ISNUMBER(AC2066),AC2066&gt;0,AC2066&lt;1),AC2066*100,AC2066)/100)</f>
        <v/>
      </c>
      <c r="Z2066" s="5">
        <f>IF(D2066="","",AB2066*AA2066/100)</f>
        <v/>
      </c>
      <c r="AA2066" s="5">
        <f>IF(D2066="","",X2066-Y2066)</f>
        <v/>
      </c>
      <c r="AD2066" s="5">
        <f>IF(D2066="","",AA2066-Z2066)</f>
        <v/>
      </c>
      <c r="AG2066">
        <f>IF(D2066="","",N(AG2065)+IF(MATCH(D2066,$D$2:$D$3001,0)=ROW()-1,1,0))</f>
        <v/>
      </c>
    </row>
    <row r="2067">
      <c r="Y2067" s="5">
        <f>IF(D2067="","",X2067*IF(AND(ISNUMBER(AC2067),AC2067&gt;0,AC2067&lt;1),AC2067*100,AC2067)/100)</f>
        <v/>
      </c>
      <c r="Z2067" s="5">
        <f>IF(D2067="","",AB2067*AA2067/100)</f>
        <v/>
      </c>
      <c r="AA2067" s="5">
        <f>IF(D2067="","",X2067-Y2067)</f>
        <v/>
      </c>
      <c r="AD2067" s="5">
        <f>IF(D2067="","",AA2067-Z2067)</f>
        <v/>
      </c>
      <c r="AG2067">
        <f>IF(D2067="","",N(AG2066)+IF(MATCH(D2067,$D$2:$D$3001,0)=ROW()-1,1,0))</f>
        <v/>
      </c>
    </row>
    <row r="2068">
      <c r="Y2068" s="5">
        <f>IF(D2068="","",X2068*IF(AND(ISNUMBER(AC2068),AC2068&gt;0,AC2068&lt;1),AC2068*100,AC2068)/100)</f>
        <v/>
      </c>
      <c r="Z2068" s="5">
        <f>IF(D2068="","",AB2068*AA2068/100)</f>
        <v/>
      </c>
      <c r="AA2068" s="5">
        <f>IF(D2068="","",X2068-Y2068)</f>
        <v/>
      </c>
      <c r="AD2068" s="5">
        <f>IF(D2068="","",AA2068-Z2068)</f>
        <v/>
      </c>
      <c r="AG2068">
        <f>IF(D2068="","",N(AG2067)+IF(MATCH(D2068,$D$2:$D$3001,0)=ROW()-1,1,0))</f>
        <v/>
      </c>
    </row>
    <row r="2069">
      <c r="Y2069" s="5">
        <f>IF(D2069="","",X2069*IF(AND(ISNUMBER(AC2069),AC2069&gt;0,AC2069&lt;1),AC2069*100,AC2069)/100)</f>
        <v/>
      </c>
      <c r="Z2069" s="5">
        <f>IF(D2069="","",AB2069*AA2069/100)</f>
        <v/>
      </c>
      <c r="AA2069" s="5">
        <f>IF(D2069="","",X2069-Y2069)</f>
        <v/>
      </c>
      <c r="AD2069" s="5">
        <f>IF(D2069="","",AA2069-Z2069)</f>
        <v/>
      </c>
      <c r="AG2069">
        <f>IF(D2069="","",N(AG2068)+IF(MATCH(D2069,$D$2:$D$3001,0)=ROW()-1,1,0))</f>
        <v/>
      </c>
    </row>
    <row r="2070">
      <c r="Y2070" s="5">
        <f>IF(D2070="","",X2070*IF(AND(ISNUMBER(AC2070),AC2070&gt;0,AC2070&lt;1),AC2070*100,AC2070)/100)</f>
        <v/>
      </c>
      <c r="Z2070" s="5">
        <f>IF(D2070="","",AB2070*AA2070/100)</f>
        <v/>
      </c>
      <c r="AA2070" s="5">
        <f>IF(D2070="","",X2070-Y2070)</f>
        <v/>
      </c>
      <c r="AD2070" s="5">
        <f>IF(D2070="","",AA2070-Z2070)</f>
        <v/>
      </c>
      <c r="AG2070">
        <f>IF(D2070="","",N(AG2069)+IF(MATCH(D2070,$D$2:$D$3001,0)=ROW()-1,1,0))</f>
        <v/>
      </c>
    </row>
    <row r="2071">
      <c r="Y2071" s="5">
        <f>IF(D2071="","",X2071*IF(AND(ISNUMBER(AC2071),AC2071&gt;0,AC2071&lt;1),AC2071*100,AC2071)/100)</f>
        <v/>
      </c>
      <c r="Z2071" s="5">
        <f>IF(D2071="","",AB2071*AA2071/100)</f>
        <v/>
      </c>
      <c r="AA2071" s="5">
        <f>IF(D2071="","",X2071-Y2071)</f>
        <v/>
      </c>
      <c r="AD2071" s="5">
        <f>IF(D2071="","",AA2071-Z2071)</f>
        <v/>
      </c>
      <c r="AG2071">
        <f>IF(D2071="","",N(AG2070)+IF(MATCH(D2071,$D$2:$D$3001,0)=ROW()-1,1,0))</f>
        <v/>
      </c>
    </row>
    <row r="2072">
      <c r="Y2072" s="5">
        <f>IF(D2072="","",X2072*IF(AND(ISNUMBER(AC2072),AC2072&gt;0,AC2072&lt;1),AC2072*100,AC2072)/100)</f>
        <v/>
      </c>
      <c r="Z2072" s="5">
        <f>IF(D2072="","",AB2072*AA2072/100)</f>
        <v/>
      </c>
      <c r="AA2072" s="5">
        <f>IF(D2072="","",X2072-Y2072)</f>
        <v/>
      </c>
      <c r="AD2072" s="5">
        <f>IF(D2072="","",AA2072-Z2072)</f>
        <v/>
      </c>
      <c r="AG2072">
        <f>IF(D2072="","",N(AG2071)+IF(MATCH(D2072,$D$2:$D$3001,0)=ROW()-1,1,0))</f>
        <v/>
      </c>
    </row>
    <row r="2073">
      <c r="Y2073" s="5">
        <f>IF(D2073="","",X2073*IF(AND(ISNUMBER(AC2073),AC2073&gt;0,AC2073&lt;1),AC2073*100,AC2073)/100)</f>
        <v/>
      </c>
      <c r="Z2073" s="5">
        <f>IF(D2073="","",AB2073*AA2073/100)</f>
        <v/>
      </c>
      <c r="AA2073" s="5">
        <f>IF(D2073="","",X2073-Y2073)</f>
        <v/>
      </c>
      <c r="AD2073" s="5">
        <f>IF(D2073="","",AA2073-Z2073)</f>
        <v/>
      </c>
      <c r="AG2073">
        <f>IF(D2073="","",N(AG2072)+IF(MATCH(D2073,$D$2:$D$3001,0)=ROW()-1,1,0))</f>
        <v/>
      </c>
    </row>
    <row r="2074">
      <c r="Y2074" s="5">
        <f>IF(D2074="","",X2074*IF(AND(ISNUMBER(AC2074),AC2074&gt;0,AC2074&lt;1),AC2074*100,AC2074)/100)</f>
        <v/>
      </c>
      <c r="Z2074" s="5">
        <f>IF(D2074="","",AB2074*AA2074/100)</f>
        <v/>
      </c>
      <c r="AA2074" s="5">
        <f>IF(D2074="","",X2074-Y2074)</f>
        <v/>
      </c>
      <c r="AD2074" s="5">
        <f>IF(D2074="","",AA2074-Z2074)</f>
        <v/>
      </c>
      <c r="AG2074">
        <f>IF(D2074="","",N(AG2073)+IF(MATCH(D2074,$D$2:$D$3001,0)=ROW()-1,1,0))</f>
        <v/>
      </c>
    </row>
    <row r="2075">
      <c r="Y2075" s="5">
        <f>IF(D2075="","",X2075*IF(AND(ISNUMBER(AC2075),AC2075&gt;0,AC2075&lt;1),AC2075*100,AC2075)/100)</f>
        <v/>
      </c>
      <c r="Z2075" s="5">
        <f>IF(D2075="","",AB2075*AA2075/100)</f>
        <v/>
      </c>
      <c r="AA2075" s="5">
        <f>IF(D2075="","",X2075-Y2075)</f>
        <v/>
      </c>
      <c r="AD2075" s="5">
        <f>IF(D2075="","",AA2075-Z2075)</f>
        <v/>
      </c>
      <c r="AG2075">
        <f>IF(D2075="","",N(AG2074)+IF(MATCH(D2075,$D$2:$D$3001,0)=ROW()-1,1,0))</f>
        <v/>
      </c>
    </row>
    <row r="2076">
      <c r="Y2076" s="5">
        <f>IF(D2076="","",X2076*IF(AND(ISNUMBER(AC2076),AC2076&gt;0,AC2076&lt;1),AC2076*100,AC2076)/100)</f>
        <v/>
      </c>
      <c r="Z2076" s="5">
        <f>IF(D2076="","",AB2076*AA2076/100)</f>
        <v/>
      </c>
      <c r="AA2076" s="5">
        <f>IF(D2076="","",X2076-Y2076)</f>
        <v/>
      </c>
      <c r="AD2076" s="5">
        <f>IF(D2076="","",AA2076-Z2076)</f>
        <v/>
      </c>
      <c r="AG2076">
        <f>IF(D2076="","",N(AG2075)+IF(MATCH(D2076,$D$2:$D$3001,0)=ROW()-1,1,0))</f>
        <v/>
      </c>
    </row>
    <row r="2077">
      <c r="Y2077" s="5">
        <f>IF(D2077="","",X2077*IF(AND(ISNUMBER(AC2077),AC2077&gt;0,AC2077&lt;1),AC2077*100,AC2077)/100)</f>
        <v/>
      </c>
      <c r="Z2077" s="5">
        <f>IF(D2077="","",AB2077*AA2077/100)</f>
        <v/>
      </c>
      <c r="AA2077" s="5">
        <f>IF(D2077="","",X2077-Y2077)</f>
        <v/>
      </c>
      <c r="AD2077" s="5">
        <f>IF(D2077="","",AA2077-Z2077)</f>
        <v/>
      </c>
      <c r="AG2077">
        <f>IF(D2077="","",N(AG2076)+IF(MATCH(D2077,$D$2:$D$3001,0)=ROW()-1,1,0))</f>
        <v/>
      </c>
    </row>
    <row r="2078">
      <c r="Y2078" s="5">
        <f>IF(D2078="","",X2078*IF(AND(ISNUMBER(AC2078),AC2078&gt;0,AC2078&lt;1),AC2078*100,AC2078)/100)</f>
        <v/>
      </c>
      <c r="Z2078" s="5">
        <f>IF(D2078="","",AB2078*AA2078/100)</f>
        <v/>
      </c>
      <c r="AA2078" s="5">
        <f>IF(D2078="","",X2078-Y2078)</f>
        <v/>
      </c>
      <c r="AD2078" s="5">
        <f>IF(D2078="","",AA2078-Z2078)</f>
        <v/>
      </c>
      <c r="AG2078">
        <f>IF(D2078="","",N(AG2077)+IF(MATCH(D2078,$D$2:$D$3001,0)=ROW()-1,1,0))</f>
        <v/>
      </c>
    </row>
    <row r="2079">
      <c r="Y2079" s="5">
        <f>IF(D2079="","",X2079*IF(AND(ISNUMBER(AC2079),AC2079&gt;0,AC2079&lt;1),AC2079*100,AC2079)/100)</f>
        <v/>
      </c>
      <c r="Z2079" s="5">
        <f>IF(D2079="","",AB2079*AA2079/100)</f>
        <v/>
      </c>
      <c r="AA2079" s="5">
        <f>IF(D2079="","",X2079-Y2079)</f>
        <v/>
      </c>
      <c r="AD2079" s="5">
        <f>IF(D2079="","",AA2079-Z2079)</f>
        <v/>
      </c>
      <c r="AG2079">
        <f>IF(D2079="","",N(AG2078)+IF(MATCH(D2079,$D$2:$D$3001,0)=ROW()-1,1,0))</f>
        <v/>
      </c>
    </row>
    <row r="2080">
      <c r="Y2080" s="5">
        <f>IF(D2080="","",X2080*IF(AND(ISNUMBER(AC2080),AC2080&gt;0,AC2080&lt;1),AC2080*100,AC2080)/100)</f>
        <v/>
      </c>
      <c r="Z2080" s="5">
        <f>IF(D2080="","",AB2080*AA2080/100)</f>
        <v/>
      </c>
      <c r="AA2080" s="5">
        <f>IF(D2080="","",X2080-Y2080)</f>
        <v/>
      </c>
      <c r="AD2080" s="5">
        <f>IF(D2080="","",AA2080-Z2080)</f>
        <v/>
      </c>
      <c r="AG2080">
        <f>IF(D2080="","",N(AG2079)+IF(MATCH(D2080,$D$2:$D$3001,0)=ROW()-1,1,0))</f>
        <v/>
      </c>
    </row>
    <row r="2081">
      <c r="Y2081" s="5">
        <f>IF(D2081="","",X2081*IF(AND(ISNUMBER(AC2081),AC2081&gt;0,AC2081&lt;1),AC2081*100,AC2081)/100)</f>
        <v/>
      </c>
      <c r="Z2081" s="5">
        <f>IF(D2081="","",AB2081*AA2081/100)</f>
        <v/>
      </c>
      <c r="AA2081" s="5">
        <f>IF(D2081="","",X2081-Y2081)</f>
        <v/>
      </c>
      <c r="AD2081" s="5">
        <f>IF(D2081="","",AA2081-Z2081)</f>
        <v/>
      </c>
      <c r="AG2081">
        <f>IF(D2081="","",N(AG2080)+IF(MATCH(D2081,$D$2:$D$3001,0)=ROW()-1,1,0))</f>
        <v/>
      </c>
    </row>
    <row r="2082">
      <c r="Y2082" s="5">
        <f>IF(D2082="","",X2082*IF(AND(ISNUMBER(AC2082),AC2082&gt;0,AC2082&lt;1),AC2082*100,AC2082)/100)</f>
        <v/>
      </c>
      <c r="Z2082" s="5">
        <f>IF(D2082="","",AB2082*AA2082/100)</f>
        <v/>
      </c>
      <c r="AA2082" s="5">
        <f>IF(D2082="","",X2082-Y2082)</f>
        <v/>
      </c>
      <c r="AD2082" s="5">
        <f>IF(D2082="","",AA2082-Z2082)</f>
        <v/>
      </c>
      <c r="AG2082">
        <f>IF(D2082="","",N(AG2081)+IF(MATCH(D2082,$D$2:$D$3001,0)=ROW()-1,1,0))</f>
        <v/>
      </c>
    </row>
    <row r="2083">
      <c r="Y2083" s="5">
        <f>IF(D2083="","",X2083*IF(AND(ISNUMBER(AC2083),AC2083&gt;0,AC2083&lt;1),AC2083*100,AC2083)/100)</f>
        <v/>
      </c>
      <c r="Z2083" s="5">
        <f>IF(D2083="","",AB2083*AA2083/100)</f>
        <v/>
      </c>
      <c r="AA2083" s="5">
        <f>IF(D2083="","",X2083-Y2083)</f>
        <v/>
      </c>
      <c r="AD2083" s="5">
        <f>IF(D2083="","",AA2083-Z2083)</f>
        <v/>
      </c>
      <c r="AG2083">
        <f>IF(D2083="","",N(AG2082)+IF(MATCH(D2083,$D$2:$D$3001,0)=ROW()-1,1,0))</f>
        <v/>
      </c>
    </row>
    <row r="2084">
      <c r="Y2084" s="5">
        <f>IF(D2084="","",X2084*IF(AND(ISNUMBER(AC2084),AC2084&gt;0,AC2084&lt;1),AC2084*100,AC2084)/100)</f>
        <v/>
      </c>
      <c r="Z2084" s="5">
        <f>IF(D2084="","",AB2084*AA2084/100)</f>
        <v/>
      </c>
      <c r="AA2084" s="5">
        <f>IF(D2084="","",X2084-Y2084)</f>
        <v/>
      </c>
      <c r="AD2084" s="5">
        <f>IF(D2084="","",AA2084-Z2084)</f>
        <v/>
      </c>
      <c r="AG2084">
        <f>IF(D2084="","",N(AG2083)+IF(MATCH(D2084,$D$2:$D$3001,0)=ROW()-1,1,0))</f>
        <v/>
      </c>
    </row>
    <row r="2085">
      <c r="Y2085" s="5">
        <f>IF(D2085="","",X2085*IF(AND(ISNUMBER(AC2085),AC2085&gt;0,AC2085&lt;1),AC2085*100,AC2085)/100)</f>
        <v/>
      </c>
      <c r="Z2085" s="5">
        <f>IF(D2085="","",AB2085*AA2085/100)</f>
        <v/>
      </c>
      <c r="AA2085" s="5">
        <f>IF(D2085="","",X2085-Y2085)</f>
        <v/>
      </c>
      <c r="AD2085" s="5">
        <f>IF(D2085="","",AA2085-Z2085)</f>
        <v/>
      </c>
      <c r="AG2085">
        <f>IF(D2085="","",N(AG2084)+IF(MATCH(D2085,$D$2:$D$3001,0)=ROW()-1,1,0))</f>
        <v/>
      </c>
    </row>
    <row r="2086">
      <c r="Y2086" s="5">
        <f>IF(D2086="","",X2086*IF(AND(ISNUMBER(AC2086),AC2086&gt;0,AC2086&lt;1),AC2086*100,AC2086)/100)</f>
        <v/>
      </c>
      <c r="Z2086" s="5">
        <f>IF(D2086="","",AB2086*AA2086/100)</f>
        <v/>
      </c>
      <c r="AA2086" s="5">
        <f>IF(D2086="","",X2086-Y2086)</f>
        <v/>
      </c>
      <c r="AD2086" s="5">
        <f>IF(D2086="","",AA2086-Z2086)</f>
        <v/>
      </c>
      <c r="AG2086">
        <f>IF(D2086="","",N(AG2085)+IF(MATCH(D2086,$D$2:$D$3001,0)=ROW()-1,1,0))</f>
        <v/>
      </c>
    </row>
    <row r="2087">
      <c r="Y2087" s="5">
        <f>IF(D2087="","",X2087*IF(AND(ISNUMBER(AC2087),AC2087&gt;0,AC2087&lt;1),AC2087*100,AC2087)/100)</f>
        <v/>
      </c>
      <c r="Z2087" s="5">
        <f>IF(D2087="","",AB2087*AA2087/100)</f>
        <v/>
      </c>
      <c r="AA2087" s="5">
        <f>IF(D2087="","",X2087-Y2087)</f>
        <v/>
      </c>
      <c r="AD2087" s="5">
        <f>IF(D2087="","",AA2087-Z2087)</f>
        <v/>
      </c>
      <c r="AG2087">
        <f>IF(D2087="","",N(AG2086)+IF(MATCH(D2087,$D$2:$D$3001,0)=ROW()-1,1,0))</f>
        <v/>
      </c>
    </row>
    <row r="2088">
      <c r="Y2088" s="5">
        <f>IF(D2088="","",X2088*IF(AND(ISNUMBER(AC2088),AC2088&gt;0,AC2088&lt;1),AC2088*100,AC2088)/100)</f>
        <v/>
      </c>
      <c r="Z2088" s="5">
        <f>IF(D2088="","",AB2088*AA2088/100)</f>
        <v/>
      </c>
      <c r="AA2088" s="5">
        <f>IF(D2088="","",X2088-Y2088)</f>
        <v/>
      </c>
      <c r="AD2088" s="5">
        <f>IF(D2088="","",AA2088-Z2088)</f>
        <v/>
      </c>
      <c r="AG2088">
        <f>IF(D2088="","",N(AG2087)+IF(MATCH(D2088,$D$2:$D$3001,0)=ROW()-1,1,0))</f>
        <v/>
      </c>
    </row>
    <row r="2089">
      <c r="Y2089" s="5">
        <f>IF(D2089="","",X2089*IF(AND(ISNUMBER(AC2089),AC2089&gt;0,AC2089&lt;1),AC2089*100,AC2089)/100)</f>
        <v/>
      </c>
      <c r="Z2089" s="5">
        <f>IF(D2089="","",AB2089*AA2089/100)</f>
        <v/>
      </c>
      <c r="AA2089" s="5">
        <f>IF(D2089="","",X2089-Y2089)</f>
        <v/>
      </c>
      <c r="AD2089" s="5">
        <f>IF(D2089="","",AA2089-Z2089)</f>
        <v/>
      </c>
      <c r="AG2089">
        <f>IF(D2089="","",N(AG2088)+IF(MATCH(D2089,$D$2:$D$3001,0)=ROW()-1,1,0))</f>
        <v/>
      </c>
    </row>
    <row r="2090">
      <c r="Y2090" s="5">
        <f>IF(D2090="","",X2090*IF(AND(ISNUMBER(AC2090),AC2090&gt;0,AC2090&lt;1),AC2090*100,AC2090)/100)</f>
        <v/>
      </c>
      <c r="Z2090" s="5">
        <f>IF(D2090="","",AB2090*AA2090/100)</f>
        <v/>
      </c>
      <c r="AA2090" s="5">
        <f>IF(D2090="","",X2090-Y2090)</f>
        <v/>
      </c>
      <c r="AD2090" s="5">
        <f>IF(D2090="","",AA2090-Z2090)</f>
        <v/>
      </c>
      <c r="AG2090">
        <f>IF(D2090="","",N(AG2089)+IF(MATCH(D2090,$D$2:$D$3001,0)=ROW()-1,1,0))</f>
        <v/>
      </c>
    </row>
    <row r="2091">
      <c r="Y2091" s="5">
        <f>IF(D2091="","",X2091*IF(AND(ISNUMBER(AC2091),AC2091&gt;0,AC2091&lt;1),AC2091*100,AC2091)/100)</f>
        <v/>
      </c>
      <c r="Z2091" s="5">
        <f>IF(D2091="","",AB2091*AA2091/100)</f>
        <v/>
      </c>
      <c r="AA2091" s="5">
        <f>IF(D2091="","",X2091-Y2091)</f>
        <v/>
      </c>
      <c r="AD2091" s="5">
        <f>IF(D2091="","",AA2091-Z2091)</f>
        <v/>
      </c>
      <c r="AG2091">
        <f>IF(D2091="","",N(AG2090)+IF(MATCH(D2091,$D$2:$D$3001,0)=ROW()-1,1,0))</f>
        <v/>
      </c>
    </row>
    <row r="2092">
      <c r="Y2092" s="5">
        <f>IF(D2092="","",X2092*IF(AND(ISNUMBER(AC2092),AC2092&gt;0,AC2092&lt;1),AC2092*100,AC2092)/100)</f>
        <v/>
      </c>
      <c r="Z2092" s="5">
        <f>IF(D2092="","",AB2092*AA2092/100)</f>
        <v/>
      </c>
      <c r="AA2092" s="5">
        <f>IF(D2092="","",X2092-Y2092)</f>
        <v/>
      </c>
      <c r="AD2092" s="5">
        <f>IF(D2092="","",AA2092-Z2092)</f>
        <v/>
      </c>
      <c r="AG2092">
        <f>IF(D2092="","",N(AG2091)+IF(MATCH(D2092,$D$2:$D$3001,0)=ROW()-1,1,0))</f>
        <v/>
      </c>
    </row>
    <row r="2093">
      <c r="Y2093" s="5">
        <f>IF(D2093="","",X2093*IF(AND(ISNUMBER(AC2093),AC2093&gt;0,AC2093&lt;1),AC2093*100,AC2093)/100)</f>
        <v/>
      </c>
      <c r="Z2093" s="5">
        <f>IF(D2093="","",AB2093*AA2093/100)</f>
        <v/>
      </c>
      <c r="AA2093" s="5">
        <f>IF(D2093="","",X2093-Y2093)</f>
        <v/>
      </c>
      <c r="AD2093" s="5">
        <f>IF(D2093="","",AA2093-Z2093)</f>
        <v/>
      </c>
      <c r="AG2093">
        <f>IF(D2093="","",N(AG2092)+IF(MATCH(D2093,$D$2:$D$3001,0)=ROW()-1,1,0))</f>
        <v/>
      </c>
    </row>
    <row r="2094">
      <c r="Y2094" s="5">
        <f>IF(D2094="","",X2094*IF(AND(ISNUMBER(AC2094),AC2094&gt;0,AC2094&lt;1),AC2094*100,AC2094)/100)</f>
        <v/>
      </c>
      <c r="Z2094" s="5">
        <f>IF(D2094="","",AB2094*AA2094/100)</f>
        <v/>
      </c>
      <c r="AA2094" s="5">
        <f>IF(D2094="","",X2094-Y2094)</f>
        <v/>
      </c>
      <c r="AD2094" s="5">
        <f>IF(D2094="","",AA2094-Z2094)</f>
        <v/>
      </c>
      <c r="AG2094">
        <f>IF(D2094="","",N(AG2093)+IF(MATCH(D2094,$D$2:$D$3001,0)=ROW()-1,1,0))</f>
        <v/>
      </c>
    </row>
    <row r="2095">
      <c r="Y2095" s="5">
        <f>IF(D2095="","",X2095*IF(AND(ISNUMBER(AC2095),AC2095&gt;0,AC2095&lt;1),AC2095*100,AC2095)/100)</f>
        <v/>
      </c>
      <c r="Z2095" s="5">
        <f>IF(D2095="","",AB2095*AA2095/100)</f>
        <v/>
      </c>
      <c r="AA2095" s="5">
        <f>IF(D2095="","",X2095-Y2095)</f>
        <v/>
      </c>
      <c r="AD2095" s="5">
        <f>IF(D2095="","",AA2095-Z2095)</f>
        <v/>
      </c>
      <c r="AG2095">
        <f>IF(D2095="","",N(AG2094)+IF(MATCH(D2095,$D$2:$D$3001,0)=ROW()-1,1,0))</f>
        <v/>
      </c>
    </row>
    <row r="2096">
      <c r="Y2096" s="5">
        <f>IF(D2096="","",X2096*IF(AND(ISNUMBER(AC2096),AC2096&gt;0,AC2096&lt;1),AC2096*100,AC2096)/100)</f>
        <v/>
      </c>
      <c r="Z2096" s="5">
        <f>IF(D2096="","",AB2096*AA2096/100)</f>
        <v/>
      </c>
      <c r="AA2096" s="5">
        <f>IF(D2096="","",X2096-Y2096)</f>
        <v/>
      </c>
      <c r="AD2096" s="5">
        <f>IF(D2096="","",AA2096-Z2096)</f>
        <v/>
      </c>
      <c r="AG2096">
        <f>IF(D2096="","",N(AG2095)+IF(MATCH(D2096,$D$2:$D$3001,0)=ROW()-1,1,0))</f>
        <v/>
      </c>
    </row>
    <row r="2097">
      <c r="Y2097" s="5">
        <f>IF(D2097="","",X2097*IF(AND(ISNUMBER(AC2097),AC2097&gt;0,AC2097&lt;1),AC2097*100,AC2097)/100)</f>
        <v/>
      </c>
      <c r="Z2097" s="5">
        <f>IF(D2097="","",AB2097*AA2097/100)</f>
        <v/>
      </c>
      <c r="AA2097" s="5">
        <f>IF(D2097="","",X2097-Y2097)</f>
        <v/>
      </c>
      <c r="AD2097" s="5">
        <f>IF(D2097="","",AA2097-Z2097)</f>
        <v/>
      </c>
      <c r="AG2097">
        <f>IF(D2097="","",N(AG2096)+IF(MATCH(D2097,$D$2:$D$3001,0)=ROW()-1,1,0))</f>
        <v/>
      </c>
    </row>
    <row r="2098">
      <c r="Y2098" s="5">
        <f>IF(D2098="","",X2098*IF(AND(ISNUMBER(AC2098),AC2098&gt;0,AC2098&lt;1),AC2098*100,AC2098)/100)</f>
        <v/>
      </c>
      <c r="Z2098" s="5">
        <f>IF(D2098="","",AB2098*AA2098/100)</f>
        <v/>
      </c>
      <c r="AA2098" s="5">
        <f>IF(D2098="","",X2098-Y2098)</f>
        <v/>
      </c>
      <c r="AD2098" s="5">
        <f>IF(D2098="","",AA2098-Z2098)</f>
        <v/>
      </c>
      <c r="AG2098">
        <f>IF(D2098="","",N(AG2097)+IF(MATCH(D2098,$D$2:$D$3001,0)=ROW()-1,1,0))</f>
        <v/>
      </c>
    </row>
    <row r="2099">
      <c r="Y2099" s="5">
        <f>IF(D2099="","",X2099*IF(AND(ISNUMBER(AC2099),AC2099&gt;0,AC2099&lt;1),AC2099*100,AC2099)/100)</f>
        <v/>
      </c>
      <c r="Z2099" s="5">
        <f>IF(D2099="","",AB2099*AA2099/100)</f>
        <v/>
      </c>
      <c r="AA2099" s="5">
        <f>IF(D2099="","",X2099-Y2099)</f>
        <v/>
      </c>
      <c r="AD2099" s="5">
        <f>IF(D2099="","",AA2099-Z2099)</f>
        <v/>
      </c>
      <c r="AG2099">
        <f>IF(D2099="","",N(AG2098)+IF(MATCH(D2099,$D$2:$D$3001,0)=ROW()-1,1,0))</f>
        <v/>
      </c>
    </row>
    <row r="2100">
      <c r="Y2100" s="5">
        <f>IF(D2100="","",X2100*IF(AND(ISNUMBER(AC2100),AC2100&gt;0,AC2100&lt;1),AC2100*100,AC2100)/100)</f>
        <v/>
      </c>
      <c r="Z2100" s="5">
        <f>IF(D2100="","",AB2100*AA2100/100)</f>
        <v/>
      </c>
      <c r="AA2100" s="5">
        <f>IF(D2100="","",X2100-Y2100)</f>
        <v/>
      </c>
      <c r="AD2100" s="5">
        <f>IF(D2100="","",AA2100-Z2100)</f>
        <v/>
      </c>
      <c r="AG2100">
        <f>IF(D2100="","",N(AG2099)+IF(MATCH(D2100,$D$2:$D$3001,0)=ROW()-1,1,0))</f>
        <v/>
      </c>
    </row>
    <row r="2101">
      <c r="Y2101" s="5">
        <f>IF(D2101="","",X2101*IF(AND(ISNUMBER(AC2101),AC2101&gt;0,AC2101&lt;1),AC2101*100,AC2101)/100)</f>
        <v/>
      </c>
      <c r="Z2101" s="5">
        <f>IF(D2101="","",AB2101*AA2101/100)</f>
        <v/>
      </c>
      <c r="AA2101" s="5">
        <f>IF(D2101="","",X2101-Y2101)</f>
        <v/>
      </c>
      <c r="AD2101" s="5">
        <f>IF(D2101="","",AA2101-Z2101)</f>
        <v/>
      </c>
      <c r="AG2101">
        <f>IF(D2101="","",N(AG2100)+IF(MATCH(D2101,$D$2:$D$3001,0)=ROW()-1,1,0))</f>
        <v/>
      </c>
    </row>
    <row r="2102">
      <c r="Y2102" s="5">
        <f>IF(D2102="","",X2102*IF(AND(ISNUMBER(AC2102),AC2102&gt;0,AC2102&lt;1),AC2102*100,AC2102)/100)</f>
        <v/>
      </c>
      <c r="Z2102" s="5">
        <f>IF(D2102="","",AB2102*AA2102/100)</f>
        <v/>
      </c>
      <c r="AA2102" s="5">
        <f>IF(D2102="","",X2102-Y2102)</f>
        <v/>
      </c>
      <c r="AD2102" s="5">
        <f>IF(D2102="","",AA2102-Z2102)</f>
        <v/>
      </c>
      <c r="AG2102">
        <f>IF(D2102="","",N(AG2101)+IF(MATCH(D2102,$D$2:$D$3001,0)=ROW()-1,1,0))</f>
        <v/>
      </c>
    </row>
    <row r="2103">
      <c r="Y2103" s="5">
        <f>IF(D2103="","",X2103*IF(AND(ISNUMBER(AC2103),AC2103&gt;0,AC2103&lt;1),AC2103*100,AC2103)/100)</f>
        <v/>
      </c>
      <c r="Z2103" s="5">
        <f>IF(D2103="","",AB2103*AA2103/100)</f>
        <v/>
      </c>
      <c r="AA2103" s="5">
        <f>IF(D2103="","",X2103-Y2103)</f>
        <v/>
      </c>
      <c r="AD2103" s="5">
        <f>IF(D2103="","",AA2103-Z2103)</f>
        <v/>
      </c>
      <c r="AG2103">
        <f>IF(D2103="","",N(AG2102)+IF(MATCH(D2103,$D$2:$D$3001,0)=ROW()-1,1,0))</f>
        <v/>
      </c>
    </row>
    <row r="2104">
      <c r="Y2104" s="5">
        <f>IF(D2104="","",X2104*IF(AND(ISNUMBER(AC2104),AC2104&gt;0,AC2104&lt;1),AC2104*100,AC2104)/100)</f>
        <v/>
      </c>
      <c r="Z2104" s="5">
        <f>IF(D2104="","",AB2104*AA2104/100)</f>
        <v/>
      </c>
      <c r="AA2104" s="5">
        <f>IF(D2104="","",X2104-Y2104)</f>
        <v/>
      </c>
      <c r="AD2104" s="5">
        <f>IF(D2104="","",AA2104-Z2104)</f>
        <v/>
      </c>
      <c r="AG2104">
        <f>IF(D2104="","",N(AG2103)+IF(MATCH(D2104,$D$2:$D$3001,0)=ROW()-1,1,0))</f>
        <v/>
      </c>
    </row>
    <row r="2105">
      <c r="Y2105" s="5">
        <f>IF(D2105="","",X2105*IF(AND(ISNUMBER(AC2105),AC2105&gt;0,AC2105&lt;1),AC2105*100,AC2105)/100)</f>
        <v/>
      </c>
      <c r="Z2105" s="5">
        <f>IF(D2105="","",AB2105*AA2105/100)</f>
        <v/>
      </c>
      <c r="AA2105" s="5">
        <f>IF(D2105="","",X2105-Y2105)</f>
        <v/>
      </c>
      <c r="AD2105" s="5">
        <f>IF(D2105="","",AA2105-Z2105)</f>
        <v/>
      </c>
      <c r="AG2105">
        <f>IF(D2105="","",N(AG2104)+IF(MATCH(D2105,$D$2:$D$3001,0)=ROW()-1,1,0))</f>
        <v/>
      </c>
    </row>
    <row r="2106">
      <c r="Y2106" s="5">
        <f>IF(D2106="","",X2106*IF(AND(ISNUMBER(AC2106),AC2106&gt;0,AC2106&lt;1),AC2106*100,AC2106)/100)</f>
        <v/>
      </c>
      <c r="Z2106" s="5">
        <f>IF(D2106="","",AB2106*AA2106/100)</f>
        <v/>
      </c>
      <c r="AA2106" s="5">
        <f>IF(D2106="","",X2106-Y2106)</f>
        <v/>
      </c>
      <c r="AD2106" s="5">
        <f>IF(D2106="","",AA2106-Z2106)</f>
        <v/>
      </c>
      <c r="AG2106">
        <f>IF(D2106="","",N(AG2105)+IF(MATCH(D2106,$D$2:$D$3001,0)=ROW()-1,1,0))</f>
        <v/>
      </c>
    </row>
    <row r="2107">
      <c r="Y2107" s="5">
        <f>IF(D2107="","",X2107*IF(AND(ISNUMBER(AC2107),AC2107&gt;0,AC2107&lt;1),AC2107*100,AC2107)/100)</f>
        <v/>
      </c>
      <c r="Z2107" s="5">
        <f>IF(D2107="","",AB2107*AA2107/100)</f>
        <v/>
      </c>
      <c r="AA2107" s="5">
        <f>IF(D2107="","",X2107-Y2107)</f>
        <v/>
      </c>
      <c r="AD2107" s="5">
        <f>IF(D2107="","",AA2107-Z2107)</f>
        <v/>
      </c>
      <c r="AG2107">
        <f>IF(D2107="","",N(AG2106)+IF(MATCH(D2107,$D$2:$D$3001,0)=ROW()-1,1,0))</f>
        <v/>
      </c>
    </row>
    <row r="2108">
      <c r="Y2108" s="5">
        <f>IF(D2108="","",X2108*IF(AND(ISNUMBER(AC2108),AC2108&gt;0,AC2108&lt;1),AC2108*100,AC2108)/100)</f>
        <v/>
      </c>
      <c r="Z2108" s="5">
        <f>IF(D2108="","",AB2108*AA2108/100)</f>
        <v/>
      </c>
      <c r="AA2108" s="5">
        <f>IF(D2108="","",X2108-Y2108)</f>
        <v/>
      </c>
      <c r="AD2108" s="5">
        <f>IF(D2108="","",AA2108-Z2108)</f>
        <v/>
      </c>
      <c r="AG2108">
        <f>IF(D2108="","",N(AG2107)+IF(MATCH(D2108,$D$2:$D$3001,0)=ROW()-1,1,0))</f>
        <v/>
      </c>
    </row>
    <row r="2109">
      <c r="Y2109" s="5">
        <f>IF(D2109="","",X2109*IF(AND(ISNUMBER(AC2109),AC2109&gt;0,AC2109&lt;1),AC2109*100,AC2109)/100)</f>
        <v/>
      </c>
      <c r="Z2109" s="5">
        <f>IF(D2109="","",AB2109*AA2109/100)</f>
        <v/>
      </c>
      <c r="AA2109" s="5">
        <f>IF(D2109="","",X2109-Y2109)</f>
        <v/>
      </c>
      <c r="AD2109" s="5">
        <f>IF(D2109="","",AA2109-Z2109)</f>
        <v/>
      </c>
      <c r="AG2109">
        <f>IF(D2109="","",N(AG2108)+IF(MATCH(D2109,$D$2:$D$3001,0)=ROW()-1,1,0))</f>
        <v/>
      </c>
    </row>
    <row r="2110">
      <c r="Y2110" s="5">
        <f>IF(D2110="","",X2110*IF(AND(ISNUMBER(AC2110),AC2110&gt;0,AC2110&lt;1),AC2110*100,AC2110)/100)</f>
        <v/>
      </c>
      <c r="Z2110" s="5">
        <f>IF(D2110="","",AB2110*AA2110/100)</f>
        <v/>
      </c>
      <c r="AA2110" s="5">
        <f>IF(D2110="","",X2110-Y2110)</f>
        <v/>
      </c>
      <c r="AD2110" s="5">
        <f>IF(D2110="","",AA2110-Z2110)</f>
        <v/>
      </c>
      <c r="AG2110">
        <f>IF(D2110="","",N(AG2109)+IF(MATCH(D2110,$D$2:$D$3001,0)=ROW()-1,1,0))</f>
        <v/>
      </c>
    </row>
    <row r="2111">
      <c r="Y2111" s="5">
        <f>IF(D2111="","",X2111*IF(AND(ISNUMBER(AC2111),AC2111&gt;0,AC2111&lt;1),AC2111*100,AC2111)/100)</f>
        <v/>
      </c>
      <c r="Z2111" s="5">
        <f>IF(D2111="","",AB2111*AA2111/100)</f>
        <v/>
      </c>
      <c r="AA2111" s="5">
        <f>IF(D2111="","",X2111-Y2111)</f>
        <v/>
      </c>
      <c r="AD2111" s="5">
        <f>IF(D2111="","",AA2111-Z2111)</f>
        <v/>
      </c>
      <c r="AG2111">
        <f>IF(D2111="","",N(AG2110)+IF(MATCH(D2111,$D$2:$D$3001,0)=ROW()-1,1,0))</f>
        <v/>
      </c>
    </row>
    <row r="2112">
      <c r="Y2112" s="5">
        <f>IF(D2112="","",X2112*IF(AND(ISNUMBER(AC2112),AC2112&gt;0,AC2112&lt;1),AC2112*100,AC2112)/100)</f>
        <v/>
      </c>
      <c r="Z2112" s="5">
        <f>IF(D2112="","",AB2112*AA2112/100)</f>
        <v/>
      </c>
      <c r="AA2112" s="5">
        <f>IF(D2112="","",X2112-Y2112)</f>
        <v/>
      </c>
      <c r="AD2112" s="5">
        <f>IF(D2112="","",AA2112-Z2112)</f>
        <v/>
      </c>
      <c r="AG2112">
        <f>IF(D2112="","",N(AG2111)+IF(MATCH(D2112,$D$2:$D$3001,0)=ROW()-1,1,0))</f>
        <v/>
      </c>
    </row>
    <row r="2113">
      <c r="Y2113" s="5">
        <f>IF(D2113="","",X2113*IF(AND(ISNUMBER(AC2113),AC2113&gt;0,AC2113&lt;1),AC2113*100,AC2113)/100)</f>
        <v/>
      </c>
      <c r="Z2113" s="5">
        <f>IF(D2113="","",AB2113*AA2113/100)</f>
        <v/>
      </c>
      <c r="AA2113" s="5">
        <f>IF(D2113="","",X2113-Y2113)</f>
        <v/>
      </c>
      <c r="AD2113" s="5">
        <f>IF(D2113="","",AA2113-Z2113)</f>
        <v/>
      </c>
      <c r="AG2113">
        <f>IF(D2113="","",N(AG2112)+IF(MATCH(D2113,$D$2:$D$3001,0)=ROW()-1,1,0))</f>
        <v/>
      </c>
    </row>
    <row r="2114">
      <c r="Y2114" s="5">
        <f>IF(D2114="","",X2114*IF(AND(ISNUMBER(AC2114),AC2114&gt;0,AC2114&lt;1),AC2114*100,AC2114)/100)</f>
        <v/>
      </c>
      <c r="Z2114" s="5">
        <f>IF(D2114="","",AB2114*AA2114/100)</f>
        <v/>
      </c>
      <c r="AA2114" s="5">
        <f>IF(D2114="","",X2114-Y2114)</f>
        <v/>
      </c>
      <c r="AD2114" s="5">
        <f>IF(D2114="","",AA2114-Z2114)</f>
        <v/>
      </c>
      <c r="AG2114">
        <f>IF(D2114="","",N(AG2113)+IF(MATCH(D2114,$D$2:$D$3001,0)=ROW()-1,1,0))</f>
        <v/>
      </c>
    </row>
    <row r="2115">
      <c r="Y2115" s="5">
        <f>IF(D2115="","",X2115*IF(AND(ISNUMBER(AC2115),AC2115&gt;0,AC2115&lt;1),AC2115*100,AC2115)/100)</f>
        <v/>
      </c>
      <c r="Z2115" s="5">
        <f>IF(D2115="","",AB2115*AA2115/100)</f>
        <v/>
      </c>
      <c r="AA2115" s="5">
        <f>IF(D2115="","",X2115-Y2115)</f>
        <v/>
      </c>
      <c r="AD2115" s="5">
        <f>IF(D2115="","",AA2115-Z2115)</f>
        <v/>
      </c>
      <c r="AG2115">
        <f>IF(D2115="","",N(AG2114)+IF(MATCH(D2115,$D$2:$D$3001,0)=ROW()-1,1,0))</f>
        <v/>
      </c>
    </row>
    <row r="2116">
      <c r="Y2116" s="5">
        <f>IF(D2116="","",X2116*IF(AND(ISNUMBER(AC2116),AC2116&gt;0,AC2116&lt;1),AC2116*100,AC2116)/100)</f>
        <v/>
      </c>
      <c r="Z2116" s="5">
        <f>IF(D2116="","",AB2116*AA2116/100)</f>
        <v/>
      </c>
      <c r="AA2116" s="5">
        <f>IF(D2116="","",X2116-Y2116)</f>
        <v/>
      </c>
      <c r="AD2116" s="5">
        <f>IF(D2116="","",AA2116-Z2116)</f>
        <v/>
      </c>
      <c r="AG2116">
        <f>IF(D2116="","",N(AG2115)+IF(MATCH(D2116,$D$2:$D$3001,0)=ROW()-1,1,0))</f>
        <v/>
      </c>
    </row>
    <row r="2117">
      <c r="Y2117" s="5">
        <f>IF(D2117="","",X2117*IF(AND(ISNUMBER(AC2117),AC2117&gt;0,AC2117&lt;1),AC2117*100,AC2117)/100)</f>
        <v/>
      </c>
      <c r="Z2117" s="5">
        <f>IF(D2117="","",AB2117*AA2117/100)</f>
        <v/>
      </c>
      <c r="AA2117" s="5">
        <f>IF(D2117="","",X2117-Y2117)</f>
        <v/>
      </c>
      <c r="AD2117" s="5">
        <f>IF(D2117="","",AA2117-Z2117)</f>
        <v/>
      </c>
      <c r="AG2117">
        <f>IF(D2117="","",N(AG2116)+IF(MATCH(D2117,$D$2:$D$3001,0)=ROW()-1,1,0))</f>
        <v/>
      </c>
    </row>
    <row r="2118">
      <c r="Y2118" s="5">
        <f>IF(D2118="","",X2118*IF(AND(ISNUMBER(AC2118),AC2118&gt;0,AC2118&lt;1),AC2118*100,AC2118)/100)</f>
        <v/>
      </c>
      <c r="Z2118" s="5">
        <f>IF(D2118="","",AB2118*AA2118/100)</f>
        <v/>
      </c>
      <c r="AA2118" s="5">
        <f>IF(D2118="","",X2118-Y2118)</f>
        <v/>
      </c>
      <c r="AD2118" s="5">
        <f>IF(D2118="","",AA2118-Z2118)</f>
        <v/>
      </c>
      <c r="AG2118">
        <f>IF(D2118="","",N(AG2117)+IF(MATCH(D2118,$D$2:$D$3001,0)=ROW()-1,1,0))</f>
        <v/>
      </c>
    </row>
    <row r="2119">
      <c r="Y2119" s="5">
        <f>IF(D2119="","",X2119*IF(AND(ISNUMBER(AC2119),AC2119&gt;0,AC2119&lt;1),AC2119*100,AC2119)/100)</f>
        <v/>
      </c>
      <c r="Z2119" s="5">
        <f>IF(D2119="","",AB2119*AA2119/100)</f>
        <v/>
      </c>
      <c r="AA2119" s="5">
        <f>IF(D2119="","",X2119-Y2119)</f>
        <v/>
      </c>
      <c r="AD2119" s="5">
        <f>IF(D2119="","",AA2119-Z2119)</f>
        <v/>
      </c>
      <c r="AG2119">
        <f>IF(D2119="","",N(AG2118)+IF(MATCH(D2119,$D$2:$D$3001,0)=ROW()-1,1,0))</f>
        <v/>
      </c>
    </row>
    <row r="2120">
      <c r="Y2120" s="5">
        <f>IF(D2120="","",X2120*IF(AND(ISNUMBER(AC2120),AC2120&gt;0,AC2120&lt;1),AC2120*100,AC2120)/100)</f>
        <v/>
      </c>
      <c r="Z2120" s="5">
        <f>IF(D2120="","",AB2120*AA2120/100)</f>
        <v/>
      </c>
      <c r="AA2120" s="5">
        <f>IF(D2120="","",X2120-Y2120)</f>
        <v/>
      </c>
      <c r="AD2120" s="5">
        <f>IF(D2120="","",AA2120-Z2120)</f>
        <v/>
      </c>
      <c r="AG2120">
        <f>IF(D2120="","",N(AG2119)+IF(MATCH(D2120,$D$2:$D$3001,0)=ROW()-1,1,0))</f>
        <v/>
      </c>
    </row>
    <row r="2121">
      <c r="Y2121" s="5">
        <f>IF(D2121="","",X2121*IF(AND(ISNUMBER(AC2121),AC2121&gt;0,AC2121&lt;1),AC2121*100,AC2121)/100)</f>
        <v/>
      </c>
      <c r="Z2121" s="5">
        <f>IF(D2121="","",AB2121*AA2121/100)</f>
        <v/>
      </c>
      <c r="AA2121" s="5">
        <f>IF(D2121="","",X2121-Y2121)</f>
        <v/>
      </c>
      <c r="AD2121" s="5">
        <f>IF(D2121="","",AA2121-Z2121)</f>
        <v/>
      </c>
      <c r="AG2121">
        <f>IF(D2121="","",N(AG2120)+IF(MATCH(D2121,$D$2:$D$3001,0)=ROW()-1,1,0))</f>
        <v/>
      </c>
    </row>
    <row r="2122">
      <c r="Y2122" s="5">
        <f>IF(D2122="","",X2122*IF(AND(ISNUMBER(AC2122),AC2122&gt;0,AC2122&lt;1),AC2122*100,AC2122)/100)</f>
        <v/>
      </c>
      <c r="Z2122" s="5">
        <f>IF(D2122="","",AB2122*AA2122/100)</f>
        <v/>
      </c>
      <c r="AA2122" s="5">
        <f>IF(D2122="","",X2122-Y2122)</f>
        <v/>
      </c>
      <c r="AD2122" s="5">
        <f>IF(D2122="","",AA2122-Z2122)</f>
        <v/>
      </c>
      <c r="AG2122">
        <f>IF(D2122="","",N(AG2121)+IF(MATCH(D2122,$D$2:$D$3001,0)=ROW()-1,1,0))</f>
        <v/>
      </c>
    </row>
    <row r="2123">
      <c r="Y2123" s="5">
        <f>IF(D2123="","",X2123*IF(AND(ISNUMBER(AC2123),AC2123&gt;0,AC2123&lt;1),AC2123*100,AC2123)/100)</f>
        <v/>
      </c>
      <c r="Z2123" s="5">
        <f>IF(D2123="","",AB2123*AA2123/100)</f>
        <v/>
      </c>
      <c r="AA2123" s="5">
        <f>IF(D2123="","",X2123-Y2123)</f>
        <v/>
      </c>
      <c r="AD2123" s="5">
        <f>IF(D2123="","",AA2123-Z2123)</f>
        <v/>
      </c>
      <c r="AG2123">
        <f>IF(D2123="","",N(AG2122)+IF(MATCH(D2123,$D$2:$D$3001,0)=ROW()-1,1,0))</f>
        <v/>
      </c>
    </row>
    <row r="2124">
      <c r="Y2124" s="5">
        <f>IF(D2124="","",X2124*IF(AND(ISNUMBER(AC2124),AC2124&gt;0,AC2124&lt;1),AC2124*100,AC2124)/100)</f>
        <v/>
      </c>
      <c r="Z2124" s="5">
        <f>IF(D2124="","",AB2124*AA2124/100)</f>
        <v/>
      </c>
      <c r="AA2124" s="5">
        <f>IF(D2124="","",X2124-Y2124)</f>
        <v/>
      </c>
      <c r="AD2124" s="5">
        <f>IF(D2124="","",AA2124-Z2124)</f>
        <v/>
      </c>
      <c r="AG2124">
        <f>IF(D2124="","",N(AG2123)+IF(MATCH(D2124,$D$2:$D$3001,0)=ROW()-1,1,0))</f>
        <v/>
      </c>
    </row>
    <row r="2125">
      <c r="Y2125" s="5">
        <f>IF(D2125="","",X2125*IF(AND(ISNUMBER(AC2125),AC2125&gt;0,AC2125&lt;1),AC2125*100,AC2125)/100)</f>
        <v/>
      </c>
      <c r="Z2125" s="5">
        <f>IF(D2125="","",AB2125*AA2125/100)</f>
        <v/>
      </c>
      <c r="AA2125" s="5">
        <f>IF(D2125="","",X2125-Y2125)</f>
        <v/>
      </c>
      <c r="AD2125" s="5">
        <f>IF(D2125="","",AA2125-Z2125)</f>
        <v/>
      </c>
      <c r="AG2125">
        <f>IF(D2125="","",N(AG2124)+IF(MATCH(D2125,$D$2:$D$3001,0)=ROW()-1,1,0))</f>
        <v/>
      </c>
    </row>
    <row r="2126">
      <c r="Y2126" s="5">
        <f>IF(D2126="","",X2126*IF(AND(ISNUMBER(AC2126),AC2126&gt;0,AC2126&lt;1),AC2126*100,AC2126)/100)</f>
        <v/>
      </c>
      <c r="Z2126" s="5">
        <f>IF(D2126="","",AB2126*AA2126/100)</f>
        <v/>
      </c>
      <c r="AA2126" s="5">
        <f>IF(D2126="","",X2126-Y2126)</f>
        <v/>
      </c>
      <c r="AD2126" s="5">
        <f>IF(D2126="","",AA2126-Z2126)</f>
        <v/>
      </c>
      <c r="AG2126">
        <f>IF(D2126="","",N(AG2125)+IF(MATCH(D2126,$D$2:$D$3001,0)=ROW()-1,1,0))</f>
        <v/>
      </c>
    </row>
    <row r="2127">
      <c r="Y2127" s="5">
        <f>IF(D2127="","",X2127*IF(AND(ISNUMBER(AC2127),AC2127&gt;0,AC2127&lt;1),AC2127*100,AC2127)/100)</f>
        <v/>
      </c>
      <c r="Z2127" s="5">
        <f>IF(D2127="","",AB2127*AA2127/100)</f>
        <v/>
      </c>
      <c r="AA2127" s="5">
        <f>IF(D2127="","",X2127-Y2127)</f>
        <v/>
      </c>
      <c r="AD2127" s="5">
        <f>IF(D2127="","",AA2127-Z2127)</f>
        <v/>
      </c>
      <c r="AG2127">
        <f>IF(D2127="","",N(AG2126)+IF(MATCH(D2127,$D$2:$D$3001,0)=ROW()-1,1,0))</f>
        <v/>
      </c>
    </row>
    <row r="2128">
      <c r="Y2128" s="5">
        <f>IF(D2128="","",X2128*IF(AND(ISNUMBER(AC2128),AC2128&gt;0,AC2128&lt;1),AC2128*100,AC2128)/100)</f>
        <v/>
      </c>
      <c r="Z2128" s="5">
        <f>IF(D2128="","",AB2128*AA2128/100)</f>
        <v/>
      </c>
      <c r="AA2128" s="5">
        <f>IF(D2128="","",X2128-Y2128)</f>
        <v/>
      </c>
      <c r="AD2128" s="5">
        <f>IF(D2128="","",AA2128-Z2128)</f>
        <v/>
      </c>
      <c r="AG2128">
        <f>IF(D2128="","",N(AG2127)+IF(MATCH(D2128,$D$2:$D$3001,0)=ROW()-1,1,0))</f>
        <v/>
      </c>
    </row>
    <row r="2129">
      <c r="Y2129" s="5">
        <f>IF(D2129="","",X2129*IF(AND(ISNUMBER(AC2129),AC2129&gt;0,AC2129&lt;1),AC2129*100,AC2129)/100)</f>
        <v/>
      </c>
      <c r="Z2129" s="5">
        <f>IF(D2129="","",AB2129*AA2129/100)</f>
        <v/>
      </c>
      <c r="AA2129" s="5">
        <f>IF(D2129="","",X2129-Y2129)</f>
        <v/>
      </c>
      <c r="AD2129" s="5">
        <f>IF(D2129="","",AA2129-Z2129)</f>
        <v/>
      </c>
      <c r="AG2129">
        <f>IF(D2129="","",N(AG2128)+IF(MATCH(D2129,$D$2:$D$3001,0)=ROW()-1,1,0))</f>
        <v/>
      </c>
    </row>
    <row r="2130">
      <c r="Y2130" s="5">
        <f>IF(D2130="","",X2130*IF(AND(ISNUMBER(AC2130),AC2130&gt;0,AC2130&lt;1),AC2130*100,AC2130)/100)</f>
        <v/>
      </c>
      <c r="Z2130" s="5">
        <f>IF(D2130="","",AB2130*AA2130/100)</f>
        <v/>
      </c>
      <c r="AA2130" s="5">
        <f>IF(D2130="","",X2130-Y2130)</f>
        <v/>
      </c>
      <c r="AD2130" s="5">
        <f>IF(D2130="","",AA2130-Z2130)</f>
        <v/>
      </c>
      <c r="AG2130">
        <f>IF(D2130="","",N(AG2129)+IF(MATCH(D2130,$D$2:$D$3001,0)=ROW()-1,1,0))</f>
        <v/>
      </c>
    </row>
    <row r="2131">
      <c r="Y2131" s="5">
        <f>IF(D2131="","",X2131*IF(AND(ISNUMBER(AC2131),AC2131&gt;0,AC2131&lt;1),AC2131*100,AC2131)/100)</f>
        <v/>
      </c>
      <c r="Z2131" s="5">
        <f>IF(D2131="","",AB2131*AA2131/100)</f>
        <v/>
      </c>
      <c r="AA2131" s="5">
        <f>IF(D2131="","",X2131-Y2131)</f>
        <v/>
      </c>
      <c r="AD2131" s="5">
        <f>IF(D2131="","",AA2131-Z2131)</f>
        <v/>
      </c>
      <c r="AG2131">
        <f>IF(D2131="","",N(AG2130)+IF(MATCH(D2131,$D$2:$D$3001,0)=ROW()-1,1,0))</f>
        <v/>
      </c>
    </row>
    <row r="2132">
      <c r="Y2132" s="5">
        <f>IF(D2132="","",X2132*IF(AND(ISNUMBER(AC2132),AC2132&gt;0,AC2132&lt;1),AC2132*100,AC2132)/100)</f>
        <v/>
      </c>
      <c r="Z2132" s="5">
        <f>IF(D2132="","",AB2132*AA2132/100)</f>
        <v/>
      </c>
      <c r="AA2132" s="5">
        <f>IF(D2132="","",X2132-Y2132)</f>
        <v/>
      </c>
      <c r="AD2132" s="5">
        <f>IF(D2132="","",AA2132-Z2132)</f>
        <v/>
      </c>
      <c r="AG2132">
        <f>IF(D2132="","",N(AG2131)+IF(MATCH(D2132,$D$2:$D$3001,0)=ROW()-1,1,0))</f>
        <v/>
      </c>
    </row>
    <row r="2133">
      <c r="Y2133" s="5">
        <f>IF(D2133="","",X2133*IF(AND(ISNUMBER(AC2133),AC2133&gt;0,AC2133&lt;1),AC2133*100,AC2133)/100)</f>
        <v/>
      </c>
      <c r="Z2133" s="5">
        <f>IF(D2133="","",AB2133*AA2133/100)</f>
        <v/>
      </c>
      <c r="AA2133" s="5">
        <f>IF(D2133="","",X2133-Y2133)</f>
        <v/>
      </c>
      <c r="AD2133" s="5">
        <f>IF(D2133="","",AA2133-Z2133)</f>
        <v/>
      </c>
      <c r="AG2133">
        <f>IF(D2133="","",N(AG2132)+IF(MATCH(D2133,$D$2:$D$3001,0)=ROW()-1,1,0))</f>
        <v/>
      </c>
    </row>
    <row r="2134">
      <c r="Y2134" s="5">
        <f>IF(D2134="","",X2134*IF(AND(ISNUMBER(AC2134),AC2134&gt;0,AC2134&lt;1),AC2134*100,AC2134)/100)</f>
        <v/>
      </c>
      <c r="Z2134" s="5">
        <f>IF(D2134="","",AB2134*AA2134/100)</f>
        <v/>
      </c>
      <c r="AA2134" s="5">
        <f>IF(D2134="","",X2134-Y2134)</f>
        <v/>
      </c>
      <c r="AD2134" s="5">
        <f>IF(D2134="","",AA2134-Z2134)</f>
        <v/>
      </c>
      <c r="AG2134">
        <f>IF(D2134="","",N(AG2133)+IF(MATCH(D2134,$D$2:$D$3001,0)=ROW()-1,1,0))</f>
        <v/>
      </c>
    </row>
    <row r="2135">
      <c r="Y2135" s="5">
        <f>IF(D2135="","",X2135*IF(AND(ISNUMBER(AC2135),AC2135&gt;0,AC2135&lt;1),AC2135*100,AC2135)/100)</f>
        <v/>
      </c>
      <c r="Z2135" s="5">
        <f>IF(D2135="","",AB2135*AA2135/100)</f>
        <v/>
      </c>
      <c r="AA2135" s="5">
        <f>IF(D2135="","",X2135-Y2135)</f>
        <v/>
      </c>
      <c r="AD2135" s="5">
        <f>IF(D2135="","",AA2135-Z2135)</f>
        <v/>
      </c>
      <c r="AG2135">
        <f>IF(D2135="","",N(AG2134)+IF(MATCH(D2135,$D$2:$D$3001,0)=ROW()-1,1,0))</f>
        <v/>
      </c>
    </row>
    <row r="2136">
      <c r="Y2136" s="5">
        <f>IF(D2136="","",X2136*IF(AND(ISNUMBER(AC2136),AC2136&gt;0,AC2136&lt;1),AC2136*100,AC2136)/100)</f>
        <v/>
      </c>
      <c r="Z2136" s="5">
        <f>IF(D2136="","",AB2136*AA2136/100)</f>
        <v/>
      </c>
      <c r="AA2136" s="5">
        <f>IF(D2136="","",X2136-Y2136)</f>
        <v/>
      </c>
      <c r="AD2136" s="5">
        <f>IF(D2136="","",AA2136-Z2136)</f>
        <v/>
      </c>
      <c r="AG2136">
        <f>IF(D2136="","",N(AG2135)+IF(MATCH(D2136,$D$2:$D$3001,0)=ROW()-1,1,0))</f>
        <v/>
      </c>
    </row>
    <row r="2137">
      <c r="Y2137" s="5">
        <f>IF(D2137="","",X2137*IF(AND(ISNUMBER(AC2137),AC2137&gt;0,AC2137&lt;1),AC2137*100,AC2137)/100)</f>
        <v/>
      </c>
      <c r="Z2137" s="5">
        <f>IF(D2137="","",AB2137*AA2137/100)</f>
        <v/>
      </c>
      <c r="AA2137" s="5">
        <f>IF(D2137="","",X2137-Y2137)</f>
        <v/>
      </c>
      <c r="AD2137" s="5">
        <f>IF(D2137="","",AA2137-Z2137)</f>
        <v/>
      </c>
      <c r="AG2137">
        <f>IF(D2137="","",N(AG2136)+IF(MATCH(D2137,$D$2:$D$3001,0)=ROW()-1,1,0))</f>
        <v/>
      </c>
    </row>
    <row r="2138">
      <c r="Y2138" s="5">
        <f>IF(D2138="","",X2138*IF(AND(ISNUMBER(AC2138),AC2138&gt;0,AC2138&lt;1),AC2138*100,AC2138)/100)</f>
        <v/>
      </c>
      <c r="Z2138" s="5">
        <f>IF(D2138="","",AB2138*AA2138/100)</f>
        <v/>
      </c>
      <c r="AA2138" s="5">
        <f>IF(D2138="","",X2138-Y2138)</f>
        <v/>
      </c>
      <c r="AD2138" s="5">
        <f>IF(D2138="","",AA2138-Z2138)</f>
        <v/>
      </c>
      <c r="AG2138">
        <f>IF(D2138="","",N(AG2137)+IF(MATCH(D2138,$D$2:$D$3001,0)=ROW()-1,1,0))</f>
        <v/>
      </c>
    </row>
    <row r="2139">
      <c r="Y2139" s="5">
        <f>IF(D2139="","",X2139*IF(AND(ISNUMBER(AC2139),AC2139&gt;0,AC2139&lt;1),AC2139*100,AC2139)/100)</f>
        <v/>
      </c>
      <c r="Z2139" s="5">
        <f>IF(D2139="","",AB2139*AA2139/100)</f>
        <v/>
      </c>
      <c r="AA2139" s="5">
        <f>IF(D2139="","",X2139-Y2139)</f>
        <v/>
      </c>
      <c r="AD2139" s="5">
        <f>IF(D2139="","",AA2139-Z2139)</f>
        <v/>
      </c>
      <c r="AG2139">
        <f>IF(D2139="","",N(AG2138)+IF(MATCH(D2139,$D$2:$D$3001,0)=ROW()-1,1,0))</f>
        <v/>
      </c>
    </row>
    <row r="2140">
      <c r="Y2140" s="5">
        <f>IF(D2140="","",X2140*IF(AND(ISNUMBER(AC2140),AC2140&gt;0,AC2140&lt;1),AC2140*100,AC2140)/100)</f>
        <v/>
      </c>
      <c r="Z2140" s="5">
        <f>IF(D2140="","",AB2140*AA2140/100)</f>
        <v/>
      </c>
      <c r="AA2140" s="5">
        <f>IF(D2140="","",X2140-Y2140)</f>
        <v/>
      </c>
      <c r="AD2140" s="5">
        <f>IF(D2140="","",AA2140-Z2140)</f>
        <v/>
      </c>
      <c r="AG2140">
        <f>IF(D2140="","",N(AG2139)+IF(MATCH(D2140,$D$2:$D$3001,0)=ROW()-1,1,0))</f>
        <v/>
      </c>
    </row>
    <row r="2141">
      <c r="Y2141" s="5">
        <f>IF(D2141="","",X2141*IF(AND(ISNUMBER(AC2141),AC2141&gt;0,AC2141&lt;1),AC2141*100,AC2141)/100)</f>
        <v/>
      </c>
      <c r="Z2141" s="5">
        <f>IF(D2141="","",AB2141*AA2141/100)</f>
        <v/>
      </c>
      <c r="AA2141" s="5">
        <f>IF(D2141="","",X2141-Y2141)</f>
        <v/>
      </c>
      <c r="AD2141" s="5">
        <f>IF(D2141="","",AA2141-Z2141)</f>
        <v/>
      </c>
      <c r="AG2141">
        <f>IF(D2141="","",N(AG2140)+IF(MATCH(D2141,$D$2:$D$3001,0)=ROW()-1,1,0))</f>
        <v/>
      </c>
    </row>
    <row r="2142">
      <c r="Y2142" s="5">
        <f>IF(D2142="","",X2142*IF(AND(ISNUMBER(AC2142),AC2142&gt;0,AC2142&lt;1),AC2142*100,AC2142)/100)</f>
        <v/>
      </c>
      <c r="Z2142" s="5">
        <f>IF(D2142="","",AB2142*AA2142/100)</f>
        <v/>
      </c>
      <c r="AA2142" s="5">
        <f>IF(D2142="","",X2142-Y2142)</f>
        <v/>
      </c>
      <c r="AD2142" s="5">
        <f>IF(D2142="","",AA2142-Z2142)</f>
        <v/>
      </c>
      <c r="AG2142">
        <f>IF(D2142="","",N(AG2141)+IF(MATCH(D2142,$D$2:$D$3001,0)=ROW()-1,1,0))</f>
        <v/>
      </c>
    </row>
    <row r="2143">
      <c r="Y2143" s="5">
        <f>IF(D2143="","",X2143*IF(AND(ISNUMBER(AC2143),AC2143&gt;0,AC2143&lt;1),AC2143*100,AC2143)/100)</f>
        <v/>
      </c>
      <c r="Z2143" s="5">
        <f>IF(D2143="","",AB2143*AA2143/100)</f>
        <v/>
      </c>
      <c r="AA2143" s="5">
        <f>IF(D2143="","",X2143-Y2143)</f>
        <v/>
      </c>
      <c r="AD2143" s="5">
        <f>IF(D2143="","",AA2143-Z2143)</f>
        <v/>
      </c>
      <c r="AG2143">
        <f>IF(D2143="","",N(AG2142)+IF(MATCH(D2143,$D$2:$D$3001,0)=ROW()-1,1,0))</f>
        <v/>
      </c>
    </row>
    <row r="2144">
      <c r="Y2144" s="5">
        <f>IF(D2144="","",X2144*IF(AND(ISNUMBER(AC2144),AC2144&gt;0,AC2144&lt;1),AC2144*100,AC2144)/100)</f>
        <v/>
      </c>
      <c r="Z2144" s="5">
        <f>IF(D2144="","",AB2144*AA2144/100)</f>
        <v/>
      </c>
      <c r="AA2144" s="5">
        <f>IF(D2144="","",X2144-Y2144)</f>
        <v/>
      </c>
      <c r="AD2144" s="5">
        <f>IF(D2144="","",AA2144-Z2144)</f>
        <v/>
      </c>
      <c r="AG2144">
        <f>IF(D2144="","",N(AG2143)+IF(MATCH(D2144,$D$2:$D$3001,0)=ROW()-1,1,0))</f>
        <v/>
      </c>
    </row>
    <row r="2145">
      <c r="Y2145" s="5">
        <f>IF(D2145="","",X2145*IF(AND(ISNUMBER(AC2145),AC2145&gt;0,AC2145&lt;1),AC2145*100,AC2145)/100)</f>
        <v/>
      </c>
      <c r="Z2145" s="5">
        <f>IF(D2145="","",AB2145*AA2145/100)</f>
        <v/>
      </c>
      <c r="AA2145" s="5">
        <f>IF(D2145="","",X2145-Y2145)</f>
        <v/>
      </c>
      <c r="AD2145" s="5">
        <f>IF(D2145="","",AA2145-Z2145)</f>
        <v/>
      </c>
      <c r="AG2145">
        <f>IF(D2145="","",N(AG2144)+IF(MATCH(D2145,$D$2:$D$3001,0)=ROW()-1,1,0))</f>
        <v/>
      </c>
    </row>
    <row r="2146">
      <c r="Y2146" s="5">
        <f>IF(D2146="","",X2146*IF(AND(ISNUMBER(AC2146),AC2146&gt;0,AC2146&lt;1),AC2146*100,AC2146)/100)</f>
        <v/>
      </c>
      <c r="Z2146" s="5">
        <f>IF(D2146="","",AB2146*AA2146/100)</f>
        <v/>
      </c>
      <c r="AA2146" s="5">
        <f>IF(D2146="","",X2146-Y2146)</f>
        <v/>
      </c>
      <c r="AD2146" s="5">
        <f>IF(D2146="","",AA2146-Z2146)</f>
        <v/>
      </c>
      <c r="AG2146">
        <f>IF(D2146="","",N(AG2145)+IF(MATCH(D2146,$D$2:$D$3001,0)=ROW()-1,1,0))</f>
        <v/>
      </c>
    </row>
    <row r="2147">
      <c r="Y2147" s="5">
        <f>IF(D2147="","",X2147*IF(AND(ISNUMBER(AC2147),AC2147&gt;0,AC2147&lt;1),AC2147*100,AC2147)/100)</f>
        <v/>
      </c>
      <c r="Z2147" s="5">
        <f>IF(D2147="","",AB2147*AA2147/100)</f>
        <v/>
      </c>
      <c r="AA2147" s="5">
        <f>IF(D2147="","",X2147-Y2147)</f>
        <v/>
      </c>
      <c r="AD2147" s="5">
        <f>IF(D2147="","",AA2147-Z2147)</f>
        <v/>
      </c>
      <c r="AG2147">
        <f>IF(D2147="","",N(AG2146)+IF(MATCH(D2147,$D$2:$D$3001,0)=ROW()-1,1,0))</f>
        <v/>
      </c>
    </row>
    <row r="2148">
      <c r="Y2148" s="5">
        <f>IF(D2148="","",X2148*IF(AND(ISNUMBER(AC2148),AC2148&gt;0,AC2148&lt;1),AC2148*100,AC2148)/100)</f>
        <v/>
      </c>
      <c r="Z2148" s="5">
        <f>IF(D2148="","",AB2148*AA2148/100)</f>
        <v/>
      </c>
      <c r="AA2148" s="5">
        <f>IF(D2148="","",X2148-Y2148)</f>
        <v/>
      </c>
      <c r="AD2148" s="5">
        <f>IF(D2148="","",AA2148-Z2148)</f>
        <v/>
      </c>
      <c r="AG2148">
        <f>IF(D2148="","",N(AG2147)+IF(MATCH(D2148,$D$2:$D$3001,0)=ROW()-1,1,0))</f>
        <v/>
      </c>
    </row>
    <row r="2149">
      <c r="Y2149" s="5">
        <f>IF(D2149="","",X2149*IF(AND(ISNUMBER(AC2149),AC2149&gt;0,AC2149&lt;1),AC2149*100,AC2149)/100)</f>
        <v/>
      </c>
      <c r="Z2149" s="5">
        <f>IF(D2149="","",AB2149*AA2149/100)</f>
        <v/>
      </c>
      <c r="AA2149" s="5">
        <f>IF(D2149="","",X2149-Y2149)</f>
        <v/>
      </c>
      <c r="AD2149" s="5">
        <f>IF(D2149="","",AA2149-Z2149)</f>
        <v/>
      </c>
      <c r="AG2149">
        <f>IF(D2149="","",N(AG2148)+IF(MATCH(D2149,$D$2:$D$3001,0)=ROW()-1,1,0))</f>
        <v/>
      </c>
    </row>
    <row r="2150">
      <c r="Y2150" s="5">
        <f>IF(D2150="","",X2150*IF(AND(ISNUMBER(AC2150),AC2150&gt;0,AC2150&lt;1),AC2150*100,AC2150)/100)</f>
        <v/>
      </c>
      <c r="Z2150" s="5">
        <f>IF(D2150="","",AB2150*AA2150/100)</f>
        <v/>
      </c>
      <c r="AA2150" s="5">
        <f>IF(D2150="","",X2150-Y2150)</f>
        <v/>
      </c>
      <c r="AD2150" s="5">
        <f>IF(D2150="","",AA2150-Z2150)</f>
        <v/>
      </c>
      <c r="AG2150">
        <f>IF(D2150="","",N(AG2149)+IF(MATCH(D2150,$D$2:$D$3001,0)=ROW()-1,1,0))</f>
        <v/>
      </c>
    </row>
    <row r="2151">
      <c r="Y2151" s="5">
        <f>IF(D2151="","",X2151*IF(AND(ISNUMBER(AC2151),AC2151&gt;0,AC2151&lt;1),AC2151*100,AC2151)/100)</f>
        <v/>
      </c>
      <c r="Z2151" s="5">
        <f>IF(D2151="","",AB2151*AA2151/100)</f>
        <v/>
      </c>
      <c r="AA2151" s="5">
        <f>IF(D2151="","",X2151-Y2151)</f>
        <v/>
      </c>
      <c r="AD2151" s="5">
        <f>IF(D2151="","",AA2151-Z2151)</f>
        <v/>
      </c>
      <c r="AG2151">
        <f>IF(D2151="","",N(AG2150)+IF(MATCH(D2151,$D$2:$D$3001,0)=ROW()-1,1,0))</f>
        <v/>
      </c>
    </row>
    <row r="2152">
      <c r="Y2152" s="5">
        <f>IF(D2152="","",X2152*IF(AND(ISNUMBER(AC2152),AC2152&gt;0,AC2152&lt;1),AC2152*100,AC2152)/100)</f>
        <v/>
      </c>
      <c r="Z2152" s="5">
        <f>IF(D2152="","",AB2152*AA2152/100)</f>
        <v/>
      </c>
      <c r="AA2152" s="5">
        <f>IF(D2152="","",X2152-Y2152)</f>
        <v/>
      </c>
      <c r="AD2152" s="5">
        <f>IF(D2152="","",AA2152-Z2152)</f>
        <v/>
      </c>
      <c r="AG2152">
        <f>IF(D2152="","",N(AG2151)+IF(MATCH(D2152,$D$2:$D$3001,0)=ROW()-1,1,0))</f>
        <v/>
      </c>
    </row>
    <row r="2153">
      <c r="Y2153" s="5">
        <f>IF(D2153="","",X2153*IF(AND(ISNUMBER(AC2153),AC2153&gt;0,AC2153&lt;1),AC2153*100,AC2153)/100)</f>
        <v/>
      </c>
      <c r="Z2153" s="5">
        <f>IF(D2153="","",AB2153*AA2153/100)</f>
        <v/>
      </c>
      <c r="AA2153" s="5">
        <f>IF(D2153="","",X2153-Y2153)</f>
        <v/>
      </c>
      <c r="AD2153" s="5">
        <f>IF(D2153="","",AA2153-Z2153)</f>
        <v/>
      </c>
      <c r="AG2153">
        <f>IF(D2153="","",N(AG2152)+IF(MATCH(D2153,$D$2:$D$3001,0)=ROW()-1,1,0))</f>
        <v/>
      </c>
    </row>
    <row r="2154">
      <c r="Y2154" s="5">
        <f>IF(D2154="","",X2154*IF(AND(ISNUMBER(AC2154),AC2154&gt;0,AC2154&lt;1),AC2154*100,AC2154)/100)</f>
        <v/>
      </c>
      <c r="Z2154" s="5">
        <f>IF(D2154="","",AB2154*AA2154/100)</f>
        <v/>
      </c>
      <c r="AA2154" s="5">
        <f>IF(D2154="","",X2154-Y2154)</f>
        <v/>
      </c>
      <c r="AD2154" s="5">
        <f>IF(D2154="","",AA2154-Z2154)</f>
        <v/>
      </c>
      <c r="AG2154">
        <f>IF(D2154="","",N(AG2153)+IF(MATCH(D2154,$D$2:$D$3001,0)=ROW()-1,1,0))</f>
        <v/>
      </c>
    </row>
    <row r="2155">
      <c r="Y2155" s="5">
        <f>IF(D2155="","",X2155*IF(AND(ISNUMBER(AC2155),AC2155&gt;0,AC2155&lt;1),AC2155*100,AC2155)/100)</f>
        <v/>
      </c>
      <c r="Z2155" s="5">
        <f>IF(D2155="","",AB2155*AA2155/100)</f>
        <v/>
      </c>
      <c r="AA2155" s="5">
        <f>IF(D2155="","",X2155-Y2155)</f>
        <v/>
      </c>
      <c r="AD2155" s="5">
        <f>IF(D2155="","",AA2155-Z2155)</f>
        <v/>
      </c>
      <c r="AG2155">
        <f>IF(D2155="","",N(AG2154)+IF(MATCH(D2155,$D$2:$D$3001,0)=ROW()-1,1,0))</f>
        <v/>
      </c>
    </row>
    <row r="2156">
      <c r="Y2156" s="5">
        <f>IF(D2156="","",X2156*IF(AND(ISNUMBER(AC2156),AC2156&gt;0,AC2156&lt;1),AC2156*100,AC2156)/100)</f>
        <v/>
      </c>
      <c r="Z2156" s="5">
        <f>IF(D2156="","",AB2156*AA2156/100)</f>
        <v/>
      </c>
      <c r="AA2156" s="5">
        <f>IF(D2156="","",X2156-Y2156)</f>
        <v/>
      </c>
      <c r="AD2156" s="5">
        <f>IF(D2156="","",AA2156-Z2156)</f>
        <v/>
      </c>
      <c r="AG2156">
        <f>IF(D2156="","",N(AG2155)+IF(MATCH(D2156,$D$2:$D$3001,0)=ROW()-1,1,0))</f>
        <v/>
      </c>
    </row>
    <row r="2157">
      <c r="Y2157" s="5">
        <f>IF(D2157="","",X2157*IF(AND(ISNUMBER(AC2157),AC2157&gt;0,AC2157&lt;1),AC2157*100,AC2157)/100)</f>
        <v/>
      </c>
      <c r="Z2157" s="5">
        <f>IF(D2157="","",AB2157*AA2157/100)</f>
        <v/>
      </c>
      <c r="AA2157" s="5">
        <f>IF(D2157="","",X2157-Y2157)</f>
        <v/>
      </c>
      <c r="AD2157" s="5">
        <f>IF(D2157="","",AA2157-Z2157)</f>
        <v/>
      </c>
      <c r="AG2157">
        <f>IF(D2157="","",N(AG2156)+IF(MATCH(D2157,$D$2:$D$3001,0)=ROW()-1,1,0))</f>
        <v/>
      </c>
    </row>
    <row r="2158">
      <c r="Y2158" s="5">
        <f>IF(D2158="","",X2158*IF(AND(ISNUMBER(AC2158),AC2158&gt;0,AC2158&lt;1),AC2158*100,AC2158)/100)</f>
        <v/>
      </c>
      <c r="Z2158" s="5">
        <f>IF(D2158="","",AB2158*AA2158/100)</f>
        <v/>
      </c>
      <c r="AA2158" s="5">
        <f>IF(D2158="","",X2158-Y2158)</f>
        <v/>
      </c>
      <c r="AD2158" s="5">
        <f>IF(D2158="","",AA2158-Z2158)</f>
        <v/>
      </c>
      <c r="AG2158">
        <f>IF(D2158="","",N(AG2157)+IF(MATCH(D2158,$D$2:$D$3001,0)=ROW()-1,1,0))</f>
        <v/>
      </c>
    </row>
    <row r="2159">
      <c r="Y2159" s="5">
        <f>IF(D2159="","",X2159*IF(AND(ISNUMBER(AC2159),AC2159&gt;0,AC2159&lt;1),AC2159*100,AC2159)/100)</f>
        <v/>
      </c>
      <c r="Z2159" s="5">
        <f>IF(D2159="","",AB2159*AA2159/100)</f>
        <v/>
      </c>
      <c r="AA2159" s="5">
        <f>IF(D2159="","",X2159-Y2159)</f>
        <v/>
      </c>
      <c r="AD2159" s="5">
        <f>IF(D2159="","",AA2159-Z2159)</f>
        <v/>
      </c>
      <c r="AG2159">
        <f>IF(D2159="","",N(AG2158)+IF(MATCH(D2159,$D$2:$D$3001,0)=ROW()-1,1,0))</f>
        <v/>
      </c>
    </row>
    <row r="2160">
      <c r="Y2160" s="5">
        <f>IF(D2160="","",X2160*IF(AND(ISNUMBER(AC2160),AC2160&gt;0,AC2160&lt;1),AC2160*100,AC2160)/100)</f>
        <v/>
      </c>
      <c r="Z2160" s="5">
        <f>IF(D2160="","",AB2160*AA2160/100)</f>
        <v/>
      </c>
      <c r="AA2160" s="5">
        <f>IF(D2160="","",X2160-Y2160)</f>
        <v/>
      </c>
      <c r="AD2160" s="5">
        <f>IF(D2160="","",AA2160-Z2160)</f>
        <v/>
      </c>
      <c r="AG2160">
        <f>IF(D2160="","",N(AG2159)+IF(MATCH(D2160,$D$2:$D$3001,0)=ROW()-1,1,0))</f>
        <v/>
      </c>
    </row>
    <row r="2161">
      <c r="Y2161" s="5">
        <f>IF(D2161="","",X2161*IF(AND(ISNUMBER(AC2161),AC2161&gt;0,AC2161&lt;1),AC2161*100,AC2161)/100)</f>
        <v/>
      </c>
      <c r="Z2161" s="5">
        <f>IF(D2161="","",AB2161*AA2161/100)</f>
        <v/>
      </c>
      <c r="AA2161" s="5">
        <f>IF(D2161="","",X2161-Y2161)</f>
        <v/>
      </c>
      <c r="AD2161" s="5">
        <f>IF(D2161="","",AA2161-Z2161)</f>
        <v/>
      </c>
      <c r="AG2161">
        <f>IF(D2161="","",N(AG2160)+IF(MATCH(D2161,$D$2:$D$3001,0)=ROW()-1,1,0))</f>
        <v/>
      </c>
    </row>
    <row r="2162">
      <c r="Y2162" s="5">
        <f>IF(D2162="","",X2162*IF(AND(ISNUMBER(AC2162),AC2162&gt;0,AC2162&lt;1),AC2162*100,AC2162)/100)</f>
        <v/>
      </c>
      <c r="Z2162" s="5">
        <f>IF(D2162="","",AB2162*AA2162/100)</f>
        <v/>
      </c>
      <c r="AA2162" s="5">
        <f>IF(D2162="","",X2162-Y2162)</f>
        <v/>
      </c>
      <c r="AD2162" s="5">
        <f>IF(D2162="","",AA2162-Z2162)</f>
        <v/>
      </c>
      <c r="AG2162">
        <f>IF(D2162="","",N(AG2161)+IF(MATCH(D2162,$D$2:$D$3001,0)=ROW()-1,1,0))</f>
        <v/>
      </c>
    </row>
    <row r="2163">
      <c r="Y2163" s="5">
        <f>IF(D2163="","",X2163*IF(AND(ISNUMBER(AC2163),AC2163&gt;0,AC2163&lt;1),AC2163*100,AC2163)/100)</f>
        <v/>
      </c>
      <c r="Z2163" s="5">
        <f>IF(D2163="","",AB2163*AA2163/100)</f>
        <v/>
      </c>
      <c r="AA2163" s="5">
        <f>IF(D2163="","",X2163-Y2163)</f>
        <v/>
      </c>
      <c r="AD2163" s="5">
        <f>IF(D2163="","",AA2163-Z2163)</f>
        <v/>
      </c>
      <c r="AG2163">
        <f>IF(D2163="","",N(AG2162)+IF(MATCH(D2163,$D$2:$D$3001,0)=ROW()-1,1,0))</f>
        <v/>
      </c>
    </row>
    <row r="2164">
      <c r="Y2164" s="5">
        <f>IF(D2164="","",X2164*IF(AND(ISNUMBER(AC2164),AC2164&gt;0,AC2164&lt;1),AC2164*100,AC2164)/100)</f>
        <v/>
      </c>
      <c r="Z2164" s="5">
        <f>IF(D2164="","",AB2164*AA2164/100)</f>
        <v/>
      </c>
      <c r="AA2164" s="5">
        <f>IF(D2164="","",X2164-Y2164)</f>
        <v/>
      </c>
      <c r="AD2164" s="5">
        <f>IF(D2164="","",AA2164-Z2164)</f>
        <v/>
      </c>
      <c r="AG2164">
        <f>IF(D2164="","",N(AG2163)+IF(MATCH(D2164,$D$2:$D$3001,0)=ROW()-1,1,0))</f>
        <v/>
      </c>
    </row>
    <row r="2165">
      <c r="Y2165" s="5">
        <f>IF(D2165="","",X2165*IF(AND(ISNUMBER(AC2165),AC2165&gt;0,AC2165&lt;1),AC2165*100,AC2165)/100)</f>
        <v/>
      </c>
      <c r="Z2165" s="5">
        <f>IF(D2165="","",AB2165*AA2165/100)</f>
        <v/>
      </c>
      <c r="AA2165" s="5">
        <f>IF(D2165="","",X2165-Y2165)</f>
        <v/>
      </c>
      <c r="AD2165" s="5">
        <f>IF(D2165="","",AA2165-Z2165)</f>
        <v/>
      </c>
      <c r="AG2165">
        <f>IF(D2165="","",N(AG2164)+IF(MATCH(D2165,$D$2:$D$3001,0)=ROW()-1,1,0))</f>
        <v/>
      </c>
    </row>
    <row r="2166">
      <c r="Y2166" s="5">
        <f>IF(D2166="","",X2166*IF(AND(ISNUMBER(AC2166),AC2166&gt;0,AC2166&lt;1),AC2166*100,AC2166)/100)</f>
        <v/>
      </c>
      <c r="Z2166" s="5">
        <f>IF(D2166="","",AB2166*AA2166/100)</f>
        <v/>
      </c>
      <c r="AA2166" s="5">
        <f>IF(D2166="","",X2166-Y2166)</f>
        <v/>
      </c>
      <c r="AD2166" s="5">
        <f>IF(D2166="","",AA2166-Z2166)</f>
        <v/>
      </c>
      <c r="AG2166">
        <f>IF(D2166="","",N(AG2165)+IF(MATCH(D2166,$D$2:$D$3001,0)=ROW()-1,1,0))</f>
        <v/>
      </c>
    </row>
    <row r="2167">
      <c r="Y2167" s="5">
        <f>IF(D2167="","",X2167*IF(AND(ISNUMBER(AC2167),AC2167&gt;0,AC2167&lt;1),AC2167*100,AC2167)/100)</f>
        <v/>
      </c>
      <c r="Z2167" s="5">
        <f>IF(D2167="","",AB2167*AA2167/100)</f>
        <v/>
      </c>
      <c r="AA2167" s="5">
        <f>IF(D2167="","",X2167-Y2167)</f>
        <v/>
      </c>
      <c r="AD2167" s="5">
        <f>IF(D2167="","",AA2167-Z2167)</f>
        <v/>
      </c>
      <c r="AG2167">
        <f>IF(D2167="","",N(AG2166)+IF(MATCH(D2167,$D$2:$D$3001,0)=ROW()-1,1,0))</f>
        <v/>
      </c>
    </row>
    <row r="2168">
      <c r="Y2168" s="5">
        <f>IF(D2168="","",X2168*IF(AND(ISNUMBER(AC2168),AC2168&gt;0,AC2168&lt;1),AC2168*100,AC2168)/100)</f>
        <v/>
      </c>
      <c r="Z2168" s="5">
        <f>IF(D2168="","",AB2168*AA2168/100)</f>
        <v/>
      </c>
      <c r="AA2168" s="5">
        <f>IF(D2168="","",X2168-Y2168)</f>
        <v/>
      </c>
      <c r="AD2168" s="5">
        <f>IF(D2168="","",AA2168-Z2168)</f>
        <v/>
      </c>
      <c r="AG2168">
        <f>IF(D2168="","",N(AG2167)+IF(MATCH(D2168,$D$2:$D$3001,0)=ROW()-1,1,0))</f>
        <v/>
      </c>
    </row>
    <row r="2169">
      <c r="Y2169" s="5">
        <f>IF(D2169="","",X2169*IF(AND(ISNUMBER(AC2169),AC2169&gt;0,AC2169&lt;1),AC2169*100,AC2169)/100)</f>
        <v/>
      </c>
      <c r="Z2169" s="5">
        <f>IF(D2169="","",AB2169*AA2169/100)</f>
        <v/>
      </c>
      <c r="AA2169" s="5">
        <f>IF(D2169="","",X2169-Y2169)</f>
        <v/>
      </c>
      <c r="AD2169" s="5">
        <f>IF(D2169="","",AA2169-Z2169)</f>
        <v/>
      </c>
      <c r="AG2169">
        <f>IF(D2169="","",N(AG2168)+IF(MATCH(D2169,$D$2:$D$3001,0)=ROW()-1,1,0))</f>
        <v/>
      </c>
    </row>
    <row r="2170">
      <c r="Y2170" s="5">
        <f>IF(D2170="","",X2170*IF(AND(ISNUMBER(AC2170),AC2170&gt;0,AC2170&lt;1),AC2170*100,AC2170)/100)</f>
        <v/>
      </c>
      <c r="Z2170" s="5">
        <f>IF(D2170="","",AB2170*AA2170/100)</f>
        <v/>
      </c>
      <c r="AA2170" s="5">
        <f>IF(D2170="","",X2170-Y2170)</f>
        <v/>
      </c>
      <c r="AD2170" s="5">
        <f>IF(D2170="","",AA2170-Z2170)</f>
        <v/>
      </c>
      <c r="AG2170">
        <f>IF(D2170="","",N(AG2169)+IF(MATCH(D2170,$D$2:$D$3001,0)=ROW()-1,1,0))</f>
        <v/>
      </c>
    </row>
    <row r="2171">
      <c r="Y2171" s="5">
        <f>IF(D2171="","",X2171*IF(AND(ISNUMBER(AC2171),AC2171&gt;0,AC2171&lt;1),AC2171*100,AC2171)/100)</f>
        <v/>
      </c>
      <c r="Z2171" s="5">
        <f>IF(D2171="","",AB2171*AA2171/100)</f>
        <v/>
      </c>
      <c r="AA2171" s="5">
        <f>IF(D2171="","",X2171-Y2171)</f>
        <v/>
      </c>
      <c r="AD2171" s="5">
        <f>IF(D2171="","",AA2171-Z2171)</f>
        <v/>
      </c>
      <c r="AG2171">
        <f>IF(D2171="","",N(AG2170)+IF(MATCH(D2171,$D$2:$D$3001,0)=ROW()-1,1,0))</f>
        <v/>
      </c>
    </row>
    <row r="2172">
      <c r="Y2172" s="5">
        <f>IF(D2172="","",X2172*IF(AND(ISNUMBER(AC2172),AC2172&gt;0,AC2172&lt;1),AC2172*100,AC2172)/100)</f>
        <v/>
      </c>
      <c r="Z2172" s="5">
        <f>IF(D2172="","",AB2172*AA2172/100)</f>
        <v/>
      </c>
      <c r="AA2172" s="5">
        <f>IF(D2172="","",X2172-Y2172)</f>
        <v/>
      </c>
      <c r="AD2172" s="5">
        <f>IF(D2172="","",AA2172-Z2172)</f>
        <v/>
      </c>
      <c r="AG2172">
        <f>IF(D2172="","",N(AG2171)+IF(MATCH(D2172,$D$2:$D$3001,0)=ROW()-1,1,0))</f>
        <v/>
      </c>
    </row>
    <row r="2173">
      <c r="Y2173" s="5">
        <f>IF(D2173="","",X2173*IF(AND(ISNUMBER(AC2173),AC2173&gt;0,AC2173&lt;1),AC2173*100,AC2173)/100)</f>
        <v/>
      </c>
      <c r="Z2173" s="5">
        <f>IF(D2173="","",AB2173*AA2173/100)</f>
        <v/>
      </c>
      <c r="AA2173" s="5">
        <f>IF(D2173="","",X2173-Y2173)</f>
        <v/>
      </c>
      <c r="AD2173" s="5">
        <f>IF(D2173="","",AA2173-Z2173)</f>
        <v/>
      </c>
      <c r="AG2173">
        <f>IF(D2173="","",N(AG2172)+IF(MATCH(D2173,$D$2:$D$3001,0)=ROW()-1,1,0))</f>
        <v/>
      </c>
    </row>
    <row r="2174">
      <c r="Y2174" s="5">
        <f>IF(D2174="","",X2174*IF(AND(ISNUMBER(AC2174),AC2174&gt;0,AC2174&lt;1),AC2174*100,AC2174)/100)</f>
        <v/>
      </c>
      <c r="Z2174" s="5">
        <f>IF(D2174="","",AB2174*AA2174/100)</f>
        <v/>
      </c>
      <c r="AA2174" s="5">
        <f>IF(D2174="","",X2174-Y2174)</f>
        <v/>
      </c>
      <c r="AD2174" s="5">
        <f>IF(D2174="","",AA2174-Z2174)</f>
        <v/>
      </c>
      <c r="AG2174">
        <f>IF(D2174="","",N(AG2173)+IF(MATCH(D2174,$D$2:$D$3001,0)=ROW()-1,1,0))</f>
        <v/>
      </c>
    </row>
    <row r="2175">
      <c r="Y2175" s="5">
        <f>IF(D2175="","",X2175*IF(AND(ISNUMBER(AC2175),AC2175&gt;0,AC2175&lt;1),AC2175*100,AC2175)/100)</f>
        <v/>
      </c>
      <c r="Z2175" s="5">
        <f>IF(D2175="","",AB2175*AA2175/100)</f>
        <v/>
      </c>
      <c r="AA2175" s="5">
        <f>IF(D2175="","",X2175-Y2175)</f>
        <v/>
      </c>
      <c r="AD2175" s="5">
        <f>IF(D2175="","",AA2175-Z2175)</f>
        <v/>
      </c>
      <c r="AG2175">
        <f>IF(D2175="","",N(AG2174)+IF(MATCH(D2175,$D$2:$D$3001,0)=ROW()-1,1,0))</f>
        <v/>
      </c>
    </row>
    <row r="2176">
      <c r="Y2176" s="5">
        <f>IF(D2176="","",X2176*IF(AND(ISNUMBER(AC2176),AC2176&gt;0,AC2176&lt;1),AC2176*100,AC2176)/100)</f>
        <v/>
      </c>
      <c r="Z2176" s="5">
        <f>IF(D2176="","",AB2176*AA2176/100)</f>
        <v/>
      </c>
      <c r="AA2176" s="5">
        <f>IF(D2176="","",X2176-Y2176)</f>
        <v/>
      </c>
      <c r="AD2176" s="5">
        <f>IF(D2176="","",AA2176-Z2176)</f>
        <v/>
      </c>
      <c r="AG2176">
        <f>IF(D2176="","",N(AG2175)+IF(MATCH(D2176,$D$2:$D$3001,0)=ROW()-1,1,0))</f>
        <v/>
      </c>
    </row>
    <row r="2177">
      <c r="Y2177" s="5">
        <f>IF(D2177="","",X2177*IF(AND(ISNUMBER(AC2177),AC2177&gt;0,AC2177&lt;1),AC2177*100,AC2177)/100)</f>
        <v/>
      </c>
      <c r="Z2177" s="5">
        <f>IF(D2177="","",AB2177*AA2177/100)</f>
        <v/>
      </c>
      <c r="AA2177" s="5">
        <f>IF(D2177="","",X2177-Y2177)</f>
        <v/>
      </c>
      <c r="AD2177" s="5">
        <f>IF(D2177="","",AA2177-Z2177)</f>
        <v/>
      </c>
      <c r="AG2177">
        <f>IF(D2177="","",N(AG2176)+IF(MATCH(D2177,$D$2:$D$3001,0)=ROW()-1,1,0))</f>
        <v/>
      </c>
    </row>
    <row r="2178">
      <c r="Y2178" s="5">
        <f>IF(D2178="","",X2178*IF(AND(ISNUMBER(AC2178),AC2178&gt;0,AC2178&lt;1),AC2178*100,AC2178)/100)</f>
        <v/>
      </c>
      <c r="Z2178" s="5">
        <f>IF(D2178="","",AB2178*AA2178/100)</f>
        <v/>
      </c>
      <c r="AA2178" s="5">
        <f>IF(D2178="","",X2178-Y2178)</f>
        <v/>
      </c>
      <c r="AD2178" s="5">
        <f>IF(D2178="","",AA2178-Z2178)</f>
        <v/>
      </c>
      <c r="AG2178">
        <f>IF(D2178="","",N(AG2177)+IF(MATCH(D2178,$D$2:$D$3001,0)=ROW()-1,1,0))</f>
        <v/>
      </c>
    </row>
    <row r="2179">
      <c r="Y2179" s="5">
        <f>IF(D2179="","",X2179*IF(AND(ISNUMBER(AC2179),AC2179&gt;0,AC2179&lt;1),AC2179*100,AC2179)/100)</f>
        <v/>
      </c>
      <c r="Z2179" s="5">
        <f>IF(D2179="","",AB2179*AA2179/100)</f>
        <v/>
      </c>
      <c r="AA2179" s="5">
        <f>IF(D2179="","",X2179-Y2179)</f>
        <v/>
      </c>
      <c r="AD2179" s="5">
        <f>IF(D2179="","",AA2179-Z2179)</f>
        <v/>
      </c>
      <c r="AG2179">
        <f>IF(D2179="","",N(AG2178)+IF(MATCH(D2179,$D$2:$D$3001,0)=ROW()-1,1,0))</f>
        <v/>
      </c>
    </row>
    <row r="2180">
      <c r="Y2180" s="5">
        <f>IF(D2180="","",X2180*IF(AND(ISNUMBER(AC2180),AC2180&gt;0,AC2180&lt;1),AC2180*100,AC2180)/100)</f>
        <v/>
      </c>
      <c r="Z2180" s="5">
        <f>IF(D2180="","",AB2180*AA2180/100)</f>
        <v/>
      </c>
      <c r="AA2180" s="5">
        <f>IF(D2180="","",X2180-Y2180)</f>
        <v/>
      </c>
      <c r="AD2180" s="5">
        <f>IF(D2180="","",AA2180-Z2180)</f>
        <v/>
      </c>
      <c r="AG2180">
        <f>IF(D2180="","",N(AG2179)+IF(MATCH(D2180,$D$2:$D$3001,0)=ROW()-1,1,0))</f>
        <v/>
      </c>
    </row>
    <row r="2181">
      <c r="Y2181" s="5">
        <f>IF(D2181="","",X2181*IF(AND(ISNUMBER(AC2181),AC2181&gt;0,AC2181&lt;1),AC2181*100,AC2181)/100)</f>
        <v/>
      </c>
      <c r="Z2181" s="5">
        <f>IF(D2181="","",AB2181*AA2181/100)</f>
        <v/>
      </c>
      <c r="AA2181" s="5">
        <f>IF(D2181="","",X2181-Y2181)</f>
        <v/>
      </c>
      <c r="AD2181" s="5">
        <f>IF(D2181="","",AA2181-Z2181)</f>
        <v/>
      </c>
      <c r="AG2181">
        <f>IF(D2181="","",N(AG2180)+IF(MATCH(D2181,$D$2:$D$3001,0)=ROW()-1,1,0))</f>
        <v/>
      </c>
    </row>
    <row r="2182">
      <c r="Y2182" s="5">
        <f>IF(D2182="","",X2182*IF(AND(ISNUMBER(AC2182),AC2182&gt;0,AC2182&lt;1),AC2182*100,AC2182)/100)</f>
        <v/>
      </c>
      <c r="Z2182" s="5">
        <f>IF(D2182="","",AB2182*AA2182/100)</f>
        <v/>
      </c>
      <c r="AA2182" s="5">
        <f>IF(D2182="","",X2182-Y2182)</f>
        <v/>
      </c>
      <c r="AD2182" s="5">
        <f>IF(D2182="","",AA2182-Z2182)</f>
        <v/>
      </c>
      <c r="AG2182">
        <f>IF(D2182="","",N(AG2181)+IF(MATCH(D2182,$D$2:$D$3001,0)=ROW()-1,1,0))</f>
        <v/>
      </c>
    </row>
    <row r="2183">
      <c r="Y2183" s="5">
        <f>IF(D2183="","",X2183*IF(AND(ISNUMBER(AC2183),AC2183&gt;0,AC2183&lt;1),AC2183*100,AC2183)/100)</f>
        <v/>
      </c>
      <c r="Z2183" s="5">
        <f>IF(D2183="","",AB2183*AA2183/100)</f>
        <v/>
      </c>
      <c r="AA2183" s="5">
        <f>IF(D2183="","",X2183-Y2183)</f>
        <v/>
      </c>
      <c r="AD2183" s="5">
        <f>IF(D2183="","",AA2183-Z2183)</f>
        <v/>
      </c>
      <c r="AG2183">
        <f>IF(D2183="","",N(AG2182)+IF(MATCH(D2183,$D$2:$D$3001,0)=ROW()-1,1,0))</f>
        <v/>
      </c>
    </row>
    <row r="2184">
      <c r="Y2184" s="5">
        <f>IF(D2184="","",X2184*IF(AND(ISNUMBER(AC2184),AC2184&gt;0,AC2184&lt;1),AC2184*100,AC2184)/100)</f>
        <v/>
      </c>
      <c r="Z2184" s="5">
        <f>IF(D2184="","",AB2184*AA2184/100)</f>
        <v/>
      </c>
      <c r="AA2184" s="5">
        <f>IF(D2184="","",X2184-Y2184)</f>
        <v/>
      </c>
      <c r="AD2184" s="5">
        <f>IF(D2184="","",AA2184-Z2184)</f>
        <v/>
      </c>
      <c r="AG2184">
        <f>IF(D2184="","",N(AG2183)+IF(MATCH(D2184,$D$2:$D$3001,0)=ROW()-1,1,0))</f>
        <v/>
      </c>
    </row>
    <row r="2185">
      <c r="Y2185" s="5">
        <f>IF(D2185="","",X2185*IF(AND(ISNUMBER(AC2185),AC2185&gt;0,AC2185&lt;1),AC2185*100,AC2185)/100)</f>
        <v/>
      </c>
      <c r="Z2185" s="5">
        <f>IF(D2185="","",AB2185*AA2185/100)</f>
        <v/>
      </c>
      <c r="AA2185" s="5">
        <f>IF(D2185="","",X2185-Y2185)</f>
        <v/>
      </c>
      <c r="AD2185" s="5">
        <f>IF(D2185="","",AA2185-Z2185)</f>
        <v/>
      </c>
      <c r="AG2185">
        <f>IF(D2185="","",N(AG2184)+IF(MATCH(D2185,$D$2:$D$3001,0)=ROW()-1,1,0))</f>
        <v/>
      </c>
    </row>
    <row r="2186">
      <c r="Y2186" s="5">
        <f>IF(D2186="","",X2186*IF(AND(ISNUMBER(AC2186),AC2186&gt;0,AC2186&lt;1),AC2186*100,AC2186)/100)</f>
        <v/>
      </c>
      <c r="Z2186" s="5">
        <f>IF(D2186="","",AB2186*AA2186/100)</f>
        <v/>
      </c>
      <c r="AA2186" s="5">
        <f>IF(D2186="","",X2186-Y2186)</f>
        <v/>
      </c>
      <c r="AD2186" s="5">
        <f>IF(D2186="","",AA2186-Z2186)</f>
        <v/>
      </c>
      <c r="AG2186">
        <f>IF(D2186="","",N(AG2185)+IF(MATCH(D2186,$D$2:$D$3001,0)=ROW()-1,1,0))</f>
        <v/>
      </c>
    </row>
    <row r="2187">
      <c r="Y2187" s="5">
        <f>IF(D2187="","",X2187*IF(AND(ISNUMBER(AC2187),AC2187&gt;0,AC2187&lt;1),AC2187*100,AC2187)/100)</f>
        <v/>
      </c>
      <c r="Z2187" s="5">
        <f>IF(D2187="","",AB2187*AA2187/100)</f>
        <v/>
      </c>
      <c r="AA2187" s="5">
        <f>IF(D2187="","",X2187-Y2187)</f>
        <v/>
      </c>
      <c r="AD2187" s="5">
        <f>IF(D2187="","",AA2187-Z2187)</f>
        <v/>
      </c>
      <c r="AG2187">
        <f>IF(D2187="","",N(AG2186)+IF(MATCH(D2187,$D$2:$D$3001,0)=ROW()-1,1,0))</f>
        <v/>
      </c>
    </row>
    <row r="2188">
      <c r="Y2188" s="5">
        <f>IF(D2188="","",X2188*IF(AND(ISNUMBER(AC2188),AC2188&gt;0,AC2188&lt;1),AC2188*100,AC2188)/100)</f>
        <v/>
      </c>
      <c r="Z2188" s="5">
        <f>IF(D2188="","",AB2188*AA2188/100)</f>
        <v/>
      </c>
      <c r="AA2188" s="5">
        <f>IF(D2188="","",X2188-Y2188)</f>
        <v/>
      </c>
      <c r="AD2188" s="5">
        <f>IF(D2188="","",AA2188-Z2188)</f>
        <v/>
      </c>
      <c r="AG2188">
        <f>IF(D2188="","",N(AG2187)+IF(MATCH(D2188,$D$2:$D$3001,0)=ROW()-1,1,0))</f>
        <v/>
      </c>
    </row>
    <row r="2189">
      <c r="Y2189" s="5">
        <f>IF(D2189="","",X2189*IF(AND(ISNUMBER(AC2189),AC2189&gt;0,AC2189&lt;1),AC2189*100,AC2189)/100)</f>
        <v/>
      </c>
      <c r="Z2189" s="5">
        <f>IF(D2189="","",AB2189*AA2189/100)</f>
        <v/>
      </c>
      <c r="AA2189" s="5">
        <f>IF(D2189="","",X2189-Y2189)</f>
        <v/>
      </c>
      <c r="AD2189" s="5">
        <f>IF(D2189="","",AA2189-Z2189)</f>
        <v/>
      </c>
      <c r="AG2189">
        <f>IF(D2189="","",N(AG2188)+IF(MATCH(D2189,$D$2:$D$3001,0)=ROW()-1,1,0))</f>
        <v/>
      </c>
    </row>
    <row r="2190">
      <c r="Y2190" s="5">
        <f>IF(D2190="","",X2190*IF(AND(ISNUMBER(AC2190),AC2190&gt;0,AC2190&lt;1),AC2190*100,AC2190)/100)</f>
        <v/>
      </c>
      <c r="Z2190" s="5">
        <f>IF(D2190="","",AB2190*AA2190/100)</f>
        <v/>
      </c>
      <c r="AA2190" s="5">
        <f>IF(D2190="","",X2190-Y2190)</f>
        <v/>
      </c>
      <c r="AD2190" s="5">
        <f>IF(D2190="","",AA2190-Z2190)</f>
        <v/>
      </c>
      <c r="AG2190">
        <f>IF(D2190="","",N(AG2189)+IF(MATCH(D2190,$D$2:$D$3001,0)=ROW()-1,1,0))</f>
        <v/>
      </c>
    </row>
    <row r="2191">
      <c r="Y2191" s="5">
        <f>IF(D2191="","",X2191*IF(AND(ISNUMBER(AC2191),AC2191&gt;0,AC2191&lt;1),AC2191*100,AC2191)/100)</f>
        <v/>
      </c>
      <c r="Z2191" s="5">
        <f>IF(D2191="","",AB2191*AA2191/100)</f>
        <v/>
      </c>
      <c r="AA2191" s="5">
        <f>IF(D2191="","",X2191-Y2191)</f>
        <v/>
      </c>
      <c r="AD2191" s="5">
        <f>IF(D2191="","",AA2191-Z2191)</f>
        <v/>
      </c>
      <c r="AG2191">
        <f>IF(D2191="","",N(AG2190)+IF(MATCH(D2191,$D$2:$D$3001,0)=ROW()-1,1,0))</f>
        <v/>
      </c>
    </row>
    <row r="2192">
      <c r="Y2192" s="5">
        <f>IF(D2192="","",X2192*IF(AND(ISNUMBER(AC2192),AC2192&gt;0,AC2192&lt;1),AC2192*100,AC2192)/100)</f>
        <v/>
      </c>
      <c r="Z2192" s="5">
        <f>IF(D2192="","",AB2192*AA2192/100)</f>
        <v/>
      </c>
      <c r="AA2192" s="5">
        <f>IF(D2192="","",X2192-Y2192)</f>
        <v/>
      </c>
      <c r="AD2192" s="5">
        <f>IF(D2192="","",AA2192-Z2192)</f>
        <v/>
      </c>
      <c r="AG2192">
        <f>IF(D2192="","",N(AG2191)+IF(MATCH(D2192,$D$2:$D$3001,0)=ROW()-1,1,0))</f>
        <v/>
      </c>
    </row>
    <row r="2193">
      <c r="Y2193" s="5">
        <f>IF(D2193="","",X2193*IF(AND(ISNUMBER(AC2193),AC2193&gt;0,AC2193&lt;1),AC2193*100,AC2193)/100)</f>
        <v/>
      </c>
      <c r="Z2193" s="5">
        <f>IF(D2193="","",AB2193*AA2193/100)</f>
        <v/>
      </c>
      <c r="AA2193" s="5">
        <f>IF(D2193="","",X2193-Y2193)</f>
        <v/>
      </c>
      <c r="AD2193" s="5">
        <f>IF(D2193="","",AA2193-Z2193)</f>
        <v/>
      </c>
      <c r="AG2193">
        <f>IF(D2193="","",N(AG2192)+IF(MATCH(D2193,$D$2:$D$3001,0)=ROW()-1,1,0))</f>
        <v/>
      </c>
    </row>
    <row r="2194">
      <c r="Y2194" s="5">
        <f>IF(D2194="","",X2194*IF(AND(ISNUMBER(AC2194),AC2194&gt;0,AC2194&lt;1),AC2194*100,AC2194)/100)</f>
        <v/>
      </c>
      <c r="Z2194" s="5">
        <f>IF(D2194="","",AB2194*AA2194/100)</f>
        <v/>
      </c>
      <c r="AA2194" s="5">
        <f>IF(D2194="","",X2194-Y2194)</f>
        <v/>
      </c>
      <c r="AD2194" s="5">
        <f>IF(D2194="","",AA2194-Z2194)</f>
        <v/>
      </c>
      <c r="AG2194">
        <f>IF(D2194="","",N(AG2193)+IF(MATCH(D2194,$D$2:$D$3001,0)=ROW()-1,1,0))</f>
        <v/>
      </c>
    </row>
    <row r="2195">
      <c r="Y2195" s="5">
        <f>IF(D2195="","",X2195*IF(AND(ISNUMBER(AC2195),AC2195&gt;0,AC2195&lt;1),AC2195*100,AC2195)/100)</f>
        <v/>
      </c>
      <c r="Z2195" s="5">
        <f>IF(D2195="","",AB2195*AA2195/100)</f>
        <v/>
      </c>
      <c r="AA2195" s="5">
        <f>IF(D2195="","",X2195-Y2195)</f>
        <v/>
      </c>
      <c r="AD2195" s="5">
        <f>IF(D2195="","",AA2195-Z2195)</f>
        <v/>
      </c>
      <c r="AG2195">
        <f>IF(D2195="","",N(AG2194)+IF(MATCH(D2195,$D$2:$D$3001,0)=ROW()-1,1,0))</f>
        <v/>
      </c>
    </row>
    <row r="2196">
      <c r="Y2196" s="5">
        <f>IF(D2196="","",X2196*IF(AND(ISNUMBER(AC2196),AC2196&gt;0,AC2196&lt;1),AC2196*100,AC2196)/100)</f>
        <v/>
      </c>
      <c r="Z2196" s="5">
        <f>IF(D2196="","",AB2196*AA2196/100)</f>
        <v/>
      </c>
      <c r="AA2196" s="5">
        <f>IF(D2196="","",X2196-Y2196)</f>
        <v/>
      </c>
      <c r="AD2196" s="5">
        <f>IF(D2196="","",AA2196-Z2196)</f>
        <v/>
      </c>
      <c r="AG2196">
        <f>IF(D2196="","",N(AG2195)+IF(MATCH(D2196,$D$2:$D$3001,0)=ROW()-1,1,0))</f>
        <v/>
      </c>
    </row>
    <row r="2197">
      <c r="Y2197" s="5">
        <f>IF(D2197="","",X2197*IF(AND(ISNUMBER(AC2197),AC2197&gt;0,AC2197&lt;1),AC2197*100,AC2197)/100)</f>
        <v/>
      </c>
      <c r="Z2197" s="5">
        <f>IF(D2197="","",AB2197*AA2197/100)</f>
        <v/>
      </c>
      <c r="AA2197" s="5">
        <f>IF(D2197="","",X2197-Y2197)</f>
        <v/>
      </c>
      <c r="AD2197" s="5">
        <f>IF(D2197="","",AA2197-Z2197)</f>
        <v/>
      </c>
      <c r="AG2197">
        <f>IF(D2197="","",N(AG2196)+IF(MATCH(D2197,$D$2:$D$3001,0)=ROW()-1,1,0))</f>
        <v/>
      </c>
    </row>
    <row r="2198">
      <c r="Y2198" s="5">
        <f>IF(D2198="","",X2198*IF(AND(ISNUMBER(AC2198),AC2198&gt;0,AC2198&lt;1),AC2198*100,AC2198)/100)</f>
        <v/>
      </c>
      <c r="Z2198" s="5">
        <f>IF(D2198="","",AB2198*AA2198/100)</f>
        <v/>
      </c>
      <c r="AA2198" s="5">
        <f>IF(D2198="","",X2198-Y2198)</f>
        <v/>
      </c>
      <c r="AD2198" s="5">
        <f>IF(D2198="","",AA2198-Z2198)</f>
        <v/>
      </c>
      <c r="AG2198">
        <f>IF(D2198="","",N(AG2197)+IF(MATCH(D2198,$D$2:$D$3001,0)=ROW()-1,1,0))</f>
        <v/>
      </c>
    </row>
    <row r="2199">
      <c r="Y2199" s="5">
        <f>IF(D2199="","",X2199*IF(AND(ISNUMBER(AC2199),AC2199&gt;0,AC2199&lt;1),AC2199*100,AC2199)/100)</f>
        <v/>
      </c>
      <c r="Z2199" s="5">
        <f>IF(D2199="","",AB2199*AA2199/100)</f>
        <v/>
      </c>
      <c r="AA2199" s="5">
        <f>IF(D2199="","",X2199-Y2199)</f>
        <v/>
      </c>
      <c r="AD2199" s="5">
        <f>IF(D2199="","",AA2199-Z2199)</f>
        <v/>
      </c>
      <c r="AG2199">
        <f>IF(D2199="","",N(AG2198)+IF(MATCH(D2199,$D$2:$D$3001,0)=ROW()-1,1,0))</f>
        <v/>
      </c>
    </row>
    <row r="2200">
      <c r="Y2200" s="5">
        <f>IF(D2200="","",X2200*IF(AND(ISNUMBER(AC2200),AC2200&gt;0,AC2200&lt;1),AC2200*100,AC2200)/100)</f>
        <v/>
      </c>
      <c r="Z2200" s="5">
        <f>IF(D2200="","",AB2200*AA2200/100)</f>
        <v/>
      </c>
      <c r="AA2200" s="5">
        <f>IF(D2200="","",X2200-Y2200)</f>
        <v/>
      </c>
      <c r="AD2200" s="5">
        <f>IF(D2200="","",AA2200-Z2200)</f>
        <v/>
      </c>
      <c r="AG2200">
        <f>IF(D2200="","",N(AG2199)+IF(MATCH(D2200,$D$2:$D$3001,0)=ROW()-1,1,0))</f>
        <v/>
      </c>
    </row>
    <row r="2201">
      <c r="Y2201" s="5">
        <f>IF(D2201="","",X2201*IF(AND(ISNUMBER(AC2201),AC2201&gt;0,AC2201&lt;1),AC2201*100,AC2201)/100)</f>
        <v/>
      </c>
      <c r="Z2201" s="5">
        <f>IF(D2201="","",AB2201*AA2201/100)</f>
        <v/>
      </c>
      <c r="AA2201" s="5">
        <f>IF(D2201="","",X2201-Y2201)</f>
        <v/>
      </c>
      <c r="AD2201" s="5">
        <f>IF(D2201="","",AA2201-Z2201)</f>
        <v/>
      </c>
      <c r="AG2201">
        <f>IF(D2201="","",N(AG2200)+IF(MATCH(D2201,$D$2:$D$3001,0)=ROW()-1,1,0))</f>
        <v/>
      </c>
    </row>
    <row r="2202">
      <c r="Y2202" s="5">
        <f>IF(D2202="","",X2202*IF(AND(ISNUMBER(AC2202),AC2202&gt;0,AC2202&lt;1),AC2202*100,AC2202)/100)</f>
        <v/>
      </c>
      <c r="Z2202" s="5">
        <f>IF(D2202="","",AB2202*AA2202/100)</f>
        <v/>
      </c>
      <c r="AA2202" s="5">
        <f>IF(D2202="","",X2202-Y2202)</f>
        <v/>
      </c>
      <c r="AD2202" s="5">
        <f>IF(D2202="","",AA2202-Z2202)</f>
        <v/>
      </c>
      <c r="AG2202">
        <f>IF(D2202="","",N(AG2201)+IF(MATCH(D2202,$D$2:$D$3001,0)=ROW()-1,1,0))</f>
        <v/>
      </c>
    </row>
    <row r="2203">
      <c r="Y2203" s="5">
        <f>IF(D2203="","",X2203*IF(AND(ISNUMBER(AC2203),AC2203&gt;0,AC2203&lt;1),AC2203*100,AC2203)/100)</f>
        <v/>
      </c>
      <c r="Z2203" s="5">
        <f>IF(D2203="","",AB2203*AA2203/100)</f>
        <v/>
      </c>
      <c r="AA2203" s="5">
        <f>IF(D2203="","",X2203-Y2203)</f>
        <v/>
      </c>
      <c r="AD2203" s="5">
        <f>IF(D2203="","",AA2203-Z2203)</f>
        <v/>
      </c>
      <c r="AG2203">
        <f>IF(D2203="","",N(AG2202)+IF(MATCH(D2203,$D$2:$D$3001,0)=ROW()-1,1,0))</f>
        <v/>
      </c>
    </row>
    <row r="2204">
      <c r="Y2204" s="5">
        <f>IF(D2204="","",X2204*IF(AND(ISNUMBER(AC2204),AC2204&gt;0,AC2204&lt;1),AC2204*100,AC2204)/100)</f>
        <v/>
      </c>
      <c r="Z2204" s="5">
        <f>IF(D2204="","",AB2204*AA2204/100)</f>
        <v/>
      </c>
      <c r="AA2204" s="5">
        <f>IF(D2204="","",X2204-Y2204)</f>
        <v/>
      </c>
      <c r="AD2204" s="5">
        <f>IF(D2204="","",AA2204-Z2204)</f>
        <v/>
      </c>
      <c r="AG2204">
        <f>IF(D2204="","",N(AG2203)+IF(MATCH(D2204,$D$2:$D$3001,0)=ROW()-1,1,0))</f>
        <v/>
      </c>
    </row>
    <row r="2205">
      <c r="Y2205" s="5">
        <f>IF(D2205="","",X2205*IF(AND(ISNUMBER(AC2205),AC2205&gt;0,AC2205&lt;1),AC2205*100,AC2205)/100)</f>
        <v/>
      </c>
      <c r="Z2205" s="5">
        <f>IF(D2205="","",AB2205*AA2205/100)</f>
        <v/>
      </c>
      <c r="AA2205" s="5">
        <f>IF(D2205="","",X2205-Y2205)</f>
        <v/>
      </c>
      <c r="AD2205" s="5">
        <f>IF(D2205="","",AA2205-Z2205)</f>
        <v/>
      </c>
      <c r="AG2205">
        <f>IF(D2205="","",N(AG2204)+IF(MATCH(D2205,$D$2:$D$3001,0)=ROW()-1,1,0))</f>
        <v/>
      </c>
    </row>
    <row r="2206">
      <c r="Y2206" s="5">
        <f>IF(D2206="","",X2206*IF(AND(ISNUMBER(AC2206),AC2206&gt;0,AC2206&lt;1),AC2206*100,AC2206)/100)</f>
        <v/>
      </c>
      <c r="Z2206" s="5">
        <f>IF(D2206="","",AB2206*AA2206/100)</f>
        <v/>
      </c>
      <c r="AA2206" s="5">
        <f>IF(D2206="","",X2206-Y2206)</f>
        <v/>
      </c>
      <c r="AD2206" s="5">
        <f>IF(D2206="","",AA2206-Z2206)</f>
        <v/>
      </c>
      <c r="AG2206">
        <f>IF(D2206="","",N(AG2205)+IF(MATCH(D2206,$D$2:$D$3001,0)=ROW()-1,1,0))</f>
        <v/>
      </c>
    </row>
    <row r="2207">
      <c r="Y2207" s="5">
        <f>IF(D2207="","",X2207*IF(AND(ISNUMBER(AC2207),AC2207&gt;0,AC2207&lt;1),AC2207*100,AC2207)/100)</f>
        <v/>
      </c>
      <c r="Z2207" s="5">
        <f>IF(D2207="","",AB2207*AA2207/100)</f>
        <v/>
      </c>
      <c r="AA2207" s="5">
        <f>IF(D2207="","",X2207-Y2207)</f>
        <v/>
      </c>
      <c r="AD2207" s="5">
        <f>IF(D2207="","",AA2207-Z2207)</f>
        <v/>
      </c>
      <c r="AG2207">
        <f>IF(D2207="","",N(AG2206)+IF(MATCH(D2207,$D$2:$D$3001,0)=ROW()-1,1,0))</f>
        <v/>
      </c>
    </row>
    <row r="2208">
      <c r="Y2208" s="5">
        <f>IF(D2208="","",X2208*IF(AND(ISNUMBER(AC2208),AC2208&gt;0,AC2208&lt;1),AC2208*100,AC2208)/100)</f>
        <v/>
      </c>
      <c r="Z2208" s="5">
        <f>IF(D2208="","",AB2208*AA2208/100)</f>
        <v/>
      </c>
      <c r="AA2208" s="5">
        <f>IF(D2208="","",X2208-Y2208)</f>
        <v/>
      </c>
      <c r="AD2208" s="5">
        <f>IF(D2208="","",AA2208-Z2208)</f>
        <v/>
      </c>
      <c r="AG2208">
        <f>IF(D2208="","",N(AG2207)+IF(MATCH(D2208,$D$2:$D$3001,0)=ROW()-1,1,0))</f>
        <v/>
      </c>
    </row>
    <row r="2209">
      <c r="Y2209" s="5">
        <f>IF(D2209="","",X2209*IF(AND(ISNUMBER(AC2209),AC2209&gt;0,AC2209&lt;1),AC2209*100,AC2209)/100)</f>
        <v/>
      </c>
      <c r="Z2209" s="5">
        <f>IF(D2209="","",AB2209*AA2209/100)</f>
        <v/>
      </c>
      <c r="AA2209" s="5">
        <f>IF(D2209="","",X2209-Y2209)</f>
        <v/>
      </c>
      <c r="AD2209" s="5">
        <f>IF(D2209="","",AA2209-Z2209)</f>
        <v/>
      </c>
      <c r="AG2209">
        <f>IF(D2209="","",N(AG2208)+IF(MATCH(D2209,$D$2:$D$3001,0)=ROW()-1,1,0))</f>
        <v/>
      </c>
    </row>
    <row r="2210">
      <c r="Y2210" s="5">
        <f>IF(D2210="","",X2210*IF(AND(ISNUMBER(AC2210),AC2210&gt;0,AC2210&lt;1),AC2210*100,AC2210)/100)</f>
        <v/>
      </c>
      <c r="Z2210" s="5">
        <f>IF(D2210="","",AB2210*AA2210/100)</f>
        <v/>
      </c>
      <c r="AA2210" s="5">
        <f>IF(D2210="","",X2210-Y2210)</f>
        <v/>
      </c>
      <c r="AD2210" s="5">
        <f>IF(D2210="","",AA2210-Z2210)</f>
        <v/>
      </c>
      <c r="AG2210">
        <f>IF(D2210="","",N(AG2209)+IF(MATCH(D2210,$D$2:$D$3001,0)=ROW()-1,1,0))</f>
        <v/>
      </c>
    </row>
    <row r="2211">
      <c r="Y2211" s="5">
        <f>IF(D2211="","",X2211*IF(AND(ISNUMBER(AC2211),AC2211&gt;0,AC2211&lt;1),AC2211*100,AC2211)/100)</f>
        <v/>
      </c>
      <c r="Z2211" s="5">
        <f>IF(D2211="","",AB2211*AA2211/100)</f>
        <v/>
      </c>
      <c r="AA2211" s="5">
        <f>IF(D2211="","",X2211-Y2211)</f>
        <v/>
      </c>
      <c r="AD2211" s="5">
        <f>IF(D2211="","",AA2211-Z2211)</f>
        <v/>
      </c>
      <c r="AG2211">
        <f>IF(D2211="","",N(AG2210)+IF(MATCH(D2211,$D$2:$D$3001,0)=ROW()-1,1,0))</f>
        <v/>
      </c>
    </row>
    <row r="2212">
      <c r="Y2212" s="5">
        <f>IF(D2212="","",X2212*IF(AND(ISNUMBER(AC2212),AC2212&gt;0,AC2212&lt;1),AC2212*100,AC2212)/100)</f>
        <v/>
      </c>
      <c r="Z2212" s="5">
        <f>IF(D2212="","",AB2212*AA2212/100)</f>
        <v/>
      </c>
      <c r="AA2212" s="5">
        <f>IF(D2212="","",X2212-Y2212)</f>
        <v/>
      </c>
      <c r="AD2212" s="5">
        <f>IF(D2212="","",AA2212-Z2212)</f>
        <v/>
      </c>
      <c r="AG2212">
        <f>IF(D2212="","",N(AG2211)+IF(MATCH(D2212,$D$2:$D$3001,0)=ROW()-1,1,0))</f>
        <v/>
      </c>
    </row>
    <row r="2213">
      <c r="Y2213" s="5">
        <f>IF(D2213="","",X2213*IF(AND(ISNUMBER(AC2213),AC2213&gt;0,AC2213&lt;1),AC2213*100,AC2213)/100)</f>
        <v/>
      </c>
      <c r="Z2213" s="5">
        <f>IF(D2213="","",AB2213*AA2213/100)</f>
        <v/>
      </c>
      <c r="AA2213" s="5">
        <f>IF(D2213="","",X2213-Y2213)</f>
        <v/>
      </c>
      <c r="AD2213" s="5">
        <f>IF(D2213="","",AA2213-Z2213)</f>
        <v/>
      </c>
      <c r="AG2213">
        <f>IF(D2213="","",N(AG2212)+IF(MATCH(D2213,$D$2:$D$3001,0)=ROW()-1,1,0))</f>
        <v/>
      </c>
    </row>
    <row r="2214">
      <c r="Y2214" s="5">
        <f>IF(D2214="","",X2214*IF(AND(ISNUMBER(AC2214),AC2214&gt;0,AC2214&lt;1),AC2214*100,AC2214)/100)</f>
        <v/>
      </c>
      <c r="Z2214" s="5">
        <f>IF(D2214="","",AB2214*AA2214/100)</f>
        <v/>
      </c>
      <c r="AA2214" s="5">
        <f>IF(D2214="","",X2214-Y2214)</f>
        <v/>
      </c>
      <c r="AD2214" s="5">
        <f>IF(D2214="","",AA2214-Z2214)</f>
        <v/>
      </c>
      <c r="AG2214">
        <f>IF(D2214="","",N(AG2213)+IF(MATCH(D2214,$D$2:$D$3001,0)=ROW()-1,1,0))</f>
        <v/>
      </c>
    </row>
    <row r="2215">
      <c r="Y2215" s="5">
        <f>IF(D2215="","",X2215*IF(AND(ISNUMBER(AC2215),AC2215&gt;0,AC2215&lt;1),AC2215*100,AC2215)/100)</f>
        <v/>
      </c>
      <c r="Z2215" s="5">
        <f>IF(D2215="","",AB2215*AA2215/100)</f>
        <v/>
      </c>
      <c r="AA2215" s="5">
        <f>IF(D2215="","",X2215-Y2215)</f>
        <v/>
      </c>
      <c r="AD2215" s="5">
        <f>IF(D2215="","",AA2215-Z2215)</f>
        <v/>
      </c>
      <c r="AG2215">
        <f>IF(D2215="","",N(AG2214)+IF(MATCH(D2215,$D$2:$D$3001,0)=ROW()-1,1,0))</f>
        <v/>
      </c>
    </row>
    <row r="2216">
      <c r="Y2216" s="5">
        <f>IF(D2216="","",X2216*IF(AND(ISNUMBER(AC2216),AC2216&gt;0,AC2216&lt;1),AC2216*100,AC2216)/100)</f>
        <v/>
      </c>
      <c r="Z2216" s="5">
        <f>IF(D2216="","",AB2216*AA2216/100)</f>
        <v/>
      </c>
      <c r="AA2216" s="5">
        <f>IF(D2216="","",X2216-Y2216)</f>
        <v/>
      </c>
      <c r="AD2216" s="5">
        <f>IF(D2216="","",AA2216-Z2216)</f>
        <v/>
      </c>
      <c r="AG2216">
        <f>IF(D2216="","",N(AG2215)+IF(MATCH(D2216,$D$2:$D$3001,0)=ROW()-1,1,0))</f>
        <v/>
      </c>
    </row>
    <row r="2217">
      <c r="Y2217" s="5">
        <f>IF(D2217="","",X2217*IF(AND(ISNUMBER(AC2217),AC2217&gt;0,AC2217&lt;1),AC2217*100,AC2217)/100)</f>
        <v/>
      </c>
      <c r="Z2217" s="5">
        <f>IF(D2217="","",AB2217*AA2217/100)</f>
        <v/>
      </c>
      <c r="AA2217" s="5">
        <f>IF(D2217="","",X2217-Y2217)</f>
        <v/>
      </c>
      <c r="AD2217" s="5">
        <f>IF(D2217="","",AA2217-Z2217)</f>
        <v/>
      </c>
      <c r="AG2217">
        <f>IF(D2217="","",N(AG2216)+IF(MATCH(D2217,$D$2:$D$3001,0)=ROW()-1,1,0))</f>
        <v/>
      </c>
    </row>
    <row r="2218">
      <c r="Y2218" s="5">
        <f>IF(D2218="","",X2218*IF(AND(ISNUMBER(AC2218),AC2218&gt;0,AC2218&lt;1),AC2218*100,AC2218)/100)</f>
        <v/>
      </c>
      <c r="Z2218" s="5">
        <f>IF(D2218="","",AB2218*AA2218/100)</f>
        <v/>
      </c>
      <c r="AA2218" s="5">
        <f>IF(D2218="","",X2218-Y2218)</f>
        <v/>
      </c>
      <c r="AD2218" s="5">
        <f>IF(D2218="","",AA2218-Z2218)</f>
        <v/>
      </c>
      <c r="AG2218">
        <f>IF(D2218="","",N(AG2217)+IF(MATCH(D2218,$D$2:$D$3001,0)=ROW()-1,1,0))</f>
        <v/>
      </c>
    </row>
    <row r="2219">
      <c r="Y2219" s="5">
        <f>IF(D2219="","",X2219*IF(AND(ISNUMBER(AC2219),AC2219&gt;0,AC2219&lt;1),AC2219*100,AC2219)/100)</f>
        <v/>
      </c>
      <c r="Z2219" s="5">
        <f>IF(D2219="","",AB2219*AA2219/100)</f>
        <v/>
      </c>
      <c r="AA2219" s="5">
        <f>IF(D2219="","",X2219-Y2219)</f>
        <v/>
      </c>
      <c r="AD2219" s="5">
        <f>IF(D2219="","",AA2219-Z2219)</f>
        <v/>
      </c>
      <c r="AG2219">
        <f>IF(D2219="","",N(AG2218)+IF(MATCH(D2219,$D$2:$D$3001,0)=ROW()-1,1,0))</f>
        <v/>
      </c>
    </row>
    <row r="2220">
      <c r="Y2220" s="5">
        <f>IF(D2220="","",X2220*IF(AND(ISNUMBER(AC2220),AC2220&gt;0,AC2220&lt;1),AC2220*100,AC2220)/100)</f>
        <v/>
      </c>
      <c r="Z2220" s="5">
        <f>IF(D2220="","",AB2220*AA2220/100)</f>
        <v/>
      </c>
      <c r="AA2220" s="5">
        <f>IF(D2220="","",X2220-Y2220)</f>
        <v/>
      </c>
      <c r="AD2220" s="5">
        <f>IF(D2220="","",AA2220-Z2220)</f>
        <v/>
      </c>
      <c r="AG2220">
        <f>IF(D2220="","",N(AG2219)+IF(MATCH(D2220,$D$2:$D$3001,0)=ROW()-1,1,0))</f>
        <v/>
      </c>
    </row>
    <row r="2221">
      <c r="Y2221" s="5">
        <f>IF(D2221="","",X2221*IF(AND(ISNUMBER(AC2221),AC2221&gt;0,AC2221&lt;1),AC2221*100,AC2221)/100)</f>
        <v/>
      </c>
      <c r="Z2221" s="5">
        <f>IF(D2221="","",AB2221*AA2221/100)</f>
        <v/>
      </c>
      <c r="AA2221" s="5">
        <f>IF(D2221="","",X2221-Y2221)</f>
        <v/>
      </c>
      <c r="AD2221" s="5">
        <f>IF(D2221="","",AA2221-Z2221)</f>
        <v/>
      </c>
      <c r="AG2221">
        <f>IF(D2221="","",N(AG2220)+IF(MATCH(D2221,$D$2:$D$3001,0)=ROW()-1,1,0))</f>
        <v/>
      </c>
    </row>
    <row r="2222">
      <c r="Y2222" s="5">
        <f>IF(D2222="","",X2222*IF(AND(ISNUMBER(AC2222),AC2222&gt;0,AC2222&lt;1),AC2222*100,AC2222)/100)</f>
        <v/>
      </c>
      <c r="Z2222" s="5">
        <f>IF(D2222="","",AB2222*AA2222/100)</f>
        <v/>
      </c>
      <c r="AA2222" s="5">
        <f>IF(D2222="","",X2222-Y2222)</f>
        <v/>
      </c>
      <c r="AD2222" s="5">
        <f>IF(D2222="","",AA2222-Z2222)</f>
        <v/>
      </c>
      <c r="AG2222">
        <f>IF(D2222="","",N(AG2221)+IF(MATCH(D2222,$D$2:$D$3001,0)=ROW()-1,1,0))</f>
        <v/>
      </c>
    </row>
    <row r="2223">
      <c r="Y2223" s="5">
        <f>IF(D2223="","",X2223*IF(AND(ISNUMBER(AC2223),AC2223&gt;0,AC2223&lt;1),AC2223*100,AC2223)/100)</f>
        <v/>
      </c>
      <c r="Z2223" s="5">
        <f>IF(D2223="","",AB2223*AA2223/100)</f>
        <v/>
      </c>
      <c r="AA2223" s="5">
        <f>IF(D2223="","",X2223-Y2223)</f>
        <v/>
      </c>
      <c r="AD2223" s="5">
        <f>IF(D2223="","",AA2223-Z2223)</f>
        <v/>
      </c>
      <c r="AG2223">
        <f>IF(D2223="","",N(AG2222)+IF(MATCH(D2223,$D$2:$D$3001,0)=ROW()-1,1,0))</f>
        <v/>
      </c>
    </row>
    <row r="2224">
      <c r="Y2224" s="5">
        <f>IF(D2224="","",X2224*IF(AND(ISNUMBER(AC2224),AC2224&gt;0,AC2224&lt;1),AC2224*100,AC2224)/100)</f>
        <v/>
      </c>
      <c r="Z2224" s="5">
        <f>IF(D2224="","",AB2224*AA2224/100)</f>
        <v/>
      </c>
      <c r="AA2224" s="5">
        <f>IF(D2224="","",X2224-Y2224)</f>
        <v/>
      </c>
      <c r="AD2224" s="5">
        <f>IF(D2224="","",AA2224-Z2224)</f>
        <v/>
      </c>
      <c r="AG2224">
        <f>IF(D2224="","",N(AG2223)+IF(MATCH(D2224,$D$2:$D$3001,0)=ROW()-1,1,0))</f>
        <v/>
      </c>
    </row>
    <row r="2225">
      <c r="Y2225" s="5">
        <f>IF(D2225="","",X2225*IF(AND(ISNUMBER(AC2225),AC2225&gt;0,AC2225&lt;1),AC2225*100,AC2225)/100)</f>
        <v/>
      </c>
      <c r="Z2225" s="5">
        <f>IF(D2225="","",AB2225*AA2225/100)</f>
        <v/>
      </c>
      <c r="AA2225" s="5">
        <f>IF(D2225="","",X2225-Y2225)</f>
        <v/>
      </c>
      <c r="AD2225" s="5">
        <f>IF(D2225="","",AA2225-Z2225)</f>
        <v/>
      </c>
      <c r="AG2225">
        <f>IF(D2225="","",N(AG2224)+IF(MATCH(D2225,$D$2:$D$3001,0)=ROW()-1,1,0))</f>
        <v/>
      </c>
    </row>
    <row r="2226">
      <c r="Y2226" s="5">
        <f>IF(D2226="","",X2226*IF(AND(ISNUMBER(AC2226),AC2226&gt;0,AC2226&lt;1),AC2226*100,AC2226)/100)</f>
        <v/>
      </c>
      <c r="Z2226" s="5">
        <f>IF(D2226="","",AB2226*AA2226/100)</f>
        <v/>
      </c>
      <c r="AA2226" s="5">
        <f>IF(D2226="","",X2226-Y2226)</f>
        <v/>
      </c>
      <c r="AD2226" s="5">
        <f>IF(D2226="","",AA2226-Z2226)</f>
        <v/>
      </c>
      <c r="AG2226">
        <f>IF(D2226="","",N(AG2225)+IF(MATCH(D2226,$D$2:$D$3001,0)=ROW()-1,1,0))</f>
        <v/>
      </c>
    </row>
    <row r="2227">
      <c r="Y2227" s="5">
        <f>IF(D2227="","",X2227*IF(AND(ISNUMBER(AC2227),AC2227&gt;0,AC2227&lt;1),AC2227*100,AC2227)/100)</f>
        <v/>
      </c>
      <c r="Z2227" s="5">
        <f>IF(D2227="","",AB2227*AA2227/100)</f>
        <v/>
      </c>
      <c r="AA2227" s="5">
        <f>IF(D2227="","",X2227-Y2227)</f>
        <v/>
      </c>
      <c r="AD2227" s="5">
        <f>IF(D2227="","",AA2227-Z2227)</f>
        <v/>
      </c>
      <c r="AG2227">
        <f>IF(D2227="","",N(AG2226)+IF(MATCH(D2227,$D$2:$D$3001,0)=ROW()-1,1,0))</f>
        <v/>
      </c>
    </row>
    <row r="2228">
      <c r="Y2228" s="5">
        <f>IF(D2228="","",X2228*IF(AND(ISNUMBER(AC2228),AC2228&gt;0,AC2228&lt;1),AC2228*100,AC2228)/100)</f>
        <v/>
      </c>
      <c r="Z2228" s="5">
        <f>IF(D2228="","",AB2228*AA2228/100)</f>
        <v/>
      </c>
      <c r="AA2228" s="5">
        <f>IF(D2228="","",X2228-Y2228)</f>
        <v/>
      </c>
      <c r="AD2228" s="5">
        <f>IF(D2228="","",AA2228-Z2228)</f>
        <v/>
      </c>
      <c r="AG2228">
        <f>IF(D2228="","",N(AG2227)+IF(MATCH(D2228,$D$2:$D$3001,0)=ROW()-1,1,0))</f>
        <v/>
      </c>
    </row>
    <row r="2229">
      <c r="Y2229" s="5">
        <f>IF(D2229="","",X2229*IF(AND(ISNUMBER(AC2229),AC2229&gt;0,AC2229&lt;1),AC2229*100,AC2229)/100)</f>
        <v/>
      </c>
      <c r="Z2229" s="5">
        <f>IF(D2229="","",AB2229*AA2229/100)</f>
        <v/>
      </c>
      <c r="AA2229" s="5">
        <f>IF(D2229="","",X2229-Y2229)</f>
        <v/>
      </c>
      <c r="AD2229" s="5">
        <f>IF(D2229="","",AA2229-Z2229)</f>
        <v/>
      </c>
      <c r="AG2229">
        <f>IF(D2229="","",N(AG2228)+IF(MATCH(D2229,$D$2:$D$3001,0)=ROW()-1,1,0))</f>
        <v/>
      </c>
    </row>
    <row r="2230">
      <c r="Y2230" s="5">
        <f>IF(D2230="","",X2230*IF(AND(ISNUMBER(AC2230),AC2230&gt;0,AC2230&lt;1),AC2230*100,AC2230)/100)</f>
        <v/>
      </c>
      <c r="Z2230" s="5">
        <f>IF(D2230="","",AB2230*AA2230/100)</f>
        <v/>
      </c>
      <c r="AA2230" s="5">
        <f>IF(D2230="","",X2230-Y2230)</f>
        <v/>
      </c>
      <c r="AD2230" s="5">
        <f>IF(D2230="","",AA2230-Z2230)</f>
        <v/>
      </c>
      <c r="AG2230">
        <f>IF(D2230="","",N(AG2229)+IF(MATCH(D2230,$D$2:$D$3001,0)=ROW()-1,1,0))</f>
        <v/>
      </c>
    </row>
    <row r="2231">
      <c r="Y2231" s="5">
        <f>IF(D2231="","",X2231*IF(AND(ISNUMBER(AC2231),AC2231&gt;0,AC2231&lt;1),AC2231*100,AC2231)/100)</f>
        <v/>
      </c>
      <c r="Z2231" s="5">
        <f>IF(D2231="","",AB2231*AA2231/100)</f>
        <v/>
      </c>
      <c r="AA2231" s="5">
        <f>IF(D2231="","",X2231-Y2231)</f>
        <v/>
      </c>
      <c r="AD2231" s="5">
        <f>IF(D2231="","",AA2231-Z2231)</f>
        <v/>
      </c>
      <c r="AG2231">
        <f>IF(D2231="","",N(AG2230)+IF(MATCH(D2231,$D$2:$D$3001,0)=ROW()-1,1,0))</f>
        <v/>
      </c>
    </row>
    <row r="2232">
      <c r="Y2232" s="5">
        <f>IF(D2232="","",X2232*IF(AND(ISNUMBER(AC2232),AC2232&gt;0,AC2232&lt;1),AC2232*100,AC2232)/100)</f>
        <v/>
      </c>
      <c r="Z2232" s="5">
        <f>IF(D2232="","",AB2232*AA2232/100)</f>
        <v/>
      </c>
      <c r="AA2232" s="5">
        <f>IF(D2232="","",X2232-Y2232)</f>
        <v/>
      </c>
      <c r="AD2232" s="5">
        <f>IF(D2232="","",AA2232-Z2232)</f>
        <v/>
      </c>
      <c r="AG2232">
        <f>IF(D2232="","",N(AG2231)+IF(MATCH(D2232,$D$2:$D$3001,0)=ROW()-1,1,0))</f>
        <v/>
      </c>
    </row>
    <row r="2233">
      <c r="Y2233" s="5">
        <f>IF(D2233="","",X2233*IF(AND(ISNUMBER(AC2233),AC2233&gt;0,AC2233&lt;1),AC2233*100,AC2233)/100)</f>
        <v/>
      </c>
      <c r="Z2233" s="5">
        <f>IF(D2233="","",AB2233*AA2233/100)</f>
        <v/>
      </c>
      <c r="AA2233" s="5">
        <f>IF(D2233="","",X2233-Y2233)</f>
        <v/>
      </c>
      <c r="AD2233" s="5">
        <f>IF(D2233="","",AA2233-Z2233)</f>
        <v/>
      </c>
      <c r="AG2233">
        <f>IF(D2233="","",N(AG2232)+IF(MATCH(D2233,$D$2:$D$3001,0)=ROW()-1,1,0))</f>
        <v/>
      </c>
    </row>
    <row r="2234">
      <c r="Y2234" s="5">
        <f>IF(D2234="","",X2234*IF(AND(ISNUMBER(AC2234),AC2234&gt;0,AC2234&lt;1),AC2234*100,AC2234)/100)</f>
        <v/>
      </c>
      <c r="Z2234" s="5">
        <f>IF(D2234="","",AB2234*AA2234/100)</f>
        <v/>
      </c>
      <c r="AA2234" s="5">
        <f>IF(D2234="","",X2234-Y2234)</f>
        <v/>
      </c>
      <c r="AD2234" s="5">
        <f>IF(D2234="","",AA2234-Z2234)</f>
        <v/>
      </c>
      <c r="AG2234">
        <f>IF(D2234="","",N(AG2233)+IF(MATCH(D2234,$D$2:$D$3001,0)=ROW()-1,1,0))</f>
        <v/>
      </c>
    </row>
    <row r="2235">
      <c r="Y2235" s="5">
        <f>IF(D2235="","",X2235*IF(AND(ISNUMBER(AC2235),AC2235&gt;0,AC2235&lt;1),AC2235*100,AC2235)/100)</f>
        <v/>
      </c>
      <c r="Z2235" s="5">
        <f>IF(D2235="","",AB2235*AA2235/100)</f>
        <v/>
      </c>
      <c r="AA2235" s="5">
        <f>IF(D2235="","",X2235-Y2235)</f>
        <v/>
      </c>
      <c r="AD2235" s="5">
        <f>IF(D2235="","",AA2235-Z2235)</f>
        <v/>
      </c>
      <c r="AG2235">
        <f>IF(D2235="","",N(AG2234)+IF(MATCH(D2235,$D$2:$D$3001,0)=ROW()-1,1,0))</f>
        <v/>
      </c>
    </row>
    <row r="2236">
      <c r="Y2236" s="5">
        <f>IF(D2236="","",X2236*IF(AND(ISNUMBER(AC2236),AC2236&gt;0,AC2236&lt;1),AC2236*100,AC2236)/100)</f>
        <v/>
      </c>
      <c r="Z2236" s="5">
        <f>IF(D2236="","",AB2236*AA2236/100)</f>
        <v/>
      </c>
      <c r="AA2236" s="5">
        <f>IF(D2236="","",X2236-Y2236)</f>
        <v/>
      </c>
      <c r="AD2236" s="5">
        <f>IF(D2236="","",AA2236-Z2236)</f>
        <v/>
      </c>
      <c r="AG2236">
        <f>IF(D2236="","",N(AG2235)+IF(MATCH(D2236,$D$2:$D$3001,0)=ROW()-1,1,0))</f>
        <v/>
      </c>
    </row>
    <row r="2237">
      <c r="Y2237" s="5">
        <f>IF(D2237="","",X2237*IF(AND(ISNUMBER(AC2237),AC2237&gt;0,AC2237&lt;1),AC2237*100,AC2237)/100)</f>
        <v/>
      </c>
      <c r="Z2237" s="5">
        <f>IF(D2237="","",AB2237*AA2237/100)</f>
        <v/>
      </c>
      <c r="AA2237" s="5">
        <f>IF(D2237="","",X2237-Y2237)</f>
        <v/>
      </c>
      <c r="AD2237" s="5">
        <f>IF(D2237="","",AA2237-Z2237)</f>
        <v/>
      </c>
      <c r="AG2237">
        <f>IF(D2237="","",N(AG2236)+IF(MATCH(D2237,$D$2:$D$3001,0)=ROW()-1,1,0))</f>
        <v/>
      </c>
    </row>
    <row r="2238">
      <c r="Y2238" s="5">
        <f>IF(D2238="","",X2238*IF(AND(ISNUMBER(AC2238),AC2238&gt;0,AC2238&lt;1),AC2238*100,AC2238)/100)</f>
        <v/>
      </c>
      <c r="Z2238" s="5">
        <f>IF(D2238="","",AB2238*AA2238/100)</f>
        <v/>
      </c>
      <c r="AA2238" s="5">
        <f>IF(D2238="","",X2238-Y2238)</f>
        <v/>
      </c>
      <c r="AD2238" s="5">
        <f>IF(D2238="","",AA2238-Z2238)</f>
        <v/>
      </c>
      <c r="AG2238">
        <f>IF(D2238="","",N(AG2237)+IF(MATCH(D2238,$D$2:$D$3001,0)=ROW()-1,1,0))</f>
        <v/>
      </c>
    </row>
    <row r="2239">
      <c r="Y2239" s="5">
        <f>IF(D2239="","",X2239*IF(AND(ISNUMBER(AC2239),AC2239&gt;0,AC2239&lt;1),AC2239*100,AC2239)/100)</f>
        <v/>
      </c>
      <c r="Z2239" s="5">
        <f>IF(D2239="","",AB2239*AA2239/100)</f>
        <v/>
      </c>
      <c r="AA2239" s="5">
        <f>IF(D2239="","",X2239-Y2239)</f>
        <v/>
      </c>
      <c r="AD2239" s="5">
        <f>IF(D2239="","",AA2239-Z2239)</f>
        <v/>
      </c>
      <c r="AG2239">
        <f>IF(D2239="","",N(AG2238)+IF(MATCH(D2239,$D$2:$D$3001,0)=ROW()-1,1,0))</f>
        <v/>
      </c>
    </row>
    <row r="2240">
      <c r="Y2240" s="5">
        <f>IF(D2240="","",X2240*IF(AND(ISNUMBER(AC2240),AC2240&gt;0,AC2240&lt;1),AC2240*100,AC2240)/100)</f>
        <v/>
      </c>
      <c r="Z2240" s="5">
        <f>IF(D2240="","",AB2240*AA2240/100)</f>
        <v/>
      </c>
      <c r="AA2240" s="5">
        <f>IF(D2240="","",X2240-Y2240)</f>
        <v/>
      </c>
      <c r="AD2240" s="5">
        <f>IF(D2240="","",AA2240-Z2240)</f>
        <v/>
      </c>
      <c r="AG2240">
        <f>IF(D2240="","",N(AG2239)+IF(MATCH(D2240,$D$2:$D$3001,0)=ROW()-1,1,0))</f>
        <v/>
      </c>
    </row>
    <row r="2241">
      <c r="Y2241" s="5">
        <f>IF(D2241="","",X2241*IF(AND(ISNUMBER(AC2241),AC2241&gt;0,AC2241&lt;1),AC2241*100,AC2241)/100)</f>
        <v/>
      </c>
      <c r="Z2241" s="5">
        <f>IF(D2241="","",AB2241*AA2241/100)</f>
        <v/>
      </c>
      <c r="AA2241" s="5">
        <f>IF(D2241="","",X2241-Y2241)</f>
        <v/>
      </c>
      <c r="AD2241" s="5">
        <f>IF(D2241="","",AA2241-Z2241)</f>
        <v/>
      </c>
      <c r="AG2241">
        <f>IF(D2241="","",N(AG2240)+IF(MATCH(D2241,$D$2:$D$3001,0)=ROW()-1,1,0))</f>
        <v/>
      </c>
    </row>
    <row r="2242">
      <c r="Y2242" s="5">
        <f>IF(D2242="","",X2242*IF(AND(ISNUMBER(AC2242),AC2242&gt;0,AC2242&lt;1),AC2242*100,AC2242)/100)</f>
        <v/>
      </c>
      <c r="Z2242" s="5">
        <f>IF(D2242="","",AB2242*AA2242/100)</f>
        <v/>
      </c>
      <c r="AA2242" s="5">
        <f>IF(D2242="","",X2242-Y2242)</f>
        <v/>
      </c>
      <c r="AD2242" s="5">
        <f>IF(D2242="","",AA2242-Z2242)</f>
        <v/>
      </c>
      <c r="AG2242">
        <f>IF(D2242="","",N(AG2241)+IF(MATCH(D2242,$D$2:$D$3001,0)=ROW()-1,1,0))</f>
        <v/>
      </c>
    </row>
    <row r="2243">
      <c r="Y2243" s="5">
        <f>IF(D2243="","",X2243*IF(AND(ISNUMBER(AC2243),AC2243&gt;0,AC2243&lt;1),AC2243*100,AC2243)/100)</f>
        <v/>
      </c>
      <c r="Z2243" s="5">
        <f>IF(D2243="","",AB2243*AA2243/100)</f>
        <v/>
      </c>
      <c r="AA2243" s="5">
        <f>IF(D2243="","",X2243-Y2243)</f>
        <v/>
      </c>
      <c r="AD2243" s="5">
        <f>IF(D2243="","",AA2243-Z2243)</f>
        <v/>
      </c>
      <c r="AG2243">
        <f>IF(D2243="","",N(AG2242)+IF(MATCH(D2243,$D$2:$D$3001,0)=ROW()-1,1,0))</f>
        <v/>
      </c>
    </row>
    <row r="2244">
      <c r="Y2244" s="5">
        <f>IF(D2244="","",X2244*IF(AND(ISNUMBER(AC2244),AC2244&gt;0,AC2244&lt;1),AC2244*100,AC2244)/100)</f>
        <v/>
      </c>
      <c r="Z2244" s="5">
        <f>IF(D2244="","",AB2244*AA2244/100)</f>
        <v/>
      </c>
      <c r="AA2244" s="5">
        <f>IF(D2244="","",X2244-Y2244)</f>
        <v/>
      </c>
      <c r="AD2244" s="5">
        <f>IF(D2244="","",AA2244-Z2244)</f>
        <v/>
      </c>
      <c r="AG2244">
        <f>IF(D2244="","",N(AG2243)+IF(MATCH(D2244,$D$2:$D$3001,0)=ROW()-1,1,0))</f>
        <v/>
      </c>
    </row>
    <row r="2245">
      <c r="Y2245" s="5">
        <f>IF(D2245="","",X2245*IF(AND(ISNUMBER(AC2245),AC2245&gt;0,AC2245&lt;1),AC2245*100,AC2245)/100)</f>
        <v/>
      </c>
      <c r="Z2245" s="5">
        <f>IF(D2245="","",AB2245*AA2245/100)</f>
        <v/>
      </c>
      <c r="AA2245" s="5">
        <f>IF(D2245="","",X2245-Y2245)</f>
        <v/>
      </c>
      <c r="AD2245" s="5">
        <f>IF(D2245="","",AA2245-Z2245)</f>
        <v/>
      </c>
      <c r="AG2245">
        <f>IF(D2245="","",N(AG2244)+IF(MATCH(D2245,$D$2:$D$3001,0)=ROW()-1,1,0))</f>
        <v/>
      </c>
    </row>
    <row r="2246">
      <c r="Y2246" s="5">
        <f>IF(D2246="","",X2246*IF(AND(ISNUMBER(AC2246),AC2246&gt;0,AC2246&lt;1),AC2246*100,AC2246)/100)</f>
        <v/>
      </c>
      <c r="Z2246" s="5">
        <f>IF(D2246="","",AB2246*AA2246/100)</f>
        <v/>
      </c>
      <c r="AA2246" s="5">
        <f>IF(D2246="","",X2246-Y2246)</f>
        <v/>
      </c>
      <c r="AD2246" s="5">
        <f>IF(D2246="","",AA2246-Z2246)</f>
        <v/>
      </c>
      <c r="AG2246">
        <f>IF(D2246="","",N(AG2245)+IF(MATCH(D2246,$D$2:$D$3001,0)=ROW()-1,1,0))</f>
        <v/>
      </c>
    </row>
    <row r="2247">
      <c r="Y2247" s="5">
        <f>IF(D2247="","",X2247*IF(AND(ISNUMBER(AC2247),AC2247&gt;0,AC2247&lt;1),AC2247*100,AC2247)/100)</f>
        <v/>
      </c>
      <c r="Z2247" s="5">
        <f>IF(D2247="","",AB2247*AA2247/100)</f>
        <v/>
      </c>
      <c r="AA2247" s="5">
        <f>IF(D2247="","",X2247-Y2247)</f>
        <v/>
      </c>
      <c r="AD2247" s="5">
        <f>IF(D2247="","",AA2247-Z2247)</f>
        <v/>
      </c>
      <c r="AG2247">
        <f>IF(D2247="","",N(AG2246)+IF(MATCH(D2247,$D$2:$D$3001,0)=ROW()-1,1,0))</f>
        <v/>
      </c>
    </row>
    <row r="2248">
      <c r="Y2248" s="5">
        <f>IF(D2248="","",X2248*IF(AND(ISNUMBER(AC2248),AC2248&gt;0,AC2248&lt;1),AC2248*100,AC2248)/100)</f>
        <v/>
      </c>
      <c r="Z2248" s="5">
        <f>IF(D2248="","",AB2248*AA2248/100)</f>
        <v/>
      </c>
      <c r="AA2248" s="5">
        <f>IF(D2248="","",X2248-Y2248)</f>
        <v/>
      </c>
      <c r="AD2248" s="5">
        <f>IF(D2248="","",AA2248-Z2248)</f>
        <v/>
      </c>
      <c r="AG2248">
        <f>IF(D2248="","",N(AG2247)+IF(MATCH(D2248,$D$2:$D$3001,0)=ROW()-1,1,0))</f>
        <v/>
      </c>
    </row>
    <row r="2249">
      <c r="Y2249" s="5">
        <f>IF(D2249="","",X2249*IF(AND(ISNUMBER(AC2249),AC2249&gt;0,AC2249&lt;1),AC2249*100,AC2249)/100)</f>
        <v/>
      </c>
      <c r="Z2249" s="5">
        <f>IF(D2249="","",AB2249*AA2249/100)</f>
        <v/>
      </c>
      <c r="AA2249" s="5">
        <f>IF(D2249="","",X2249-Y2249)</f>
        <v/>
      </c>
      <c r="AD2249" s="5">
        <f>IF(D2249="","",AA2249-Z2249)</f>
        <v/>
      </c>
      <c r="AG2249">
        <f>IF(D2249="","",N(AG2248)+IF(MATCH(D2249,$D$2:$D$3001,0)=ROW()-1,1,0))</f>
        <v/>
      </c>
    </row>
    <row r="2250">
      <c r="Y2250" s="5">
        <f>IF(D2250="","",X2250*IF(AND(ISNUMBER(AC2250),AC2250&gt;0,AC2250&lt;1),AC2250*100,AC2250)/100)</f>
        <v/>
      </c>
      <c r="Z2250" s="5">
        <f>IF(D2250="","",AB2250*AA2250/100)</f>
        <v/>
      </c>
      <c r="AA2250" s="5">
        <f>IF(D2250="","",X2250-Y2250)</f>
        <v/>
      </c>
      <c r="AD2250" s="5">
        <f>IF(D2250="","",AA2250-Z2250)</f>
        <v/>
      </c>
      <c r="AG2250">
        <f>IF(D2250="","",N(AG2249)+IF(MATCH(D2250,$D$2:$D$3001,0)=ROW()-1,1,0))</f>
        <v/>
      </c>
    </row>
    <row r="2251">
      <c r="Y2251" s="5">
        <f>IF(D2251="","",X2251*IF(AND(ISNUMBER(AC2251),AC2251&gt;0,AC2251&lt;1),AC2251*100,AC2251)/100)</f>
        <v/>
      </c>
      <c r="Z2251" s="5">
        <f>IF(D2251="","",AB2251*AA2251/100)</f>
        <v/>
      </c>
      <c r="AA2251" s="5">
        <f>IF(D2251="","",X2251-Y2251)</f>
        <v/>
      </c>
      <c r="AD2251" s="5">
        <f>IF(D2251="","",AA2251-Z2251)</f>
        <v/>
      </c>
      <c r="AG2251">
        <f>IF(D2251="","",N(AG2250)+IF(MATCH(D2251,$D$2:$D$3001,0)=ROW()-1,1,0))</f>
        <v/>
      </c>
    </row>
    <row r="2252">
      <c r="Y2252" s="5">
        <f>IF(D2252="","",X2252*IF(AND(ISNUMBER(AC2252),AC2252&gt;0,AC2252&lt;1),AC2252*100,AC2252)/100)</f>
        <v/>
      </c>
      <c r="Z2252" s="5">
        <f>IF(D2252="","",AB2252*AA2252/100)</f>
        <v/>
      </c>
      <c r="AA2252" s="5">
        <f>IF(D2252="","",X2252-Y2252)</f>
        <v/>
      </c>
      <c r="AD2252" s="5">
        <f>IF(D2252="","",AA2252-Z2252)</f>
        <v/>
      </c>
      <c r="AG2252">
        <f>IF(D2252="","",N(AG2251)+IF(MATCH(D2252,$D$2:$D$3001,0)=ROW()-1,1,0))</f>
        <v/>
      </c>
    </row>
    <row r="2253">
      <c r="Y2253" s="5">
        <f>IF(D2253="","",X2253*IF(AND(ISNUMBER(AC2253),AC2253&gt;0,AC2253&lt;1),AC2253*100,AC2253)/100)</f>
        <v/>
      </c>
      <c r="Z2253" s="5">
        <f>IF(D2253="","",AB2253*AA2253/100)</f>
        <v/>
      </c>
      <c r="AA2253" s="5">
        <f>IF(D2253="","",X2253-Y2253)</f>
        <v/>
      </c>
      <c r="AD2253" s="5">
        <f>IF(D2253="","",AA2253-Z2253)</f>
        <v/>
      </c>
      <c r="AG2253">
        <f>IF(D2253="","",N(AG2252)+IF(MATCH(D2253,$D$2:$D$3001,0)=ROW()-1,1,0))</f>
        <v/>
      </c>
    </row>
    <row r="2254">
      <c r="Y2254" s="5">
        <f>IF(D2254="","",X2254*IF(AND(ISNUMBER(AC2254),AC2254&gt;0,AC2254&lt;1),AC2254*100,AC2254)/100)</f>
        <v/>
      </c>
      <c r="Z2254" s="5">
        <f>IF(D2254="","",AB2254*AA2254/100)</f>
        <v/>
      </c>
      <c r="AA2254" s="5">
        <f>IF(D2254="","",X2254-Y2254)</f>
        <v/>
      </c>
      <c r="AD2254" s="5">
        <f>IF(D2254="","",AA2254-Z2254)</f>
        <v/>
      </c>
      <c r="AG2254">
        <f>IF(D2254="","",N(AG2253)+IF(MATCH(D2254,$D$2:$D$3001,0)=ROW()-1,1,0))</f>
        <v/>
      </c>
    </row>
    <row r="2255">
      <c r="Y2255" s="5">
        <f>IF(D2255="","",X2255*IF(AND(ISNUMBER(AC2255),AC2255&gt;0,AC2255&lt;1),AC2255*100,AC2255)/100)</f>
        <v/>
      </c>
      <c r="Z2255" s="5">
        <f>IF(D2255="","",AB2255*AA2255/100)</f>
        <v/>
      </c>
      <c r="AA2255" s="5">
        <f>IF(D2255="","",X2255-Y2255)</f>
        <v/>
      </c>
      <c r="AD2255" s="5">
        <f>IF(D2255="","",AA2255-Z2255)</f>
        <v/>
      </c>
      <c r="AG2255">
        <f>IF(D2255="","",N(AG2254)+IF(MATCH(D2255,$D$2:$D$3001,0)=ROW()-1,1,0))</f>
        <v/>
      </c>
    </row>
    <row r="2256">
      <c r="Y2256" s="5">
        <f>IF(D2256="","",X2256*IF(AND(ISNUMBER(AC2256),AC2256&gt;0,AC2256&lt;1),AC2256*100,AC2256)/100)</f>
        <v/>
      </c>
      <c r="Z2256" s="5">
        <f>IF(D2256="","",AB2256*AA2256/100)</f>
        <v/>
      </c>
      <c r="AA2256" s="5">
        <f>IF(D2256="","",X2256-Y2256)</f>
        <v/>
      </c>
      <c r="AD2256" s="5">
        <f>IF(D2256="","",AA2256-Z2256)</f>
        <v/>
      </c>
      <c r="AG2256">
        <f>IF(D2256="","",N(AG2255)+IF(MATCH(D2256,$D$2:$D$3001,0)=ROW()-1,1,0))</f>
        <v/>
      </c>
    </row>
    <row r="2257">
      <c r="Y2257" s="5">
        <f>IF(D2257="","",X2257*IF(AND(ISNUMBER(AC2257),AC2257&gt;0,AC2257&lt;1),AC2257*100,AC2257)/100)</f>
        <v/>
      </c>
      <c r="Z2257" s="5">
        <f>IF(D2257="","",AB2257*AA2257/100)</f>
        <v/>
      </c>
      <c r="AA2257" s="5">
        <f>IF(D2257="","",X2257-Y2257)</f>
        <v/>
      </c>
      <c r="AD2257" s="5">
        <f>IF(D2257="","",AA2257-Z2257)</f>
        <v/>
      </c>
      <c r="AG2257">
        <f>IF(D2257="","",N(AG2256)+IF(MATCH(D2257,$D$2:$D$3001,0)=ROW()-1,1,0))</f>
        <v/>
      </c>
    </row>
    <row r="2258">
      <c r="Y2258" s="5">
        <f>IF(D2258="","",X2258*IF(AND(ISNUMBER(AC2258),AC2258&gt;0,AC2258&lt;1),AC2258*100,AC2258)/100)</f>
        <v/>
      </c>
      <c r="Z2258" s="5">
        <f>IF(D2258="","",AB2258*AA2258/100)</f>
        <v/>
      </c>
      <c r="AA2258" s="5">
        <f>IF(D2258="","",X2258-Y2258)</f>
        <v/>
      </c>
      <c r="AD2258" s="5">
        <f>IF(D2258="","",AA2258-Z2258)</f>
        <v/>
      </c>
      <c r="AG2258">
        <f>IF(D2258="","",N(AG2257)+IF(MATCH(D2258,$D$2:$D$3001,0)=ROW()-1,1,0))</f>
        <v/>
      </c>
    </row>
    <row r="2259">
      <c r="Y2259" s="5">
        <f>IF(D2259="","",X2259*IF(AND(ISNUMBER(AC2259),AC2259&gt;0,AC2259&lt;1),AC2259*100,AC2259)/100)</f>
        <v/>
      </c>
      <c r="Z2259" s="5">
        <f>IF(D2259="","",AB2259*AA2259/100)</f>
        <v/>
      </c>
      <c r="AA2259" s="5">
        <f>IF(D2259="","",X2259-Y2259)</f>
        <v/>
      </c>
      <c r="AD2259" s="5">
        <f>IF(D2259="","",AA2259-Z2259)</f>
        <v/>
      </c>
      <c r="AG2259">
        <f>IF(D2259="","",N(AG2258)+IF(MATCH(D2259,$D$2:$D$3001,0)=ROW()-1,1,0))</f>
        <v/>
      </c>
    </row>
    <row r="2260">
      <c r="Y2260" s="5">
        <f>IF(D2260="","",X2260*IF(AND(ISNUMBER(AC2260),AC2260&gt;0,AC2260&lt;1),AC2260*100,AC2260)/100)</f>
        <v/>
      </c>
      <c r="Z2260" s="5">
        <f>IF(D2260="","",AB2260*AA2260/100)</f>
        <v/>
      </c>
      <c r="AA2260" s="5">
        <f>IF(D2260="","",X2260-Y2260)</f>
        <v/>
      </c>
      <c r="AD2260" s="5">
        <f>IF(D2260="","",AA2260-Z2260)</f>
        <v/>
      </c>
      <c r="AG2260">
        <f>IF(D2260="","",N(AG2259)+IF(MATCH(D2260,$D$2:$D$3001,0)=ROW()-1,1,0))</f>
        <v/>
      </c>
    </row>
    <row r="2261">
      <c r="Y2261" s="5">
        <f>IF(D2261="","",X2261*IF(AND(ISNUMBER(AC2261),AC2261&gt;0,AC2261&lt;1),AC2261*100,AC2261)/100)</f>
        <v/>
      </c>
      <c r="Z2261" s="5">
        <f>IF(D2261="","",AB2261*AA2261/100)</f>
        <v/>
      </c>
      <c r="AA2261" s="5">
        <f>IF(D2261="","",X2261-Y2261)</f>
        <v/>
      </c>
      <c r="AD2261" s="5">
        <f>IF(D2261="","",AA2261-Z2261)</f>
        <v/>
      </c>
      <c r="AG2261">
        <f>IF(D2261="","",N(AG2260)+IF(MATCH(D2261,$D$2:$D$3001,0)=ROW()-1,1,0))</f>
        <v/>
      </c>
    </row>
    <row r="2262">
      <c r="Y2262" s="5">
        <f>IF(D2262="","",X2262*IF(AND(ISNUMBER(AC2262),AC2262&gt;0,AC2262&lt;1),AC2262*100,AC2262)/100)</f>
        <v/>
      </c>
      <c r="Z2262" s="5">
        <f>IF(D2262="","",AB2262*AA2262/100)</f>
        <v/>
      </c>
      <c r="AA2262" s="5">
        <f>IF(D2262="","",X2262-Y2262)</f>
        <v/>
      </c>
      <c r="AD2262" s="5">
        <f>IF(D2262="","",AA2262-Z2262)</f>
        <v/>
      </c>
      <c r="AG2262">
        <f>IF(D2262="","",N(AG2261)+IF(MATCH(D2262,$D$2:$D$3001,0)=ROW()-1,1,0))</f>
        <v/>
      </c>
    </row>
    <row r="2263">
      <c r="Y2263" s="5">
        <f>IF(D2263="","",X2263*IF(AND(ISNUMBER(AC2263),AC2263&gt;0,AC2263&lt;1),AC2263*100,AC2263)/100)</f>
        <v/>
      </c>
      <c r="Z2263" s="5">
        <f>IF(D2263="","",AB2263*AA2263/100)</f>
        <v/>
      </c>
      <c r="AA2263" s="5">
        <f>IF(D2263="","",X2263-Y2263)</f>
        <v/>
      </c>
      <c r="AD2263" s="5">
        <f>IF(D2263="","",AA2263-Z2263)</f>
        <v/>
      </c>
      <c r="AG2263">
        <f>IF(D2263="","",N(AG2262)+IF(MATCH(D2263,$D$2:$D$3001,0)=ROW()-1,1,0))</f>
        <v/>
      </c>
    </row>
    <row r="2264">
      <c r="Y2264" s="5">
        <f>IF(D2264="","",X2264*IF(AND(ISNUMBER(AC2264),AC2264&gt;0,AC2264&lt;1),AC2264*100,AC2264)/100)</f>
        <v/>
      </c>
      <c r="Z2264" s="5">
        <f>IF(D2264="","",AB2264*AA2264/100)</f>
        <v/>
      </c>
      <c r="AA2264" s="5">
        <f>IF(D2264="","",X2264-Y2264)</f>
        <v/>
      </c>
      <c r="AD2264" s="5">
        <f>IF(D2264="","",AA2264-Z2264)</f>
        <v/>
      </c>
      <c r="AG2264">
        <f>IF(D2264="","",N(AG2263)+IF(MATCH(D2264,$D$2:$D$3001,0)=ROW()-1,1,0))</f>
        <v/>
      </c>
    </row>
    <row r="2265">
      <c r="Y2265" s="5">
        <f>IF(D2265="","",X2265*IF(AND(ISNUMBER(AC2265),AC2265&gt;0,AC2265&lt;1),AC2265*100,AC2265)/100)</f>
        <v/>
      </c>
      <c r="Z2265" s="5">
        <f>IF(D2265="","",AB2265*AA2265/100)</f>
        <v/>
      </c>
      <c r="AA2265" s="5">
        <f>IF(D2265="","",X2265-Y2265)</f>
        <v/>
      </c>
      <c r="AD2265" s="5">
        <f>IF(D2265="","",AA2265-Z2265)</f>
        <v/>
      </c>
      <c r="AG2265">
        <f>IF(D2265="","",N(AG2264)+IF(MATCH(D2265,$D$2:$D$3001,0)=ROW()-1,1,0))</f>
        <v/>
      </c>
    </row>
    <row r="2266">
      <c r="Y2266" s="5">
        <f>IF(D2266="","",X2266*IF(AND(ISNUMBER(AC2266),AC2266&gt;0,AC2266&lt;1),AC2266*100,AC2266)/100)</f>
        <v/>
      </c>
      <c r="Z2266" s="5">
        <f>IF(D2266="","",AB2266*AA2266/100)</f>
        <v/>
      </c>
      <c r="AA2266" s="5">
        <f>IF(D2266="","",X2266-Y2266)</f>
        <v/>
      </c>
      <c r="AD2266" s="5">
        <f>IF(D2266="","",AA2266-Z2266)</f>
        <v/>
      </c>
      <c r="AG2266">
        <f>IF(D2266="","",N(AG2265)+IF(MATCH(D2266,$D$2:$D$3001,0)=ROW()-1,1,0))</f>
        <v/>
      </c>
    </row>
    <row r="2267">
      <c r="Y2267" s="5">
        <f>IF(D2267="","",X2267*IF(AND(ISNUMBER(AC2267),AC2267&gt;0,AC2267&lt;1),AC2267*100,AC2267)/100)</f>
        <v/>
      </c>
      <c r="Z2267" s="5">
        <f>IF(D2267="","",AB2267*AA2267/100)</f>
        <v/>
      </c>
      <c r="AA2267" s="5">
        <f>IF(D2267="","",X2267-Y2267)</f>
        <v/>
      </c>
      <c r="AD2267" s="5">
        <f>IF(D2267="","",AA2267-Z2267)</f>
        <v/>
      </c>
      <c r="AG2267">
        <f>IF(D2267="","",N(AG2266)+IF(MATCH(D2267,$D$2:$D$3001,0)=ROW()-1,1,0))</f>
        <v/>
      </c>
    </row>
    <row r="2268">
      <c r="Y2268" s="5">
        <f>IF(D2268="","",X2268*IF(AND(ISNUMBER(AC2268),AC2268&gt;0,AC2268&lt;1),AC2268*100,AC2268)/100)</f>
        <v/>
      </c>
      <c r="Z2268" s="5">
        <f>IF(D2268="","",AB2268*AA2268/100)</f>
        <v/>
      </c>
      <c r="AA2268" s="5">
        <f>IF(D2268="","",X2268-Y2268)</f>
        <v/>
      </c>
      <c r="AD2268" s="5">
        <f>IF(D2268="","",AA2268-Z2268)</f>
        <v/>
      </c>
      <c r="AG2268">
        <f>IF(D2268="","",N(AG2267)+IF(MATCH(D2268,$D$2:$D$3001,0)=ROW()-1,1,0))</f>
        <v/>
      </c>
    </row>
    <row r="2269">
      <c r="Y2269" s="5">
        <f>IF(D2269="","",X2269*IF(AND(ISNUMBER(AC2269),AC2269&gt;0,AC2269&lt;1),AC2269*100,AC2269)/100)</f>
        <v/>
      </c>
      <c r="Z2269" s="5">
        <f>IF(D2269="","",AB2269*AA2269/100)</f>
        <v/>
      </c>
      <c r="AA2269" s="5">
        <f>IF(D2269="","",X2269-Y2269)</f>
        <v/>
      </c>
      <c r="AD2269" s="5">
        <f>IF(D2269="","",AA2269-Z2269)</f>
        <v/>
      </c>
      <c r="AG2269">
        <f>IF(D2269="","",N(AG2268)+IF(MATCH(D2269,$D$2:$D$3001,0)=ROW()-1,1,0))</f>
        <v/>
      </c>
    </row>
    <row r="2270">
      <c r="Y2270" s="5">
        <f>IF(D2270="","",X2270*IF(AND(ISNUMBER(AC2270),AC2270&gt;0,AC2270&lt;1),AC2270*100,AC2270)/100)</f>
        <v/>
      </c>
      <c r="Z2270" s="5">
        <f>IF(D2270="","",AB2270*AA2270/100)</f>
        <v/>
      </c>
      <c r="AA2270" s="5">
        <f>IF(D2270="","",X2270-Y2270)</f>
        <v/>
      </c>
      <c r="AD2270" s="5">
        <f>IF(D2270="","",AA2270-Z2270)</f>
        <v/>
      </c>
      <c r="AG2270">
        <f>IF(D2270="","",N(AG2269)+IF(MATCH(D2270,$D$2:$D$3001,0)=ROW()-1,1,0))</f>
        <v/>
      </c>
    </row>
    <row r="2271">
      <c r="Y2271" s="5">
        <f>IF(D2271="","",X2271*IF(AND(ISNUMBER(AC2271),AC2271&gt;0,AC2271&lt;1),AC2271*100,AC2271)/100)</f>
        <v/>
      </c>
      <c r="Z2271" s="5">
        <f>IF(D2271="","",AB2271*AA2271/100)</f>
        <v/>
      </c>
      <c r="AA2271" s="5">
        <f>IF(D2271="","",X2271-Y2271)</f>
        <v/>
      </c>
      <c r="AD2271" s="5">
        <f>IF(D2271="","",AA2271-Z2271)</f>
        <v/>
      </c>
      <c r="AG2271">
        <f>IF(D2271="","",N(AG2270)+IF(MATCH(D2271,$D$2:$D$3001,0)=ROW()-1,1,0))</f>
        <v/>
      </c>
    </row>
    <row r="2272">
      <c r="Y2272" s="5">
        <f>IF(D2272="","",X2272*IF(AND(ISNUMBER(AC2272),AC2272&gt;0,AC2272&lt;1),AC2272*100,AC2272)/100)</f>
        <v/>
      </c>
      <c r="Z2272" s="5">
        <f>IF(D2272="","",AB2272*AA2272/100)</f>
        <v/>
      </c>
      <c r="AA2272" s="5">
        <f>IF(D2272="","",X2272-Y2272)</f>
        <v/>
      </c>
      <c r="AD2272" s="5">
        <f>IF(D2272="","",AA2272-Z2272)</f>
        <v/>
      </c>
      <c r="AG2272">
        <f>IF(D2272="","",N(AG2271)+IF(MATCH(D2272,$D$2:$D$3001,0)=ROW()-1,1,0))</f>
        <v/>
      </c>
    </row>
    <row r="2273">
      <c r="Y2273" s="5">
        <f>IF(D2273="","",X2273*IF(AND(ISNUMBER(AC2273),AC2273&gt;0,AC2273&lt;1),AC2273*100,AC2273)/100)</f>
        <v/>
      </c>
      <c r="Z2273" s="5">
        <f>IF(D2273="","",AB2273*AA2273/100)</f>
        <v/>
      </c>
      <c r="AA2273" s="5">
        <f>IF(D2273="","",X2273-Y2273)</f>
        <v/>
      </c>
      <c r="AD2273" s="5">
        <f>IF(D2273="","",AA2273-Z2273)</f>
        <v/>
      </c>
      <c r="AG2273">
        <f>IF(D2273="","",N(AG2272)+IF(MATCH(D2273,$D$2:$D$3001,0)=ROW()-1,1,0))</f>
        <v/>
      </c>
    </row>
    <row r="2274">
      <c r="Y2274" s="5">
        <f>IF(D2274="","",X2274*IF(AND(ISNUMBER(AC2274),AC2274&gt;0,AC2274&lt;1),AC2274*100,AC2274)/100)</f>
        <v/>
      </c>
      <c r="Z2274" s="5">
        <f>IF(D2274="","",AB2274*AA2274/100)</f>
        <v/>
      </c>
      <c r="AA2274" s="5">
        <f>IF(D2274="","",X2274-Y2274)</f>
        <v/>
      </c>
      <c r="AD2274" s="5">
        <f>IF(D2274="","",AA2274-Z2274)</f>
        <v/>
      </c>
      <c r="AG2274">
        <f>IF(D2274="","",N(AG2273)+IF(MATCH(D2274,$D$2:$D$3001,0)=ROW()-1,1,0))</f>
        <v/>
      </c>
    </row>
    <row r="2275">
      <c r="Y2275" s="5">
        <f>IF(D2275="","",X2275*IF(AND(ISNUMBER(AC2275),AC2275&gt;0,AC2275&lt;1),AC2275*100,AC2275)/100)</f>
        <v/>
      </c>
      <c r="Z2275" s="5">
        <f>IF(D2275="","",AB2275*AA2275/100)</f>
        <v/>
      </c>
      <c r="AA2275" s="5">
        <f>IF(D2275="","",X2275-Y2275)</f>
        <v/>
      </c>
      <c r="AD2275" s="5">
        <f>IF(D2275="","",AA2275-Z2275)</f>
        <v/>
      </c>
      <c r="AG2275">
        <f>IF(D2275="","",N(AG2274)+IF(MATCH(D2275,$D$2:$D$3001,0)=ROW()-1,1,0))</f>
        <v/>
      </c>
    </row>
    <row r="2276">
      <c r="Y2276" s="5">
        <f>IF(D2276="","",X2276*IF(AND(ISNUMBER(AC2276),AC2276&gt;0,AC2276&lt;1),AC2276*100,AC2276)/100)</f>
        <v/>
      </c>
      <c r="Z2276" s="5">
        <f>IF(D2276="","",AB2276*AA2276/100)</f>
        <v/>
      </c>
      <c r="AA2276" s="5">
        <f>IF(D2276="","",X2276-Y2276)</f>
        <v/>
      </c>
      <c r="AD2276" s="5">
        <f>IF(D2276="","",AA2276-Z2276)</f>
        <v/>
      </c>
      <c r="AG2276">
        <f>IF(D2276="","",N(AG2275)+IF(MATCH(D2276,$D$2:$D$3001,0)=ROW()-1,1,0))</f>
        <v/>
      </c>
    </row>
    <row r="2277">
      <c r="Y2277" s="5">
        <f>IF(D2277="","",X2277*IF(AND(ISNUMBER(AC2277),AC2277&gt;0,AC2277&lt;1),AC2277*100,AC2277)/100)</f>
        <v/>
      </c>
      <c r="Z2277" s="5">
        <f>IF(D2277="","",AB2277*AA2277/100)</f>
        <v/>
      </c>
      <c r="AA2277" s="5">
        <f>IF(D2277="","",X2277-Y2277)</f>
        <v/>
      </c>
      <c r="AD2277" s="5">
        <f>IF(D2277="","",AA2277-Z2277)</f>
        <v/>
      </c>
      <c r="AG2277">
        <f>IF(D2277="","",N(AG2276)+IF(MATCH(D2277,$D$2:$D$3001,0)=ROW()-1,1,0))</f>
        <v/>
      </c>
    </row>
    <row r="2278">
      <c r="Y2278" s="5">
        <f>IF(D2278="","",X2278*IF(AND(ISNUMBER(AC2278),AC2278&gt;0,AC2278&lt;1),AC2278*100,AC2278)/100)</f>
        <v/>
      </c>
      <c r="Z2278" s="5">
        <f>IF(D2278="","",AB2278*AA2278/100)</f>
        <v/>
      </c>
      <c r="AA2278" s="5">
        <f>IF(D2278="","",X2278-Y2278)</f>
        <v/>
      </c>
      <c r="AD2278" s="5">
        <f>IF(D2278="","",AA2278-Z2278)</f>
        <v/>
      </c>
      <c r="AG2278">
        <f>IF(D2278="","",N(AG2277)+IF(MATCH(D2278,$D$2:$D$3001,0)=ROW()-1,1,0))</f>
        <v/>
      </c>
    </row>
    <row r="2279">
      <c r="Y2279" s="5">
        <f>IF(D2279="","",X2279*IF(AND(ISNUMBER(AC2279),AC2279&gt;0,AC2279&lt;1),AC2279*100,AC2279)/100)</f>
        <v/>
      </c>
      <c r="Z2279" s="5">
        <f>IF(D2279="","",AB2279*AA2279/100)</f>
        <v/>
      </c>
      <c r="AA2279" s="5">
        <f>IF(D2279="","",X2279-Y2279)</f>
        <v/>
      </c>
      <c r="AD2279" s="5">
        <f>IF(D2279="","",AA2279-Z2279)</f>
        <v/>
      </c>
      <c r="AG2279">
        <f>IF(D2279="","",N(AG2278)+IF(MATCH(D2279,$D$2:$D$3001,0)=ROW()-1,1,0))</f>
        <v/>
      </c>
    </row>
    <row r="2280">
      <c r="Y2280" s="5">
        <f>IF(D2280="","",X2280*IF(AND(ISNUMBER(AC2280),AC2280&gt;0,AC2280&lt;1),AC2280*100,AC2280)/100)</f>
        <v/>
      </c>
      <c r="Z2280" s="5">
        <f>IF(D2280="","",AB2280*AA2280/100)</f>
        <v/>
      </c>
      <c r="AA2280" s="5">
        <f>IF(D2280="","",X2280-Y2280)</f>
        <v/>
      </c>
      <c r="AD2280" s="5">
        <f>IF(D2280="","",AA2280-Z2280)</f>
        <v/>
      </c>
      <c r="AG2280">
        <f>IF(D2280="","",N(AG2279)+IF(MATCH(D2280,$D$2:$D$3001,0)=ROW()-1,1,0))</f>
        <v/>
      </c>
    </row>
    <row r="2281">
      <c r="Y2281" s="5">
        <f>IF(D2281="","",X2281*IF(AND(ISNUMBER(AC2281),AC2281&gt;0,AC2281&lt;1),AC2281*100,AC2281)/100)</f>
        <v/>
      </c>
      <c r="Z2281" s="5">
        <f>IF(D2281="","",AB2281*AA2281/100)</f>
        <v/>
      </c>
      <c r="AA2281" s="5">
        <f>IF(D2281="","",X2281-Y2281)</f>
        <v/>
      </c>
      <c r="AD2281" s="5">
        <f>IF(D2281="","",AA2281-Z2281)</f>
        <v/>
      </c>
      <c r="AG2281">
        <f>IF(D2281="","",N(AG2280)+IF(MATCH(D2281,$D$2:$D$3001,0)=ROW()-1,1,0))</f>
        <v/>
      </c>
    </row>
    <row r="2282">
      <c r="Y2282" s="5">
        <f>IF(D2282="","",X2282*IF(AND(ISNUMBER(AC2282),AC2282&gt;0,AC2282&lt;1),AC2282*100,AC2282)/100)</f>
        <v/>
      </c>
      <c r="Z2282" s="5">
        <f>IF(D2282="","",AB2282*AA2282/100)</f>
        <v/>
      </c>
      <c r="AA2282" s="5">
        <f>IF(D2282="","",X2282-Y2282)</f>
        <v/>
      </c>
      <c r="AD2282" s="5">
        <f>IF(D2282="","",AA2282-Z2282)</f>
        <v/>
      </c>
      <c r="AG2282">
        <f>IF(D2282="","",N(AG2281)+IF(MATCH(D2282,$D$2:$D$3001,0)=ROW()-1,1,0))</f>
        <v/>
      </c>
    </row>
    <row r="2283">
      <c r="Y2283" s="5">
        <f>IF(D2283="","",X2283*IF(AND(ISNUMBER(AC2283),AC2283&gt;0,AC2283&lt;1),AC2283*100,AC2283)/100)</f>
        <v/>
      </c>
      <c r="Z2283" s="5">
        <f>IF(D2283="","",AB2283*AA2283/100)</f>
        <v/>
      </c>
      <c r="AA2283" s="5">
        <f>IF(D2283="","",X2283-Y2283)</f>
        <v/>
      </c>
      <c r="AD2283" s="5">
        <f>IF(D2283="","",AA2283-Z2283)</f>
        <v/>
      </c>
      <c r="AG2283">
        <f>IF(D2283="","",N(AG2282)+IF(MATCH(D2283,$D$2:$D$3001,0)=ROW()-1,1,0))</f>
        <v/>
      </c>
    </row>
    <row r="2284">
      <c r="Y2284" s="5">
        <f>IF(D2284="","",X2284*IF(AND(ISNUMBER(AC2284),AC2284&gt;0,AC2284&lt;1),AC2284*100,AC2284)/100)</f>
        <v/>
      </c>
      <c r="Z2284" s="5">
        <f>IF(D2284="","",AB2284*AA2284/100)</f>
        <v/>
      </c>
      <c r="AA2284" s="5">
        <f>IF(D2284="","",X2284-Y2284)</f>
        <v/>
      </c>
      <c r="AD2284" s="5">
        <f>IF(D2284="","",AA2284-Z2284)</f>
        <v/>
      </c>
      <c r="AG2284">
        <f>IF(D2284="","",N(AG2283)+IF(MATCH(D2284,$D$2:$D$3001,0)=ROW()-1,1,0))</f>
        <v/>
      </c>
    </row>
    <row r="2285">
      <c r="Y2285" s="5">
        <f>IF(D2285="","",X2285*IF(AND(ISNUMBER(AC2285),AC2285&gt;0,AC2285&lt;1),AC2285*100,AC2285)/100)</f>
        <v/>
      </c>
      <c r="Z2285" s="5">
        <f>IF(D2285="","",AB2285*AA2285/100)</f>
        <v/>
      </c>
      <c r="AA2285" s="5">
        <f>IF(D2285="","",X2285-Y2285)</f>
        <v/>
      </c>
      <c r="AD2285" s="5">
        <f>IF(D2285="","",AA2285-Z2285)</f>
        <v/>
      </c>
      <c r="AG2285">
        <f>IF(D2285="","",N(AG2284)+IF(MATCH(D2285,$D$2:$D$3001,0)=ROW()-1,1,0))</f>
        <v/>
      </c>
    </row>
    <row r="2286">
      <c r="Y2286" s="5">
        <f>IF(D2286="","",X2286*IF(AND(ISNUMBER(AC2286),AC2286&gt;0,AC2286&lt;1),AC2286*100,AC2286)/100)</f>
        <v/>
      </c>
      <c r="Z2286" s="5">
        <f>IF(D2286="","",AB2286*AA2286/100)</f>
        <v/>
      </c>
      <c r="AA2286" s="5">
        <f>IF(D2286="","",X2286-Y2286)</f>
        <v/>
      </c>
      <c r="AD2286" s="5">
        <f>IF(D2286="","",AA2286-Z2286)</f>
        <v/>
      </c>
      <c r="AG2286">
        <f>IF(D2286="","",N(AG2285)+IF(MATCH(D2286,$D$2:$D$3001,0)=ROW()-1,1,0))</f>
        <v/>
      </c>
    </row>
    <row r="2287">
      <c r="Y2287" s="5">
        <f>IF(D2287="","",X2287*IF(AND(ISNUMBER(AC2287),AC2287&gt;0,AC2287&lt;1),AC2287*100,AC2287)/100)</f>
        <v/>
      </c>
      <c r="Z2287" s="5">
        <f>IF(D2287="","",AB2287*AA2287/100)</f>
        <v/>
      </c>
      <c r="AA2287" s="5">
        <f>IF(D2287="","",X2287-Y2287)</f>
        <v/>
      </c>
      <c r="AD2287" s="5">
        <f>IF(D2287="","",AA2287-Z2287)</f>
        <v/>
      </c>
      <c r="AG2287">
        <f>IF(D2287="","",N(AG2286)+IF(MATCH(D2287,$D$2:$D$3001,0)=ROW()-1,1,0))</f>
        <v/>
      </c>
    </row>
    <row r="2288">
      <c r="Y2288" s="5">
        <f>IF(D2288="","",X2288*IF(AND(ISNUMBER(AC2288),AC2288&gt;0,AC2288&lt;1),AC2288*100,AC2288)/100)</f>
        <v/>
      </c>
      <c r="Z2288" s="5">
        <f>IF(D2288="","",AB2288*AA2288/100)</f>
        <v/>
      </c>
      <c r="AA2288" s="5">
        <f>IF(D2288="","",X2288-Y2288)</f>
        <v/>
      </c>
      <c r="AD2288" s="5">
        <f>IF(D2288="","",AA2288-Z2288)</f>
        <v/>
      </c>
      <c r="AG2288">
        <f>IF(D2288="","",N(AG2287)+IF(MATCH(D2288,$D$2:$D$3001,0)=ROW()-1,1,0))</f>
        <v/>
      </c>
    </row>
    <row r="2289">
      <c r="Y2289" s="5">
        <f>IF(D2289="","",X2289*IF(AND(ISNUMBER(AC2289),AC2289&gt;0,AC2289&lt;1),AC2289*100,AC2289)/100)</f>
        <v/>
      </c>
      <c r="Z2289" s="5">
        <f>IF(D2289="","",AB2289*AA2289/100)</f>
        <v/>
      </c>
      <c r="AA2289" s="5">
        <f>IF(D2289="","",X2289-Y2289)</f>
        <v/>
      </c>
      <c r="AD2289" s="5">
        <f>IF(D2289="","",AA2289-Z2289)</f>
        <v/>
      </c>
      <c r="AG2289">
        <f>IF(D2289="","",N(AG2288)+IF(MATCH(D2289,$D$2:$D$3001,0)=ROW()-1,1,0))</f>
        <v/>
      </c>
    </row>
    <row r="2290">
      <c r="Y2290" s="5">
        <f>IF(D2290="","",X2290*IF(AND(ISNUMBER(AC2290),AC2290&gt;0,AC2290&lt;1),AC2290*100,AC2290)/100)</f>
        <v/>
      </c>
      <c r="Z2290" s="5">
        <f>IF(D2290="","",AB2290*AA2290/100)</f>
        <v/>
      </c>
      <c r="AA2290" s="5">
        <f>IF(D2290="","",X2290-Y2290)</f>
        <v/>
      </c>
      <c r="AD2290" s="5">
        <f>IF(D2290="","",AA2290-Z2290)</f>
        <v/>
      </c>
      <c r="AG2290">
        <f>IF(D2290="","",N(AG2289)+IF(MATCH(D2290,$D$2:$D$3001,0)=ROW()-1,1,0))</f>
        <v/>
      </c>
    </row>
    <row r="2291">
      <c r="Y2291" s="5">
        <f>IF(D2291="","",X2291*IF(AND(ISNUMBER(AC2291),AC2291&gt;0,AC2291&lt;1),AC2291*100,AC2291)/100)</f>
        <v/>
      </c>
      <c r="Z2291" s="5">
        <f>IF(D2291="","",AB2291*AA2291/100)</f>
        <v/>
      </c>
      <c r="AA2291" s="5">
        <f>IF(D2291="","",X2291-Y2291)</f>
        <v/>
      </c>
      <c r="AD2291" s="5">
        <f>IF(D2291="","",AA2291-Z2291)</f>
        <v/>
      </c>
      <c r="AG2291">
        <f>IF(D2291="","",N(AG2290)+IF(MATCH(D2291,$D$2:$D$3001,0)=ROW()-1,1,0))</f>
        <v/>
      </c>
    </row>
    <row r="2292">
      <c r="Y2292" s="5">
        <f>IF(D2292="","",X2292*IF(AND(ISNUMBER(AC2292),AC2292&gt;0,AC2292&lt;1),AC2292*100,AC2292)/100)</f>
        <v/>
      </c>
      <c r="Z2292" s="5">
        <f>IF(D2292="","",AB2292*AA2292/100)</f>
        <v/>
      </c>
      <c r="AA2292" s="5">
        <f>IF(D2292="","",X2292-Y2292)</f>
        <v/>
      </c>
      <c r="AD2292" s="5">
        <f>IF(D2292="","",AA2292-Z2292)</f>
        <v/>
      </c>
      <c r="AG2292">
        <f>IF(D2292="","",N(AG2291)+IF(MATCH(D2292,$D$2:$D$3001,0)=ROW()-1,1,0))</f>
        <v/>
      </c>
    </row>
    <row r="2293">
      <c r="Y2293" s="5">
        <f>IF(D2293="","",X2293*IF(AND(ISNUMBER(AC2293),AC2293&gt;0,AC2293&lt;1),AC2293*100,AC2293)/100)</f>
        <v/>
      </c>
      <c r="Z2293" s="5">
        <f>IF(D2293="","",AB2293*AA2293/100)</f>
        <v/>
      </c>
      <c r="AA2293" s="5">
        <f>IF(D2293="","",X2293-Y2293)</f>
        <v/>
      </c>
      <c r="AD2293" s="5">
        <f>IF(D2293="","",AA2293-Z2293)</f>
        <v/>
      </c>
      <c r="AG2293">
        <f>IF(D2293="","",N(AG2292)+IF(MATCH(D2293,$D$2:$D$3001,0)=ROW()-1,1,0))</f>
        <v/>
      </c>
    </row>
    <row r="2294">
      <c r="Y2294" s="5">
        <f>IF(D2294="","",X2294*IF(AND(ISNUMBER(AC2294),AC2294&gt;0,AC2294&lt;1),AC2294*100,AC2294)/100)</f>
        <v/>
      </c>
      <c r="Z2294" s="5">
        <f>IF(D2294="","",AB2294*AA2294/100)</f>
        <v/>
      </c>
      <c r="AA2294" s="5">
        <f>IF(D2294="","",X2294-Y2294)</f>
        <v/>
      </c>
      <c r="AD2294" s="5">
        <f>IF(D2294="","",AA2294-Z2294)</f>
        <v/>
      </c>
      <c r="AG2294">
        <f>IF(D2294="","",N(AG2293)+IF(MATCH(D2294,$D$2:$D$3001,0)=ROW()-1,1,0))</f>
        <v/>
      </c>
    </row>
    <row r="2295">
      <c r="Y2295" s="5">
        <f>IF(D2295="","",X2295*IF(AND(ISNUMBER(AC2295),AC2295&gt;0,AC2295&lt;1),AC2295*100,AC2295)/100)</f>
        <v/>
      </c>
      <c r="Z2295" s="5">
        <f>IF(D2295="","",AB2295*AA2295/100)</f>
        <v/>
      </c>
      <c r="AA2295" s="5">
        <f>IF(D2295="","",X2295-Y2295)</f>
        <v/>
      </c>
      <c r="AD2295" s="5">
        <f>IF(D2295="","",AA2295-Z2295)</f>
        <v/>
      </c>
      <c r="AG2295">
        <f>IF(D2295="","",N(AG2294)+IF(MATCH(D2295,$D$2:$D$3001,0)=ROW()-1,1,0))</f>
        <v/>
      </c>
    </row>
    <row r="2296">
      <c r="Y2296" s="5">
        <f>IF(D2296="","",X2296*IF(AND(ISNUMBER(AC2296),AC2296&gt;0,AC2296&lt;1),AC2296*100,AC2296)/100)</f>
        <v/>
      </c>
      <c r="Z2296" s="5">
        <f>IF(D2296="","",AB2296*AA2296/100)</f>
        <v/>
      </c>
      <c r="AA2296" s="5">
        <f>IF(D2296="","",X2296-Y2296)</f>
        <v/>
      </c>
      <c r="AD2296" s="5">
        <f>IF(D2296="","",AA2296-Z2296)</f>
        <v/>
      </c>
      <c r="AG2296">
        <f>IF(D2296="","",N(AG2295)+IF(MATCH(D2296,$D$2:$D$3001,0)=ROW()-1,1,0))</f>
        <v/>
      </c>
    </row>
    <row r="2297">
      <c r="Y2297" s="5">
        <f>IF(D2297="","",X2297*IF(AND(ISNUMBER(AC2297),AC2297&gt;0,AC2297&lt;1),AC2297*100,AC2297)/100)</f>
        <v/>
      </c>
      <c r="Z2297" s="5">
        <f>IF(D2297="","",AB2297*AA2297/100)</f>
        <v/>
      </c>
      <c r="AA2297" s="5">
        <f>IF(D2297="","",X2297-Y2297)</f>
        <v/>
      </c>
      <c r="AD2297" s="5">
        <f>IF(D2297="","",AA2297-Z2297)</f>
        <v/>
      </c>
      <c r="AG2297">
        <f>IF(D2297="","",N(AG2296)+IF(MATCH(D2297,$D$2:$D$3001,0)=ROW()-1,1,0))</f>
        <v/>
      </c>
    </row>
    <row r="2298">
      <c r="Y2298" s="5">
        <f>IF(D2298="","",X2298*IF(AND(ISNUMBER(AC2298),AC2298&gt;0,AC2298&lt;1),AC2298*100,AC2298)/100)</f>
        <v/>
      </c>
      <c r="Z2298" s="5">
        <f>IF(D2298="","",AB2298*AA2298/100)</f>
        <v/>
      </c>
      <c r="AA2298" s="5">
        <f>IF(D2298="","",X2298-Y2298)</f>
        <v/>
      </c>
      <c r="AD2298" s="5">
        <f>IF(D2298="","",AA2298-Z2298)</f>
        <v/>
      </c>
      <c r="AG2298">
        <f>IF(D2298="","",N(AG2297)+IF(MATCH(D2298,$D$2:$D$3001,0)=ROW()-1,1,0))</f>
        <v/>
      </c>
    </row>
    <row r="2299">
      <c r="Y2299" s="5">
        <f>IF(D2299="","",X2299*IF(AND(ISNUMBER(AC2299),AC2299&gt;0,AC2299&lt;1),AC2299*100,AC2299)/100)</f>
        <v/>
      </c>
      <c r="Z2299" s="5">
        <f>IF(D2299="","",AB2299*AA2299/100)</f>
        <v/>
      </c>
      <c r="AA2299" s="5">
        <f>IF(D2299="","",X2299-Y2299)</f>
        <v/>
      </c>
      <c r="AD2299" s="5">
        <f>IF(D2299="","",AA2299-Z2299)</f>
        <v/>
      </c>
      <c r="AG2299">
        <f>IF(D2299="","",N(AG2298)+IF(MATCH(D2299,$D$2:$D$3001,0)=ROW()-1,1,0))</f>
        <v/>
      </c>
    </row>
    <row r="2300">
      <c r="Y2300" s="5">
        <f>IF(D2300="","",X2300*IF(AND(ISNUMBER(AC2300),AC2300&gt;0,AC2300&lt;1),AC2300*100,AC2300)/100)</f>
        <v/>
      </c>
      <c r="Z2300" s="5">
        <f>IF(D2300="","",AB2300*AA2300/100)</f>
        <v/>
      </c>
      <c r="AA2300" s="5">
        <f>IF(D2300="","",X2300-Y2300)</f>
        <v/>
      </c>
      <c r="AD2300" s="5">
        <f>IF(D2300="","",AA2300-Z2300)</f>
        <v/>
      </c>
      <c r="AG2300">
        <f>IF(D2300="","",N(AG2299)+IF(MATCH(D2300,$D$2:$D$3001,0)=ROW()-1,1,0))</f>
        <v/>
      </c>
    </row>
    <row r="2301">
      <c r="Y2301" s="5">
        <f>IF(D2301="","",X2301*IF(AND(ISNUMBER(AC2301),AC2301&gt;0,AC2301&lt;1),AC2301*100,AC2301)/100)</f>
        <v/>
      </c>
      <c r="Z2301" s="5">
        <f>IF(D2301="","",AB2301*AA2301/100)</f>
        <v/>
      </c>
      <c r="AA2301" s="5">
        <f>IF(D2301="","",X2301-Y2301)</f>
        <v/>
      </c>
      <c r="AD2301" s="5">
        <f>IF(D2301="","",AA2301-Z2301)</f>
        <v/>
      </c>
      <c r="AG2301">
        <f>IF(D2301="","",N(AG2300)+IF(MATCH(D2301,$D$2:$D$3001,0)=ROW()-1,1,0))</f>
        <v/>
      </c>
    </row>
    <row r="2302">
      <c r="Y2302" s="5">
        <f>IF(D2302="","",X2302*IF(AND(ISNUMBER(AC2302),AC2302&gt;0,AC2302&lt;1),AC2302*100,AC2302)/100)</f>
        <v/>
      </c>
      <c r="Z2302" s="5">
        <f>IF(D2302="","",AB2302*AA2302/100)</f>
        <v/>
      </c>
      <c r="AA2302" s="5">
        <f>IF(D2302="","",X2302-Y2302)</f>
        <v/>
      </c>
      <c r="AD2302" s="5">
        <f>IF(D2302="","",AA2302-Z2302)</f>
        <v/>
      </c>
      <c r="AG2302">
        <f>IF(D2302="","",N(AG2301)+IF(MATCH(D2302,$D$2:$D$3001,0)=ROW()-1,1,0))</f>
        <v/>
      </c>
    </row>
    <row r="2303">
      <c r="Y2303" s="5">
        <f>IF(D2303="","",X2303*IF(AND(ISNUMBER(AC2303),AC2303&gt;0,AC2303&lt;1),AC2303*100,AC2303)/100)</f>
        <v/>
      </c>
      <c r="Z2303" s="5">
        <f>IF(D2303="","",AB2303*AA2303/100)</f>
        <v/>
      </c>
      <c r="AA2303" s="5">
        <f>IF(D2303="","",X2303-Y2303)</f>
        <v/>
      </c>
      <c r="AD2303" s="5">
        <f>IF(D2303="","",AA2303-Z2303)</f>
        <v/>
      </c>
      <c r="AG2303">
        <f>IF(D2303="","",N(AG2302)+IF(MATCH(D2303,$D$2:$D$3001,0)=ROW()-1,1,0))</f>
        <v/>
      </c>
    </row>
    <row r="2304">
      <c r="Y2304" s="5">
        <f>IF(D2304="","",X2304*IF(AND(ISNUMBER(AC2304),AC2304&gt;0,AC2304&lt;1),AC2304*100,AC2304)/100)</f>
        <v/>
      </c>
      <c r="Z2304" s="5">
        <f>IF(D2304="","",AB2304*AA2304/100)</f>
        <v/>
      </c>
      <c r="AA2304" s="5">
        <f>IF(D2304="","",X2304-Y2304)</f>
        <v/>
      </c>
      <c r="AD2304" s="5">
        <f>IF(D2304="","",AA2304-Z2304)</f>
        <v/>
      </c>
      <c r="AG2304">
        <f>IF(D2304="","",N(AG2303)+IF(MATCH(D2304,$D$2:$D$3001,0)=ROW()-1,1,0))</f>
        <v/>
      </c>
    </row>
    <row r="2305">
      <c r="Y2305" s="5">
        <f>IF(D2305="","",X2305*IF(AND(ISNUMBER(AC2305),AC2305&gt;0,AC2305&lt;1),AC2305*100,AC2305)/100)</f>
        <v/>
      </c>
      <c r="Z2305" s="5">
        <f>IF(D2305="","",AB2305*AA2305/100)</f>
        <v/>
      </c>
      <c r="AA2305" s="5">
        <f>IF(D2305="","",X2305-Y2305)</f>
        <v/>
      </c>
      <c r="AD2305" s="5">
        <f>IF(D2305="","",AA2305-Z2305)</f>
        <v/>
      </c>
      <c r="AG2305">
        <f>IF(D2305="","",N(AG2304)+IF(MATCH(D2305,$D$2:$D$3001,0)=ROW()-1,1,0))</f>
        <v/>
      </c>
    </row>
    <row r="2306">
      <c r="Y2306" s="5">
        <f>IF(D2306="","",X2306*IF(AND(ISNUMBER(AC2306),AC2306&gt;0,AC2306&lt;1),AC2306*100,AC2306)/100)</f>
        <v/>
      </c>
      <c r="Z2306" s="5">
        <f>IF(D2306="","",AB2306*AA2306/100)</f>
        <v/>
      </c>
      <c r="AA2306" s="5">
        <f>IF(D2306="","",X2306-Y2306)</f>
        <v/>
      </c>
      <c r="AD2306" s="5">
        <f>IF(D2306="","",AA2306-Z2306)</f>
        <v/>
      </c>
      <c r="AG2306">
        <f>IF(D2306="","",N(AG2305)+IF(MATCH(D2306,$D$2:$D$3001,0)=ROW()-1,1,0))</f>
        <v/>
      </c>
    </row>
    <row r="2307">
      <c r="Y2307" s="5">
        <f>IF(D2307="","",X2307*IF(AND(ISNUMBER(AC2307),AC2307&gt;0,AC2307&lt;1),AC2307*100,AC2307)/100)</f>
        <v/>
      </c>
      <c r="Z2307" s="5">
        <f>IF(D2307="","",AB2307*AA2307/100)</f>
        <v/>
      </c>
      <c r="AA2307" s="5">
        <f>IF(D2307="","",X2307-Y2307)</f>
        <v/>
      </c>
      <c r="AD2307" s="5">
        <f>IF(D2307="","",AA2307-Z2307)</f>
        <v/>
      </c>
      <c r="AG2307">
        <f>IF(D2307="","",N(AG2306)+IF(MATCH(D2307,$D$2:$D$3001,0)=ROW()-1,1,0))</f>
        <v/>
      </c>
    </row>
    <row r="2308">
      <c r="Y2308" s="5">
        <f>IF(D2308="","",X2308*IF(AND(ISNUMBER(AC2308),AC2308&gt;0,AC2308&lt;1),AC2308*100,AC2308)/100)</f>
        <v/>
      </c>
      <c r="Z2308" s="5">
        <f>IF(D2308="","",AB2308*AA2308/100)</f>
        <v/>
      </c>
      <c r="AA2308" s="5">
        <f>IF(D2308="","",X2308-Y2308)</f>
        <v/>
      </c>
      <c r="AD2308" s="5">
        <f>IF(D2308="","",AA2308-Z2308)</f>
        <v/>
      </c>
      <c r="AG2308">
        <f>IF(D2308="","",N(AG2307)+IF(MATCH(D2308,$D$2:$D$3001,0)=ROW()-1,1,0))</f>
        <v/>
      </c>
    </row>
    <row r="2309">
      <c r="Y2309" s="5">
        <f>IF(D2309="","",X2309*IF(AND(ISNUMBER(AC2309),AC2309&gt;0,AC2309&lt;1),AC2309*100,AC2309)/100)</f>
        <v/>
      </c>
      <c r="Z2309" s="5">
        <f>IF(D2309="","",AB2309*AA2309/100)</f>
        <v/>
      </c>
      <c r="AA2309" s="5">
        <f>IF(D2309="","",X2309-Y2309)</f>
        <v/>
      </c>
      <c r="AD2309" s="5">
        <f>IF(D2309="","",AA2309-Z2309)</f>
        <v/>
      </c>
      <c r="AG2309">
        <f>IF(D2309="","",N(AG2308)+IF(MATCH(D2309,$D$2:$D$3001,0)=ROW()-1,1,0))</f>
        <v/>
      </c>
    </row>
    <row r="2310">
      <c r="Y2310" s="5">
        <f>IF(D2310="","",X2310*IF(AND(ISNUMBER(AC2310),AC2310&gt;0,AC2310&lt;1),AC2310*100,AC2310)/100)</f>
        <v/>
      </c>
      <c r="Z2310" s="5">
        <f>IF(D2310="","",AB2310*AA2310/100)</f>
        <v/>
      </c>
      <c r="AA2310" s="5">
        <f>IF(D2310="","",X2310-Y2310)</f>
        <v/>
      </c>
      <c r="AD2310" s="5">
        <f>IF(D2310="","",AA2310-Z2310)</f>
        <v/>
      </c>
      <c r="AG2310">
        <f>IF(D2310="","",N(AG2309)+IF(MATCH(D2310,$D$2:$D$3001,0)=ROW()-1,1,0))</f>
        <v/>
      </c>
    </row>
    <row r="2311">
      <c r="Y2311" s="5">
        <f>IF(D2311="","",X2311*IF(AND(ISNUMBER(AC2311),AC2311&gt;0,AC2311&lt;1),AC2311*100,AC2311)/100)</f>
        <v/>
      </c>
      <c r="Z2311" s="5">
        <f>IF(D2311="","",AB2311*AA2311/100)</f>
        <v/>
      </c>
      <c r="AA2311" s="5">
        <f>IF(D2311="","",X2311-Y2311)</f>
        <v/>
      </c>
      <c r="AD2311" s="5">
        <f>IF(D2311="","",AA2311-Z2311)</f>
        <v/>
      </c>
      <c r="AG2311">
        <f>IF(D2311="","",N(AG2310)+IF(MATCH(D2311,$D$2:$D$3001,0)=ROW()-1,1,0))</f>
        <v/>
      </c>
    </row>
    <row r="2312">
      <c r="Y2312" s="5">
        <f>IF(D2312="","",X2312*IF(AND(ISNUMBER(AC2312),AC2312&gt;0,AC2312&lt;1),AC2312*100,AC2312)/100)</f>
        <v/>
      </c>
      <c r="Z2312" s="5">
        <f>IF(D2312="","",AB2312*AA2312/100)</f>
        <v/>
      </c>
      <c r="AA2312" s="5">
        <f>IF(D2312="","",X2312-Y2312)</f>
        <v/>
      </c>
      <c r="AD2312" s="5">
        <f>IF(D2312="","",AA2312-Z2312)</f>
        <v/>
      </c>
      <c r="AG2312">
        <f>IF(D2312="","",N(AG2311)+IF(MATCH(D2312,$D$2:$D$3001,0)=ROW()-1,1,0))</f>
        <v/>
      </c>
    </row>
    <row r="2313">
      <c r="Y2313" s="5">
        <f>IF(D2313="","",X2313*IF(AND(ISNUMBER(AC2313),AC2313&gt;0,AC2313&lt;1),AC2313*100,AC2313)/100)</f>
        <v/>
      </c>
      <c r="Z2313" s="5">
        <f>IF(D2313="","",AB2313*AA2313/100)</f>
        <v/>
      </c>
      <c r="AA2313" s="5">
        <f>IF(D2313="","",X2313-Y2313)</f>
        <v/>
      </c>
      <c r="AD2313" s="5">
        <f>IF(D2313="","",AA2313-Z2313)</f>
        <v/>
      </c>
      <c r="AG2313">
        <f>IF(D2313="","",N(AG2312)+IF(MATCH(D2313,$D$2:$D$3001,0)=ROW()-1,1,0))</f>
        <v/>
      </c>
    </row>
    <row r="2314">
      <c r="Y2314" s="5">
        <f>IF(D2314="","",X2314*IF(AND(ISNUMBER(AC2314),AC2314&gt;0,AC2314&lt;1),AC2314*100,AC2314)/100)</f>
        <v/>
      </c>
      <c r="Z2314" s="5">
        <f>IF(D2314="","",AB2314*AA2314/100)</f>
        <v/>
      </c>
      <c r="AA2314" s="5">
        <f>IF(D2314="","",X2314-Y2314)</f>
        <v/>
      </c>
      <c r="AD2314" s="5">
        <f>IF(D2314="","",AA2314-Z2314)</f>
        <v/>
      </c>
      <c r="AG2314">
        <f>IF(D2314="","",N(AG2313)+IF(MATCH(D2314,$D$2:$D$3001,0)=ROW()-1,1,0))</f>
        <v/>
      </c>
    </row>
    <row r="2315">
      <c r="Y2315" s="5">
        <f>IF(D2315="","",X2315*IF(AND(ISNUMBER(AC2315),AC2315&gt;0,AC2315&lt;1),AC2315*100,AC2315)/100)</f>
        <v/>
      </c>
      <c r="Z2315" s="5">
        <f>IF(D2315="","",AB2315*AA2315/100)</f>
        <v/>
      </c>
      <c r="AA2315" s="5">
        <f>IF(D2315="","",X2315-Y2315)</f>
        <v/>
      </c>
      <c r="AD2315" s="5">
        <f>IF(D2315="","",AA2315-Z2315)</f>
        <v/>
      </c>
      <c r="AG2315">
        <f>IF(D2315="","",N(AG2314)+IF(MATCH(D2315,$D$2:$D$3001,0)=ROW()-1,1,0))</f>
        <v/>
      </c>
    </row>
    <row r="2316">
      <c r="Y2316" s="5">
        <f>IF(D2316="","",X2316*IF(AND(ISNUMBER(AC2316),AC2316&gt;0,AC2316&lt;1),AC2316*100,AC2316)/100)</f>
        <v/>
      </c>
      <c r="Z2316" s="5">
        <f>IF(D2316="","",AB2316*AA2316/100)</f>
        <v/>
      </c>
      <c r="AA2316" s="5">
        <f>IF(D2316="","",X2316-Y2316)</f>
        <v/>
      </c>
      <c r="AD2316" s="5">
        <f>IF(D2316="","",AA2316-Z2316)</f>
        <v/>
      </c>
      <c r="AG2316">
        <f>IF(D2316="","",N(AG2315)+IF(MATCH(D2316,$D$2:$D$3001,0)=ROW()-1,1,0))</f>
        <v/>
      </c>
    </row>
    <row r="2317">
      <c r="Y2317" s="5">
        <f>IF(D2317="","",X2317*IF(AND(ISNUMBER(AC2317),AC2317&gt;0,AC2317&lt;1),AC2317*100,AC2317)/100)</f>
        <v/>
      </c>
      <c r="Z2317" s="5">
        <f>IF(D2317="","",AB2317*AA2317/100)</f>
        <v/>
      </c>
      <c r="AA2317" s="5">
        <f>IF(D2317="","",X2317-Y2317)</f>
        <v/>
      </c>
      <c r="AD2317" s="5">
        <f>IF(D2317="","",AA2317-Z2317)</f>
        <v/>
      </c>
      <c r="AG2317">
        <f>IF(D2317="","",N(AG2316)+IF(MATCH(D2317,$D$2:$D$3001,0)=ROW()-1,1,0))</f>
        <v/>
      </c>
    </row>
    <row r="2318">
      <c r="Y2318" s="5">
        <f>IF(D2318="","",X2318*IF(AND(ISNUMBER(AC2318),AC2318&gt;0,AC2318&lt;1),AC2318*100,AC2318)/100)</f>
        <v/>
      </c>
      <c r="Z2318" s="5">
        <f>IF(D2318="","",AB2318*AA2318/100)</f>
        <v/>
      </c>
      <c r="AA2318" s="5">
        <f>IF(D2318="","",X2318-Y2318)</f>
        <v/>
      </c>
      <c r="AD2318" s="5">
        <f>IF(D2318="","",AA2318-Z2318)</f>
        <v/>
      </c>
      <c r="AG2318">
        <f>IF(D2318="","",N(AG2317)+IF(MATCH(D2318,$D$2:$D$3001,0)=ROW()-1,1,0))</f>
        <v/>
      </c>
    </row>
    <row r="2319">
      <c r="Y2319" s="5">
        <f>IF(D2319="","",X2319*IF(AND(ISNUMBER(AC2319),AC2319&gt;0,AC2319&lt;1),AC2319*100,AC2319)/100)</f>
        <v/>
      </c>
      <c r="Z2319" s="5">
        <f>IF(D2319="","",AB2319*AA2319/100)</f>
        <v/>
      </c>
      <c r="AA2319" s="5">
        <f>IF(D2319="","",X2319-Y2319)</f>
        <v/>
      </c>
      <c r="AD2319" s="5">
        <f>IF(D2319="","",AA2319-Z2319)</f>
        <v/>
      </c>
      <c r="AG2319">
        <f>IF(D2319="","",N(AG2318)+IF(MATCH(D2319,$D$2:$D$3001,0)=ROW()-1,1,0))</f>
        <v/>
      </c>
    </row>
    <row r="2320">
      <c r="Y2320" s="5">
        <f>IF(D2320="","",X2320*IF(AND(ISNUMBER(AC2320),AC2320&gt;0,AC2320&lt;1),AC2320*100,AC2320)/100)</f>
        <v/>
      </c>
      <c r="Z2320" s="5">
        <f>IF(D2320="","",AB2320*AA2320/100)</f>
        <v/>
      </c>
      <c r="AA2320" s="5">
        <f>IF(D2320="","",X2320-Y2320)</f>
        <v/>
      </c>
      <c r="AD2320" s="5">
        <f>IF(D2320="","",AA2320-Z2320)</f>
        <v/>
      </c>
      <c r="AG2320">
        <f>IF(D2320="","",N(AG2319)+IF(MATCH(D2320,$D$2:$D$3001,0)=ROW()-1,1,0))</f>
        <v/>
      </c>
    </row>
    <row r="2321">
      <c r="Y2321" s="5">
        <f>IF(D2321="","",X2321*IF(AND(ISNUMBER(AC2321),AC2321&gt;0,AC2321&lt;1),AC2321*100,AC2321)/100)</f>
        <v/>
      </c>
      <c r="Z2321" s="5">
        <f>IF(D2321="","",AB2321*AA2321/100)</f>
        <v/>
      </c>
      <c r="AA2321" s="5">
        <f>IF(D2321="","",X2321-Y2321)</f>
        <v/>
      </c>
      <c r="AD2321" s="5">
        <f>IF(D2321="","",AA2321-Z2321)</f>
        <v/>
      </c>
      <c r="AG2321">
        <f>IF(D2321="","",N(AG2320)+IF(MATCH(D2321,$D$2:$D$3001,0)=ROW()-1,1,0))</f>
        <v/>
      </c>
    </row>
    <row r="2322">
      <c r="Y2322" s="5">
        <f>IF(D2322="","",X2322*IF(AND(ISNUMBER(AC2322),AC2322&gt;0,AC2322&lt;1),AC2322*100,AC2322)/100)</f>
        <v/>
      </c>
      <c r="Z2322" s="5">
        <f>IF(D2322="","",AB2322*AA2322/100)</f>
        <v/>
      </c>
      <c r="AA2322" s="5">
        <f>IF(D2322="","",X2322-Y2322)</f>
        <v/>
      </c>
      <c r="AD2322" s="5">
        <f>IF(D2322="","",AA2322-Z2322)</f>
        <v/>
      </c>
      <c r="AG2322">
        <f>IF(D2322="","",N(AG2321)+IF(MATCH(D2322,$D$2:$D$3001,0)=ROW()-1,1,0))</f>
        <v/>
      </c>
    </row>
    <row r="2323">
      <c r="Y2323" s="5">
        <f>IF(D2323="","",X2323*IF(AND(ISNUMBER(AC2323),AC2323&gt;0,AC2323&lt;1),AC2323*100,AC2323)/100)</f>
        <v/>
      </c>
      <c r="Z2323" s="5">
        <f>IF(D2323="","",AB2323*AA2323/100)</f>
        <v/>
      </c>
      <c r="AA2323" s="5">
        <f>IF(D2323="","",X2323-Y2323)</f>
        <v/>
      </c>
      <c r="AD2323" s="5">
        <f>IF(D2323="","",AA2323-Z2323)</f>
        <v/>
      </c>
      <c r="AG2323">
        <f>IF(D2323="","",N(AG2322)+IF(MATCH(D2323,$D$2:$D$3001,0)=ROW()-1,1,0))</f>
        <v/>
      </c>
    </row>
    <row r="2324">
      <c r="Y2324" s="5">
        <f>IF(D2324="","",X2324*IF(AND(ISNUMBER(AC2324),AC2324&gt;0,AC2324&lt;1),AC2324*100,AC2324)/100)</f>
        <v/>
      </c>
      <c r="Z2324" s="5">
        <f>IF(D2324="","",AB2324*AA2324/100)</f>
        <v/>
      </c>
      <c r="AA2324" s="5">
        <f>IF(D2324="","",X2324-Y2324)</f>
        <v/>
      </c>
      <c r="AD2324" s="5">
        <f>IF(D2324="","",AA2324-Z2324)</f>
        <v/>
      </c>
      <c r="AG2324">
        <f>IF(D2324="","",N(AG2323)+IF(MATCH(D2324,$D$2:$D$3001,0)=ROW()-1,1,0))</f>
        <v/>
      </c>
    </row>
    <row r="2325">
      <c r="Y2325" s="5">
        <f>IF(D2325="","",X2325*IF(AND(ISNUMBER(AC2325),AC2325&gt;0,AC2325&lt;1),AC2325*100,AC2325)/100)</f>
        <v/>
      </c>
      <c r="Z2325" s="5">
        <f>IF(D2325="","",AB2325*AA2325/100)</f>
        <v/>
      </c>
      <c r="AA2325" s="5">
        <f>IF(D2325="","",X2325-Y2325)</f>
        <v/>
      </c>
      <c r="AD2325" s="5">
        <f>IF(D2325="","",AA2325-Z2325)</f>
        <v/>
      </c>
      <c r="AG2325">
        <f>IF(D2325="","",N(AG2324)+IF(MATCH(D2325,$D$2:$D$3001,0)=ROW()-1,1,0))</f>
        <v/>
      </c>
    </row>
    <row r="2326">
      <c r="Y2326" s="5">
        <f>IF(D2326="","",X2326*IF(AND(ISNUMBER(AC2326),AC2326&gt;0,AC2326&lt;1),AC2326*100,AC2326)/100)</f>
        <v/>
      </c>
      <c r="Z2326" s="5">
        <f>IF(D2326="","",AB2326*AA2326/100)</f>
        <v/>
      </c>
      <c r="AA2326" s="5">
        <f>IF(D2326="","",X2326-Y2326)</f>
        <v/>
      </c>
      <c r="AD2326" s="5">
        <f>IF(D2326="","",AA2326-Z2326)</f>
        <v/>
      </c>
      <c r="AG2326">
        <f>IF(D2326="","",N(AG2325)+IF(MATCH(D2326,$D$2:$D$3001,0)=ROW()-1,1,0))</f>
        <v/>
      </c>
    </row>
    <row r="2327">
      <c r="Y2327" s="5">
        <f>IF(D2327="","",X2327*IF(AND(ISNUMBER(AC2327),AC2327&gt;0,AC2327&lt;1),AC2327*100,AC2327)/100)</f>
        <v/>
      </c>
      <c r="Z2327" s="5">
        <f>IF(D2327="","",AB2327*AA2327/100)</f>
        <v/>
      </c>
      <c r="AA2327" s="5">
        <f>IF(D2327="","",X2327-Y2327)</f>
        <v/>
      </c>
      <c r="AD2327" s="5">
        <f>IF(D2327="","",AA2327-Z2327)</f>
        <v/>
      </c>
      <c r="AG2327">
        <f>IF(D2327="","",N(AG2326)+IF(MATCH(D2327,$D$2:$D$3001,0)=ROW()-1,1,0))</f>
        <v/>
      </c>
    </row>
    <row r="2328">
      <c r="Y2328" s="5">
        <f>IF(D2328="","",X2328*IF(AND(ISNUMBER(AC2328),AC2328&gt;0,AC2328&lt;1),AC2328*100,AC2328)/100)</f>
        <v/>
      </c>
      <c r="Z2328" s="5">
        <f>IF(D2328="","",AB2328*AA2328/100)</f>
        <v/>
      </c>
      <c r="AA2328" s="5">
        <f>IF(D2328="","",X2328-Y2328)</f>
        <v/>
      </c>
      <c r="AD2328" s="5">
        <f>IF(D2328="","",AA2328-Z2328)</f>
        <v/>
      </c>
      <c r="AG2328">
        <f>IF(D2328="","",N(AG2327)+IF(MATCH(D2328,$D$2:$D$3001,0)=ROW()-1,1,0))</f>
        <v/>
      </c>
    </row>
    <row r="2329">
      <c r="Y2329" s="5">
        <f>IF(D2329="","",X2329*IF(AND(ISNUMBER(AC2329),AC2329&gt;0,AC2329&lt;1),AC2329*100,AC2329)/100)</f>
        <v/>
      </c>
      <c r="Z2329" s="5">
        <f>IF(D2329="","",AB2329*AA2329/100)</f>
        <v/>
      </c>
      <c r="AA2329" s="5">
        <f>IF(D2329="","",X2329-Y2329)</f>
        <v/>
      </c>
      <c r="AD2329" s="5">
        <f>IF(D2329="","",AA2329-Z2329)</f>
        <v/>
      </c>
      <c r="AG2329">
        <f>IF(D2329="","",N(AG2328)+IF(MATCH(D2329,$D$2:$D$3001,0)=ROW()-1,1,0))</f>
        <v/>
      </c>
    </row>
    <row r="2330">
      <c r="Y2330" s="5">
        <f>IF(D2330="","",X2330*IF(AND(ISNUMBER(AC2330),AC2330&gt;0,AC2330&lt;1),AC2330*100,AC2330)/100)</f>
        <v/>
      </c>
      <c r="Z2330" s="5">
        <f>IF(D2330="","",AB2330*AA2330/100)</f>
        <v/>
      </c>
      <c r="AA2330" s="5">
        <f>IF(D2330="","",X2330-Y2330)</f>
        <v/>
      </c>
      <c r="AD2330" s="5">
        <f>IF(D2330="","",AA2330-Z2330)</f>
        <v/>
      </c>
      <c r="AG2330">
        <f>IF(D2330="","",N(AG2329)+IF(MATCH(D2330,$D$2:$D$3001,0)=ROW()-1,1,0))</f>
        <v/>
      </c>
    </row>
    <row r="2331">
      <c r="Y2331" s="5">
        <f>IF(D2331="","",X2331*IF(AND(ISNUMBER(AC2331),AC2331&gt;0,AC2331&lt;1),AC2331*100,AC2331)/100)</f>
        <v/>
      </c>
      <c r="Z2331" s="5">
        <f>IF(D2331="","",AB2331*AA2331/100)</f>
        <v/>
      </c>
      <c r="AA2331" s="5">
        <f>IF(D2331="","",X2331-Y2331)</f>
        <v/>
      </c>
      <c r="AD2331" s="5">
        <f>IF(D2331="","",AA2331-Z2331)</f>
        <v/>
      </c>
      <c r="AG2331">
        <f>IF(D2331="","",N(AG2330)+IF(MATCH(D2331,$D$2:$D$3001,0)=ROW()-1,1,0))</f>
        <v/>
      </c>
    </row>
    <row r="2332">
      <c r="Y2332" s="5">
        <f>IF(D2332="","",X2332*IF(AND(ISNUMBER(AC2332),AC2332&gt;0,AC2332&lt;1),AC2332*100,AC2332)/100)</f>
        <v/>
      </c>
      <c r="Z2332" s="5">
        <f>IF(D2332="","",AB2332*AA2332/100)</f>
        <v/>
      </c>
      <c r="AA2332" s="5">
        <f>IF(D2332="","",X2332-Y2332)</f>
        <v/>
      </c>
      <c r="AD2332" s="5">
        <f>IF(D2332="","",AA2332-Z2332)</f>
        <v/>
      </c>
      <c r="AG2332">
        <f>IF(D2332="","",N(AG2331)+IF(MATCH(D2332,$D$2:$D$3001,0)=ROW()-1,1,0))</f>
        <v/>
      </c>
    </row>
    <row r="2333">
      <c r="Y2333" s="5">
        <f>IF(D2333="","",X2333*IF(AND(ISNUMBER(AC2333),AC2333&gt;0,AC2333&lt;1),AC2333*100,AC2333)/100)</f>
        <v/>
      </c>
      <c r="Z2333" s="5">
        <f>IF(D2333="","",AB2333*AA2333/100)</f>
        <v/>
      </c>
      <c r="AA2333" s="5">
        <f>IF(D2333="","",X2333-Y2333)</f>
        <v/>
      </c>
      <c r="AD2333" s="5">
        <f>IF(D2333="","",AA2333-Z2333)</f>
        <v/>
      </c>
      <c r="AG2333">
        <f>IF(D2333="","",N(AG2332)+IF(MATCH(D2333,$D$2:$D$3001,0)=ROW()-1,1,0))</f>
        <v/>
      </c>
    </row>
    <row r="2334">
      <c r="Y2334" s="5">
        <f>IF(D2334="","",X2334*IF(AND(ISNUMBER(AC2334),AC2334&gt;0,AC2334&lt;1),AC2334*100,AC2334)/100)</f>
        <v/>
      </c>
      <c r="Z2334" s="5">
        <f>IF(D2334="","",AB2334*AA2334/100)</f>
        <v/>
      </c>
      <c r="AA2334" s="5">
        <f>IF(D2334="","",X2334-Y2334)</f>
        <v/>
      </c>
      <c r="AD2334" s="5">
        <f>IF(D2334="","",AA2334-Z2334)</f>
        <v/>
      </c>
      <c r="AG2334">
        <f>IF(D2334="","",N(AG2333)+IF(MATCH(D2334,$D$2:$D$3001,0)=ROW()-1,1,0))</f>
        <v/>
      </c>
    </row>
    <row r="2335">
      <c r="Y2335" s="5">
        <f>IF(D2335="","",X2335*IF(AND(ISNUMBER(AC2335),AC2335&gt;0,AC2335&lt;1),AC2335*100,AC2335)/100)</f>
        <v/>
      </c>
      <c r="Z2335" s="5">
        <f>IF(D2335="","",AB2335*AA2335/100)</f>
        <v/>
      </c>
      <c r="AA2335" s="5">
        <f>IF(D2335="","",X2335-Y2335)</f>
        <v/>
      </c>
      <c r="AD2335" s="5">
        <f>IF(D2335="","",AA2335-Z2335)</f>
        <v/>
      </c>
      <c r="AG2335">
        <f>IF(D2335="","",N(AG2334)+IF(MATCH(D2335,$D$2:$D$3001,0)=ROW()-1,1,0))</f>
        <v/>
      </c>
    </row>
    <row r="2336">
      <c r="Y2336" s="5">
        <f>IF(D2336="","",X2336*IF(AND(ISNUMBER(AC2336),AC2336&gt;0,AC2336&lt;1),AC2336*100,AC2336)/100)</f>
        <v/>
      </c>
      <c r="Z2336" s="5">
        <f>IF(D2336="","",AB2336*AA2336/100)</f>
        <v/>
      </c>
      <c r="AA2336" s="5">
        <f>IF(D2336="","",X2336-Y2336)</f>
        <v/>
      </c>
      <c r="AD2336" s="5">
        <f>IF(D2336="","",AA2336-Z2336)</f>
        <v/>
      </c>
      <c r="AG2336">
        <f>IF(D2336="","",N(AG2335)+IF(MATCH(D2336,$D$2:$D$3001,0)=ROW()-1,1,0))</f>
        <v/>
      </c>
    </row>
    <row r="2337">
      <c r="Y2337" s="5">
        <f>IF(D2337="","",X2337*IF(AND(ISNUMBER(AC2337),AC2337&gt;0,AC2337&lt;1),AC2337*100,AC2337)/100)</f>
        <v/>
      </c>
      <c r="Z2337" s="5">
        <f>IF(D2337="","",AB2337*AA2337/100)</f>
        <v/>
      </c>
      <c r="AA2337" s="5">
        <f>IF(D2337="","",X2337-Y2337)</f>
        <v/>
      </c>
      <c r="AD2337" s="5">
        <f>IF(D2337="","",AA2337-Z2337)</f>
        <v/>
      </c>
      <c r="AG2337">
        <f>IF(D2337="","",N(AG2336)+IF(MATCH(D2337,$D$2:$D$3001,0)=ROW()-1,1,0))</f>
        <v/>
      </c>
    </row>
    <row r="2338">
      <c r="Y2338" s="5">
        <f>IF(D2338="","",X2338*IF(AND(ISNUMBER(AC2338),AC2338&gt;0,AC2338&lt;1),AC2338*100,AC2338)/100)</f>
        <v/>
      </c>
      <c r="Z2338" s="5">
        <f>IF(D2338="","",AB2338*AA2338/100)</f>
        <v/>
      </c>
      <c r="AA2338" s="5">
        <f>IF(D2338="","",X2338-Y2338)</f>
        <v/>
      </c>
      <c r="AD2338" s="5">
        <f>IF(D2338="","",AA2338-Z2338)</f>
        <v/>
      </c>
      <c r="AG2338">
        <f>IF(D2338="","",N(AG2337)+IF(MATCH(D2338,$D$2:$D$3001,0)=ROW()-1,1,0))</f>
        <v/>
      </c>
    </row>
    <row r="2339">
      <c r="Y2339" s="5">
        <f>IF(D2339="","",X2339*IF(AND(ISNUMBER(AC2339),AC2339&gt;0,AC2339&lt;1),AC2339*100,AC2339)/100)</f>
        <v/>
      </c>
      <c r="Z2339" s="5">
        <f>IF(D2339="","",AB2339*AA2339/100)</f>
        <v/>
      </c>
      <c r="AA2339" s="5">
        <f>IF(D2339="","",X2339-Y2339)</f>
        <v/>
      </c>
      <c r="AD2339" s="5">
        <f>IF(D2339="","",AA2339-Z2339)</f>
        <v/>
      </c>
      <c r="AG2339">
        <f>IF(D2339="","",N(AG2338)+IF(MATCH(D2339,$D$2:$D$3001,0)=ROW()-1,1,0))</f>
        <v/>
      </c>
    </row>
    <row r="2340">
      <c r="Y2340" s="5">
        <f>IF(D2340="","",X2340*IF(AND(ISNUMBER(AC2340),AC2340&gt;0,AC2340&lt;1),AC2340*100,AC2340)/100)</f>
        <v/>
      </c>
      <c r="Z2340" s="5">
        <f>IF(D2340="","",AB2340*AA2340/100)</f>
        <v/>
      </c>
      <c r="AA2340" s="5">
        <f>IF(D2340="","",X2340-Y2340)</f>
        <v/>
      </c>
      <c r="AD2340" s="5">
        <f>IF(D2340="","",AA2340-Z2340)</f>
        <v/>
      </c>
      <c r="AG2340">
        <f>IF(D2340="","",N(AG2339)+IF(MATCH(D2340,$D$2:$D$3001,0)=ROW()-1,1,0))</f>
        <v/>
      </c>
    </row>
    <row r="2341">
      <c r="Y2341" s="5">
        <f>IF(D2341="","",X2341*IF(AND(ISNUMBER(AC2341),AC2341&gt;0,AC2341&lt;1),AC2341*100,AC2341)/100)</f>
        <v/>
      </c>
      <c r="Z2341" s="5">
        <f>IF(D2341="","",AB2341*AA2341/100)</f>
        <v/>
      </c>
      <c r="AA2341" s="5">
        <f>IF(D2341="","",X2341-Y2341)</f>
        <v/>
      </c>
      <c r="AD2341" s="5">
        <f>IF(D2341="","",AA2341-Z2341)</f>
        <v/>
      </c>
      <c r="AG2341">
        <f>IF(D2341="","",N(AG2340)+IF(MATCH(D2341,$D$2:$D$3001,0)=ROW()-1,1,0))</f>
        <v/>
      </c>
    </row>
    <row r="2342">
      <c r="Y2342" s="5">
        <f>IF(D2342="","",X2342*IF(AND(ISNUMBER(AC2342),AC2342&gt;0,AC2342&lt;1),AC2342*100,AC2342)/100)</f>
        <v/>
      </c>
      <c r="Z2342" s="5">
        <f>IF(D2342="","",AB2342*AA2342/100)</f>
        <v/>
      </c>
      <c r="AA2342" s="5">
        <f>IF(D2342="","",X2342-Y2342)</f>
        <v/>
      </c>
      <c r="AD2342" s="5">
        <f>IF(D2342="","",AA2342-Z2342)</f>
        <v/>
      </c>
      <c r="AG2342">
        <f>IF(D2342="","",N(AG2341)+IF(MATCH(D2342,$D$2:$D$3001,0)=ROW()-1,1,0))</f>
        <v/>
      </c>
    </row>
    <row r="2343">
      <c r="Y2343" s="5">
        <f>IF(D2343="","",X2343*IF(AND(ISNUMBER(AC2343),AC2343&gt;0,AC2343&lt;1),AC2343*100,AC2343)/100)</f>
        <v/>
      </c>
      <c r="Z2343" s="5">
        <f>IF(D2343="","",AB2343*AA2343/100)</f>
        <v/>
      </c>
      <c r="AA2343" s="5">
        <f>IF(D2343="","",X2343-Y2343)</f>
        <v/>
      </c>
      <c r="AD2343" s="5">
        <f>IF(D2343="","",AA2343-Z2343)</f>
        <v/>
      </c>
      <c r="AG2343">
        <f>IF(D2343="","",N(AG2342)+IF(MATCH(D2343,$D$2:$D$3001,0)=ROW()-1,1,0))</f>
        <v/>
      </c>
    </row>
    <row r="2344">
      <c r="Y2344" s="5">
        <f>IF(D2344="","",X2344*IF(AND(ISNUMBER(AC2344),AC2344&gt;0,AC2344&lt;1),AC2344*100,AC2344)/100)</f>
        <v/>
      </c>
      <c r="Z2344" s="5">
        <f>IF(D2344="","",AB2344*AA2344/100)</f>
        <v/>
      </c>
      <c r="AA2344" s="5">
        <f>IF(D2344="","",X2344-Y2344)</f>
        <v/>
      </c>
      <c r="AD2344" s="5">
        <f>IF(D2344="","",AA2344-Z2344)</f>
        <v/>
      </c>
      <c r="AG2344">
        <f>IF(D2344="","",N(AG2343)+IF(MATCH(D2344,$D$2:$D$3001,0)=ROW()-1,1,0))</f>
        <v/>
      </c>
    </row>
    <row r="2345">
      <c r="Y2345" s="5">
        <f>IF(D2345="","",X2345*IF(AND(ISNUMBER(AC2345),AC2345&gt;0,AC2345&lt;1),AC2345*100,AC2345)/100)</f>
        <v/>
      </c>
      <c r="Z2345" s="5">
        <f>IF(D2345="","",AB2345*AA2345/100)</f>
        <v/>
      </c>
      <c r="AA2345" s="5">
        <f>IF(D2345="","",X2345-Y2345)</f>
        <v/>
      </c>
      <c r="AD2345" s="5">
        <f>IF(D2345="","",AA2345-Z2345)</f>
        <v/>
      </c>
      <c r="AG2345">
        <f>IF(D2345="","",N(AG2344)+IF(MATCH(D2345,$D$2:$D$3001,0)=ROW()-1,1,0))</f>
        <v/>
      </c>
    </row>
    <row r="2346">
      <c r="Y2346" s="5">
        <f>IF(D2346="","",X2346*IF(AND(ISNUMBER(AC2346),AC2346&gt;0,AC2346&lt;1),AC2346*100,AC2346)/100)</f>
        <v/>
      </c>
      <c r="Z2346" s="5">
        <f>IF(D2346="","",AB2346*AA2346/100)</f>
        <v/>
      </c>
      <c r="AA2346" s="5">
        <f>IF(D2346="","",X2346-Y2346)</f>
        <v/>
      </c>
      <c r="AD2346" s="5">
        <f>IF(D2346="","",AA2346-Z2346)</f>
        <v/>
      </c>
      <c r="AG2346">
        <f>IF(D2346="","",N(AG2345)+IF(MATCH(D2346,$D$2:$D$3001,0)=ROW()-1,1,0))</f>
        <v/>
      </c>
    </row>
    <row r="2347">
      <c r="Y2347" s="5">
        <f>IF(D2347="","",X2347*IF(AND(ISNUMBER(AC2347),AC2347&gt;0,AC2347&lt;1),AC2347*100,AC2347)/100)</f>
        <v/>
      </c>
      <c r="Z2347" s="5">
        <f>IF(D2347="","",AB2347*AA2347/100)</f>
        <v/>
      </c>
      <c r="AA2347" s="5">
        <f>IF(D2347="","",X2347-Y2347)</f>
        <v/>
      </c>
      <c r="AD2347" s="5">
        <f>IF(D2347="","",AA2347-Z2347)</f>
        <v/>
      </c>
      <c r="AG2347">
        <f>IF(D2347="","",N(AG2346)+IF(MATCH(D2347,$D$2:$D$3001,0)=ROW()-1,1,0))</f>
        <v/>
      </c>
    </row>
    <row r="2348">
      <c r="Y2348" s="5">
        <f>IF(D2348="","",X2348*IF(AND(ISNUMBER(AC2348),AC2348&gt;0,AC2348&lt;1),AC2348*100,AC2348)/100)</f>
        <v/>
      </c>
      <c r="Z2348" s="5">
        <f>IF(D2348="","",AB2348*AA2348/100)</f>
        <v/>
      </c>
      <c r="AA2348" s="5">
        <f>IF(D2348="","",X2348-Y2348)</f>
        <v/>
      </c>
      <c r="AD2348" s="5">
        <f>IF(D2348="","",AA2348-Z2348)</f>
        <v/>
      </c>
      <c r="AG2348">
        <f>IF(D2348="","",N(AG2347)+IF(MATCH(D2348,$D$2:$D$3001,0)=ROW()-1,1,0))</f>
        <v/>
      </c>
    </row>
    <row r="2349">
      <c r="Y2349" s="5">
        <f>IF(D2349="","",X2349*IF(AND(ISNUMBER(AC2349),AC2349&gt;0,AC2349&lt;1),AC2349*100,AC2349)/100)</f>
        <v/>
      </c>
      <c r="Z2349" s="5">
        <f>IF(D2349="","",AB2349*AA2349/100)</f>
        <v/>
      </c>
      <c r="AA2349" s="5">
        <f>IF(D2349="","",X2349-Y2349)</f>
        <v/>
      </c>
      <c r="AD2349" s="5">
        <f>IF(D2349="","",AA2349-Z2349)</f>
        <v/>
      </c>
      <c r="AG2349">
        <f>IF(D2349="","",N(AG2348)+IF(MATCH(D2349,$D$2:$D$3001,0)=ROW()-1,1,0))</f>
        <v/>
      </c>
    </row>
    <row r="2350">
      <c r="Y2350" s="5">
        <f>IF(D2350="","",X2350*IF(AND(ISNUMBER(AC2350),AC2350&gt;0,AC2350&lt;1),AC2350*100,AC2350)/100)</f>
        <v/>
      </c>
      <c r="Z2350" s="5">
        <f>IF(D2350="","",AB2350*AA2350/100)</f>
        <v/>
      </c>
      <c r="AA2350" s="5">
        <f>IF(D2350="","",X2350-Y2350)</f>
        <v/>
      </c>
      <c r="AD2350" s="5">
        <f>IF(D2350="","",AA2350-Z2350)</f>
        <v/>
      </c>
      <c r="AG2350">
        <f>IF(D2350="","",N(AG2349)+IF(MATCH(D2350,$D$2:$D$3001,0)=ROW()-1,1,0))</f>
        <v/>
      </c>
    </row>
    <row r="2351">
      <c r="Y2351" s="5">
        <f>IF(D2351="","",X2351*IF(AND(ISNUMBER(AC2351),AC2351&gt;0,AC2351&lt;1),AC2351*100,AC2351)/100)</f>
        <v/>
      </c>
      <c r="Z2351" s="5">
        <f>IF(D2351="","",AB2351*AA2351/100)</f>
        <v/>
      </c>
      <c r="AA2351" s="5">
        <f>IF(D2351="","",X2351-Y2351)</f>
        <v/>
      </c>
      <c r="AD2351" s="5">
        <f>IF(D2351="","",AA2351-Z2351)</f>
        <v/>
      </c>
      <c r="AG2351">
        <f>IF(D2351="","",N(AG2350)+IF(MATCH(D2351,$D$2:$D$3001,0)=ROW()-1,1,0))</f>
        <v/>
      </c>
    </row>
    <row r="2352">
      <c r="Y2352" s="5">
        <f>IF(D2352="","",X2352*IF(AND(ISNUMBER(AC2352),AC2352&gt;0,AC2352&lt;1),AC2352*100,AC2352)/100)</f>
        <v/>
      </c>
      <c r="Z2352" s="5">
        <f>IF(D2352="","",AB2352*AA2352/100)</f>
        <v/>
      </c>
      <c r="AA2352" s="5">
        <f>IF(D2352="","",X2352-Y2352)</f>
        <v/>
      </c>
      <c r="AD2352" s="5">
        <f>IF(D2352="","",AA2352-Z2352)</f>
        <v/>
      </c>
      <c r="AG2352">
        <f>IF(D2352="","",N(AG2351)+IF(MATCH(D2352,$D$2:$D$3001,0)=ROW()-1,1,0))</f>
        <v/>
      </c>
    </row>
    <row r="2353">
      <c r="Y2353" s="5">
        <f>IF(D2353="","",X2353*IF(AND(ISNUMBER(AC2353),AC2353&gt;0,AC2353&lt;1),AC2353*100,AC2353)/100)</f>
        <v/>
      </c>
      <c r="Z2353" s="5">
        <f>IF(D2353="","",AB2353*AA2353/100)</f>
        <v/>
      </c>
      <c r="AA2353" s="5">
        <f>IF(D2353="","",X2353-Y2353)</f>
        <v/>
      </c>
      <c r="AD2353" s="5">
        <f>IF(D2353="","",AA2353-Z2353)</f>
        <v/>
      </c>
      <c r="AG2353">
        <f>IF(D2353="","",N(AG2352)+IF(MATCH(D2353,$D$2:$D$3001,0)=ROW()-1,1,0))</f>
        <v/>
      </c>
    </row>
    <row r="2354">
      <c r="Y2354" s="5">
        <f>IF(D2354="","",X2354*IF(AND(ISNUMBER(AC2354),AC2354&gt;0,AC2354&lt;1),AC2354*100,AC2354)/100)</f>
        <v/>
      </c>
      <c r="Z2354" s="5">
        <f>IF(D2354="","",AB2354*AA2354/100)</f>
        <v/>
      </c>
      <c r="AA2354" s="5">
        <f>IF(D2354="","",X2354-Y2354)</f>
        <v/>
      </c>
      <c r="AD2354" s="5">
        <f>IF(D2354="","",AA2354-Z2354)</f>
        <v/>
      </c>
      <c r="AG2354">
        <f>IF(D2354="","",N(AG2353)+IF(MATCH(D2354,$D$2:$D$3001,0)=ROW()-1,1,0))</f>
        <v/>
      </c>
    </row>
    <row r="2355">
      <c r="Y2355" s="5">
        <f>IF(D2355="","",X2355*IF(AND(ISNUMBER(AC2355),AC2355&gt;0,AC2355&lt;1),AC2355*100,AC2355)/100)</f>
        <v/>
      </c>
      <c r="Z2355" s="5">
        <f>IF(D2355="","",AB2355*AA2355/100)</f>
        <v/>
      </c>
      <c r="AA2355" s="5">
        <f>IF(D2355="","",X2355-Y2355)</f>
        <v/>
      </c>
      <c r="AD2355" s="5">
        <f>IF(D2355="","",AA2355-Z2355)</f>
        <v/>
      </c>
      <c r="AG2355">
        <f>IF(D2355="","",N(AG2354)+IF(MATCH(D2355,$D$2:$D$3001,0)=ROW()-1,1,0))</f>
        <v/>
      </c>
    </row>
    <row r="2356">
      <c r="Y2356" s="5">
        <f>IF(D2356="","",X2356*IF(AND(ISNUMBER(AC2356),AC2356&gt;0,AC2356&lt;1),AC2356*100,AC2356)/100)</f>
        <v/>
      </c>
      <c r="Z2356" s="5">
        <f>IF(D2356="","",AB2356*AA2356/100)</f>
        <v/>
      </c>
      <c r="AA2356" s="5">
        <f>IF(D2356="","",X2356-Y2356)</f>
        <v/>
      </c>
      <c r="AD2356" s="5">
        <f>IF(D2356="","",AA2356-Z2356)</f>
        <v/>
      </c>
      <c r="AG2356">
        <f>IF(D2356="","",N(AG2355)+IF(MATCH(D2356,$D$2:$D$3001,0)=ROW()-1,1,0))</f>
        <v/>
      </c>
    </row>
    <row r="2357">
      <c r="Y2357" s="5">
        <f>IF(D2357="","",X2357*IF(AND(ISNUMBER(AC2357),AC2357&gt;0,AC2357&lt;1),AC2357*100,AC2357)/100)</f>
        <v/>
      </c>
      <c r="Z2357" s="5">
        <f>IF(D2357="","",AB2357*AA2357/100)</f>
        <v/>
      </c>
      <c r="AA2357" s="5">
        <f>IF(D2357="","",X2357-Y2357)</f>
        <v/>
      </c>
      <c r="AD2357" s="5">
        <f>IF(D2357="","",AA2357-Z2357)</f>
        <v/>
      </c>
      <c r="AG2357">
        <f>IF(D2357="","",N(AG2356)+IF(MATCH(D2357,$D$2:$D$3001,0)=ROW()-1,1,0))</f>
        <v/>
      </c>
    </row>
    <row r="2358">
      <c r="Y2358" s="5">
        <f>IF(D2358="","",X2358*IF(AND(ISNUMBER(AC2358),AC2358&gt;0,AC2358&lt;1),AC2358*100,AC2358)/100)</f>
        <v/>
      </c>
      <c r="Z2358" s="5">
        <f>IF(D2358="","",AB2358*AA2358/100)</f>
        <v/>
      </c>
      <c r="AA2358" s="5">
        <f>IF(D2358="","",X2358-Y2358)</f>
        <v/>
      </c>
      <c r="AD2358" s="5">
        <f>IF(D2358="","",AA2358-Z2358)</f>
        <v/>
      </c>
      <c r="AG2358">
        <f>IF(D2358="","",N(AG2357)+IF(MATCH(D2358,$D$2:$D$3001,0)=ROW()-1,1,0))</f>
        <v/>
      </c>
    </row>
    <row r="2359">
      <c r="Y2359" s="5">
        <f>IF(D2359="","",X2359*IF(AND(ISNUMBER(AC2359),AC2359&gt;0,AC2359&lt;1),AC2359*100,AC2359)/100)</f>
        <v/>
      </c>
      <c r="Z2359" s="5">
        <f>IF(D2359="","",AB2359*AA2359/100)</f>
        <v/>
      </c>
      <c r="AA2359" s="5">
        <f>IF(D2359="","",X2359-Y2359)</f>
        <v/>
      </c>
      <c r="AD2359" s="5">
        <f>IF(D2359="","",AA2359-Z2359)</f>
        <v/>
      </c>
      <c r="AG2359">
        <f>IF(D2359="","",N(AG2358)+IF(MATCH(D2359,$D$2:$D$3001,0)=ROW()-1,1,0))</f>
        <v/>
      </c>
    </row>
    <row r="2360">
      <c r="Y2360" s="5">
        <f>IF(D2360="","",X2360*IF(AND(ISNUMBER(AC2360),AC2360&gt;0,AC2360&lt;1),AC2360*100,AC2360)/100)</f>
        <v/>
      </c>
      <c r="Z2360" s="5">
        <f>IF(D2360="","",AB2360*AA2360/100)</f>
        <v/>
      </c>
      <c r="AA2360" s="5">
        <f>IF(D2360="","",X2360-Y2360)</f>
        <v/>
      </c>
      <c r="AD2360" s="5">
        <f>IF(D2360="","",AA2360-Z2360)</f>
        <v/>
      </c>
      <c r="AG2360">
        <f>IF(D2360="","",N(AG2359)+IF(MATCH(D2360,$D$2:$D$3001,0)=ROW()-1,1,0))</f>
        <v/>
      </c>
    </row>
    <row r="2361">
      <c r="Y2361" s="5">
        <f>IF(D2361="","",X2361*IF(AND(ISNUMBER(AC2361),AC2361&gt;0,AC2361&lt;1),AC2361*100,AC2361)/100)</f>
        <v/>
      </c>
      <c r="Z2361" s="5">
        <f>IF(D2361="","",AB2361*AA2361/100)</f>
        <v/>
      </c>
      <c r="AA2361" s="5">
        <f>IF(D2361="","",X2361-Y2361)</f>
        <v/>
      </c>
      <c r="AD2361" s="5">
        <f>IF(D2361="","",AA2361-Z2361)</f>
        <v/>
      </c>
      <c r="AG2361">
        <f>IF(D2361="","",N(AG2360)+IF(MATCH(D2361,$D$2:$D$3001,0)=ROW()-1,1,0))</f>
        <v/>
      </c>
    </row>
    <row r="2362">
      <c r="Y2362" s="5">
        <f>IF(D2362="","",X2362*IF(AND(ISNUMBER(AC2362),AC2362&gt;0,AC2362&lt;1),AC2362*100,AC2362)/100)</f>
        <v/>
      </c>
      <c r="Z2362" s="5">
        <f>IF(D2362="","",AB2362*AA2362/100)</f>
        <v/>
      </c>
      <c r="AA2362" s="5">
        <f>IF(D2362="","",X2362-Y2362)</f>
        <v/>
      </c>
      <c r="AD2362" s="5">
        <f>IF(D2362="","",AA2362-Z2362)</f>
        <v/>
      </c>
      <c r="AG2362">
        <f>IF(D2362="","",N(AG2361)+IF(MATCH(D2362,$D$2:$D$3001,0)=ROW()-1,1,0))</f>
        <v/>
      </c>
    </row>
    <row r="2363">
      <c r="Y2363" s="5">
        <f>IF(D2363="","",X2363*IF(AND(ISNUMBER(AC2363),AC2363&gt;0,AC2363&lt;1),AC2363*100,AC2363)/100)</f>
        <v/>
      </c>
      <c r="Z2363" s="5">
        <f>IF(D2363="","",AB2363*AA2363/100)</f>
        <v/>
      </c>
      <c r="AA2363" s="5">
        <f>IF(D2363="","",X2363-Y2363)</f>
        <v/>
      </c>
      <c r="AD2363" s="5">
        <f>IF(D2363="","",AA2363-Z2363)</f>
        <v/>
      </c>
      <c r="AG2363">
        <f>IF(D2363="","",N(AG2362)+IF(MATCH(D2363,$D$2:$D$3001,0)=ROW()-1,1,0))</f>
        <v/>
      </c>
    </row>
    <row r="2364">
      <c r="Y2364" s="5">
        <f>IF(D2364="","",X2364*IF(AND(ISNUMBER(AC2364),AC2364&gt;0,AC2364&lt;1),AC2364*100,AC2364)/100)</f>
        <v/>
      </c>
      <c r="Z2364" s="5">
        <f>IF(D2364="","",AB2364*AA2364/100)</f>
        <v/>
      </c>
      <c r="AA2364" s="5">
        <f>IF(D2364="","",X2364-Y2364)</f>
        <v/>
      </c>
      <c r="AD2364" s="5">
        <f>IF(D2364="","",AA2364-Z2364)</f>
        <v/>
      </c>
      <c r="AG2364">
        <f>IF(D2364="","",N(AG2363)+IF(MATCH(D2364,$D$2:$D$3001,0)=ROW()-1,1,0))</f>
        <v/>
      </c>
    </row>
    <row r="2365">
      <c r="Y2365" s="5">
        <f>IF(D2365="","",X2365*IF(AND(ISNUMBER(AC2365),AC2365&gt;0,AC2365&lt;1),AC2365*100,AC2365)/100)</f>
        <v/>
      </c>
      <c r="Z2365" s="5">
        <f>IF(D2365="","",AB2365*AA2365/100)</f>
        <v/>
      </c>
      <c r="AA2365" s="5">
        <f>IF(D2365="","",X2365-Y2365)</f>
        <v/>
      </c>
      <c r="AD2365" s="5">
        <f>IF(D2365="","",AA2365-Z2365)</f>
        <v/>
      </c>
      <c r="AG2365">
        <f>IF(D2365="","",N(AG2364)+IF(MATCH(D2365,$D$2:$D$3001,0)=ROW()-1,1,0))</f>
        <v/>
      </c>
    </row>
    <row r="2366">
      <c r="Y2366" s="5">
        <f>IF(D2366="","",X2366*IF(AND(ISNUMBER(AC2366),AC2366&gt;0,AC2366&lt;1),AC2366*100,AC2366)/100)</f>
        <v/>
      </c>
      <c r="Z2366" s="5">
        <f>IF(D2366="","",AB2366*AA2366/100)</f>
        <v/>
      </c>
      <c r="AA2366" s="5">
        <f>IF(D2366="","",X2366-Y2366)</f>
        <v/>
      </c>
      <c r="AD2366" s="5">
        <f>IF(D2366="","",AA2366-Z2366)</f>
        <v/>
      </c>
      <c r="AG2366">
        <f>IF(D2366="","",N(AG2365)+IF(MATCH(D2366,$D$2:$D$3001,0)=ROW()-1,1,0))</f>
        <v/>
      </c>
    </row>
    <row r="2367">
      <c r="Y2367" s="5">
        <f>IF(D2367="","",X2367*IF(AND(ISNUMBER(AC2367),AC2367&gt;0,AC2367&lt;1),AC2367*100,AC2367)/100)</f>
        <v/>
      </c>
      <c r="Z2367" s="5">
        <f>IF(D2367="","",AB2367*AA2367/100)</f>
        <v/>
      </c>
      <c r="AA2367" s="5">
        <f>IF(D2367="","",X2367-Y2367)</f>
        <v/>
      </c>
      <c r="AD2367" s="5">
        <f>IF(D2367="","",AA2367-Z2367)</f>
        <v/>
      </c>
      <c r="AG2367">
        <f>IF(D2367="","",N(AG2366)+IF(MATCH(D2367,$D$2:$D$3001,0)=ROW()-1,1,0))</f>
        <v/>
      </c>
    </row>
    <row r="2368">
      <c r="Y2368" s="5">
        <f>IF(D2368="","",X2368*IF(AND(ISNUMBER(AC2368),AC2368&gt;0,AC2368&lt;1),AC2368*100,AC2368)/100)</f>
        <v/>
      </c>
      <c r="Z2368" s="5">
        <f>IF(D2368="","",AB2368*AA2368/100)</f>
        <v/>
      </c>
      <c r="AA2368" s="5">
        <f>IF(D2368="","",X2368-Y2368)</f>
        <v/>
      </c>
      <c r="AD2368" s="5">
        <f>IF(D2368="","",AA2368-Z2368)</f>
        <v/>
      </c>
      <c r="AG2368">
        <f>IF(D2368="","",N(AG2367)+IF(MATCH(D2368,$D$2:$D$3001,0)=ROW()-1,1,0))</f>
        <v/>
      </c>
    </row>
    <row r="2369">
      <c r="Y2369" s="5">
        <f>IF(D2369="","",X2369*IF(AND(ISNUMBER(AC2369),AC2369&gt;0,AC2369&lt;1),AC2369*100,AC2369)/100)</f>
        <v/>
      </c>
      <c r="Z2369" s="5">
        <f>IF(D2369="","",AB2369*AA2369/100)</f>
        <v/>
      </c>
      <c r="AA2369" s="5">
        <f>IF(D2369="","",X2369-Y2369)</f>
        <v/>
      </c>
      <c r="AD2369" s="5">
        <f>IF(D2369="","",AA2369-Z2369)</f>
        <v/>
      </c>
      <c r="AG2369">
        <f>IF(D2369="","",N(AG2368)+IF(MATCH(D2369,$D$2:$D$3001,0)=ROW()-1,1,0))</f>
        <v/>
      </c>
    </row>
    <row r="2370">
      <c r="Y2370" s="5">
        <f>IF(D2370="","",X2370*IF(AND(ISNUMBER(AC2370),AC2370&gt;0,AC2370&lt;1),AC2370*100,AC2370)/100)</f>
        <v/>
      </c>
      <c r="Z2370" s="5">
        <f>IF(D2370="","",AB2370*AA2370/100)</f>
        <v/>
      </c>
      <c r="AA2370" s="5">
        <f>IF(D2370="","",X2370-Y2370)</f>
        <v/>
      </c>
      <c r="AD2370" s="5">
        <f>IF(D2370="","",AA2370-Z2370)</f>
        <v/>
      </c>
      <c r="AG2370">
        <f>IF(D2370="","",N(AG2369)+IF(MATCH(D2370,$D$2:$D$3001,0)=ROW()-1,1,0))</f>
        <v/>
      </c>
    </row>
    <row r="2371">
      <c r="Y2371" s="5">
        <f>IF(D2371="","",X2371*IF(AND(ISNUMBER(AC2371),AC2371&gt;0,AC2371&lt;1),AC2371*100,AC2371)/100)</f>
        <v/>
      </c>
      <c r="Z2371" s="5">
        <f>IF(D2371="","",AB2371*AA2371/100)</f>
        <v/>
      </c>
      <c r="AA2371" s="5">
        <f>IF(D2371="","",X2371-Y2371)</f>
        <v/>
      </c>
      <c r="AD2371" s="5">
        <f>IF(D2371="","",AA2371-Z2371)</f>
        <v/>
      </c>
      <c r="AG2371">
        <f>IF(D2371="","",N(AG2370)+IF(MATCH(D2371,$D$2:$D$3001,0)=ROW()-1,1,0))</f>
        <v/>
      </c>
    </row>
    <row r="2372">
      <c r="Y2372" s="5">
        <f>IF(D2372="","",X2372*IF(AND(ISNUMBER(AC2372),AC2372&gt;0,AC2372&lt;1),AC2372*100,AC2372)/100)</f>
        <v/>
      </c>
      <c r="Z2372" s="5">
        <f>IF(D2372="","",AB2372*AA2372/100)</f>
        <v/>
      </c>
      <c r="AA2372" s="5">
        <f>IF(D2372="","",X2372-Y2372)</f>
        <v/>
      </c>
      <c r="AD2372" s="5">
        <f>IF(D2372="","",AA2372-Z2372)</f>
        <v/>
      </c>
      <c r="AG2372">
        <f>IF(D2372="","",N(AG2371)+IF(MATCH(D2372,$D$2:$D$3001,0)=ROW()-1,1,0))</f>
        <v/>
      </c>
    </row>
    <row r="2373">
      <c r="Y2373" s="5">
        <f>IF(D2373="","",X2373*IF(AND(ISNUMBER(AC2373),AC2373&gt;0,AC2373&lt;1),AC2373*100,AC2373)/100)</f>
        <v/>
      </c>
      <c r="Z2373" s="5">
        <f>IF(D2373="","",AB2373*AA2373/100)</f>
        <v/>
      </c>
      <c r="AA2373" s="5">
        <f>IF(D2373="","",X2373-Y2373)</f>
        <v/>
      </c>
      <c r="AD2373" s="5">
        <f>IF(D2373="","",AA2373-Z2373)</f>
        <v/>
      </c>
      <c r="AG2373">
        <f>IF(D2373="","",N(AG2372)+IF(MATCH(D2373,$D$2:$D$3001,0)=ROW()-1,1,0))</f>
        <v/>
      </c>
    </row>
    <row r="2374">
      <c r="Y2374" s="5">
        <f>IF(D2374="","",X2374*IF(AND(ISNUMBER(AC2374),AC2374&gt;0,AC2374&lt;1),AC2374*100,AC2374)/100)</f>
        <v/>
      </c>
      <c r="Z2374" s="5">
        <f>IF(D2374="","",AB2374*AA2374/100)</f>
        <v/>
      </c>
      <c r="AA2374" s="5">
        <f>IF(D2374="","",X2374-Y2374)</f>
        <v/>
      </c>
      <c r="AD2374" s="5">
        <f>IF(D2374="","",AA2374-Z2374)</f>
        <v/>
      </c>
      <c r="AG2374">
        <f>IF(D2374="","",N(AG2373)+IF(MATCH(D2374,$D$2:$D$3001,0)=ROW()-1,1,0))</f>
        <v/>
      </c>
    </row>
    <row r="2375">
      <c r="Y2375" s="5">
        <f>IF(D2375="","",X2375*IF(AND(ISNUMBER(AC2375),AC2375&gt;0,AC2375&lt;1),AC2375*100,AC2375)/100)</f>
        <v/>
      </c>
      <c r="Z2375" s="5">
        <f>IF(D2375="","",AB2375*AA2375/100)</f>
        <v/>
      </c>
      <c r="AA2375" s="5">
        <f>IF(D2375="","",X2375-Y2375)</f>
        <v/>
      </c>
      <c r="AD2375" s="5">
        <f>IF(D2375="","",AA2375-Z2375)</f>
        <v/>
      </c>
      <c r="AG2375">
        <f>IF(D2375="","",N(AG2374)+IF(MATCH(D2375,$D$2:$D$3001,0)=ROW()-1,1,0))</f>
        <v/>
      </c>
    </row>
    <row r="2376">
      <c r="Y2376" s="5">
        <f>IF(D2376="","",X2376*IF(AND(ISNUMBER(AC2376),AC2376&gt;0,AC2376&lt;1),AC2376*100,AC2376)/100)</f>
        <v/>
      </c>
      <c r="Z2376" s="5">
        <f>IF(D2376="","",AB2376*AA2376/100)</f>
        <v/>
      </c>
      <c r="AA2376" s="5">
        <f>IF(D2376="","",X2376-Y2376)</f>
        <v/>
      </c>
      <c r="AD2376" s="5">
        <f>IF(D2376="","",AA2376-Z2376)</f>
        <v/>
      </c>
      <c r="AG2376">
        <f>IF(D2376="","",N(AG2375)+IF(MATCH(D2376,$D$2:$D$3001,0)=ROW()-1,1,0))</f>
        <v/>
      </c>
    </row>
    <row r="2377">
      <c r="Y2377" s="5">
        <f>IF(D2377="","",X2377*IF(AND(ISNUMBER(AC2377),AC2377&gt;0,AC2377&lt;1),AC2377*100,AC2377)/100)</f>
        <v/>
      </c>
      <c r="Z2377" s="5">
        <f>IF(D2377="","",AB2377*AA2377/100)</f>
        <v/>
      </c>
      <c r="AA2377" s="5">
        <f>IF(D2377="","",X2377-Y2377)</f>
        <v/>
      </c>
      <c r="AD2377" s="5">
        <f>IF(D2377="","",AA2377-Z2377)</f>
        <v/>
      </c>
      <c r="AG2377">
        <f>IF(D2377="","",N(AG2376)+IF(MATCH(D2377,$D$2:$D$3001,0)=ROW()-1,1,0))</f>
        <v/>
      </c>
    </row>
    <row r="2378">
      <c r="Y2378" s="5">
        <f>IF(D2378="","",X2378*IF(AND(ISNUMBER(AC2378),AC2378&gt;0,AC2378&lt;1),AC2378*100,AC2378)/100)</f>
        <v/>
      </c>
      <c r="Z2378" s="5">
        <f>IF(D2378="","",AB2378*AA2378/100)</f>
        <v/>
      </c>
      <c r="AA2378" s="5">
        <f>IF(D2378="","",X2378-Y2378)</f>
        <v/>
      </c>
      <c r="AD2378" s="5">
        <f>IF(D2378="","",AA2378-Z2378)</f>
        <v/>
      </c>
      <c r="AG2378">
        <f>IF(D2378="","",N(AG2377)+IF(MATCH(D2378,$D$2:$D$3001,0)=ROW()-1,1,0))</f>
        <v/>
      </c>
    </row>
    <row r="2379">
      <c r="Y2379" s="5">
        <f>IF(D2379="","",X2379*IF(AND(ISNUMBER(AC2379),AC2379&gt;0,AC2379&lt;1),AC2379*100,AC2379)/100)</f>
        <v/>
      </c>
      <c r="Z2379" s="5">
        <f>IF(D2379="","",AB2379*AA2379/100)</f>
        <v/>
      </c>
      <c r="AA2379" s="5">
        <f>IF(D2379="","",X2379-Y2379)</f>
        <v/>
      </c>
      <c r="AD2379" s="5">
        <f>IF(D2379="","",AA2379-Z2379)</f>
        <v/>
      </c>
      <c r="AG2379">
        <f>IF(D2379="","",N(AG2378)+IF(MATCH(D2379,$D$2:$D$3001,0)=ROW()-1,1,0))</f>
        <v/>
      </c>
    </row>
    <row r="2380">
      <c r="Y2380" s="5">
        <f>IF(D2380="","",X2380*IF(AND(ISNUMBER(AC2380),AC2380&gt;0,AC2380&lt;1),AC2380*100,AC2380)/100)</f>
        <v/>
      </c>
      <c r="Z2380" s="5">
        <f>IF(D2380="","",AB2380*AA2380/100)</f>
        <v/>
      </c>
      <c r="AA2380" s="5">
        <f>IF(D2380="","",X2380-Y2380)</f>
        <v/>
      </c>
      <c r="AD2380" s="5">
        <f>IF(D2380="","",AA2380-Z2380)</f>
        <v/>
      </c>
      <c r="AG2380">
        <f>IF(D2380="","",N(AG2379)+IF(MATCH(D2380,$D$2:$D$3001,0)=ROW()-1,1,0))</f>
        <v/>
      </c>
    </row>
    <row r="2381">
      <c r="Y2381" s="5">
        <f>IF(D2381="","",X2381*IF(AND(ISNUMBER(AC2381),AC2381&gt;0,AC2381&lt;1),AC2381*100,AC2381)/100)</f>
        <v/>
      </c>
      <c r="Z2381" s="5">
        <f>IF(D2381="","",AB2381*AA2381/100)</f>
        <v/>
      </c>
      <c r="AA2381" s="5">
        <f>IF(D2381="","",X2381-Y2381)</f>
        <v/>
      </c>
      <c r="AD2381" s="5">
        <f>IF(D2381="","",AA2381-Z2381)</f>
        <v/>
      </c>
      <c r="AG2381">
        <f>IF(D2381="","",N(AG2380)+IF(MATCH(D2381,$D$2:$D$3001,0)=ROW()-1,1,0))</f>
        <v/>
      </c>
    </row>
    <row r="2382">
      <c r="Y2382" s="5">
        <f>IF(D2382="","",X2382*IF(AND(ISNUMBER(AC2382),AC2382&gt;0,AC2382&lt;1),AC2382*100,AC2382)/100)</f>
        <v/>
      </c>
      <c r="Z2382" s="5">
        <f>IF(D2382="","",AB2382*AA2382/100)</f>
        <v/>
      </c>
      <c r="AA2382" s="5">
        <f>IF(D2382="","",X2382-Y2382)</f>
        <v/>
      </c>
      <c r="AD2382" s="5">
        <f>IF(D2382="","",AA2382-Z2382)</f>
        <v/>
      </c>
      <c r="AG2382">
        <f>IF(D2382="","",N(AG2381)+IF(MATCH(D2382,$D$2:$D$3001,0)=ROW()-1,1,0))</f>
        <v/>
      </c>
    </row>
    <row r="2383">
      <c r="Y2383" s="5">
        <f>IF(D2383="","",X2383*IF(AND(ISNUMBER(AC2383),AC2383&gt;0,AC2383&lt;1),AC2383*100,AC2383)/100)</f>
        <v/>
      </c>
      <c r="Z2383" s="5">
        <f>IF(D2383="","",AB2383*AA2383/100)</f>
        <v/>
      </c>
      <c r="AA2383" s="5">
        <f>IF(D2383="","",X2383-Y2383)</f>
        <v/>
      </c>
      <c r="AD2383" s="5">
        <f>IF(D2383="","",AA2383-Z2383)</f>
        <v/>
      </c>
      <c r="AG2383">
        <f>IF(D2383="","",N(AG2382)+IF(MATCH(D2383,$D$2:$D$3001,0)=ROW()-1,1,0))</f>
        <v/>
      </c>
    </row>
    <row r="2384">
      <c r="Y2384" s="5">
        <f>IF(D2384="","",X2384*IF(AND(ISNUMBER(AC2384),AC2384&gt;0,AC2384&lt;1),AC2384*100,AC2384)/100)</f>
        <v/>
      </c>
      <c r="Z2384" s="5">
        <f>IF(D2384="","",AB2384*AA2384/100)</f>
        <v/>
      </c>
      <c r="AA2384" s="5">
        <f>IF(D2384="","",X2384-Y2384)</f>
        <v/>
      </c>
      <c r="AD2384" s="5">
        <f>IF(D2384="","",AA2384-Z2384)</f>
        <v/>
      </c>
      <c r="AG2384">
        <f>IF(D2384="","",N(AG2383)+IF(MATCH(D2384,$D$2:$D$3001,0)=ROW()-1,1,0))</f>
        <v/>
      </c>
    </row>
    <row r="2385">
      <c r="Y2385" s="5">
        <f>IF(D2385="","",X2385*IF(AND(ISNUMBER(AC2385),AC2385&gt;0,AC2385&lt;1),AC2385*100,AC2385)/100)</f>
        <v/>
      </c>
      <c r="Z2385" s="5">
        <f>IF(D2385="","",AB2385*AA2385/100)</f>
        <v/>
      </c>
      <c r="AA2385" s="5">
        <f>IF(D2385="","",X2385-Y2385)</f>
        <v/>
      </c>
      <c r="AD2385" s="5">
        <f>IF(D2385="","",AA2385-Z2385)</f>
        <v/>
      </c>
      <c r="AG2385">
        <f>IF(D2385="","",N(AG2384)+IF(MATCH(D2385,$D$2:$D$3001,0)=ROW()-1,1,0))</f>
        <v/>
      </c>
    </row>
    <row r="2386">
      <c r="Y2386" s="5">
        <f>IF(D2386="","",X2386*IF(AND(ISNUMBER(AC2386),AC2386&gt;0,AC2386&lt;1),AC2386*100,AC2386)/100)</f>
        <v/>
      </c>
      <c r="Z2386" s="5">
        <f>IF(D2386="","",AB2386*AA2386/100)</f>
        <v/>
      </c>
      <c r="AA2386" s="5">
        <f>IF(D2386="","",X2386-Y2386)</f>
        <v/>
      </c>
      <c r="AD2386" s="5">
        <f>IF(D2386="","",AA2386-Z2386)</f>
        <v/>
      </c>
      <c r="AG2386">
        <f>IF(D2386="","",N(AG2385)+IF(MATCH(D2386,$D$2:$D$3001,0)=ROW()-1,1,0))</f>
        <v/>
      </c>
    </row>
    <row r="2387">
      <c r="Y2387" s="5">
        <f>IF(D2387="","",X2387*IF(AND(ISNUMBER(AC2387),AC2387&gt;0,AC2387&lt;1),AC2387*100,AC2387)/100)</f>
        <v/>
      </c>
      <c r="Z2387" s="5">
        <f>IF(D2387="","",AB2387*AA2387/100)</f>
        <v/>
      </c>
      <c r="AA2387" s="5">
        <f>IF(D2387="","",X2387-Y2387)</f>
        <v/>
      </c>
      <c r="AD2387" s="5">
        <f>IF(D2387="","",AA2387-Z2387)</f>
        <v/>
      </c>
      <c r="AG2387">
        <f>IF(D2387="","",N(AG2386)+IF(MATCH(D2387,$D$2:$D$3001,0)=ROW()-1,1,0))</f>
        <v/>
      </c>
    </row>
    <row r="2388">
      <c r="Y2388" s="5">
        <f>IF(D2388="","",X2388*IF(AND(ISNUMBER(AC2388),AC2388&gt;0,AC2388&lt;1),AC2388*100,AC2388)/100)</f>
        <v/>
      </c>
      <c r="Z2388" s="5">
        <f>IF(D2388="","",AB2388*AA2388/100)</f>
        <v/>
      </c>
      <c r="AA2388" s="5">
        <f>IF(D2388="","",X2388-Y2388)</f>
        <v/>
      </c>
      <c r="AD2388" s="5">
        <f>IF(D2388="","",AA2388-Z2388)</f>
        <v/>
      </c>
      <c r="AG2388">
        <f>IF(D2388="","",N(AG2387)+IF(MATCH(D2388,$D$2:$D$3001,0)=ROW()-1,1,0))</f>
        <v/>
      </c>
    </row>
    <row r="2389">
      <c r="Y2389" s="5">
        <f>IF(D2389="","",X2389*IF(AND(ISNUMBER(AC2389),AC2389&gt;0,AC2389&lt;1),AC2389*100,AC2389)/100)</f>
        <v/>
      </c>
      <c r="Z2389" s="5">
        <f>IF(D2389="","",AB2389*AA2389/100)</f>
        <v/>
      </c>
      <c r="AA2389" s="5">
        <f>IF(D2389="","",X2389-Y2389)</f>
        <v/>
      </c>
      <c r="AD2389" s="5">
        <f>IF(D2389="","",AA2389-Z2389)</f>
        <v/>
      </c>
      <c r="AG2389">
        <f>IF(D2389="","",N(AG2388)+IF(MATCH(D2389,$D$2:$D$3001,0)=ROW()-1,1,0))</f>
        <v/>
      </c>
    </row>
    <row r="2390">
      <c r="Y2390" s="5">
        <f>IF(D2390="","",X2390*IF(AND(ISNUMBER(AC2390),AC2390&gt;0,AC2390&lt;1),AC2390*100,AC2390)/100)</f>
        <v/>
      </c>
      <c r="Z2390" s="5">
        <f>IF(D2390="","",AB2390*AA2390/100)</f>
        <v/>
      </c>
      <c r="AA2390" s="5">
        <f>IF(D2390="","",X2390-Y2390)</f>
        <v/>
      </c>
      <c r="AD2390" s="5">
        <f>IF(D2390="","",AA2390-Z2390)</f>
        <v/>
      </c>
      <c r="AG2390">
        <f>IF(D2390="","",N(AG2389)+IF(MATCH(D2390,$D$2:$D$3001,0)=ROW()-1,1,0))</f>
        <v/>
      </c>
    </row>
    <row r="2391">
      <c r="Y2391" s="5">
        <f>IF(D2391="","",X2391*IF(AND(ISNUMBER(AC2391),AC2391&gt;0,AC2391&lt;1),AC2391*100,AC2391)/100)</f>
        <v/>
      </c>
      <c r="Z2391" s="5">
        <f>IF(D2391="","",AB2391*AA2391/100)</f>
        <v/>
      </c>
      <c r="AA2391" s="5">
        <f>IF(D2391="","",X2391-Y2391)</f>
        <v/>
      </c>
      <c r="AD2391" s="5">
        <f>IF(D2391="","",AA2391-Z2391)</f>
        <v/>
      </c>
      <c r="AG2391">
        <f>IF(D2391="","",N(AG2390)+IF(MATCH(D2391,$D$2:$D$3001,0)=ROW()-1,1,0))</f>
        <v/>
      </c>
    </row>
    <row r="2392">
      <c r="Y2392" s="5">
        <f>IF(D2392="","",X2392*IF(AND(ISNUMBER(AC2392),AC2392&gt;0,AC2392&lt;1),AC2392*100,AC2392)/100)</f>
        <v/>
      </c>
      <c r="Z2392" s="5">
        <f>IF(D2392="","",AB2392*AA2392/100)</f>
        <v/>
      </c>
      <c r="AA2392" s="5">
        <f>IF(D2392="","",X2392-Y2392)</f>
        <v/>
      </c>
      <c r="AD2392" s="5">
        <f>IF(D2392="","",AA2392-Z2392)</f>
        <v/>
      </c>
      <c r="AG2392">
        <f>IF(D2392="","",N(AG2391)+IF(MATCH(D2392,$D$2:$D$3001,0)=ROW()-1,1,0))</f>
        <v/>
      </c>
    </row>
    <row r="2393">
      <c r="Y2393" s="5">
        <f>IF(D2393="","",X2393*IF(AND(ISNUMBER(AC2393),AC2393&gt;0,AC2393&lt;1),AC2393*100,AC2393)/100)</f>
        <v/>
      </c>
      <c r="Z2393" s="5">
        <f>IF(D2393="","",AB2393*AA2393/100)</f>
        <v/>
      </c>
      <c r="AA2393" s="5">
        <f>IF(D2393="","",X2393-Y2393)</f>
        <v/>
      </c>
      <c r="AD2393" s="5">
        <f>IF(D2393="","",AA2393-Z2393)</f>
        <v/>
      </c>
      <c r="AG2393">
        <f>IF(D2393="","",N(AG2392)+IF(MATCH(D2393,$D$2:$D$3001,0)=ROW()-1,1,0))</f>
        <v/>
      </c>
    </row>
    <row r="2394">
      <c r="Y2394" s="5">
        <f>IF(D2394="","",X2394*IF(AND(ISNUMBER(AC2394),AC2394&gt;0,AC2394&lt;1),AC2394*100,AC2394)/100)</f>
        <v/>
      </c>
      <c r="Z2394" s="5">
        <f>IF(D2394="","",AB2394*AA2394/100)</f>
        <v/>
      </c>
      <c r="AA2394" s="5">
        <f>IF(D2394="","",X2394-Y2394)</f>
        <v/>
      </c>
      <c r="AD2394" s="5">
        <f>IF(D2394="","",AA2394-Z2394)</f>
        <v/>
      </c>
      <c r="AG2394">
        <f>IF(D2394="","",N(AG2393)+IF(MATCH(D2394,$D$2:$D$3001,0)=ROW()-1,1,0))</f>
        <v/>
      </c>
    </row>
    <row r="2395">
      <c r="Y2395" s="5">
        <f>IF(D2395="","",X2395*IF(AND(ISNUMBER(AC2395),AC2395&gt;0,AC2395&lt;1),AC2395*100,AC2395)/100)</f>
        <v/>
      </c>
      <c r="Z2395" s="5">
        <f>IF(D2395="","",AB2395*AA2395/100)</f>
        <v/>
      </c>
      <c r="AA2395" s="5">
        <f>IF(D2395="","",X2395-Y2395)</f>
        <v/>
      </c>
      <c r="AD2395" s="5">
        <f>IF(D2395="","",AA2395-Z2395)</f>
        <v/>
      </c>
      <c r="AG2395">
        <f>IF(D2395="","",N(AG2394)+IF(MATCH(D2395,$D$2:$D$3001,0)=ROW()-1,1,0))</f>
        <v/>
      </c>
    </row>
    <row r="2396">
      <c r="Y2396" s="5">
        <f>IF(D2396="","",X2396*IF(AND(ISNUMBER(AC2396),AC2396&gt;0,AC2396&lt;1),AC2396*100,AC2396)/100)</f>
        <v/>
      </c>
      <c r="Z2396" s="5">
        <f>IF(D2396="","",AB2396*AA2396/100)</f>
        <v/>
      </c>
      <c r="AA2396" s="5">
        <f>IF(D2396="","",X2396-Y2396)</f>
        <v/>
      </c>
      <c r="AD2396" s="5">
        <f>IF(D2396="","",AA2396-Z2396)</f>
        <v/>
      </c>
      <c r="AG2396">
        <f>IF(D2396="","",N(AG2395)+IF(MATCH(D2396,$D$2:$D$3001,0)=ROW()-1,1,0))</f>
        <v/>
      </c>
    </row>
    <row r="2397">
      <c r="Y2397" s="5">
        <f>IF(D2397="","",X2397*IF(AND(ISNUMBER(AC2397),AC2397&gt;0,AC2397&lt;1),AC2397*100,AC2397)/100)</f>
        <v/>
      </c>
      <c r="Z2397" s="5">
        <f>IF(D2397="","",AB2397*AA2397/100)</f>
        <v/>
      </c>
      <c r="AA2397" s="5">
        <f>IF(D2397="","",X2397-Y2397)</f>
        <v/>
      </c>
      <c r="AD2397" s="5">
        <f>IF(D2397="","",AA2397-Z2397)</f>
        <v/>
      </c>
      <c r="AG2397">
        <f>IF(D2397="","",N(AG2396)+IF(MATCH(D2397,$D$2:$D$3001,0)=ROW()-1,1,0))</f>
        <v/>
      </c>
    </row>
    <row r="2398">
      <c r="Y2398" s="5">
        <f>IF(D2398="","",X2398*IF(AND(ISNUMBER(AC2398),AC2398&gt;0,AC2398&lt;1),AC2398*100,AC2398)/100)</f>
        <v/>
      </c>
      <c r="Z2398" s="5">
        <f>IF(D2398="","",AB2398*AA2398/100)</f>
        <v/>
      </c>
      <c r="AA2398" s="5">
        <f>IF(D2398="","",X2398-Y2398)</f>
        <v/>
      </c>
      <c r="AD2398" s="5">
        <f>IF(D2398="","",AA2398-Z2398)</f>
        <v/>
      </c>
      <c r="AG2398">
        <f>IF(D2398="","",N(AG2397)+IF(MATCH(D2398,$D$2:$D$3001,0)=ROW()-1,1,0))</f>
        <v/>
      </c>
    </row>
    <row r="2399">
      <c r="Y2399" s="5">
        <f>IF(D2399="","",X2399*IF(AND(ISNUMBER(AC2399),AC2399&gt;0,AC2399&lt;1),AC2399*100,AC2399)/100)</f>
        <v/>
      </c>
      <c r="Z2399" s="5">
        <f>IF(D2399="","",AB2399*AA2399/100)</f>
        <v/>
      </c>
      <c r="AA2399" s="5">
        <f>IF(D2399="","",X2399-Y2399)</f>
        <v/>
      </c>
      <c r="AD2399" s="5">
        <f>IF(D2399="","",AA2399-Z2399)</f>
        <v/>
      </c>
      <c r="AG2399">
        <f>IF(D2399="","",N(AG2398)+IF(MATCH(D2399,$D$2:$D$3001,0)=ROW()-1,1,0))</f>
        <v/>
      </c>
    </row>
    <row r="2400">
      <c r="Y2400" s="5">
        <f>IF(D2400="","",X2400*IF(AND(ISNUMBER(AC2400),AC2400&gt;0,AC2400&lt;1),AC2400*100,AC2400)/100)</f>
        <v/>
      </c>
      <c r="Z2400" s="5">
        <f>IF(D2400="","",AB2400*AA2400/100)</f>
        <v/>
      </c>
      <c r="AA2400" s="5">
        <f>IF(D2400="","",X2400-Y2400)</f>
        <v/>
      </c>
      <c r="AD2400" s="5">
        <f>IF(D2400="","",AA2400-Z2400)</f>
        <v/>
      </c>
      <c r="AG2400">
        <f>IF(D2400="","",N(AG2399)+IF(MATCH(D2400,$D$2:$D$3001,0)=ROW()-1,1,0))</f>
        <v/>
      </c>
    </row>
    <row r="2401">
      <c r="Y2401" s="5">
        <f>IF(D2401="","",X2401*IF(AND(ISNUMBER(AC2401),AC2401&gt;0,AC2401&lt;1),AC2401*100,AC2401)/100)</f>
        <v/>
      </c>
      <c r="Z2401" s="5">
        <f>IF(D2401="","",AB2401*AA2401/100)</f>
        <v/>
      </c>
      <c r="AA2401" s="5">
        <f>IF(D2401="","",X2401-Y2401)</f>
        <v/>
      </c>
      <c r="AD2401" s="5">
        <f>IF(D2401="","",AA2401-Z2401)</f>
        <v/>
      </c>
      <c r="AG2401">
        <f>IF(D2401="","",N(AG2400)+IF(MATCH(D2401,$D$2:$D$3001,0)=ROW()-1,1,0))</f>
        <v/>
      </c>
    </row>
    <row r="2402">
      <c r="Y2402" s="5">
        <f>IF(D2402="","",X2402*IF(AND(ISNUMBER(AC2402),AC2402&gt;0,AC2402&lt;1),AC2402*100,AC2402)/100)</f>
        <v/>
      </c>
      <c r="Z2402" s="5">
        <f>IF(D2402="","",AB2402*AA2402/100)</f>
        <v/>
      </c>
      <c r="AA2402" s="5">
        <f>IF(D2402="","",X2402-Y2402)</f>
        <v/>
      </c>
      <c r="AD2402" s="5">
        <f>IF(D2402="","",AA2402-Z2402)</f>
        <v/>
      </c>
      <c r="AG2402">
        <f>IF(D2402="","",N(AG2401)+IF(MATCH(D2402,$D$2:$D$3001,0)=ROW()-1,1,0))</f>
        <v/>
      </c>
    </row>
    <row r="2403">
      <c r="Y2403" s="5">
        <f>IF(D2403="","",X2403*IF(AND(ISNUMBER(AC2403),AC2403&gt;0,AC2403&lt;1),AC2403*100,AC2403)/100)</f>
        <v/>
      </c>
      <c r="Z2403" s="5">
        <f>IF(D2403="","",AB2403*AA2403/100)</f>
        <v/>
      </c>
      <c r="AA2403" s="5">
        <f>IF(D2403="","",X2403-Y2403)</f>
        <v/>
      </c>
      <c r="AD2403" s="5">
        <f>IF(D2403="","",AA2403-Z2403)</f>
        <v/>
      </c>
      <c r="AG2403">
        <f>IF(D2403="","",N(AG2402)+IF(MATCH(D2403,$D$2:$D$3001,0)=ROW()-1,1,0))</f>
        <v/>
      </c>
    </row>
    <row r="2404">
      <c r="Y2404" s="5">
        <f>IF(D2404="","",X2404*IF(AND(ISNUMBER(AC2404),AC2404&gt;0,AC2404&lt;1),AC2404*100,AC2404)/100)</f>
        <v/>
      </c>
      <c r="Z2404" s="5">
        <f>IF(D2404="","",AB2404*AA2404/100)</f>
        <v/>
      </c>
      <c r="AA2404" s="5">
        <f>IF(D2404="","",X2404-Y2404)</f>
        <v/>
      </c>
      <c r="AD2404" s="5">
        <f>IF(D2404="","",AA2404-Z2404)</f>
        <v/>
      </c>
      <c r="AG2404">
        <f>IF(D2404="","",N(AG2403)+IF(MATCH(D2404,$D$2:$D$3001,0)=ROW()-1,1,0))</f>
        <v/>
      </c>
    </row>
    <row r="2405">
      <c r="Y2405" s="5">
        <f>IF(D2405="","",X2405*IF(AND(ISNUMBER(AC2405),AC2405&gt;0,AC2405&lt;1),AC2405*100,AC2405)/100)</f>
        <v/>
      </c>
      <c r="Z2405" s="5">
        <f>IF(D2405="","",AB2405*AA2405/100)</f>
        <v/>
      </c>
      <c r="AA2405" s="5">
        <f>IF(D2405="","",X2405-Y2405)</f>
        <v/>
      </c>
      <c r="AD2405" s="5">
        <f>IF(D2405="","",AA2405-Z2405)</f>
        <v/>
      </c>
      <c r="AG2405">
        <f>IF(D2405="","",N(AG2404)+IF(MATCH(D2405,$D$2:$D$3001,0)=ROW()-1,1,0))</f>
        <v/>
      </c>
    </row>
    <row r="2406">
      <c r="Y2406" s="5">
        <f>IF(D2406="","",X2406*IF(AND(ISNUMBER(AC2406),AC2406&gt;0,AC2406&lt;1),AC2406*100,AC2406)/100)</f>
        <v/>
      </c>
      <c r="Z2406" s="5">
        <f>IF(D2406="","",AB2406*AA2406/100)</f>
        <v/>
      </c>
      <c r="AA2406" s="5">
        <f>IF(D2406="","",X2406-Y2406)</f>
        <v/>
      </c>
      <c r="AD2406" s="5">
        <f>IF(D2406="","",AA2406-Z2406)</f>
        <v/>
      </c>
      <c r="AG2406">
        <f>IF(D2406="","",N(AG2405)+IF(MATCH(D2406,$D$2:$D$3001,0)=ROW()-1,1,0))</f>
        <v/>
      </c>
    </row>
    <row r="2407">
      <c r="Y2407" s="5">
        <f>IF(D2407="","",X2407*IF(AND(ISNUMBER(AC2407),AC2407&gt;0,AC2407&lt;1),AC2407*100,AC2407)/100)</f>
        <v/>
      </c>
      <c r="Z2407" s="5">
        <f>IF(D2407="","",AB2407*AA2407/100)</f>
        <v/>
      </c>
      <c r="AA2407" s="5">
        <f>IF(D2407="","",X2407-Y2407)</f>
        <v/>
      </c>
      <c r="AD2407" s="5">
        <f>IF(D2407="","",AA2407-Z2407)</f>
        <v/>
      </c>
      <c r="AG2407">
        <f>IF(D2407="","",N(AG2406)+IF(MATCH(D2407,$D$2:$D$3001,0)=ROW()-1,1,0))</f>
        <v/>
      </c>
    </row>
    <row r="2408">
      <c r="Y2408" s="5">
        <f>IF(D2408="","",X2408*IF(AND(ISNUMBER(AC2408),AC2408&gt;0,AC2408&lt;1),AC2408*100,AC2408)/100)</f>
        <v/>
      </c>
      <c r="Z2408" s="5">
        <f>IF(D2408="","",AB2408*AA2408/100)</f>
        <v/>
      </c>
      <c r="AA2408" s="5">
        <f>IF(D2408="","",X2408-Y2408)</f>
        <v/>
      </c>
      <c r="AD2408" s="5">
        <f>IF(D2408="","",AA2408-Z2408)</f>
        <v/>
      </c>
      <c r="AG2408">
        <f>IF(D2408="","",N(AG2407)+IF(MATCH(D2408,$D$2:$D$3001,0)=ROW()-1,1,0))</f>
        <v/>
      </c>
    </row>
    <row r="2409">
      <c r="Y2409" s="5">
        <f>IF(D2409="","",X2409*IF(AND(ISNUMBER(AC2409),AC2409&gt;0,AC2409&lt;1),AC2409*100,AC2409)/100)</f>
        <v/>
      </c>
      <c r="Z2409" s="5">
        <f>IF(D2409="","",AB2409*AA2409/100)</f>
        <v/>
      </c>
      <c r="AA2409" s="5">
        <f>IF(D2409="","",X2409-Y2409)</f>
        <v/>
      </c>
      <c r="AD2409" s="5">
        <f>IF(D2409="","",AA2409-Z2409)</f>
        <v/>
      </c>
      <c r="AG2409">
        <f>IF(D2409="","",N(AG2408)+IF(MATCH(D2409,$D$2:$D$3001,0)=ROW()-1,1,0))</f>
        <v/>
      </c>
    </row>
    <row r="2410">
      <c r="Y2410" s="5">
        <f>IF(D2410="","",X2410*IF(AND(ISNUMBER(AC2410),AC2410&gt;0,AC2410&lt;1),AC2410*100,AC2410)/100)</f>
        <v/>
      </c>
      <c r="Z2410" s="5">
        <f>IF(D2410="","",AB2410*AA2410/100)</f>
        <v/>
      </c>
      <c r="AA2410" s="5">
        <f>IF(D2410="","",X2410-Y2410)</f>
        <v/>
      </c>
      <c r="AD2410" s="5">
        <f>IF(D2410="","",AA2410-Z2410)</f>
        <v/>
      </c>
      <c r="AG2410">
        <f>IF(D2410="","",N(AG2409)+IF(MATCH(D2410,$D$2:$D$3001,0)=ROW()-1,1,0))</f>
        <v/>
      </c>
    </row>
    <row r="2411">
      <c r="Y2411" s="5">
        <f>IF(D2411="","",X2411*IF(AND(ISNUMBER(AC2411),AC2411&gt;0,AC2411&lt;1),AC2411*100,AC2411)/100)</f>
        <v/>
      </c>
      <c r="Z2411" s="5">
        <f>IF(D2411="","",AB2411*AA2411/100)</f>
        <v/>
      </c>
      <c r="AA2411" s="5">
        <f>IF(D2411="","",X2411-Y2411)</f>
        <v/>
      </c>
      <c r="AD2411" s="5">
        <f>IF(D2411="","",AA2411-Z2411)</f>
        <v/>
      </c>
      <c r="AG2411">
        <f>IF(D2411="","",N(AG2410)+IF(MATCH(D2411,$D$2:$D$3001,0)=ROW()-1,1,0))</f>
        <v/>
      </c>
    </row>
    <row r="2412">
      <c r="Y2412" s="5">
        <f>IF(D2412="","",X2412*IF(AND(ISNUMBER(AC2412),AC2412&gt;0,AC2412&lt;1),AC2412*100,AC2412)/100)</f>
        <v/>
      </c>
      <c r="Z2412" s="5">
        <f>IF(D2412="","",AB2412*AA2412/100)</f>
        <v/>
      </c>
      <c r="AA2412" s="5">
        <f>IF(D2412="","",X2412-Y2412)</f>
        <v/>
      </c>
      <c r="AD2412" s="5">
        <f>IF(D2412="","",AA2412-Z2412)</f>
        <v/>
      </c>
      <c r="AG2412">
        <f>IF(D2412="","",N(AG2411)+IF(MATCH(D2412,$D$2:$D$3001,0)=ROW()-1,1,0))</f>
        <v/>
      </c>
    </row>
    <row r="2413">
      <c r="Y2413" s="5">
        <f>IF(D2413="","",X2413*IF(AND(ISNUMBER(AC2413),AC2413&gt;0,AC2413&lt;1),AC2413*100,AC2413)/100)</f>
        <v/>
      </c>
      <c r="Z2413" s="5">
        <f>IF(D2413="","",AB2413*AA2413/100)</f>
        <v/>
      </c>
      <c r="AA2413" s="5">
        <f>IF(D2413="","",X2413-Y2413)</f>
        <v/>
      </c>
      <c r="AD2413" s="5">
        <f>IF(D2413="","",AA2413-Z2413)</f>
        <v/>
      </c>
      <c r="AG2413">
        <f>IF(D2413="","",N(AG2412)+IF(MATCH(D2413,$D$2:$D$3001,0)=ROW()-1,1,0))</f>
        <v/>
      </c>
    </row>
    <row r="2414">
      <c r="Y2414" s="5">
        <f>IF(D2414="","",X2414*IF(AND(ISNUMBER(AC2414),AC2414&gt;0,AC2414&lt;1),AC2414*100,AC2414)/100)</f>
        <v/>
      </c>
      <c r="Z2414" s="5">
        <f>IF(D2414="","",AB2414*AA2414/100)</f>
        <v/>
      </c>
      <c r="AA2414" s="5">
        <f>IF(D2414="","",X2414-Y2414)</f>
        <v/>
      </c>
      <c r="AD2414" s="5">
        <f>IF(D2414="","",AA2414-Z2414)</f>
        <v/>
      </c>
      <c r="AG2414">
        <f>IF(D2414="","",N(AG2413)+IF(MATCH(D2414,$D$2:$D$3001,0)=ROW()-1,1,0))</f>
        <v/>
      </c>
    </row>
    <row r="2415">
      <c r="Y2415" s="5">
        <f>IF(D2415="","",X2415*IF(AND(ISNUMBER(AC2415),AC2415&gt;0,AC2415&lt;1),AC2415*100,AC2415)/100)</f>
        <v/>
      </c>
      <c r="Z2415" s="5">
        <f>IF(D2415="","",AB2415*AA2415/100)</f>
        <v/>
      </c>
      <c r="AA2415" s="5">
        <f>IF(D2415="","",X2415-Y2415)</f>
        <v/>
      </c>
      <c r="AD2415" s="5">
        <f>IF(D2415="","",AA2415-Z2415)</f>
        <v/>
      </c>
      <c r="AG2415">
        <f>IF(D2415="","",N(AG2414)+IF(MATCH(D2415,$D$2:$D$3001,0)=ROW()-1,1,0))</f>
        <v/>
      </c>
    </row>
    <row r="2416">
      <c r="Y2416" s="5">
        <f>IF(D2416="","",X2416*IF(AND(ISNUMBER(AC2416),AC2416&gt;0,AC2416&lt;1),AC2416*100,AC2416)/100)</f>
        <v/>
      </c>
      <c r="Z2416" s="5">
        <f>IF(D2416="","",AB2416*AA2416/100)</f>
        <v/>
      </c>
      <c r="AA2416" s="5">
        <f>IF(D2416="","",X2416-Y2416)</f>
        <v/>
      </c>
      <c r="AD2416" s="5">
        <f>IF(D2416="","",AA2416-Z2416)</f>
        <v/>
      </c>
      <c r="AG2416">
        <f>IF(D2416="","",N(AG2415)+IF(MATCH(D2416,$D$2:$D$3001,0)=ROW()-1,1,0))</f>
        <v/>
      </c>
    </row>
    <row r="2417">
      <c r="Y2417" s="5">
        <f>IF(D2417="","",X2417*IF(AND(ISNUMBER(AC2417),AC2417&gt;0,AC2417&lt;1),AC2417*100,AC2417)/100)</f>
        <v/>
      </c>
      <c r="Z2417" s="5">
        <f>IF(D2417="","",AB2417*AA2417/100)</f>
        <v/>
      </c>
      <c r="AA2417" s="5">
        <f>IF(D2417="","",X2417-Y2417)</f>
        <v/>
      </c>
      <c r="AD2417" s="5">
        <f>IF(D2417="","",AA2417-Z2417)</f>
        <v/>
      </c>
      <c r="AG2417">
        <f>IF(D2417="","",N(AG2416)+IF(MATCH(D2417,$D$2:$D$3001,0)=ROW()-1,1,0))</f>
        <v/>
      </c>
    </row>
    <row r="2418">
      <c r="Y2418" s="5">
        <f>IF(D2418="","",X2418*IF(AND(ISNUMBER(AC2418),AC2418&gt;0,AC2418&lt;1),AC2418*100,AC2418)/100)</f>
        <v/>
      </c>
      <c r="Z2418" s="5">
        <f>IF(D2418="","",AB2418*AA2418/100)</f>
        <v/>
      </c>
      <c r="AA2418" s="5">
        <f>IF(D2418="","",X2418-Y2418)</f>
        <v/>
      </c>
      <c r="AD2418" s="5">
        <f>IF(D2418="","",AA2418-Z2418)</f>
        <v/>
      </c>
      <c r="AG2418">
        <f>IF(D2418="","",N(AG2417)+IF(MATCH(D2418,$D$2:$D$3001,0)=ROW()-1,1,0))</f>
        <v/>
      </c>
    </row>
    <row r="2419">
      <c r="Y2419" s="5">
        <f>IF(D2419="","",X2419*IF(AND(ISNUMBER(AC2419),AC2419&gt;0,AC2419&lt;1),AC2419*100,AC2419)/100)</f>
        <v/>
      </c>
      <c r="Z2419" s="5">
        <f>IF(D2419="","",AB2419*AA2419/100)</f>
        <v/>
      </c>
      <c r="AA2419" s="5">
        <f>IF(D2419="","",X2419-Y2419)</f>
        <v/>
      </c>
      <c r="AD2419" s="5">
        <f>IF(D2419="","",AA2419-Z2419)</f>
        <v/>
      </c>
      <c r="AG2419">
        <f>IF(D2419="","",N(AG2418)+IF(MATCH(D2419,$D$2:$D$3001,0)=ROW()-1,1,0))</f>
        <v/>
      </c>
    </row>
    <row r="2420">
      <c r="Y2420" s="5">
        <f>IF(D2420="","",X2420*IF(AND(ISNUMBER(AC2420),AC2420&gt;0,AC2420&lt;1),AC2420*100,AC2420)/100)</f>
        <v/>
      </c>
      <c r="Z2420" s="5">
        <f>IF(D2420="","",AB2420*AA2420/100)</f>
        <v/>
      </c>
      <c r="AA2420" s="5">
        <f>IF(D2420="","",X2420-Y2420)</f>
        <v/>
      </c>
      <c r="AD2420" s="5">
        <f>IF(D2420="","",AA2420-Z2420)</f>
        <v/>
      </c>
      <c r="AG2420">
        <f>IF(D2420="","",N(AG2419)+IF(MATCH(D2420,$D$2:$D$3001,0)=ROW()-1,1,0))</f>
        <v/>
      </c>
    </row>
    <row r="2421">
      <c r="Y2421" s="5">
        <f>IF(D2421="","",X2421*IF(AND(ISNUMBER(AC2421),AC2421&gt;0,AC2421&lt;1),AC2421*100,AC2421)/100)</f>
        <v/>
      </c>
      <c r="Z2421" s="5">
        <f>IF(D2421="","",AB2421*AA2421/100)</f>
        <v/>
      </c>
      <c r="AA2421" s="5">
        <f>IF(D2421="","",X2421-Y2421)</f>
        <v/>
      </c>
      <c r="AD2421" s="5">
        <f>IF(D2421="","",AA2421-Z2421)</f>
        <v/>
      </c>
      <c r="AG2421">
        <f>IF(D2421="","",N(AG2420)+IF(MATCH(D2421,$D$2:$D$3001,0)=ROW()-1,1,0))</f>
        <v/>
      </c>
    </row>
    <row r="2422">
      <c r="Y2422" s="5">
        <f>IF(D2422="","",X2422*IF(AND(ISNUMBER(AC2422),AC2422&gt;0,AC2422&lt;1),AC2422*100,AC2422)/100)</f>
        <v/>
      </c>
      <c r="Z2422" s="5">
        <f>IF(D2422="","",AB2422*AA2422/100)</f>
        <v/>
      </c>
      <c r="AA2422" s="5">
        <f>IF(D2422="","",X2422-Y2422)</f>
        <v/>
      </c>
      <c r="AD2422" s="5">
        <f>IF(D2422="","",AA2422-Z2422)</f>
        <v/>
      </c>
      <c r="AG2422">
        <f>IF(D2422="","",N(AG2421)+IF(MATCH(D2422,$D$2:$D$3001,0)=ROW()-1,1,0))</f>
        <v/>
      </c>
    </row>
    <row r="2423">
      <c r="Y2423" s="5">
        <f>IF(D2423="","",X2423*IF(AND(ISNUMBER(AC2423),AC2423&gt;0,AC2423&lt;1),AC2423*100,AC2423)/100)</f>
        <v/>
      </c>
      <c r="Z2423" s="5">
        <f>IF(D2423="","",AB2423*AA2423/100)</f>
        <v/>
      </c>
      <c r="AA2423" s="5">
        <f>IF(D2423="","",X2423-Y2423)</f>
        <v/>
      </c>
      <c r="AD2423" s="5">
        <f>IF(D2423="","",AA2423-Z2423)</f>
        <v/>
      </c>
      <c r="AG2423">
        <f>IF(D2423="","",N(AG2422)+IF(MATCH(D2423,$D$2:$D$3001,0)=ROW()-1,1,0))</f>
        <v/>
      </c>
    </row>
    <row r="2424">
      <c r="Y2424" s="5">
        <f>IF(D2424="","",X2424*IF(AND(ISNUMBER(AC2424),AC2424&gt;0,AC2424&lt;1),AC2424*100,AC2424)/100)</f>
        <v/>
      </c>
      <c r="Z2424" s="5">
        <f>IF(D2424="","",AB2424*AA2424/100)</f>
        <v/>
      </c>
      <c r="AA2424" s="5">
        <f>IF(D2424="","",X2424-Y2424)</f>
        <v/>
      </c>
      <c r="AD2424" s="5">
        <f>IF(D2424="","",AA2424-Z2424)</f>
        <v/>
      </c>
      <c r="AG2424">
        <f>IF(D2424="","",N(AG2423)+IF(MATCH(D2424,$D$2:$D$3001,0)=ROW()-1,1,0))</f>
        <v/>
      </c>
    </row>
    <row r="2425">
      <c r="Y2425" s="5">
        <f>IF(D2425="","",X2425*IF(AND(ISNUMBER(AC2425),AC2425&gt;0,AC2425&lt;1),AC2425*100,AC2425)/100)</f>
        <v/>
      </c>
      <c r="Z2425" s="5">
        <f>IF(D2425="","",AB2425*AA2425/100)</f>
        <v/>
      </c>
      <c r="AA2425" s="5">
        <f>IF(D2425="","",X2425-Y2425)</f>
        <v/>
      </c>
      <c r="AD2425" s="5">
        <f>IF(D2425="","",AA2425-Z2425)</f>
        <v/>
      </c>
      <c r="AG2425">
        <f>IF(D2425="","",N(AG2424)+IF(MATCH(D2425,$D$2:$D$3001,0)=ROW()-1,1,0))</f>
        <v/>
      </c>
    </row>
    <row r="2426">
      <c r="Y2426" s="5">
        <f>IF(D2426="","",X2426*IF(AND(ISNUMBER(AC2426),AC2426&gt;0,AC2426&lt;1),AC2426*100,AC2426)/100)</f>
        <v/>
      </c>
      <c r="Z2426" s="5">
        <f>IF(D2426="","",AB2426*AA2426/100)</f>
        <v/>
      </c>
      <c r="AA2426" s="5">
        <f>IF(D2426="","",X2426-Y2426)</f>
        <v/>
      </c>
      <c r="AD2426" s="5">
        <f>IF(D2426="","",AA2426-Z2426)</f>
        <v/>
      </c>
      <c r="AG2426">
        <f>IF(D2426="","",N(AG2425)+IF(MATCH(D2426,$D$2:$D$3001,0)=ROW()-1,1,0))</f>
        <v/>
      </c>
    </row>
    <row r="2427">
      <c r="Y2427" s="5">
        <f>IF(D2427="","",X2427*IF(AND(ISNUMBER(AC2427),AC2427&gt;0,AC2427&lt;1),AC2427*100,AC2427)/100)</f>
        <v/>
      </c>
      <c r="Z2427" s="5">
        <f>IF(D2427="","",AB2427*AA2427/100)</f>
        <v/>
      </c>
      <c r="AA2427" s="5">
        <f>IF(D2427="","",X2427-Y2427)</f>
        <v/>
      </c>
      <c r="AD2427" s="5">
        <f>IF(D2427="","",AA2427-Z2427)</f>
        <v/>
      </c>
      <c r="AG2427">
        <f>IF(D2427="","",N(AG2426)+IF(MATCH(D2427,$D$2:$D$3001,0)=ROW()-1,1,0))</f>
        <v/>
      </c>
    </row>
    <row r="2428">
      <c r="Y2428" s="5">
        <f>IF(D2428="","",X2428*IF(AND(ISNUMBER(AC2428),AC2428&gt;0,AC2428&lt;1),AC2428*100,AC2428)/100)</f>
        <v/>
      </c>
      <c r="Z2428" s="5">
        <f>IF(D2428="","",AB2428*AA2428/100)</f>
        <v/>
      </c>
      <c r="AA2428" s="5">
        <f>IF(D2428="","",X2428-Y2428)</f>
        <v/>
      </c>
      <c r="AD2428" s="5">
        <f>IF(D2428="","",AA2428-Z2428)</f>
        <v/>
      </c>
      <c r="AG2428">
        <f>IF(D2428="","",N(AG2427)+IF(MATCH(D2428,$D$2:$D$3001,0)=ROW()-1,1,0))</f>
        <v/>
      </c>
    </row>
    <row r="2429">
      <c r="Y2429" s="5">
        <f>IF(D2429="","",X2429*IF(AND(ISNUMBER(AC2429),AC2429&gt;0,AC2429&lt;1),AC2429*100,AC2429)/100)</f>
        <v/>
      </c>
      <c r="Z2429" s="5">
        <f>IF(D2429="","",AB2429*AA2429/100)</f>
        <v/>
      </c>
      <c r="AA2429" s="5">
        <f>IF(D2429="","",X2429-Y2429)</f>
        <v/>
      </c>
      <c r="AD2429" s="5">
        <f>IF(D2429="","",AA2429-Z2429)</f>
        <v/>
      </c>
      <c r="AG2429">
        <f>IF(D2429="","",N(AG2428)+IF(MATCH(D2429,$D$2:$D$3001,0)=ROW()-1,1,0))</f>
        <v/>
      </c>
    </row>
    <row r="2430">
      <c r="Y2430" s="5">
        <f>IF(D2430="","",X2430*IF(AND(ISNUMBER(AC2430),AC2430&gt;0,AC2430&lt;1),AC2430*100,AC2430)/100)</f>
        <v/>
      </c>
      <c r="Z2430" s="5">
        <f>IF(D2430="","",AB2430*AA2430/100)</f>
        <v/>
      </c>
      <c r="AA2430" s="5">
        <f>IF(D2430="","",X2430-Y2430)</f>
        <v/>
      </c>
      <c r="AD2430" s="5">
        <f>IF(D2430="","",AA2430-Z2430)</f>
        <v/>
      </c>
      <c r="AG2430">
        <f>IF(D2430="","",N(AG2429)+IF(MATCH(D2430,$D$2:$D$3001,0)=ROW()-1,1,0))</f>
        <v/>
      </c>
    </row>
    <row r="2431">
      <c r="Y2431" s="5">
        <f>IF(D2431="","",X2431*IF(AND(ISNUMBER(AC2431),AC2431&gt;0,AC2431&lt;1),AC2431*100,AC2431)/100)</f>
        <v/>
      </c>
      <c r="Z2431" s="5">
        <f>IF(D2431="","",AB2431*AA2431/100)</f>
        <v/>
      </c>
      <c r="AA2431" s="5">
        <f>IF(D2431="","",X2431-Y2431)</f>
        <v/>
      </c>
      <c r="AD2431" s="5">
        <f>IF(D2431="","",AA2431-Z2431)</f>
        <v/>
      </c>
      <c r="AG2431">
        <f>IF(D2431="","",N(AG2430)+IF(MATCH(D2431,$D$2:$D$3001,0)=ROW()-1,1,0))</f>
        <v/>
      </c>
    </row>
    <row r="2432">
      <c r="Y2432" s="5">
        <f>IF(D2432="","",X2432*IF(AND(ISNUMBER(AC2432),AC2432&gt;0,AC2432&lt;1),AC2432*100,AC2432)/100)</f>
        <v/>
      </c>
      <c r="Z2432" s="5">
        <f>IF(D2432="","",AB2432*AA2432/100)</f>
        <v/>
      </c>
      <c r="AA2432" s="5">
        <f>IF(D2432="","",X2432-Y2432)</f>
        <v/>
      </c>
      <c r="AD2432" s="5">
        <f>IF(D2432="","",AA2432-Z2432)</f>
        <v/>
      </c>
      <c r="AG2432">
        <f>IF(D2432="","",N(AG2431)+IF(MATCH(D2432,$D$2:$D$3001,0)=ROW()-1,1,0))</f>
        <v/>
      </c>
    </row>
    <row r="2433">
      <c r="Y2433" s="5">
        <f>IF(D2433="","",X2433*IF(AND(ISNUMBER(AC2433),AC2433&gt;0,AC2433&lt;1),AC2433*100,AC2433)/100)</f>
        <v/>
      </c>
      <c r="Z2433" s="5">
        <f>IF(D2433="","",AB2433*AA2433/100)</f>
        <v/>
      </c>
      <c r="AA2433" s="5">
        <f>IF(D2433="","",X2433-Y2433)</f>
        <v/>
      </c>
      <c r="AD2433" s="5">
        <f>IF(D2433="","",AA2433-Z2433)</f>
        <v/>
      </c>
      <c r="AG2433">
        <f>IF(D2433="","",N(AG2432)+IF(MATCH(D2433,$D$2:$D$3001,0)=ROW()-1,1,0))</f>
        <v/>
      </c>
    </row>
    <row r="2434">
      <c r="Y2434" s="5">
        <f>IF(D2434="","",X2434*IF(AND(ISNUMBER(AC2434),AC2434&gt;0,AC2434&lt;1),AC2434*100,AC2434)/100)</f>
        <v/>
      </c>
      <c r="Z2434" s="5">
        <f>IF(D2434="","",AB2434*AA2434/100)</f>
        <v/>
      </c>
      <c r="AA2434" s="5">
        <f>IF(D2434="","",X2434-Y2434)</f>
        <v/>
      </c>
      <c r="AD2434" s="5">
        <f>IF(D2434="","",AA2434-Z2434)</f>
        <v/>
      </c>
      <c r="AG2434">
        <f>IF(D2434="","",N(AG2433)+IF(MATCH(D2434,$D$2:$D$3001,0)=ROW()-1,1,0))</f>
        <v/>
      </c>
    </row>
    <row r="2435">
      <c r="Y2435" s="5">
        <f>IF(D2435="","",X2435*IF(AND(ISNUMBER(AC2435),AC2435&gt;0,AC2435&lt;1),AC2435*100,AC2435)/100)</f>
        <v/>
      </c>
      <c r="Z2435" s="5">
        <f>IF(D2435="","",AB2435*AA2435/100)</f>
        <v/>
      </c>
      <c r="AA2435" s="5">
        <f>IF(D2435="","",X2435-Y2435)</f>
        <v/>
      </c>
      <c r="AD2435" s="5">
        <f>IF(D2435="","",AA2435-Z2435)</f>
        <v/>
      </c>
      <c r="AG2435">
        <f>IF(D2435="","",N(AG2434)+IF(MATCH(D2435,$D$2:$D$3001,0)=ROW()-1,1,0))</f>
        <v/>
      </c>
    </row>
    <row r="2436">
      <c r="Y2436" s="5">
        <f>IF(D2436="","",X2436*IF(AND(ISNUMBER(AC2436),AC2436&gt;0,AC2436&lt;1),AC2436*100,AC2436)/100)</f>
        <v/>
      </c>
      <c r="Z2436" s="5">
        <f>IF(D2436="","",AB2436*AA2436/100)</f>
        <v/>
      </c>
      <c r="AA2436" s="5">
        <f>IF(D2436="","",X2436-Y2436)</f>
        <v/>
      </c>
      <c r="AD2436" s="5">
        <f>IF(D2436="","",AA2436-Z2436)</f>
        <v/>
      </c>
      <c r="AG2436">
        <f>IF(D2436="","",N(AG2435)+IF(MATCH(D2436,$D$2:$D$3001,0)=ROW()-1,1,0))</f>
        <v/>
      </c>
    </row>
    <row r="2437">
      <c r="Y2437" s="5">
        <f>IF(D2437="","",X2437*IF(AND(ISNUMBER(AC2437),AC2437&gt;0,AC2437&lt;1),AC2437*100,AC2437)/100)</f>
        <v/>
      </c>
      <c r="Z2437" s="5">
        <f>IF(D2437="","",AB2437*AA2437/100)</f>
        <v/>
      </c>
      <c r="AA2437" s="5">
        <f>IF(D2437="","",X2437-Y2437)</f>
        <v/>
      </c>
      <c r="AD2437" s="5">
        <f>IF(D2437="","",AA2437-Z2437)</f>
        <v/>
      </c>
      <c r="AG2437">
        <f>IF(D2437="","",N(AG2436)+IF(MATCH(D2437,$D$2:$D$3001,0)=ROW()-1,1,0))</f>
        <v/>
      </c>
    </row>
    <row r="2438">
      <c r="Y2438" s="5">
        <f>IF(D2438="","",X2438*IF(AND(ISNUMBER(AC2438),AC2438&gt;0,AC2438&lt;1),AC2438*100,AC2438)/100)</f>
        <v/>
      </c>
      <c r="Z2438" s="5">
        <f>IF(D2438="","",AB2438*AA2438/100)</f>
        <v/>
      </c>
      <c r="AA2438" s="5">
        <f>IF(D2438="","",X2438-Y2438)</f>
        <v/>
      </c>
      <c r="AD2438" s="5">
        <f>IF(D2438="","",AA2438-Z2438)</f>
        <v/>
      </c>
      <c r="AG2438">
        <f>IF(D2438="","",N(AG2437)+IF(MATCH(D2438,$D$2:$D$3001,0)=ROW()-1,1,0))</f>
        <v/>
      </c>
    </row>
    <row r="2439">
      <c r="Y2439" s="5">
        <f>IF(D2439="","",X2439*IF(AND(ISNUMBER(AC2439),AC2439&gt;0,AC2439&lt;1),AC2439*100,AC2439)/100)</f>
        <v/>
      </c>
      <c r="Z2439" s="5">
        <f>IF(D2439="","",AB2439*AA2439/100)</f>
        <v/>
      </c>
      <c r="AA2439" s="5">
        <f>IF(D2439="","",X2439-Y2439)</f>
        <v/>
      </c>
      <c r="AD2439" s="5">
        <f>IF(D2439="","",AA2439-Z2439)</f>
        <v/>
      </c>
      <c r="AG2439">
        <f>IF(D2439="","",N(AG2438)+IF(MATCH(D2439,$D$2:$D$3001,0)=ROW()-1,1,0))</f>
        <v/>
      </c>
    </row>
    <row r="2440">
      <c r="Y2440" s="5">
        <f>IF(D2440="","",X2440*IF(AND(ISNUMBER(AC2440),AC2440&gt;0,AC2440&lt;1),AC2440*100,AC2440)/100)</f>
        <v/>
      </c>
      <c r="Z2440" s="5">
        <f>IF(D2440="","",AB2440*AA2440/100)</f>
        <v/>
      </c>
      <c r="AA2440" s="5">
        <f>IF(D2440="","",X2440-Y2440)</f>
        <v/>
      </c>
      <c r="AD2440" s="5">
        <f>IF(D2440="","",AA2440-Z2440)</f>
        <v/>
      </c>
      <c r="AG2440">
        <f>IF(D2440="","",N(AG2439)+IF(MATCH(D2440,$D$2:$D$3001,0)=ROW()-1,1,0))</f>
        <v/>
      </c>
    </row>
    <row r="2441">
      <c r="Y2441" s="5">
        <f>IF(D2441="","",X2441*IF(AND(ISNUMBER(AC2441),AC2441&gt;0,AC2441&lt;1),AC2441*100,AC2441)/100)</f>
        <v/>
      </c>
      <c r="Z2441" s="5">
        <f>IF(D2441="","",AB2441*AA2441/100)</f>
        <v/>
      </c>
      <c r="AA2441" s="5">
        <f>IF(D2441="","",X2441-Y2441)</f>
        <v/>
      </c>
      <c r="AD2441" s="5">
        <f>IF(D2441="","",AA2441-Z2441)</f>
        <v/>
      </c>
      <c r="AG2441">
        <f>IF(D2441="","",N(AG2440)+IF(MATCH(D2441,$D$2:$D$3001,0)=ROW()-1,1,0))</f>
        <v/>
      </c>
    </row>
    <row r="2442">
      <c r="Y2442" s="5">
        <f>IF(D2442="","",X2442*IF(AND(ISNUMBER(AC2442),AC2442&gt;0,AC2442&lt;1),AC2442*100,AC2442)/100)</f>
        <v/>
      </c>
      <c r="Z2442" s="5">
        <f>IF(D2442="","",AB2442*AA2442/100)</f>
        <v/>
      </c>
      <c r="AA2442" s="5">
        <f>IF(D2442="","",X2442-Y2442)</f>
        <v/>
      </c>
      <c r="AD2442" s="5">
        <f>IF(D2442="","",AA2442-Z2442)</f>
        <v/>
      </c>
      <c r="AG2442">
        <f>IF(D2442="","",N(AG2441)+IF(MATCH(D2442,$D$2:$D$3001,0)=ROW()-1,1,0))</f>
        <v/>
      </c>
    </row>
    <row r="2443">
      <c r="Y2443" s="5">
        <f>IF(D2443="","",X2443*IF(AND(ISNUMBER(AC2443),AC2443&gt;0,AC2443&lt;1),AC2443*100,AC2443)/100)</f>
        <v/>
      </c>
      <c r="Z2443" s="5">
        <f>IF(D2443="","",AB2443*AA2443/100)</f>
        <v/>
      </c>
      <c r="AA2443" s="5">
        <f>IF(D2443="","",X2443-Y2443)</f>
        <v/>
      </c>
      <c r="AD2443" s="5">
        <f>IF(D2443="","",AA2443-Z2443)</f>
        <v/>
      </c>
      <c r="AG2443">
        <f>IF(D2443="","",N(AG2442)+IF(MATCH(D2443,$D$2:$D$3001,0)=ROW()-1,1,0))</f>
        <v/>
      </c>
    </row>
    <row r="2444">
      <c r="Y2444" s="5">
        <f>IF(D2444="","",X2444*IF(AND(ISNUMBER(AC2444),AC2444&gt;0,AC2444&lt;1),AC2444*100,AC2444)/100)</f>
        <v/>
      </c>
      <c r="Z2444" s="5">
        <f>IF(D2444="","",AB2444*AA2444/100)</f>
        <v/>
      </c>
      <c r="AA2444" s="5">
        <f>IF(D2444="","",X2444-Y2444)</f>
        <v/>
      </c>
      <c r="AD2444" s="5">
        <f>IF(D2444="","",AA2444-Z2444)</f>
        <v/>
      </c>
      <c r="AG2444">
        <f>IF(D2444="","",N(AG2443)+IF(MATCH(D2444,$D$2:$D$3001,0)=ROW()-1,1,0))</f>
        <v/>
      </c>
    </row>
    <row r="2445">
      <c r="Y2445" s="5">
        <f>IF(D2445="","",X2445*IF(AND(ISNUMBER(AC2445),AC2445&gt;0,AC2445&lt;1),AC2445*100,AC2445)/100)</f>
        <v/>
      </c>
      <c r="Z2445" s="5">
        <f>IF(D2445="","",AB2445*AA2445/100)</f>
        <v/>
      </c>
      <c r="AA2445" s="5">
        <f>IF(D2445="","",X2445-Y2445)</f>
        <v/>
      </c>
      <c r="AD2445" s="5">
        <f>IF(D2445="","",AA2445-Z2445)</f>
        <v/>
      </c>
      <c r="AG2445">
        <f>IF(D2445="","",N(AG2444)+IF(MATCH(D2445,$D$2:$D$3001,0)=ROW()-1,1,0))</f>
        <v/>
      </c>
    </row>
    <row r="2446">
      <c r="Y2446" s="5">
        <f>IF(D2446="","",X2446*IF(AND(ISNUMBER(AC2446),AC2446&gt;0,AC2446&lt;1),AC2446*100,AC2446)/100)</f>
        <v/>
      </c>
      <c r="Z2446" s="5">
        <f>IF(D2446="","",AB2446*AA2446/100)</f>
        <v/>
      </c>
      <c r="AA2446" s="5">
        <f>IF(D2446="","",X2446-Y2446)</f>
        <v/>
      </c>
      <c r="AD2446" s="5">
        <f>IF(D2446="","",AA2446-Z2446)</f>
        <v/>
      </c>
      <c r="AG2446">
        <f>IF(D2446="","",N(AG2445)+IF(MATCH(D2446,$D$2:$D$3001,0)=ROW()-1,1,0))</f>
        <v/>
      </c>
    </row>
    <row r="2447">
      <c r="Y2447" s="5">
        <f>IF(D2447="","",X2447*IF(AND(ISNUMBER(AC2447),AC2447&gt;0,AC2447&lt;1),AC2447*100,AC2447)/100)</f>
        <v/>
      </c>
      <c r="Z2447" s="5">
        <f>IF(D2447="","",AB2447*AA2447/100)</f>
        <v/>
      </c>
      <c r="AA2447" s="5">
        <f>IF(D2447="","",X2447-Y2447)</f>
        <v/>
      </c>
      <c r="AD2447" s="5">
        <f>IF(D2447="","",AA2447-Z2447)</f>
        <v/>
      </c>
      <c r="AG2447">
        <f>IF(D2447="","",N(AG2446)+IF(MATCH(D2447,$D$2:$D$3001,0)=ROW()-1,1,0))</f>
        <v/>
      </c>
    </row>
    <row r="2448">
      <c r="Y2448" s="5">
        <f>IF(D2448="","",X2448*IF(AND(ISNUMBER(AC2448),AC2448&gt;0,AC2448&lt;1),AC2448*100,AC2448)/100)</f>
        <v/>
      </c>
      <c r="Z2448" s="5">
        <f>IF(D2448="","",AB2448*AA2448/100)</f>
        <v/>
      </c>
      <c r="AA2448" s="5">
        <f>IF(D2448="","",X2448-Y2448)</f>
        <v/>
      </c>
      <c r="AD2448" s="5">
        <f>IF(D2448="","",AA2448-Z2448)</f>
        <v/>
      </c>
      <c r="AG2448">
        <f>IF(D2448="","",N(AG2447)+IF(MATCH(D2448,$D$2:$D$3001,0)=ROW()-1,1,0))</f>
        <v/>
      </c>
    </row>
    <row r="2449">
      <c r="Y2449" s="5">
        <f>IF(D2449="","",X2449*IF(AND(ISNUMBER(AC2449),AC2449&gt;0,AC2449&lt;1),AC2449*100,AC2449)/100)</f>
        <v/>
      </c>
      <c r="Z2449" s="5">
        <f>IF(D2449="","",AB2449*AA2449/100)</f>
        <v/>
      </c>
      <c r="AA2449" s="5">
        <f>IF(D2449="","",X2449-Y2449)</f>
        <v/>
      </c>
      <c r="AD2449" s="5">
        <f>IF(D2449="","",AA2449-Z2449)</f>
        <v/>
      </c>
      <c r="AG2449">
        <f>IF(D2449="","",N(AG2448)+IF(MATCH(D2449,$D$2:$D$3001,0)=ROW()-1,1,0))</f>
        <v/>
      </c>
    </row>
    <row r="2450">
      <c r="Y2450" s="5">
        <f>IF(D2450="","",X2450*IF(AND(ISNUMBER(AC2450),AC2450&gt;0,AC2450&lt;1),AC2450*100,AC2450)/100)</f>
        <v/>
      </c>
      <c r="Z2450" s="5">
        <f>IF(D2450="","",AB2450*AA2450/100)</f>
        <v/>
      </c>
      <c r="AA2450" s="5">
        <f>IF(D2450="","",X2450-Y2450)</f>
        <v/>
      </c>
      <c r="AD2450" s="5">
        <f>IF(D2450="","",AA2450-Z2450)</f>
        <v/>
      </c>
      <c r="AG2450">
        <f>IF(D2450="","",N(AG2449)+IF(MATCH(D2450,$D$2:$D$3001,0)=ROW()-1,1,0))</f>
        <v/>
      </c>
    </row>
    <row r="2451">
      <c r="Y2451" s="5">
        <f>IF(D2451="","",X2451*IF(AND(ISNUMBER(AC2451),AC2451&gt;0,AC2451&lt;1),AC2451*100,AC2451)/100)</f>
        <v/>
      </c>
      <c r="Z2451" s="5">
        <f>IF(D2451="","",AB2451*AA2451/100)</f>
        <v/>
      </c>
      <c r="AA2451" s="5">
        <f>IF(D2451="","",X2451-Y2451)</f>
        <v/>
      </c>
      <c r="AD2451" s="5">
        <f>IF(D2451="","",AA2451-Z2451)</f>
        <v/>
      </c>
      <c r="AG2451">
        <f>IF(D2451="","",N(AG2450)+IF(MATCH(D2451,$D$2:$D$3001,0)=ROW()-1,1,0))</f>
        <v/>
      </c>
    </row>
    <row r="2452">
      <c r="Y2452" s="5">
        <f>IF(D2452="","",X2452*IF(AND(ISNUMBER(AC2452),AC2452&gt;0,AC2452&lt;1),AC2452*100,AC2452)/100)</f>
        <v/>
      </c>
      <c r="Z2452" s="5">
        <f>IF(D2452="","",AB2452*AA2452/100)</f>
        <v/>
      </c>
      <c r="AA2452" s="5">
        <f>IF(D2452="","",X2452-Y2452)</f>
        <v/>
      </c>
      <c r="AD2452" s="5">
        <f>IF(D2452="","",AA2452-Z2452)</f>
        <v/>
      </c>
      <c r="AG2452">
        <f>IF(D2452="","",N(AG2451)+IF(MATCH(D2452,$D$2:$D$3001,0)=ROW()-1,1,0))</f>
        <v/>
      </c>
    </row>
    <row r="2453">
      <c r="Y2453" s="5">
        <f>IF(D2453="","",X2453*IF(AND(ISNUMBER(AC2453),AC2453&gt;0,AC2453&lt;1),AC2453*100,AC2453)/100)</f>
        <v/>
      </c>
      <c r="Z2453" s="5">
        <f>IF(D2453="","",AB2453*AA2453/100)</f>
        <v/>
      </c>
      <c r="AA2453" s="5">
        <f>IF(D2453="","",X2453-Y2453)</f>
        <v/>
      </c>
      <c r="AD2453" s="5">
        <f>IF(D2453="","",AA2453-Z2453)</f>
        <v/>
      </c>
      <c r="AG2453">
        <f>IF(D2453="","",N(AG2452)+IF(MATCH(D2453,$D$2:$D$3001,0)=ROW()-1,1,0))</f>
        <v/>
      </c>
    </row>
    <row r="2454">
      <c r="Y2454" s="5">
        <f>IF(D2454="","",X2454*IF(AND(ISNUMBER(AC2454),AC2454&gt;0,AC2454&lt;1),AC2454*100,AC2454)/100)</f>
        <v/>
      </c>
      <c r="Z2454" s="5">
        <f>IF(D2454="","",AB2454*AA2454/100)</f>
        <v/>
      </c>
      <c r="AA2454" s="5">
        <f>IF(D2454="","",X2454-Y2454)</f>
        <v/>
      </c>
      <c r="AD2454" s="5">
        <f>IF(D2454="","",AA2454-Z2454)</f>
        <v/>
      </c>
      <c r="AG2454">
        <f>IF(D2454="","",N(AG2453)+IF(MATCH(D2454,$D$2:$D$3001,0)=ROW()-1,1,0))</f>
        <v/>
      </c>
    </row>
    <row r="2455">
      <c r="Y2455" s="5">
        <f>IF(D2455="","",X2455*IF(AND(ISNUMBER(AC2455),AC2455&gt;0,AC2455&lt;1),AC2455*100,AC2455)/100)</f>
        <v/>
      </c>
      <c r="Z2455" s="5">
        <f>IF(D2455="","",AB2455*AA2455/100)</f>
        <v/>
      </c>
      <c r="AA2455" s="5">
        <f>IF(D2455="","",X2455-Y2455)</f>
        <v/>
      </c>
      <c r="AD2455" s="5">
        <f>IF(D2455="","",AA2455-Z2455)</f>
        <v/>
      </c>
      <c r="AG2455">
        <f>IF(D2455="","",N(AG2454)+IF(MATCH(D2455,$D$2:$D$3001,0)=ROW()-1,1,0))</f>
        <v/>
      </c>
    </row>
    <row r="2456">
      <c r="Y2456" s="5">
        <f>IF(D2456="","",X2456*IF(AND(ISNUMBER(AC2456),AC2456&gt;0,AC2456&lt;1),AC2456*100,AC2456)/100)</f>
        <v/>
      </c>
      <c r="Z2456" s="5">
        <f>IF(D2456="","",AB2456*AA2456/100)</f>
        <v/>
      </c>
      <c r="AA2456" s="5">
        <f>IF(D2456="","",X2456-Y2456)</f>
        <v/>
      </c>
      <c r="AD2456" s="5">
        <f>IF(D2456="","",AA2456-Z2456)</f>
        <v/>
      </c>
      <c r="AG2456">
        <f>IF(D2456="","",N(AG2455)+IF(MATCH(D2456,$D$2:$D$3001,0)=ROW()-1,1,0))</f>
        <v/>
      </c>
    </row>
    <row r="2457">
      <c r="Y2457" s="5">
        <f>IF(D2457="","",X2457*IF(AND(ISNUMBER(AC2457),AC2457&gt;0,AC2457&lt;1),AC2457*100,AC2457)/100)</f>
        <v/>
      </c>
      <c r="Z2457" s="5">
        <f>IF(D2457="","",AB2457*AA2457/100)</f>
        <v/>
      </c>
      <c r="AA2457" s="5">
        <f>IF(D2457="","",X2457-Y2457)</f>
        <v/>
      </c>
      <c r="AD2457" s="5">
        <f>IF(D2457="","",AA2457-Z2457)</f>
        <v/>
      </c>
      <c r="AG2457">
        <f>IF(D2457="","",N(AG2456)+IF(MATCH(D2457,$D$2:$D$3001,0)=ROW()-1,1,0))</f>
        <v/>
      </c>
    </row>
    <row r="2458">
      <c r="Y2458" s="5">
        <f>IF(D2458="","",X2458*IF(AND(ISNUMBER(AC2458),AC2458&gt;0,AC2458&lt;1),AC2458*100,AC2458)/100)</f>
        <v/>
      </c>
      <c r="Z2458" s="5">
        <f>IF(D2458="","",AB2458*AA2458/100)</f>
        <v/>
      </c>
      <c r="AA2458" s="5">
        <f>IF(D2458="","",X2458-Y2458)</f>
        <v/>
      </c>
      <c r="AD2458" s="5">
        <f>IF(D2458="","",AA2458-Z2458)</f>
        <v/>
      </c>
      <c r="AG2458">
        <f>IF(D2458="","",N(AG2457)+IF(MATCH(D2458,$D$2:$D$3001,0)=ROW()-1,1,0))</f>
        <v/>
      </c>
    </row>
    <row r="2459">
      <c r="Y2459" s="5">
        <f>IF(D2459="","",X2459*IF(AND(ISNUMBER(AC2459),AC2459&gt;0,AC2459&lt;1),AC2459*100,AC2459)/100)</f>
        <v/>
      </c>
      <c r="Z2459" s="5">
        <f>IF(D2459="","",AB2459*AA2459/100)</f>
        <v/>
      </c>
      <c r="AA2459" s="5">
        <f>IF(D2459="","",X2459-Y2459)</f>
        <v/>
      </c>
      <c r="AD2459" s="5">
        <f>IF(D2459="","",AA2459-Z2459)</f>
        <v/>
      </c>
      <c r="AG2459">
        <f>IF(D2459="","",N(AG2458)+IF(MATCH(D2459,$D$2:$D$3001,0)=ROW()-1,1,0))</f>
        <v/>
      </c>
    </row>
    <row r="2460">
      <c r="Y2460" s="5">
        <f>IF(D2460="","",X2460*IF(AND(ISNUMBER(AC2460),AC2460&gt;0,AC2460&lt;1),AC2460*100,AC2460)/100)</f>
        <v/>
      </c>
      <c r="Z2460" s="5">
        <f>IF(D2460="","",AB2460*AA2460/100)</f>
        <v/>
      </c>
      <c r="AA2460" s="5">
        <f>IF(D2460="","",X2460-Y2460)</f>
        <v/>
      </c>
      <c r="AD2460" s="5">
        <f>IF(D2460="","",AA2460-Z2460)</f>
        <v/>
      </c>
      <c r="AG2460">
        <f>IF(D2460="","",N(AG2459)+IF(MATCH(D2460,$D$2:$D$3001,0)=ROW()-1,1,0))</f>
        <v/>
      </c>
    </row>
    <row r="2461">
      <c r="Y2461" s="5">
        <f>IF(D2461="","",X2461*IF(AND(ISNUMBER(AC2461),AC2461&gt;0,AC2461&lt;1),AC2461*100,AC2461)/100)</f>
        <v/>
      </c>
      <c r="Z2461" s="5">
        <f>IF(D2461="","",AB2461*AA2461/100)</f>
        <v/>
      </c>
      <c r="AA2461" s="5">
        <f>IF(D2461="","",X2461-Y2461)</f>
        <v/>
      </c>
      <c r="AD2461" s="5">
        <f>IF(D2461="","",AA2461-Z2461)</f>
        <v/>
      </c>
      <c r="AG2461">
        <f>IF(D2461="","",N(AG2460)+IF(MATCH(D2461,$D$2:$D$3001,0)=ROW()-1,1,0))</f>
        <v/>
      </c>
    </row>
    <row r="2462">
      <c r="Y2462" s="5">
        <f>IF(D2462="","",X2462*IF(AND(ISNUMBER(AC2462),AC2462&gt;0,AC2462&lt;1),AC2462*100,AC2462)/100)</f>
        <v/>
      </c>
      <c r="Z2462" s="5">
        <f>IF(D2462="","",AB2462*AA2462/100)</f>
        <v/>
      </c>
      <c r="AA2462" s="5">
        <f>IF(D2462="","",X2462-Y2462)</f>
        <v/>
      </c>
      <c r="AD2462" s="5">
        <f>IF(D2462="","",AA2462-Z2462)</f>
        <v/>
      </c>
      <c r="AG2462">
        <f>IF(D2462="","",N(AG2461)+IF(MATCH(D2462,$D$2:$D$3001,0)=ROW()-1,1,0))</f>
        <v/>
      </c>
    </row>
    <row r="2463">
      <c r="Y2463" s="5">
        <f>IF(D2463="","",X2463*IF(AND(ISNUMBER(AC2463),AC2463&gt;0,AC2463&lt;1),AC2463*100,AC2463)/100)</f>
        <v/>
      </c>
      <c r="Z2463" s="5">
        <f>IF(D2463="","",AB2463*AA2463/100)</f>
        <v/>
      </c>
      <c r="AA2463" s="5">
        <f>IF(D2463="","",X2463-Y2463)</f>
        <v/>
      </c>
      <c r="AD2463" s="5">
        <f>IF(D2463="","",AA2463-Z2463)</f>
        <v/>
      </c>
      <c r="AG2463">
        <f>IF(D2463="","",N(AG2462)+IF(MATCH(D2463,$D$2:$D$3001,0)=ROW()-1,1,0))</f>
        <v/>
      </c>
    </row>
    <row r="2464">
      <c r="Y2464" s="5">
        <f>IF(D2464="","",X2464*IF(AND(ISNUMBER(AC2464),AC2464&gt;0,AC2464&lt;1),AC2464*100,AC2464)/100)</f>
        <v/>
      </c>
      <c r="Z2464" s="5">
        <f>IF(D2464="","",AB2464*AA2464/100)</f>
        <v/>
      </c>
      <c r="AA2464" s="5">
        <f>IF(D2464="","",X2464-Y2464)</f>
        <v/>
      </c>
      <c r="AD2464" s="5">
        <f>IF(D2464="","",AA2464-Z2464)</f>
        <v/>
      </c>
      <c r="AG2464">
        <f>IF(D2464="","",N(AG2463)+IF(MATCH(D2464,$D$2:$D$3001,0)=ROW()-1,1,0))</f>
        <v/>
      </c>
    </row>
    <row r="2465">
      <c r="Y2465" s="5">
        <f>IF(D2465="","",X2465*IF(AND(ISNUMBER(AC2465),AC2465&gt;0,AC2465&lt;1),AC2465*100,AC2465)/100)</f>
        <v/>
      </c>
      <c r="Z2465" s="5">
        <f>IF(D2465="","",AB2465*AA2465/100)</f>
        <v/>
      </c>
      <c r="AA2465" s="5">
        <f>IF(D2465="","",X2465-Y2465)</f>
        <v/>
      </c>
      <c r="AD2465" s="5">
        <f>IF(D2465="","",AA2465-Z2465)</f>
        <v/>
      </c>
      <c r="AG2465">
        <f>IF(D2465="","",N(AG2464)+IF(MATCH(D2465,$D$2:$D$3001,0)=ROW()-1,1,0))</f>
        <v/>
      </c>
    </row>
    <row r="2466">
      <c r="Y2466" s="5">
        <f>IF(D2466="","",X2466*IF(AND(ISNUMBER(AC2466),AC2466&gt;0,AC2466&lt;1),AC2466*100,AC2466)/100)</f>
        <v/>
      </c>
      <c r="Z2466" s="5">
        <f>IF(D2466="","",AB2466*AA2466/100)</f>
        <v/>
      </c>
      <c r="AA2466" s="5">
        <f>IF(D2466="","",X2466-Y2466)</f>
        <v/>
      </c>
      <c r="AD2466" s="5">
        <f>IF(D2466="","",AA2466-Z2466)</f>
        <v/>
      </c>
      <c r="AG2466">
        <f>IF(D2466="","",N(AG2465)+IF(MATCH(D2466,$D$2:$D$3001,0)=ROW()-1,1,0))</f>
        <v/>
      </c>
    </row>
    <row r="2467">
      <c r="Y2467" s="5">
        <f>IF(D2467="","",X2467*IF(AND(ISNUMBER(AC2467),AC2467&gt;0,AC2467&lt;1),AC2467*100,AC2467)/100)</f>
        <v/>
      </c>
      <c r="Z2467" s="5">
        <f>IF(D2467="","",AB2467*AA2467/100)</f>
        <v/>
      </c>
      <c r="AA2467" s="5">
        <f>IF(D2467="","",X2467-Y2467)</f>
        <v/>
      </c>
      <c r="AD2467" s="5">
        <f>IF(D2467="","",AA2467-Z2467)</f>
        <v/>
      </c>
      <c r="AG2467">
        <f>IF(D2467="","",N(AG2466)+IF(MATCH(D2467,$D$2:$D$3001,0)=ROW()-1,1,0))</f>
        <v/>
      </c>
    </row>
    <row r="2468">
      <c r="Y2468" s="5">
        <f>IF(D2468="","",X2468*IF(AND(ISNUMBER(AC2468),AC2468&gt;0,AC2468&lt;1),AC2468*100,AC2468)/100)</f>
        <v/>
      </c>
      <c r="Z2468" s="5">
        <f>IF(D2468="","",AB2468*AA2468/100)</f>
        <v/>
      </c>
      <c r="AA2468" s="5">
        <f>IF(D2468="","",X2468-Y2468)</f>
        <v/>
      </c>
      <c r="AD2468" s="5">
        <f>IF(D2468="","",AA2468-Z2468)</f>
        <v/>
      </c>
      <c r="AG2468">
        <f>IF(D2468="","",N(AG2467)+IF(MATCH(D2468,$D$2:$D$3001,0)=ROW()-1,1,0))</f>
        <v/>
      </c>
    </row>
    <row r="2469">
      <c r="Y2469" s="5">
        <f>IF(D2469="","",X2469*IF(AND(ISNUMBER(AC2469),AC2469&gt;0,AC2469&lt;1),AC2469*100,AC2469)/100)</f>
        <v/>
      </c>
      <c r="Z2469" s="5">
        <f>IF(D2469="","",AB2469*AA2469/100)</f>
        <v/>
      </c>
      <c r="AA2469" s="5">
        <f>IF(D2469="","",X2469-Y2469)</f>
        <v/>
      </c>
      <c r="AD2469" s="5">
        <f>IF(D2469="","",AA2469-Z2469)</f>
        <v/>
      </c>
      <c r="AG2469">
        <f>IF(D2469="","",N(AG2468)+IF(MATCH(D2469,$D$2:$D$3001,0)=ROW()-1,1,0))</f>
        <v/>
      </c>
    </row>
    <row r="2470">
      <c r="Y2470" s="5">
        <f>IF(D2470="","",X2470*IF(AND(ISNUMBER(AC2470),AC2470&gt;0,AC2470&lt;1),AC2470*100,AC2470)/100)</f>
        <v/>
      </c>
      <c r="Z2470" s="5">
        <f>IF(D2470="","",AB2470*AA2470/100)</f>
        <v/>
      </c>
      <c r="AA2470" s="5">
        <f>IF(D2470="","",X2470-Y2470)</f>
        <v/>
      </c>
      <c r="AD2470" s="5">
        <f>IF(D2470="","",AA2470-Z2470)</f>
        <v/>
      </c>
      <c r="AG2470">
        <f>IF(D2470="","",N(AG2469)+IF(MATCH(D2470,$D$2:$D$3001,0)=ROW()-1,1,0))</f>
        <v/>
      </c>
    </row>
    <row r="2471">
      <c r="Y2471" s="5">
        <f>IF(D2471="","",X2471*IF(AND(ISNUMBER(AC2471),AC2471&gt;0,AC2471&lt;1),AC2471*100,AC2471)/100)</f>
        <v/>
      </c>
      <c r="Z2471" s="5">
        <f>IF(D2471="","",AB2471*AA2471/100)</f>
        <v/>
      </c>
      <c r="AA2471" s="5">
        <f>IF(D2471="","",X2471-Y2471)</f>
        <v/>
      </c>
      <c r="AD2471" s="5">
        <f>IF(D2471="","",AA2471-Z2471)</f>
        <v/>
      </c>
      <c r="AG2471">
        <f>IF(D2471="","",N(AG2470)+IF(MATCH(D2471,$D$2:$D$3001,0)=ROW()-1,1,0))</f>
        <v/>
      </c>
    </row>
    <row r="2472">
      <c r="Y2472" s="5">
        <f>IF(D2472="","",X2472*IF(AND(ISNUMBER(AC2472),AC2472&gt;0,AC2472&lt;1),AC2472*100,AC2472)/100)</f>
        <v/>
      </c>
      <c r="Z2472" s="5">
        <f>IF(D2472="","",AB2472*AA2472/100)</f>
        <v/>
      </c>
      <c r="AA2472" s="5">
        <f>IF(D2472="","",X2472-Y2472)</f>
        <v/>
      </c>
      <c r="AD2472" s="5">
        <f>IF(D2472="","",AA2472-Z2472)</f>
        <v/>
      </c>
      <c r="AG2472">
        <f>IF(D2472="","",N(AG2471)+IF(MATCH(D2472,$D$2:$D$3001,0)=ROW()-1,1,0))</f>
        <v/>
      </c>
    </row>
    <row r="2473">
      <c r="Y2473" s="5">
        <f>IF(D2473="","",X2473*IF(AND(ISNUMBER(AC2473),AC2473&gt;0,AC2473&lt;1),AC2473*100,AC2473)/100)</f>
        <v/>
      </c>
      <c r="Z2473" s="5">
        <f>IF(D2473="","",AB2473*AA2473/100)</f>
        <v/>
      </c>
      <c r="AA2473" s="5">
        <f>IF(D2473="","",X2473-Y2473)</f>
        <v/>
      </c>
      <c r="AD2473" s="5">
        <f>IF(D2473="","",AA2473-Z2473)</f>
        <v/>
      </c>
      <c r="AG2473">
        <f>IF(D2473="","",N(AG2472)+IF(MATCH(D2473,$D$2:$D$3001,0)=ROW()-1,1,0))</f>
        <v/>
      </c>
    </row>
    <row r="2474">
      <c r="Y2474" s="5">
        <f>IF(D2474="","",X2474*IF(AND(ISNUMBER(AC2474),AC2474&gt;0,AC2474&lt;1),AC2474*100,AC2474)/100)</f>
        <v/>
      </c>
      <c r="Z2474" s="5">
        <f>IF(D2474="","",AB2474*AA2474/100)</f>
        <v/>
      </c>
      <c r="AA2474" s="5">
        <f>IF(D2474="","",X2474-Y2474)</f>
        <v/>
      </c>
      <c r="AD2474" s="5">
        <f>IF(D2474="","",AA2474-Z2474)</f>
        <v/>
      </c>
      <c r="AG2474">
        <f>IF(D2474="","",N(AG2473)+IF(MATCH(D2474,$D$2:$D$3001,0)=ROW()-1,1,0))</f>
        <v/>
      </c>
    </row>
    <row r="2475">
      <c r="Y2475" s="5">
        <f>IF(D2475="","",X2475*IF(AND(ISNUMBER(AC2475),AC2475&gt;0,AC2475&lt;1),AC2475*100,AC2475)/100)</f>
        <v/>
      </c>
      <c r="Z2475" s="5">
        <f>IF(D2475="","",AB2475*AA2475/100)</f>
        <v/>
      </c>
      <c r="AA2475" s="5">
        <f>IF(D2475="","",X2475-Y2475)</f>
        <v/>
      </c>
      <c r="AD2475" s="5">
        <f>IF(D2475="","",AA2475-Z2475)</f>
        <v/>
      </c>
      <c r="AG2475">
        <f>IF(D2475="","",N(AG2474)+IF(MATCH(D2475,$D$2:$D$3001,0)=ROW()-1,1,0))</f>
        <v/>
      </c>
    </row>
    <row r="2476">
      <c r="Y2476" s="5">
        <f>IF(D2476="","",X2476*IF(AND(ISNUMBER(AC2476),AC2476&gt;0,AC2476&lt;1),AC2476*100,AC2476)/100)</f>
        <v/>
      </c>
      <c r="Z2476" s="5">
        <f>IF(D2476="","",AB2476*AA2476/100)</f>
        <v/>
      </c>
      <c r="AA2476" s="5">
        <f>IF(D2476="","",X2476-Y2476)</f>
        <v/>
      </c>
      <c r="AD2476" s="5">
        <f>IF(D2476="","",AA2476-Z2476)</f>
        <v/>
      </c>
      <c r="AG2476">
        <f>IF(D2476="","",N(AG2475)+IF(MATCH(D2476,$D$2:$D$3001,0)=ROW()-1,1,0))</f>
        <v/>
      </c>
    </row>
    <row r="2477">
      <c r="Y2477" s="5">
        <f>IF(D2477="","",X2477*IF(AND(ISNUMBER(AC2477),AC2477&gt;0,AC2477&lt;1),AC2477*100,AC2477)/100)</f>
        <v/>
      </c>
      <c r="Z2477" s="5">
        <f>IF(D2477="","",AB2477*AA2477/100)</f>
        <v/>
      </c>
      <c r="AA2477" s="5">
        <f>IF(D2477="","",X2477-Y2477)</f>
        <v/>
      </c>
      <c r="AD2477" s="5">
        <f>IF(D2477="","",AA2477-Z2477)</f>
        <v/>
      </c>
      <c r="AG2477">
        <f>IF(D2477="","",N(AG2476)+IF(MATCH(D2477,$D$2:$D$3001,0)=ROW()-1,1,0))</f>
        <v/>
      </c>
    </row>
    <row r="2478">
      <c r="Y2478" s="5">
        <f>IF(D2478="","",X2478*IF(AND(ISNUMBER(AC2478),AC2478&gt;0,AC2478&lt;1),AC2478*100,AC2478)/100)</f>
        <v/>
      </c>
      <c r="Z2478" s="5">
        <f>IF(D2478="","",AB2478*AA2478/100)</f>
        <v/>
      </c>
      <c r="AA2478" s="5">
        <f>IF(D2478="","",X2478-Y2478)</f>
        <v/>
      </c>
      <c r="AD2478" s="5">
        <f>IF(D2478="","",AA2478-Z2478)</f>
        <v/>
      </c>
      <c r="AG2478">
        <f>IF(D2478="","",N(AG2477)+IF(MATCH(D2478,$D$2:$D$3001,0)=ROW()-1,1,0))</f>
        <v/>
      </c>
    </row>
    <row r="2479">
      <c r="Y2479" s="5">
        <f>IF(D2479="","",X2479*IF(AND(ISNUMBER(AC2479),AC2479&gt;0,AC2479&lt;1),AC2479*100,AC2479)/100)</f>
        <v/>
      </c>
      <c r="Z2479" s="5">
        <f>IF(D2479="","",AB2479*AA2479/100)</f>
        <v/>
      </c>
      <c r="AA2479" s="5">
        <f>IF(D2479="","",X2479-Y2479)</f>
        <v/>
      </c>
      <c r="AD2479" s="5">
        <f>IF(D2479="","",AA2479-Z2479)</f>
        <v/>
      </c>
      <c r="AG2479">
        <f>IF(D2479="","",N(AG2478)+IF(MATCH(D2479,$D$2:$D$3001,0)=ROW()-1,1,0))</f>
        <v/>
      </c>
    </row>
    <row r="2480">
      <c r="Y2480" s="5">
        <f>IF(D2480="","",X2480*IF(AND(ISNUMBER(AC2480),AC2480&gt;0,AC2480&lt;1),AC2480*100,AC2480)/100)</f>
        <v/>
      </c>
      <c r="Z2480" s="5">
        <f>IF(D2480="","",AB2480*AA2480/100)</f>
        <v/>
      </c>
      <c r="AA2480" s="5">
        <f>IF(D2480="","",X2480-Y2480)</f>
        <v/>
      </c>
      <c r="AD2480" s="5">
        <f>IF(D2480="","",AA2480-Z2480)</f>
        <v/>
      </c>
      <c r="AG2480">
        <f>IF(D2480="","",N(AG2479)+IF(MATCH(D2480,$D$2:$D$3001,0)=ROW()-1,1,0))</f>
        <v/>
      </c>
    </row>
    <row r="2481">
      <c r="Y2481" s="5">
        <f>IF(D2481="","",X2481*IF(AND(ISNUMBER(AC2481),AC2481&gt;0,AC2481&lt;1),AC2481*100,AC2481)/100)</f>
        <v/>
      </c>
      <c r="Z2481" s="5">
        <f>IF(D2481="","",AB2481*AA2481/100)</f>
        <v/>
      </c>
      <c r="AA2481" s="5">
        <f>IF(D2481="","",X2481-Y2481)</f>
        <v/>
      </c>
      <c r="AD2481" s="5">
        <f>IF(D2481="","",AA2481-Z2481)</f>
        <v/>
      </c>
      <c r="AG2481">
        <f>IF(D2481="","",N(AG2480)+IF(MATCH(D2481,$D$2:$D$3001,0)=ROW()-1,1,0))</f>
        <v/>
      </c>
    </row>
    <row r="2482">
      <c r="Y2482" s="5">
        <f>IF(D2482="","",X2482*IF(AND(ISNUMBER(AC2482),AC2482&gt;0,AC2482&lt;1),AC2482*100,AC2482)/100)</f>
        <v/>
      </c>
      <c r="Z2482" s="5">
        <f>IF(D2482="","",AB2482*AA2482/100)</f>
        <v/>
      </c>
      <c r="AA2482" s="5">
        <f>IF(D2482="","",X2482-Y2482)</f>
        <v/>
      </c>
      <c r="AD2482" s="5">
        <f>IF(D2482="","",AA2482-Z2482)</f>
        <v/>
      </c>
      <c r="AG2482">
        <f>IF(D2482="","",N(AG2481)+IF(MATCH(D2482,$D$2:$D$3001,0)=ROW()-1,1,0))</f>
        <v/>
      </c>
    </row>
    <row r="2483">
      <c r="Y2483" s="5">
        <f>IF(D2483="","",X2483*IF(AND(ISNUMBER(AC2483),AC2483&gt;0,AC2483&lt;1),AC2483*100,AC2483)/100)</f>
        <v/>
      </c>
      <c r="Z2483" s="5">
        <f>IF(D2483="","",AB2483*AA2483/100)</f>
        <v/>
      </c>
      <c r="AA2483" s="5">
        <f>IF(D2483="","",X2483-Y2483)</f>
        <v/>
      </c>
      <c r="AD2483" s="5">
        <f>IF(D2483="","",AA2483-Z2483)</f>
        <v/>
      </c>
      <c r="AG2483">
        <f>IF(D2483="","",N(AG2482)+IF(MATCH(D2483,$D$2:$D$3001,0)=ROW()-1,1,0))</f>
        <v/>
      </c>
    </row>
    <row r="2484">
      <c r="Y2484" s="5">
        <f>IF(D2484="","",X2484*IF(AND(ISNUMBER(AC2484),AC2484&gt;0,AC2484&lt;1),AC2484*100,AC2484)/100)</f>
        <v/>
      </c>
      <c r="Z2484" s="5">
        <f>IF(D2484="","",AB2484*AA2484/100)</f>
        <v/>
      </c>
      <c r="AA2484" s="5">
        <f>IF(D2484="","",X2484-Y2484)</f>
        <v/>
      </c>
      <c r="AD2484" s="5">
        <f>IF(D2484="","",AA2484-Z2484)</f>
        <v/>
      </c>
      <c r="AG2484">
        <f>IF(D2484="","",N(AG2483)+IF(MATCH(D2484,$D$2:$D$3001,0)=ROW()-1,1,0))</f>
        <v/>
      </c>
    </row>
    <row r="2485">
      <c r="Y2485" s="5">
        <f>IF(D2485="","",X2485*IF(AND(ISNUMBER(AC2485),AC2485&gt;0,AC2485&lt;1),AC2485*100,AC2485)/100)</f>
        <v/>
      </c>
      <c r="Z2485" s="5">
        <f>IF(D2485="","",AB2485*AA2485/100)</f>
        <v/>
      </c>
      <c r="AA2485" s="5">
        <f>IF(D2485="","",X2485-Y2485)</f>
        <v/>
      </c>
      <c r="AD2485" s="5">
        <f>IF(D2485="","",AA2485-Z2485)</f>
        <v/>
      </c>
      <c r="AG2485">
        <f>IF(D2485="","",N(AG2484)+IF(MATCH(D2485,$D$2:$D$3001,0)=ROW()-1,1,0))</f>
        <v/>
      </c>
    </row>
    <row r="2486">
      <c r="Y2486" s="5">
        <f>IF(D2486="","",X2486*IF(AND(ISNUMBER(AC2486),AC2486&gt;0,AC2486&lt;1),AC2486*100,AC2486)/100)</f>
        <v/>
      </c>
      <c r="Z2486" s="5">
        <f>IF(D2486="","",AB2486*AA2486/100)</f>
        <v/>
      </c>
      <c r="AA2486" s="5">
        <f>IF(D2486="","",X2486-Y2486)</f>
        <v/>
      </c>
      <c r="AD2486" s="5">
        <f>IF(D2486="","",AA2486-Z2486)</f>
        <v/>
      </c>
      <c r="AG2486">
        <f>IF(D2486="","",N(AG2485)+IF(MATCH(D2486,$D$2:$D$3001,0)=ROW()-1,1,0))</f>
        <v/>
      </c>
    </row>
    <row r="2487">
      <c r="Y2487" s="5">
        <f>IF(D2487="","",X2487*IF(AND(ISNUMBER(AC2487),AC2487&gt;0,AC2487&lt;1),AC2487*100,AC2487)/100)</f>
        <v/>
      </c>
      <c r="Z2487" s="5">
        <f>IF(D2487="","",AB2487*AA2487/100)</f>
        <v/>
      </c>
      <c r="AA2487" s="5">
        <f>IF(D2487="","",X2487-Y2487)</f>
        <v/>
      </c>
      <c r="AD2487" s="5">
        <f>IF(D2487="","",AA2487-Z2487)</f>
        <v/>
      </c>
      <c r="AG2487">
        <f>IF(D2487="","",N(AG2486)+IF(MATCH(D2487,$D$2:$D$3001,0)=ROW()-1,1,0))</f>
        <v/>
      </c>
    </row>
    <row r="2488">
      <c r="Y2488" s="5">
        <f>IF(D2488="","",X2488*IF(AND(ISNUMBER(AC2488),AC2488&gt;0,AC2488&lt;1),AC2488*100,AC2488)/100)</f>
        <v/>
      </c>
      <c r="Z2488" s="5">
        <f>IF(D2488="","",AB2488*AA2488/100)</f>
        <v/>
      </c>
      <c r="AA2488" s="5">
        <f>IF(D2488="","",X2488-Y2488)</f>
        <v/>
      </c>
      <c r="AD2488" s="5">
        <f>IF(D2488="","",AA2488-Z2488)</f>
        <v/>
      </c>
      <c r="AG2488">
        <f>IF(D2488="","",N(AG2487)+IF(MATCH(D2488,$D$2:$D$3001,0)=ROW()-1,1,0))</f>
        <v/>
      </c>
    </row>
    <row r="2489">
      <c r="Y2489" s="5">
        <f>IF(D2489="","",X2489*IF(AND(ISNUMBER(AC2489),AC2489&gt;0,AC2489&lt;1),AC2489*100,AC2489)/100)</f>
        <v/>
      </c>
      <c r="Z2489" s="5">
        <f>IF(D2489="","",AB2489*AA2489/100)</f>
        <v/>
      </c>
      <c r="AA2489" s="5">
        <f>IF(D2489="","",X2489-Y2489)</f>
        <v/>
      </c>
      <c r="AD2489" s="5">
        <f>IF(D2489="","",AA2489-Z2489)</f>
        <v/>
      </c>
      <c r="AG2489">
        <f>IF(D2489="","",N(AG2488)+IF(MATCH(D2489,$D$2:$D$3001,0)=ROW()-1,1,0))</f>
        <v/>
      </c>
    </row>
    <row r="2490">
      <c r="Y2490" s="5">
        <f>IF(D2490="","",X2490*IF(AND(ISNUMBER(AC2490),AC2490&gt;0,AC2490&lt;1),AC2490*100,AC2490)/100)</f>
        <v/>
      </c>
      <c r="Z2490" s="5">
        <f>IF(D2490="","",AB2490*AA2490/100)</f>
        <v/>
      </c>
      <c r="AA2490" s="5">
        <f>IF(D2490="","",X2490-Y2490)</f>
        <v/>
      </c>
      <c r="AD2490" s="5">
        <f>IF(D2490="","",AA2490-Z2490)</f>
        <v/>
      </c>
      <c r="AG2490">
        <f>IF(D2490="","",N(AG2489)+IF(MATCH(D2490,$D$2:$D$3001,0)=ROW()-1,1,0))</f>
        <v/>
      </c>
    </row>
    <row r="2491">
      <c r="Y2491" s="5">
        <f>IF(D2491="","",X2491*IF(AND(ISNUMBER(AC2491),AC2491&gt;0,AC2491&lt;1),AC2491*100,AC2491)/100)</f>
        <v/>
      </c>
      <c r="Z2491" s="5">
        <f>IF(D2491="","",AB2491*AA2491/100)</f>
        <v/>
      </c>
      <c r="AA2491" s="5">
        <f>IF(D2491="","",X2491-Y2491)</f>
        <v/>
      </c>
      <c r="AD2491" s="5">
        <f>IF(D2491="","",AA2491-Z2491)</f>
        <v/>
      </c>
      <c r="AG2491">
        <f>IF(D2491="","",N(AG2490)+IF(MATCH(D2491,$D$2:$D$3001,0)=ROW()-1,1,0))</f>
        <v/>
      </c>
    </row>
    <row r="2492">
      <c r="Y2492" s="5">
        <f>IF(D2492="","",X2492*IF(AND(ISNUMBER(AC2492),AC2492&gt;0,AC2492&lt;1),AC2492*100,AC2492)/100)</f>
        <v/>
      </c>
      <c r="Z2492" s="5">
        <f>IF(D2492="","",AB2492*AA2492/100)</f>
        <v/>
      </c>
      <c r="AA2492" s="5">
        <f>IF(D2492="","",X2492-Y2492)</f>
        <v/>
      </c>
      <c r="AD2492" s="5">
        <f>IF(D2492="","",AA2492-Z2492)</f>
        <v/>
      </c>
      <c r="AG2492">
        <f>IF(D2492="","",N(AG2491)+IF(MATCH(D2492,$D$2:$D$3001,0)=ROW()-1,1,0))</f>
        <v/>
      </c>
    </row>
    <row r="2493">
      <c r="Y2493" s="5">
        <f>IF(D2493="","",X2493*IF(AND(ISNUMBER(AC2493),AC2493&gt;0,AC2493&lt;1),AC2493*100,AC2493)/100)</f>
        <v/>
      </c>
      <c r="Z2493" s="5">
        <f>IF(D2493="","",AB2493*AA2493/100)</f>
        <v/>
      </c>
      <c r="AA2493" s="5">
        <f>IF(D2493="","",X2493-Y2493)</f>
        <v/>
      </c>
      <c r="AD2493" s="5">
        <f>IF(D2493="","",AA2493-Z2493)</f>
        <v/>
      </c>
      <c r="AG2493">
        <f>IF(D2493="","",N(AG2492)+IF(MATCH(D2493,$D$2:$D$3001,0)=ROW()-1,1,0))</f>
        <v/>
      </c>
    </row>
    <row r="2494">
      <c r="Y2494" s="5">
        <f>IF(D2494="","",X2494*IF(AND(ISNUMBER(AC2494),AC2494&gt;0,AC2494&lt;1),AC2494*100,AC2494)/100)</f>
        <v/>
      </c>
      <c r="Z2494" s="5">
        <f>IF(D2494="","",AB2494*AA2494/100)</f>
        <v/>
      </c>
      <c r="AA2494" s="5">
        <f>IF(D2494="","",X2494-Y2494)</f>
        <v/>
      </c>
      <c r="AD2494" s="5">
        <f>IF(D2494="","",AA2494-Z2494)</f>
        <v/>
      </c>
      <c r="AG2494">
        <f>IF(D2494="","",N(AG2493)+IF(MATCH(D2494,$D$2:$D$3001,0)=ROW()-1,1,0))</f>
        <v/>
      </c>
    </row>
    <row r="2495">
      <c r="Y2495" s="5">
        <f>IF(D2495="","",X2495*IF(AND(ISNUMBER(AC2495),AC2495&gt;0,AC2495&lt;1),AC2495*100,AC2495)/100)</f>
        <v/>
      </c>
      <c r="Z2495" s="5">
        <f>IF(D2495="","",AB2495*AA2495/100)</f>
        <v/>
      </c>
      <c r="AA2495" s="5">
        <f>IF(D2495="","",X2495-Y2495)</f>
        <v/>
      </c>
      <c r="AD2495" s="5">
        <f>IF(D2495="","",AA2495-Z2495)</f>
        <v/>
      </c>
      <c r="AG2495">
        <f>IF(D2495="","",N(AG2494)+IF(MATCH(D2495,$D$2:$D$3001,0)=ROW()-1,1,0))</f>
        <v/>
      </c>
    </row>
    <row r="2496">
      <c r="Y2496" s="5">
        <f>IF(D2496="","",X2496*IF(AND(ISNUMBER(AC2496),AC2496&gt;0,AC2496&lt;1),AC2496*100,AC2496)/100)</f>
        <v/>
      </c>
      <c r="Z2496" s="5">
        <f>IF(D2496="","",AB2496*AA2496/100)</f>
        <v/>
      </c>
      <c r="AA2496" s="5">
        <f>IF(D2496="","",X2496-Y2496)</f>
        <v/>
      </c>
      <c r="AD2496" s="5">
        <f>IF(D2496="","",AA2496-Z2496)</f>
        <v/>
      </c>
      <c r="AG2496">
        <f>IF(D2496="","",N(AG2495)+IF(MATCH(D2496,$D$2:$D$3001,0)=ROW()-1,1,0))</f>
        <v/>
      </c>
    </row>
    <row r="2497">
      <c r="Y2497" s="5">
        <f>IF(D2497="","",X2497*IF(AND(ISNUMBER(AC2497),AC2497&gt;0,AC2497&lt;1),AC2497*100,AC2497)/100)</f>
        <v/>
      </c>
      <c r="Z2497" s="5">
        <f>IF(D2497="","",AB2497*AA2497/100)</f>
        <v/>
      </c>
      <c r="AA2497" s="5">
        <f>IF(D2497="","",X2497-Y2497)</f>
        <v/>
      </c>
      <c r="AD2497" s="5">
        <f>IF(D2497="","",AA2497-Z2497)</f>
        <v/>
      </c>
      <c r="AG2497">
        <f>IF(D2497="","",N(AG2496)+IF(MATCH(D2497,$D$2:$D$3001,0)=ROW()-1,1,0))</f>
        <v/>
      </c>
    </row>
    <row r="2498">
      <c r="Y2498" s="5">
        <f>IF(D2498="","",X2498*IF(AND(ISNUMBER(AC2498),AC2498&gt;0,AC2498&lt;1),AC2498*100,AC2498)/100)</f>
        <v/>
      </c>
      <c r="Z2498" s="5">
        <f>IF(D2498="","",AB2498*AA2498/100)</f>
        <v/>
      </c>
      <c r="AA2498" s="5">
        <f>IF(D2498="","",X2498-Y2498)</f>
        <v/>
      </c>
      <c r="AD2498" s="5">
        <f>IF(D2498="","",AA2498-Z2498)</f>
        <v/>
      </c>
      <c r="AG2498">
        <f>IF(D2498="","",N(AG2497)+IF(MATCH(D2498,$D$2:$D$3001,0)=ROW()-1,1,0))</f>
        <v/>
      </c>
    </row>
    <row r="2499">
      <c r="Y2499" s="5">
        <f>IF(D2499="","",X2499*IF(AND(ISNUMBER(AC2499),AC2499&gt;0,AC2499&lt;1),AC2499*100,AC2499)/100)</f>
        <v/>
      </c>
      <c r="Z2499" s="5">
        <f>IF(D2499="","",AB2499*AA2499/100)</f>
        <v/>
      </c>
      <c r="AA2499" s="5">
        <f>IF(D2499="","",X2499-Y2499)</f>
        <v/>
      </c>
      <c r="AD2499" s="5">
        <f>IF(D2499="","",AA2499-Z2499)</f>
        <v/>
      </c>
      <c r="AG2499">
        <f>IF(D2499="","",N(AG2498)+IF(MATCH(D2499,$D$2:$D$3001,0)=ROW()-1,1,0))</f>
        <v/>
      </c>
    </row>
    <row r="2500">
      <c r="Y2500" s="5">
        <f>IF(D2500="","",X2500*IF(AND(ISNUMBER(AC2500),AC2500&gt;0,AC2500&lt;1),AC2500*100,AC2500)/100)</f>
        <v/>
      </c>
      <c r="Z2500" s="5">
        <f>IF(D2500="","",AB2500*AA2500/100)</f>
        <v/>
      </c>
      <c r="AA2500" s="5">
        <f>IF(D2500="","",X2500-Y2500)</f>
        <v/>
      </c>
      <c r="AD2500" s="5">
        <f>IF(D2500="","",AA2500-Z2500)</f>
        <v/>
      </c>
      <c r="AG2500">
        <f>IF(D2500="","",N(AG2499)+IF(MATCH(D2500,$D$2:$D$3001,0)=ROW()-1,1,0))</f>
        <v/>
      </c>
    </row>
    <row r="2501">
      <c r="Y2501" s="5">
        <f>IF(D2501="","",X2501*IF(AND(ISNUMBER(AC2501),AC2501&gt;0,AC2501&lt;1),AC2501*100,AC2501)/100)</f>
        <v/>
      </c>
      <c r="Z2501" s="5">
        <f>IF(D2501="","",AB2501*AA2501/100)</f>
        <v/>
      </c>
      <c r="AA2501" s="5">
        <f>IF(D2501="","",X2501-Y2501)</f>
        <v/>
      </c>
      <c r="AD2501" s="5">
        <f>IF(D2501="","",AA2501-Z2501)</f>
        <v/>
      </c>
      <c r="AG2501">
        <f>IF(D2501="","",N(AG2500)+IF(MATCH(D2501,$D$2:$D$3001,0)=ROW()-1,1,0))</f>
        <v/>
      </c>
    </row>
    <row r="2502">
      <c r="Y2502" s="5">
        <f>IF(D2502="","",X2502*IF(AND(ISNUMBER(AC2502),AC2502&gt;0,AC2502&lt;1),AC2502*100,AC2502)/100)</f>
        <v/>
      </c>
      <c r="Z2502" s="5">
        <f>IF(D2502="","",AB2502*AA2502/100)</f>
        <v/>
      </c>
      <c r="AA2502" s="5">
        <f>IF(D2502="","",X2502-Y2502)</f>
        <v/>
      </c>
      <c r="AD2502" s="5">
        <f>IF(D2502="","",AA2502-Z2502)</f>
        <v/>
      </c>
      <c r="AG2502">
        <f>IF(D2502="","",N(AG2501)+IF(MATCH(D2502,$D$2:$D$3001,0)=ROW()-1,1,0))</f>
        <v/>
      </c>
    </row>
    <row r="2503">
      <c r="Y2503" s="5">
        <f>IF(D2503="","",X2503*IF(AND(ISNUMBER(AC2503),AC2503&gt;0,AC2503&lt;1),AC2503*100,AC2503)/100)</f>
        <v/>
      </c>
      <c r="Z2503" s="5">
        <f>IF(D2503="","",AB2503*AA2503/100)</f>
        <v/>
      </c>
      <c r="AA2503" s="5">
        <f>IF(D2503="","",X2503-Y2503)</f>
        <v/>
      </c>
      <c r="AD2503" s="5">
        <f>IF(D2503="","",AA2503-Z2503)</f>
        <v/>
      </c>
      <c r="AG2503">
        <f>IF(D2503="","",N(AG2502)+IF(MATCH(D2503,$D$2:$D$3001,0)=ROW()-1,1,0))</f>
        <v/>
      </c>
    </row>
    <row r="2504">
      <c r="Y2504" s="5">
        <f>IF(D2504="","",X2504*IF(AND(ISNUMBER(AC2504),AC2504&gt;0,AC2504&lt;1),AC2504*100,AC2504)/100)</f>
        <v/>
      </c>
      <c r="Z2504" s="5">
        <f>IF(D2504="","",AB2504*AA2504/100)</f>
        <v/>
      </c>
      <c r="AA2504" s="5">
        <f>IF(D2504="","",X2504-Y2504)</f>
        <v/>
      </c>
      <c r="AD2504" s="5">
        <f>IF(D2504="","",AA2504-Z2504)</f>
        <v/>
      </c>
      <c r="AG2504">
        <f>IF(D2504="","",N(AG2503)+IF(MATCH(D2504,$D$2:$D$3001,0)=ROW()-1,1,0))</f>
        <v/>
      </c>
    </row>
    <row r="2505">
      <c r="Y2505" s="5">
        <f>IF(D2505="","",X2505*IF(AND(ISNUMBER(AC2505),AC2505&gt;0,AC2505&lt;1),AC2505*100,AC2505)/100)</f>
        <v/>
      </c>
      <c r="Z2505" s="5">
        <f>IF(D2505="","",AB2505*AA2505/100)</f>
        <v/>
      </c>
      <c r="AA2505" s="5">
        <f>IF(D2505="","",X2505-Y2505)</f>
        <v/>
      </c>
      <c r="AD2505" s="5">
        <f>IF(D2505="","",AA2505-Z2505)</f>
        <v/>
      </c>
      <c r="AG2505">
        <f>IF(D2505="","",N(AG2504)+IF(MATCH(D2505,$D$2:$D$3001,0)=ROW()-1,1,0))</f>
        <v/>
      </c>
    </row>
    <row r="2506">
      <c r="Y2506" s="5">
        <f>IF(D2506="","",X2506*IF(AND(ISNUMBER(AC2506),AC2506&gt;0,AC2506&lt;1),AC2506*100,AC2506)/100)</f>
        <v/>
      </c>
      <c r="Z2506" s="5">
        <f>IF(D2506="","",AB2506*AA2506/100)</f>
        <v/>
      </c>
      <c r="AA2506" s="5">
        <f>IF(D2506="","",X2506-Y2506)</f>
        <v/>
      </c>
      <c r="AD2506" s="5">
        <f>IF(D2506="","",AA2506-Z2506)</f>
        <v/>
      </c>
      <c r="AG2506">
        <f>IF(D2506="","",N(AG2505)+IF(MATCH(D2506,$D$2:$D$3001,0)=ROW()-1,1,0))</f>
        <v/>
      </c>
    </row>
    <row r="2507">
      <c r="Y2507" s="5">
        <f>IF(D2507="","",X2507*IF(AND(ISNUMBER(AC2507),AC2507&gt;0,AC2507&lt;1),AC2507*100,AC2507)/100)</f>
        <v/>
      </c>
      <c r="Z2507" s="5">
        <f>IF(D2507="","",AB2507*AA2507/100)</f>
        <v/>
      </c>
      <c r="AA2507" s="5">
        <f>IF(D2507="","",X2507-Y2507)</f>
        <v/>
      </c>
      <c r="AD2507" s="5">
        <f>IF(D2507="","",AA2507-Z2507)</f>
        <v/>
      </c>
      <c r="AG2507">
        <f>IF(D2507="","",N(AG2506)+IF(MATCH(D2507,$D$2:$D$3001,0)=ROW()-1,1,0))</f>
        <v/>
      </c>
    </row>
    <row r="2508">
      <c r="Y2508" s="5">
        <f>IF(D2508="","",X2508*IF(AND(ISNUMBER(AC2508),AC2508&gt;0,AC2508&lt;1),AC2508*100,AC2508)/100)</f>
        <v/>
      </c>
      <c r="Z2508" s="5">
        <f>IF(D2508="","",AB2508*AA2508/100)</f>
        <v/>
      </c>
      <c r="AA2508" s="5">
        <f>IF(D2508="","",X2508-Y2508)</f>
        <v/>
      </c>
      <c r="AD2508" s="5">
        <f>IF(D2508="","",AA2508-Z2508)</f>
        <v/>
      </c>
      <c r="AG2508">
        <f>IF(D2508="","",N(AG2507)+IF(MATCH(D2508,$D$2:$D$3001,0)=ROW()-1,1,0))</f>
        <v/>
      </c>
    </row>
    <row r="2509">
      <c r="Y2509" s="5">
        <f>IF(D2509="","",X2509*IF(AND(ISNUMBER(AC2509),AC2509&gt;0,AC2509&lt;1),AC2509*100,AC2509)/100)</f>
        <v/>
      </c>
      <c r="Z2509" s="5">
        <f>IF(D2509="","",AB2509*AA2509/100)</f>
        <v/>
      </c>
      <c r="AA2509" s="5">
        <f>IF(D2509="","",X2509-Y2509)</f>
        <v/>
      </c>
      <c r="AD2509" s="5">
        <f>IF(D2509="","",AA2509-Z2509)</f>
        <v/>
      </c>
      <c r="AG2509">
        <f>IF(D2509="","",N(AG2508)+IF(MATCH(D2509,$D$2:$D$3001,0)=ROW()-1,1,0))</f>
        <v/>
      </c>
    </row>
    <row r="2510">
      <c r="Y2510" s="5">
        <f>IF(D2510="","",X2510*IF(AND(ISNUMBER(AC2510),AC2510&gt;0,AC2510&lt;1),AC2510*100,AC2510)/100)</f>
        <v/>
      </c>
      <c r="Z2510" s="5">
        <f>IF(D2510="","",AB2510*AA2510/100)</f>
        <v/>
      </c>
      <c r="AA2510" s="5">
        <f>IF(D2510="","",X2510-Y2510)</f>
        <v/>
      </c>
      <c r="AD2510" s="5">
        <f>IF(D2510="","",AA2510-Z2510)</f>
        <v/>
      </c>
      <c r="AG2510">
        <f>IF(D2510="","",N(AG2509)+IF(MATCH(D2510,$D$2:$D$3001,0)=ROW()-1,1,0))</f>
        <v/>
      </c>
    </row>
    <row r="2511">
      <c r="Y2511" s="5">
        <f>IF(D2511="","",X2511*IF(AND(ISNUMBER(AC2511),AC2511&gt;0,AC2511&lt;1),AC2511*100,AC2511)/100)</f>
        <v/>
      </c>
      <c r="Z2511" s="5">
        <f>IF(D2511="","",AB2511*AA2511/100)</f>
        <v/>
      </c>
      <c r="AA2511" s="5">
        <f>IF(D2511="","",X2511-Y2511)</f>
        <v/>
      </c>
      <c r="AD2511" s="5">
        <f>IF(D2511="","",AA2511-Z2511)</f>
        <v/>
      </c>
      <c r="AG2511">
        <f>IF(D2511="","",N(AG2510)+IF(MATCH(D2511,$D$2:$D$3001,0)=ROW()-1,1,0))</f>
        <v/>
      </c>
    </row>
    <row r="2512">
      <c r="Y2512" s="5">
        <f>IF(D2512="","",X2512*IF(AND(ISNUMBER(AC2512),AC2512&gt;0,AC2512&lt;1),AC2512*100,AC2512)/100)</f>
        <v/>
      </c>
      <c r="Z2512" s="5">
        <f>IF(D2512="","",AB2512*AA2512/100)</f>
        <v/>
      </c>
      <c r="AA2512" s="5">
        <f>IF(D2512="","",X2512-Y2512)</f>
        <v/>
      </c>
      <c r="AD2512" s="5">
        <f>IF(D2512="","",AA2512-Z2512)</f>
        <v/>
      </c>
      <c r="AG2512">
        <f>IF(D2512="","",N(AG2511)+IF(MATCH(D2512,$D$2:$D$3001,0)=ROW()-1,1,0))</f>
        <v/>
      </c>
    </row>
    <row r="2513">
      <c r="Y2513" s="5">
        <f>IF(D2513="","",X2513*IF(AND(ISNUMBER(AC2513),AC2513&gt;0,AC2513&lt;1),AC2513*100,AC2513)/100)</f>
        <v/>
      </c>
      <c r="Z2513" s="5">
        <f>IF(D2513="","",AB2513*AA2513/100)</f>
        <v/>
      </c>
      <c r="AA2513" s="5">
        <f>IF(D2513="","",X2513-Y2513)</f>
        <v/>
      </c>
      <c r="AD2513" s="5">
        <f>IF(D2513="","",AA2513-Z2513)</f>
        <v/>
      </c>
      <c r="AG2513">
        <f>IF(D2513="","",N(AG2512)+IF(MATCH(D2513,$D$2:$D$3001,0)=ROW()-1,1,0))</f>
        <v/>
      </c>
    </row>
    <row r="2514">
      <c r="Y2514" s="5">
        <f>IF(D2514="","",X2514*IF(AND(ISNUMBER(AC2514),AC2514&gt;0,AC2514&lt;1),AC2514*100,AC2514)/100)</f>
        <v/>
      </c>
      <c r="Z2514" s="5">
        <f>IF(D2514="","",AB2514*AA2514/100)</f>
        <v/>
      </c>
      <c r="AA2514" s="5">
        <f>IF(D2514="","",X2514-Y2514)</f>
        <v/>
      </c>
      <c r="AD2514" s="5">
        <f>IF(D2514="","",AA2514-Z2514)</f>
        <v/>
      </c>
      <c r="AG2514">
        <f>IF(D2514="","",N(AG2513)+IF(MATCH(D2514,$D$2:$D$3001,0)=ROW()-1,1,0))</f>
        <v/>
      </c>
    </row>
    <row r="2515">
      <c r="Y2515" s="5">
        <f>IF(D2515="","",X2515*IF(AND(ISNUMBER(AC2515),AC2515&gt;0,AC2515&lt;1),AC2515*100,AC2515)/100)</f>
        <v/>
      </c>
      <c r="Z2515" s="5">
        <f>IF(D2515="","",AB2515*AA2515/100)</f>
        <v/>
      </c>
      <c r="AA2515" s="5">
        <f>IF(D2515="","",X2515-Y2515)</f>
        <v/>
      </c>
      <c r="AD2515" s="5">
        <f>IF(D2515="","",AA2515-Z2515)</f>
        <v/>
      </c>
      <c r="AG2515">
        <f>IF(D2515="","",N(AG2514)+IF(MATCH(D2515,$D$2:$D$3001,0)=ROW()-1,1,0))</f>
        <v/>
      </c>
    </row>
    <row r="2516">
      <c r="Y2516" s="5">
        <f>IF(D2516="","",X2516*IF(AND(ISNUMBER(AC2516),AC2516&gt;0,AC2516&lt;1),AC2516*100,AC2516)/100)</f>
        <v/>
      </c>
      <c r="Z2516" s="5">
        <f>IF(D2516="","",AB2516*AA2516/100)</f>
        <v/>
      </c>
      <c r="AA2516" s="5">
        <f>IF(D2516="","",X2516-Y2516)</f>
        <v/>
      </c>
      <c r="AD2516" s="5">
        <f>IF(D2516="","",AA2516-Z2516)</f>
        <v/>
      </c>
      <c r="AG2516">
        <f>IF(D2516="","",N(AG2515)+IF(MATCH(D2516,$D$2:$D$3001,0)=ROW()-1,1,0))</f>
        <v/>
      </c>
    </row>
    <row r="2517">
      <c r="Y2517" s="5">
        <f>IF(D2517="","",X2517*IF(AND(ISNUMBER(AC2517),AC2517&gt;0,AC2517&lt;1),AC2517*100,AC2517)/100)</f>
        <v/>
      </c>
      <c r="Z2517" s="5">
        <f>IF(D2517="","",AB2517*AA2517/100)</f>
        <v/>
      </c>
      <c r="AA2517" s="5">
        <f>IF(D2517="","",X2517-Y2517)</f>
        <v/>
      </c>
      <c r="AD2517" s="5">
        <f>IF(D2517="","",AA2517-Z2517)</f>
        <v/>
      </c>
      <c r="AG2517">
        <f>IF(D2517="","",N(AG2516)+IF(MATCH(D2517,$D$2:$D$3001,0)=ROW()-1,1,0))</f>
        <v/>
      </c>
    </row>
    <row r="2518">
      <c r="Y2518" s="5">
        <f>IF(D2518="","",X2518*IF(AND(ISNUMBER(AC2518),AC2518&gt;0,AC2518&lt;1),AC2518*100,AC2518)/100)</f>
        <v/>
      </c>
      <c r="Z2518" s="5">
        <f>IF(D2518="","",AB2518*AA2518/100)</f>
        <v/>
      </c>
      <c r="AA2518" s="5">
        <f>IF(D2518="","",X2518-Y2518)</f>
        <v/>
      </c>
      <c r="AD2518" s="5">
        <f>IF(D2518="","",AA2518-Z2518)</f>
        <v/>
      </c>
      <c r="AG2518">
        <f>IF(D2518="","",N(AG2517)+IF(MATCH(D2518,$D$2:$D$3001,0)=ROW()-1,1,0))</f>
        <v/>
      </c>
    </row>
    <row r="2519">
      <c r="Y2519" s="5">
        <f>IF(D2519="","",X2519*IF(AND(ISNUMBER(AC2519),AC2519&gt;0,AC2519&lt;1),AC2519*100,AC2519)/100)</f>
        <v/>
      </c>
      <c r="Z2519" s="5">
        <f>IF(D2519="","",AB2519*AA2519/100)</f>
        <v/>
      </c>
      <c r="AA2519" s="5">
        <f>IF(D2519="","",X2519-Y2519)</f>
        <v/>
      </c>
      <c r="AD2519" s="5">
        <f>IF(D2519="","",AA2519-Z2519)</f>
        <v/>
      </c>
      <c r="AG2519">
        <f>IF(D2519="","",N(AG2518)+IF(MATCH(D2519,$D$2:$D$3001,0)=ROW()-1,1,0))</f>
        <v/>
      </c>
    </row>
    <row r="2520">
      <c r="Y2520" s="5">
        <f>IF(D2520="","",X2520*IF(AND(ISNUMBER(AC2520),AC2520&gt;0,AC2520&lt;1),AC2520*100,AC2520)/100)</f>
        <v/>
      </c>
      <c r="Z2520" s="5">
        <f>IF(D2520="","",AB2520*AA2520/100)</f>
        <v/>
      </c>
      <c r="AA2520" s="5">
        <f>IF(D2520="","",X2520-Y2520)</f>
        <v/>
      </c>
      <c r="AD2520" s="5">
        <f>IF(D2520="","",AA2520-Z2520)</f>
        <v/>
      </c>
      <c r="AG2520">
        <f>IF(D2520="","",N(AG2519)+IF(MATCH(D2520,$D$2:$D$3001,0)=ROW()-1,1,0))</f>
        <v/>
      </c>
    </row>
    <row r="2521">
      <c r="Y2521" s="5">
        <f>IF(D2521="","",X2521*IF(AND(ISNUMBER(AC2521),AC2521&gt;0,AC2521&lt;1),AC2521*100,AC2521)/100)</f>
        <v/>
      </c>
      <c r="Z2521" s="5">
        <f>IF(D2521="","",AB2521*AA2521/100)</f>
        <v/>
      </c>
      <c r="AA2521" s="5">
        <f>IF(D2521="","",X2521-Y2521)</f>
        <v/>
      </c>
      <c r="AD2521" s="5">
        <f>IF(D2521="","",AA2521-Z2521)</f>
        <v/>
      </c>
      <c r="AG2521">
        <f>IF(D2521="","",N(AG2520)+IF(MATCH(D2521,$D$2:$D$3001,0)=ROW()-1,1,0))</f>
        <v/>
      </c>
    </row>
    <row r="2522">
      <c r="Y2522" s="5">
        <f>IF(D2522="","",X2522*IF(AND(ISNUMBER(AC2522),AC2522&gt;0,AC2522&lt;1),AC2522*100,AC2522)/100)</f>
        <v/>
      </c>
      <c r="Z2522" s="5">
        <f>IF(D2522="","",AB2522*AA2522/100)</f>
        <v/>
      </c>
      <c r="AA2522" s="5">
        <f>IF(D2522="","",X2522-Y2522)</f>
        <v/>
      </c>
      <c r="AD2522" s="5">
        <f>IF(D2522="","",AA2522-Z2522)</f>
        <v/>
      </c>
      <c r="AG2522">
        <f>IF(D2522="","",N(AG2521)+IF(MATCH(D2522,$D$2:$D$3001,0)=ROW()-1,1,0))</f>
        <v/>
      </c>
    </row>
    <row r="2523">
      <c r="Y2523" s="5">
        <f>IF(D2523="","",X2523*IF(AND(ISNUMBER(AC2523),AC2523&gt;0,AC2523&lt;1),AC2523*100,AC2523)/100)</f>
        <v/>
      </c>
      <c r="Z2523" s="5">
        <f>IF(D2523="","",AB2523*AA2523/100)</f>
        <v/>
      </c>
      <c r="AA2523" s="5">
        <f>IF(D2523="","",X2523-Y2523)</f>
        <v/>
      </c>
      <c r="AD2523" s="5">
        <f>IF(D2523="","",AA2523-Z2523)</f>
        <v/>
      </c>
      <c r="AG2523">
        <f>IF(D2523="","",N(AG2522)+IF(MATCH(D2523,$D$2:$D$3001,0)=ROW()-1,1,0))</f>
        <v/>
      </c>
    </row>
    <row r="2524">
      <c r="Y2524" s="5">
        <f>IF(D2524="","",X2524*IF(AND(ISNUMBER(AC2524),AC2524&gt;0,AC2524&lt;1),AC2524*100,AC2524)/100)</f>
        <v/>
      </c>
      <c r="Z2524" s="5">
        <f>IF(D2524="","",AB2524*AA2524/100)</f>
        <v/>
      </c>
      <c r="AA2524" s="5">
        <f>IF(D2524="","",X2524-Y2524)</f>
        <v/>
      </c>
      <c r="AD2524" s="5">
        <f>IF(D2524="","",AA2524-Z2524)</f>
        <v/>
      </c>
      <c r="AG2524">
        <f>IF(D2524="","",N(AG2523)+IF(MATCH(D2524,$D$2:$D$3001,0)=ROW()-1,1,0))</f>
        <v/>
      </c>
    </row>
    <row r="2525">
      <c r="Y2525" s="5">
        <f>IF(D2525="","",X2525*IF(AND(ISNUMBER(AC2525),AC2525&gt;0,AC2525&lt;1),AC2525*100,AC2525)/100)</f>
        <v/>
      </c>
      <c r="Z2525" s="5">
        <f>IF(D2525="","",AB2525*AA2525/100)</f>
        <v/>
      </c>
      <c r="AA2525" s="5">
        <f>IF(D2525="","",X2525-Y2525)</f>
        <v/>
      </c>
      <c r="AD2525" s="5">
        <f>IF(D2525="","",AA2525-Z2525)</f>
        <v/>
      </c>
      <c r="AG2525">
        <f>IF(D2525="","",N(AG2524)+IF(MATCH(D2525,$D$2:$D$3001,0)=ROW()-1,1,0))</f>
        <v/>
      </c>
    </row>
    <row r="2526">
      <c r="Y2526" s="5">
        <f>IF(D2526="","",X2526*IF(AND(ISNUMBER(AC2526),AC2526&gt;0,AC2526&lt;1),AC2526*100,AC2526)/100)</f>
        <v/>
      </c>
      <c r="Z2526" s="5">
        <f>IF(D2526="","",AB2526*AA2526/100)</f>
        <v/>
      </c>
      <c r="AA2526" s="5">
        <f>IF(D2526="","",X2526-Y2526)</f>
        <v/>
      </c>
      <c r="AD2526" s="5">
        <f>IF(D2526="","",AA2526-Z2526)</f>
        <v/>
      </c>
      <c r="AG2526">
        <f>IF(D2526="","",N(AG2525)+IF(MATCH(D2526,$D$2:$D$3001,0)=ROW()-1,1,0))</f>
        <v/>
      </c>
    </row>
    <row r="2527">
      <c r="Y2527" s="5">
        <f>IF(D2527="","",X2527*IF(AND(ISNUMBER(AC2527),AC2527&gt;0,AC2527&lt;1),AC2527*100,AC2527)/100)</f>
        <v/>
      </c>
      <c r="Z2527" s="5">
        <f>IF(D2527="","",AB2527*AA2527/100)</f>
        <v/>
      </c>
      <c r="AA2527" s="5">
        <f>IF(D2527="","",X2527-Y2527)</f>
        <v/>
      </c>
      <c r="AD2527" s="5">
        <f>IF(D2527="","",AA2527-Z2527)</f>
        <v/>
      </c>
      <c r="AG2527">
        <f>IF(D2527="","",N(AG2526)+IF(MATCH(D2527,$D$2:$D$3001,0)=ROW()-1,1,0))</f>
        <v/>
      </c>
    </row>
    <row r="2528">
      <c r="Y2528" s="5">
        <f>IF(D2528="","",X2528*IF(AND(ISNUMBER(AC2528),AC2528&gt;0,AC2528&lt;1),AC2528*100,AC2528)/100)</f>
        <v/>
      </c>
      <c r="Z2528" s="5">
        <f>IF(D2528="","",AB2528*AA2528/100)</f>
        <v/>
      </c>
      <c r="AA2528" s="5">
        <f>IF(D2528="","",X2528-Y2528)</f>
        <v/>
      </c>
      <c r="AD2528" s="5">
        <f>IF(D2528="","",AA2528-Z2528)</f>
        <v/>
      </c>
      <c r="AG2528">
        <f>IF(D2528="","",N(AG2527)+IF(MATCH(D2528,$D$2:$D$3001,0)=ROW()-1,1,0))</f>
        <v/>
      </c>
    </row>
    <row r="2529">
      <c r="Y2529" s="5">
        <f>IF(D2529="","",X2529*IF(AND(ISNUMBER(AC2529),AC2529&gt;0,AC2529&lt;1),AC2529*100,AC2529)/100)</f>
        <v/>
      </c>
      <c r="Z2529" s="5">
        <f>IF(D2529="","",AB2529*AA2529/100)</f>
        <v/>
      </c>
      <c r="AA2529" s="5">
        <f>IF(D2529="","",X2529-Y2529)</f>
        <v/>
      </c>
      <c r="AD2529" s="5">
        <f>IF(D2529="","",AA2529-Z2529)</f>
        <v/>
      </c>
      <c r="AG2529">
        <f>IF(D2529="","",N(AG2528)+IF(MATCH(D2529,$D$2:$D$3001,0)=ROW()-1,1,0))</f>
        <v/>
      </c>
    </row>
    <row r="2530">
      <c r="Y2530" s="5">
        <f>IF(D2530="","",X2530*IF(AND(ISNUMBER(AC2530),AC2530&gt;0,AC2530&lt;1),AC2530*100,AC2530)/100)</f>
        <v/>
      </c>
      <c r="Z2530" s="5">
        <f>IF(D2530="","",AB2530*AA2530/100)</f>
        <v/>
      </c>
      <c r="AA2530" s="5">
        <f>IF(D2530="","",X2530-Y2530)</f>
        <v/>
      </c>
      <c r="AD2530" s="5">
        <f>IF(D2530="","",AA2530-Z2530)</f>
        <v/>
      </c>
      <c r="AG2530">
        <f>IF(D2530="","",N(AG2529)+IF(MATCH(D2530,$D$2:$D$3001,0)=ROW()-1,1,0))</f>
        <v/>
      </c>
    </row>
    <row r="2531">
      <c r="Y2531" s="5">
        <f>IF(D2531="","",X2531*IF(AND(ISNUMBER(AC2531),AC2531&gt;0,AC2531&lt;1),AC2531*100,AC2531)/100)</f>
        <v/>
      </c>
      <c r="Z2531" s="5">
        <f>IF(D2531="","",AB2531*AA2531/100)</f>
        <v/>
      </c>
      <c r="AA2531" s="5">
        <f>IF(D2531="","",X2531-Y2531)</f>
        <v/>
      </c>
      <c r="AD2531" s="5">
        <f>IF(D2531="","",AA2531-Z2531)</f>
        <v/>
      </c>
      <c r="AG2531">
        <f>IF(D2531="","",N(AG2530)+IF(MATCH(D2531,$D$2:$D$3001,0)=ROW()-1,1,0))</f>
        <v/>
      </c>
    </row>
    <row r="2532">
      <c r="Y2532" s="5">
        <f>IF(D2532="","",X2532*IF(AND(ISNUMBER(AC2532),AC2532&gt;0,AC2532&lt;1),AC2532*100,AC2532)/100)</f>
        <v/>
      </c>
      <c r="Z2532" s="5">
        <f>IF(D2532="","",AB2532*AA2532/100)</f>
        <v/>
      </c>
      <c r="AA2532" s="5">
        <f>IF(D2532="","",X2532-Y2532)</f>
        <v/>
      </c>
      <c r="AD2532" s="5">
        <f>IF(D2532="","",AA2532-Z2532)</f>
        <v/>
      </c>
      <c r="AG2532">
        <f>IF(D2532="","",N(AG2531)+IF(MATCH(D2532,$D$2:$D$3001,0)=ROW()-1,1,0))</f>
        <v/>
      </c>
    </row>
    <row r="2533">
      <c r="Y2533" s="5">
        <f>IF(D2533="","",X2533*IF(AND(ISNUMBER(AC2533),AC2533&gt;0,AC2533&lt;1),AC2533*100,AC2533)/100)</f>
        <v/>
      </c>
      <c r="Z2533" s="5">
        <f>IF(D2533="","",AB2533*AA2533/100)</f>
        <v/>
      </c>
      <c r="AA2533" s="5">
        <f>IF(D2533="","",X2533-Y2533)</f>
        <v/>
      </c>
      <c r="AD2533" s="5">
        <f>IF(D2533="","",AA2533-Z2533)</f>
        <v/>
      </c>
      <c r="AG2533">
        <f>IF(D2533="","",N(AG2532)+IF(MATCH(D2533,$D$2:$D$3001,0)=ROW()-1,1,0))</f>
        <v/>
      </c>
    </row>
    <row r="2534">
      <c r="Y2534" s="5">
        <f>IF(D2534="","",X2534*IF(AND(ISNUMBER(AC2534),AC2534&gt;0,AC2534&lt;1),AC2534*100,AC2534)/100)</f>
        <v/>
      </c>
      <c r="Z2534" s="5">
        <f>IF(D2534="","",AB2534*AA2534/100)</f>
        <v/>
      </c>
      <c r="AA2534" s="5">
        <f>IF(D2534="","",X2534-Y2534)</f>
        <v/>
      </c>
      <c r="AD2534" s="5">
        <f>IF(D2534="","",AA2534-Z2534)</f>
        <v/>
      </c>
      <c r="AG2534">
        <f>IF(D2534="","",N(AG2533)+IF(MATCH(D2534,$D$2:$D$3001,0)=ROW()-1,1,0))</f>
        <v/>
      </c>
    </row>
    <row r="2535">
      <c r="Y2535" s="5">
        <f>IF(D2535="","",X2535*IF(AND(ISNUMBER(AC2535),AC2535&gt;0,AC2535&lt;1),AC2535*100,AC2535)/100)</f>
        <v/>
      </c>
      <c r="Z2535" s="5">
        <f>IF(D2535="","",AB2535*AA2535/100)</f>
        <v/>
      </c>
      <c r="AA2535" s="5">
        <f>IF(D2535="","",X2535-Y2535)</f>
        <v/>
      </c>
      <c r="AD2535" s="5">
        <f>IF(D2535="","",AA2535-Z2535)</f>
        <v/>
      </c>
      <c r="AG2535">
        <f>IF(D2535="","",N(AG2534)+IF(MATCH(D2535,$D$2:$D$3001,0)=ROW()-1,1,0))</f>
        <v/>
      </c>
    </row>
    <row r="2536">
      <c r="Y2536" s="5">
        <f>IF(D2536="","",X2536*IF(AND(ISNUMBER(AC2536),AC2536&gt;0,AC2536&lt;1),AC2536*100,AC2536)/100)</f>
        <v/>
      </c>
      <c r="Z2536" s="5">
        <f>IF(D2536="","",AB2536*AA2536/100)</f>
        <v/>
      </c>
      <c r="AA2536" s="5">
        <f>IF(D2536="","",X2536-Y2536)</f>
        <v/>
      </c>
      <c r="AD2536" s="5">
        <f>IF(D2536="","",AA2536-Z2536)</f>
        <v/>
      </c>
      <c r="AG2536">
        <f>IF(D2536="","",N(AG2535)+IF(MATCH(D2536,$D$2:$D$3001,0)=ROW()-1,1,0))</f>
        <v/>
      </c>
    </row>
    <row r="2537">
      <c r="Y2537" s="5">
        <f>IF(D2537="","",X2537*IF(AND(ISNUMBER(AC2537),AC2537&gt;0,AC2537&lt;1),AC2537*100,AC2537)/100)</f>
        <v/>
      </c>
      <c r="Z2537" s="5">
        <f>IF(D2537="","",AB2537*AA2537/100)</f>
        <v/>
      </c>
      <c r="AA2537" s="5">
        <f>IF(D2537="","",X2537-Y2537)</f>
        <v/>
      </c>
      <c r="AD2537" s="5">
        <f>IF(D2537="","",AA2537-Z2537)</f>
        <v/>
      </c>
      <c r="AG2537">
        <f>IF(D2537="","",N(AG2536)+IF(MATCH(D2537,$D$2:$D$3001,0)=ROW()-1,1,0))</f>
        <v/>
      </c>
    </row>
    <row r="2538">
      <c r="Y2538" s="5">
        <f>IF(D2538="","",X2538*IF(AND(ISNUMBER(AC2538),AC2538&gt;0,AC2538&lt;1),AC2538*100,AC2538)/100)</f>
        <v/>
      </c>
      <c r="Z2538" s="5">
        <f>IF(D2538="","",AB2538*AA2538/100)</f>
        <v/>
      </c>
      <c r="AA2538" s="5">
        <f>IF(D2538="","",X2538-Y2538)</f>
        <v/>
      </c>
      <c r="AD2538" s="5">
        <f>IF(D2538="","",AA2538-Z2538)</f>
        <v/>
      </c>
      <c r="AG2538">
        <f>IF(D2538="","",N(AG2537)+IF(MATCH(D2538,$D$2:$D$3001,0)=ROW()-1,1,0))</f>
        <v/>
      </c>
    </row>
    <row r="2539">
      <c r="Y2539" s="5">
        <f>IF(D2539="","",X2539*IF(AND(ISNUMBER(AC2539),AC2539&gt;0,AC2539&lt;1),AC2539*100,AC2539)/100)</f>
        <v/>
      </c>
      <c r="Z2539" s="5">
        <f>IF(D2539="","",AB2539*AA2539/100)</f>
        <v/>
      </c>
      <c r="AA2539" s="5">
        <f>IF(D2539="","",X2539-Y2539)</f>
        <v/>
      </c>
      <c r="AD2539" s="5">
        <f>IF(D2539="","",AA2539-Z2539)</f>
        <v/>
      </c>
      <c r="AG2539">
        <f>IF(D2539="","",N(AG2538)+IF(MATCH(D2539,$D$2:$D$3001,0)=ROW()-1,1,0))</f>
        <v/>
      </c>
    </row>
    <row r="2540">
      <c r="Y2540" s="5">
        <f>IF(D2540="","",X2540*IF(AND(ISNUMBER(AC2540),AC2540&gt;0,AC2540&lt;1),AC2540*100,AC2540)/100)</f>
        <v/>
      </c>
      <c r="Z2540" s="5">
        <f>IF(D2540="","",AB2540*AA2540/100)</f>
        <v/>
      </c>
      <c r="AA2540" s="5">
        <f>IF(D2540="","",X2540-Y2540)</f>
        <v/>
      </c>
      <c r="AD2540" s="5">
        <f>IF(D2540="","",AA2540-Z2540)</f>
        <v/>
      </c>
      <c r="AG2540">
        <f>IF(D2540="","",N(AG2539)+IF(MATCH(D2540,$D$2:$D$3001,0)=ROW()-1,1,0))</f>
        <v/>
      </c>
    </row>
    <row r="2541">
      <c r="Y2541" s="5">
        <f>IF(D2541="","",X2541*IF(AND(ISNUMBER(AC2541),AC2541&gt;0,AC2541&lt;1),AC2541*100,AC2541)/100)</f>
        <v/>
      </c>
      <c r="Z2541" s="5">
        <f>IF(D2541="","",AB2541*AA2541/100)</f>
        <v/>
      </c>
      <c r="AA2541" s="5">
        <f>IF(D2541="","",X2541-Y2541)</f>
        <v/>
      </c>
      <c r="AD2541" s="5">
        <f>IF(D2541="","",AA2541-Z2541)</f>
        <v/>
      </c>
      <c r="AG2541">
        <f>IF(D2541="","",N(AG2540)+IF(MATCH(D2541,$D$2:$D$3001,0)=ROW()-1,1,0))</f>
        <v/>
      </c>
    </row>
    <row r="2542">
      <c r="Y2542" s="5">
        <f>IF(D2542="","",X2542*IF(AND(ISNUMBER(AC2542),AC2542&gt;0,AC2542&lt;1),AC2542*100,AC2542)/100)</f>
        <v/>
      </c>
      <c r="Z2542" s="5">
        <f>IF(D2542="","",AB2542*AA2542/100)</f>
        <v/>
      </c>
      <c r="AA2542" s="5">
        <f>IF(D2542="","",X2542-Y2542)</f>
        <v/>
      </c>
      <c r="AD2542" s="5">
        <f>IF(D2542="","",AA2542-Z2542)</f>
        <v/>
      </c>
      <c r="AG2542">
        <f>IF(D2542="","",N(AG2541)+IF(MATCH(D2542,$D$2:$D$3001,0)=ROW()-1,1,0))</f>
        <v/>
      </c>
    </row>
    <row r="2543">
      <c r="Y2543" s="5">
        <f>IF(D2543="","",X2543*IF(AND(ISNUMBER(AC2543),AC2543&gt;0,AC2543&lt;1),AC2543*100,AC2543)/100)</f>
        <v/>
      </c>
      <c r="Z2543" s="5">
        <f>IF(D2543="","",AB2543*AA2543/100)</f>
        <v/>
      </c>
      <c r="AA2543" s="5">
        <f>IF(D2543="","",X2543-Y2543)</f>
        <v/>
      </c>
      <c r="AD2543" s="5">
        <f>IF(D2543="","",AA2543-Z2543)</f>
        <v/>
      </c>
      <c r="AG2543">
        <f>IF(D2543="","",N(AG2542)+IF(MATCH(D2543,$D$2:$D$3001,0)=ROW()-1,1,0))</f>
        <v/>
      </c>
    </row>
    <row r="2544">
      <c r="Y2544" s="5">
        <f>IF(D2544="","",X2544*IF(AND(ISNUMBER(AC2544),AC2544&gt;0,AC2544&lt;1),AC2544*100,AC2544)/100)</f>
        <v/>
      </c>
      <c r="Z2544" s="5">
        <f>IF(D2544="","",AB2544*AA2544/100)</f>
        <v/>
      </c>
      <c r="AA2544" s="5">
        <f>IF(D2544="","",X2544-Y2544)</f>
        <v/>
      </c>
      <c r="AD2544" s="5">
        <f>IF(D2544="","",AA2544-Z2544)</f>
        <v/>
      </c>
      <c r="AG2544">
        <f>IF(D2544="","",N(AG2543)+IF(MATCH(D2544,$D$2:$D$3001,0)=ROW()-1,1,0))</f>
        <v/>
      </c>
    </row>
    <row r="2545">
      <c r="Y2545" s="5">
        <f>IF(D2545="","",X2545*IF(AND(ISNUMBER(AC2545),AC2545&gt;0,AC2545&lt;1),AC2545*100,AC2545)/100)</f>
        <v/>
      </c>
      <c r="Z2545" s="5">
        <f>IF(D2545="","",AB2545*AA2545/100)</f>
        <v/>
      </c>
      <c r="AA2545" s="5">
        <f>IF(D2545="","",X2545-Y2545)</f>
        <v/>
      </c>
      <c r="AD2545" s="5">
        <f>IF(D2545="","",AA2545-Z2545)</f>
        <v/>
      </c>
      <c r="AG2545">
        <f>IF(D2545="","",N(AG2544)+IF(MATCH(D2545,$D$2:$D$3001,0)=ROW()-1,1,0))</f>
        <v/>
      </c>
    </row>
    <row r="2546">
      <c r="Y2546" s="5">
        <f>IF(D2546="","",X2546*IF(AND(ISNUMBER(AC2546),AC2546&gt;0,AC2546&lt;1),AC2546*100,AC2546)/100)</f>
        <v/>
      </c>
      <c r="Z2546" s="5">
        <f>IF(D2546="","",AB2546*AA2546/100)</f>
        <v/>
      </c>
      <c r="AA2546" s="5">
        <f>IF(D2546="","",X2546-Y2546)</f>
        <v/>
      </c>
      <c r="AD2546" s="5">
        <f>IF(D2546="","",AA2546-Z2546)</f>
        <v/>
      </c>
      <c r="AG2546">
        <f>IF(D2546="","",N(AG2545)+IF(MATCH(D2546,$D$2:$D$3001,0)=ROW()-1,1,0))</f>
        <v/>
      </c>
    </row>
    <row r="2547">
      <c r="Y2547" s="5">
        <f>IF(D2547="","",X2547*IF(AND(ISNUMBER(AC2547),AC2547&gt;0,AC2547&lt;1),AC2547*100,AC2547)/100)</f>
        <v/>
      </c>
      <c r="Z2547" s="5">
        <f>IF(D2547="","",AB2547*AA2547/100)</f>
        <v/>
      </c>
      <c r="AA2547" s="5">
        <f>IF(D2547="","",X2547-Y2547)</f>
        <v/>
      </c>
      <c r="AD2547" s="5">
        <f>IF(D2547="","",AA2547-Z2547)</f>
        <v/>
      </c>
      <c r="AG2547">
        <f>IF(D2547="","",N(AG2546)+IF(MATCH(D2547,$D$2:$D$3001,0)=ROW()-1,1,0))</f>
        <v/>
      </c>
    </row>
    <row r="2548">
      <c r="Y2548" s="5">
        <f>IF(D2548="","",X2548*IF(AND(ISNUMBER(AC2548),AC2548&gt;0,AC2548&lt;1),AC2548*100,AC2548)/100)</f>
        <v/>
      </c>
      <c r="Z2548" s="5">
        <f>IF(D2548="","",AB2548*AA2548/100)</f>
        <v/>
      </c>
      <c r="AA2548" s="5">
        <f>IF(D2548="","",X2548-Y2548)</f>
        <v/>
      </c>
      <c r="AD2548" s="5">
        <f>IF(D2548="","",AA2548-Z2548)</f>
        <v/>
      </c>
      <c r="AG2548">
        <f>IF(D2548="","",N(AG2547)+IF(MATCH(D2548,$D$2:$D$3001,0)=ROW()-1,1,0))</f>
        <v/>
      </c>
    </row>
    <row r="2549">
      <c r="Y2549" s="5">
        <f>IF(D2549="","",X2549*IF(AND(ISNUMBER(AC2549),AC2549&gt;0,AC2549&lt;1),AC2549*100,AC2549)/100)</f>
        <v/>
      </c>
      <c r="Z2549" s="5">
        <f>IF(D2549="","",AB2549*AA2549/100)</f>
        <v/>
      </c>
      <c r="AA2549" s="5">
        <f>IF(D2549="","",X2549-Y2549)</f>
        <v/>
      </c>
      <c r="AD2549" s="5">
        <f>IF(D2549="","",AA2549-Z2549)</f>
        <v/>
      </c>
      <c r="AG2549">
        <f>IF(D2549="","",N(AG2548)+IF(MATCH(D2549,$D$2:$D$3001,0)=ROW()-1,1,0))</f>
        <v/>
      </c>
    </row>
    <row r="2550">
      <c r="Y2550" s="5">
        <f>IF(D2550="","",X2550*IF(AND(ISNUMBER(AC2550),AC2550&gt;0,AC2550&lt;1),AC2550*100,AC2550)/100)</f>
        <v/>
      </c>
      <c r="Z2550" s="5">
        <f>IF(D2550="","",AB2550*AA2550/100)</f>
        <v/>
      </c>
      <c r="AA2550" s="5">
        <f>IF(D2550="","",X2550-Y2550)</f>
        <v/>
      </c>
      <c r="AD2550" s="5">
        <f>IF(D2550="","",AA2550-Z2550)</f>
        <v/>
      </c>
      <c r="AG2550">
        <f>IF(D2550="","",N(AG2549)+IF(MATCH(D2550,$D$2:$D$3001,0)=ROW()-1,1,0))</f>
        <v/>
      </c>
    </row>
    <row r="2551">
      <c r="Y2551" s="5">
        <f>IF(D2551="","",X2551*IF(AND(ISNUMBER(AC2551),AC2551&gt;0,AC2551&lt;1),AC2551*100,AC2551)/100)</f>
        <v/>
      </c>
      <c r="Z2551" s="5">
        <f>IF(D2551="","",AB2551*AA2551/100)</f>
        <v/>
      </c>
      <c r="AA2551" s="5">
        <f>IF(D2551="","",X2551-Y2551)</f>
        <v/>
      </c>
      <c r="AD2551" s="5">
        <f>IF(D2551="","",AA2551-Z2551)</f>
        <v/>
      </c>
      <c r="AG2551">
        <f>IF(D2551="","",N(AG2550)+IF(MATCH(D2551,$D$2:$D$3001,0)=ROW()-1,1,0))</f>
        <v/>
      </c>
    </row>
    <row r="2552">
      <c r="Y2552" s="5">
        <f>IF(D2552="","",X2552*IF(AND(ISNUMBER(AC2552),AC2552&gt;0,AC2552&lt;1),AC2552*100,AC2552)/100)</f>
        <v/>
      </c>
      <c r="Z2552" s="5">
        <f>IF(D2552="","",AB2552*AA2552/100)</f>
        <v/>
      </c>
      <c r="AA2552" s="5">
        <f>IF(D2552="","",X2552-Y2552)</f>
        <v/>
      </c>
      <c r="AD2552" s="5">
        <f>IF(D2552="","",AA2552-Z2552)</f>
        <v/>
      </c>
      <c r="AG2552">
        <f>IF(D2552="","",N(AG2551)+IF(MATCH(D2552,$D$2:$D$3001,0)=ROW()-1,1,0))</f>
        <v/>
      </c>
    </row>
    <row r="2553">
      <c r="Y2553" s="5">
        <f>IF(D2553="","",X2553*IF(AND(ISNUMBER(AC2553),AC2553&gt;0,AC2553&lt;1),AC2553*100,AC2553)/100)</f>
        <v/>
      </c>
      <c r="Z2553" s="5">
        <f>IF(D2553="","",AB2553*AA2553/100)</f>
        <v/>
      </c>
      <c r="AA2553" s="5">
        <f>IF(D2553="","",X2553-Y2553)</f>
        <v/>
      </c>
      <c r="AD2553" s="5">
        <f>IF(D2553="","",AA2553-Z2553)</f>
        <v/>
      </c>
      <c r="AG2553">
        <f>IF(D2553="","",N(AG2552)+IF(MATCH(D2553,$D$2:$D$3001,0)=ROW()-1,1,0))</f>
        <v/>
      </c>
    </row>
    <row r="2554">
      <c r="Y2554" s="5">
        <f>IF(D2554="","",X2554*IF(AND(ISNUMBER(AC2554),AC2554&gt;0,AC2554&lt;1),AC2554*100,AC2554)/100)</f>
        <v/>
      </c>
      <c r="Z2554" s="5">
        <f>IF(D2554="","",AB2554*AA2554/100)</f>
        <v/>
      </c>
      <c r="AA2554" s="5">
        <f>IF(D2554="","",X2554-Y2554)</f>
        <v/>
      </c>
      <c r="AD2554" s="5">
        <f>IF(D2554="","",AA2554-Z2554)</f>
        <v/>
      </c>
      <c r="AG2554">
        <f>IF(D2554="","",N(AG2553)+IF(MATCH(D2554,$D$2:$D$3001,0)=ROW()-1,1,0))</f>
        <v/>
      </c>
    </row>
    <row r="2555">
      <c r="Y2555" s="5">
        <f>IF(D2555="","",X2555*IF(AND(ISNUMBER(AC2555),AC2555&gt;0,AC2555&lt;1),AC2555*100,AC2555)/100)</f>
        <v/>
      </c>
      <c r="Z2555" s="5">
        <f>IF(D2555="","",AB2555*AA2555/100)</f>
        <v/>
      </c>
      <c r="AA2555" s="5">
        <f>IF(D2555="","",X2555-Y2555)</f>
        <v/>
      </c>
      <c r="AD2555" s="5">
        <f>IF(D2555="","",AA2555-Z2555)</f>
        <v/>
      </c>
      <c r="AG2555">
        <f>IF(D2555="","",N(AG2554)+IF(MATCH(D2555,$D$2:$D$3001,0)=ROW()-1,1,0))</f>
        <v/>
      </c>
    </row>
    <row r="2556">
      <c r="Y2556" s="5">
        <f>IF(D2556="","",X2556*IF(AND(ISNUMBER(AC2556),AC2556&gt;0,AC2556&lt;1),AC2556*100,AC2556)/100)</f>
        <v/>
      </c>
      <c r="Z2556" s="5">
        <f>IF(D2556="","",AB2556*AA2556/100)</f>
        <v/>
      </c>
      <c r="AA2556" s="5">
        <f>IF(D2556="","",X2556-Y2556)</f>
        <v/>
      </c>
      <c r="AD2556" s="5">
        <f>IF(D2556="","",AA2556-Z2556)</f>
        <v/>
      </c>
      <c r="AG2556">
        <f>IF(D2556="","",N(AG2555)+IF(MATCH(D2556,$D$2:$D$3001,0)=ROW()-1,1,0))</f>
        <v/>
      </c>
    </row>
    <row r="2557">
      <c r="Y2557" s="5">
        <f>IF(D2557="","",X2557*IF(AND(ISNUMBER(AC2557),AC2557&gt;0,AC2557&lt;1),AC2557*100,AC2557)/100)</f>
        <v/>
      </c>
      <c r="Z2557" s="5">
        <f>IF(D2557="","",AB2557*AA2557/100)</f>
        <v/>
      </c>
      <c r="AA2557" s="5">
        <f>IF(D2557="","",X2557-Y2557)</f>
        <v/>
      </c>
      <c r="AD2557" s="5">
        <f>IF(D2557="","",AA2557-Z2557)</f>
        <v/>
      </c>
      <c r="AG2557">
        <f>IF(D2557="","",N(AG2556)+IF(MATCH(D2557,$D$2:$D$3001,0)=ROW()-1,1,0))</f>
        <v/>
      </c>
    </row>
    <row r="2558">
      <c r="Y2558" s="5">
        <f>IF(D2558="","",X2558*IF(AND(ISNUMBER(AC2558),AC2558&gt;0,AC2558&lt;1),AC2558*100,AC2558)/100)</f>
        <v/>
      </c>
      <c r="Z2558" s="5">
        <f>IF(D2558="","",AB2558*AA2558/100)</f>
        <v/>
      </c>
      <c r="AA2558" s="5">
        <f>IF(D2558="","",X2558-Y2558)</f>
        <v/>
      </c>
      <c r="AD2558" s="5">
        <f>IF(D2558="","",AA2558-Z2558)</f>
        <v/>
      </c>
      <c r="AG2558">
        <f>IF(D2558="","",N(AG2557)+IF(MATCH(D2558,$D$2:$D$3001,0)=ROW()-1,1,0))</f>
        <v/>
      </c>
    </row>
    <row r="2559">
      <c r="Y2559" s="5">
        <f>IF(D2559="","",X2559*IF(AND(ISNUMBER(AC2559),AC2559&gt;0,AC2559&lt;1),AC2559*100,AC2559)/100)</f>
        <v/>
      </c>
      <c r="Z2559" s="5">
        <f>IF(D2559="","",AB2559*AA2559/100)</f>
        <v/>
      </c>
      <c r="AA2559" s="5">
        <f>IF(D2559="","",X2559-Y2559)</f>
        <v/>
      </c>
      <c r="AD2559" s="5">
        <f>IF(D2559="","",AA2559-Z2559)</f>
        <v/>
      </c>
      <c r="AG2559">
        <f>IF(D2559="","",N(AG2558)+IF(MATCH(D2559,$D$2:$D$3001,0)=ROW()-1,1,0))</f>
        <v/>
      </c>
    </row>
    <row r="2560">
      <c r="Y2560" s="5">
        <f>IF(D2560="","",X2560*IF(AND(ISNUMBER(AC2560),AC2560&gt;0,AC2560&lt;1),AC2560*100,AC2560)/100)</f>
        <v/>
      </c>
      <c r="Z2560" s="5">
        <f>IF(D2560="","",AB2560*AA2560/100)</f>
        <v/>
      </c>
      <c r="AA2560" s="5">
        <f>IF(D2560="","",X2560-Y2560)</f>
        <v/>
      </c>
      <c r="AD2560" s="5">
        <f>IF(D2560="","",AA2560-Z2560)</f>
        <v/>
      </c>
      <c r="AG2560">
        <f>IF(D2560="","",N(AG2559)+IF(MATCH(D2560,$D$2:$D$3001,0)=ROW()-1,1,0))</f>
        <v/>
      </c>
    </row>
    <row r="2561">
      <c r="Y2561" s="5">
        <f>IF(D2561="","",X2561*IF(AND(ISNUMBER(AC2561),AC2561&gt;0,AC2561&lt;1),AC2561*100,AC2561)/100)</f>
        <v/>
      </c>
      <c r="Z2561" s="5">
        <f>IF(D2561="","",AB2561*AA2561/100)</f>
        <v/>
      </c>
      <c r="AA2561" s="5">
        <f>IF(D2561="","",X2561-Y2561)</f>
        <v/>
      </c>
      <c r="AD2561" s="5">
        <f>IF(D2561="","",AA2561-Z2561)</f>
        <v/>
      </c>
      <c r="AG2561">
        <f>IF(D2561="","",N(AG2560)+IF(MATCH(D2561,$D$2:$D$3001,0)=ROW()-1,1,0))</f>
        <v/>
      </c>
    </row>
    <row r="2562">
      <c r="Y2562" s="5">
        <f>IF(D2562="","",X2562*IF(AND(ISNUMBER(AC2562),AC2562&gt;0,AC2562&lt;1),AC2562*100,AC2562)/100)</f>
        <v/>
      </c>
      <c r="Z2562" s="5">
        <f>IF(D2562="","",AB2562*AA2562/100)</f>
        <v/>
      </c>
      <c r="AA2562" s="5">
        <f>IF(D2562="","",X2562-Y2562)</f>
        <v/>
      </c>
      <c r="AD2562" s="5">
        <f>IF(D2562="","",AA2562-Z2562)</f>
        <v/>
      </c>
      <c r="AG2562">
        <f>IF(D2562="","",N(AG2561)+IF(MATCH(D2562,$D$2:$D$3001,0)=ROW()-1,1,0))</f>
        <v/>
      </c>
    </row>
    <row r="2563">
      <c r="Y2563" s="5">
        <f>IF(D2563="","",X2563*IF(AND(ISNUMBER(AC2563),AC2563&gt;0,AC2563&lt;1),AC2563*100,AC2563)/100)</f>
        <v/>
      </c>
      <c r="Z2563" s="5">
        <f>IF(D2563="","",AB2563*AA2563/100)</f>
        <v/>
      </c>
      <c r="AA2563" s="5">
        <f>IF(D2563="","",X2563-Y2563)</f>
        <v/>
      </c>
      <c r="AD2563" s="5">
        <f>IF(D2563="","",AA2563-Z2563)</f>
        <v/>
      </c>
      <c r="AG2563">
        <f>IF(D2563="","",N(AG2562)+IF(MATCH(D2563,$D$2:$D$3001,0)=ROW()-1,1,0))</f>
        <v/>
      </c>
    </row>
    <row r="2564">
      <c r="Y2564" s="5">
        <f>IF(D2564="","",X2564*IF(AND(ISNUMBER(AC2564),AC2564&gt;0,AC2564&lt;1),AC2564*100,AC2564)/100)</f>
        <v/>
      </c>
      <c r="Z2564" s="5">
        <f>IF(D2564="","",AB2564*AA2564/100)</f>
        <v/>
      </c>
      <c r="AA2564" s="5">
        <f>IF(D2564="","",X2564-Y2564)</f>
        <v/>
      </c>
      <c r="AD2564" s="5">
        <f>IF(D2564="","",AA2564-Z2564)</f>
        <v/>
      </c>
      <c r="AG2564">
        <f>IF(D2564="","",N(AG2563)+IF(MATCH(D2564,$D$2:$D$3001,0)=ROW()-1,1,0))</f>
        <v/>
      </c>
    </row>
    <row r="2565">
      <c r="Y2565" s="5">
        <f>IF(D2565="","",X2565*IF(AND(ISNUMBER(AC2565),AC2565&gt;0,AC2565&lt;1),AC2565*100,AC2565)/100)</f>
        <v/>
      </c>
      <c r="Z2565" s="5">
        <f>IF(D2565="","",AB2565*AA2565/100)</f>
        <v/>
      </c>
      <c r="AA2565" s="5">
        <f>IF(D2565="","",X2565-Y2565)</f>
        <v/>
      </c>
      <c r="AD2565" s="5">
        <f>IF(D2565="","",AA2565-Z2565)</f>
        <v/>
      </c>
      <c r="AG2565">
        <f>IF(D2565="","",N(AG2564)+IF(MATCH(D2565,$D$2:$D$3001,0)=ROW()-1,1,0))</f>
        <v/>
      </c>
    </row>
    <row r="2566">
      <c r="Y2566" s="5">
        <f>IF(D2566="","",X2566*IF(AND(ISNUMBER(AC2566),AC2566&gt;0,AC2566&lt;1),AC2566*100,AC2566)/100)</f>
        <v/>
      </c>
      <c r="Z2566" s="5">
        <f>IF(D2566="","",AB2566*AA2566/100)</f>
        <v/>
      </c>
      <c r="AA2566" s="5">
        <f>IF(D2566="","",X2566-Y2566)</f>
        <v/>
      </c>
      <c r="AD2566" s="5">
        <f>IF(D2566="","",AA2566-Z2566)</f>
        <v/>
      </c>
      <c r="AG2566">
        <f>IF(D2566="","",N(AG2565)+IF(MATCH(D2566,$D$2:$D$3001,0)=ROW()-1,1,0))</f>
        <v/>
      </c>
    </row>
    <row r="2567">
      <c r="Y2567" s="5">
        <f>IF(D2567="","",X2567*IF(AND(ISNUMBER(AC2567),AC2567&gt;0,AC2567&lt;1),AC2567*100,AC2567)/100)</f>
        <v/>
      </c>
      <c r="Z2567" s="5">
        <f>IF(D2567="","",AB2567*AA2567/100)</f>
        <v/>
      </c>
      <c r="AA2567" s="5">
        <f>IF(D2567="","",X2567-Y2567)</f>
        <v/>
      </c>
      <c r="AD2567" s="5">
        <f>IF(D2567="","",AA2567-Z2567)</f>
        <v/>
      </c>
      <c r="AG2567">
        <f>IF(D2567="","",N(AG2566)+IF(MATCH(D2567,$D$2:$D$3001,0)=ROW()-1,1,0))</f>
        <v/>
      </c>
    </row>
    <row r="2568">
      <c r="Y2568" s="5">
        <f>IF(D2568="","",X2568*IF(AND(ISNUMBER(AC2568),AC2568&gt;0,AC2568&lt;1),AC2568*100,AC2568)/100)</f>
        <v/>
      </c>
      <c r="Z2568" s="5">
        <f>IF(D2568="","",AB2568*AA2568/100)</f>
        <v/>
      </c>
      <c r="AA2568" s="5">
        <f>IF(D2568="","",X2568-Y2568)</f>
        <v/>
      </c>
      <c r="AD2568" s="5">
        <f>IF(D2568="","",AA2568-Z2568)</f>
        <v/>
      </c>
      <c r="AG2568">
        <f>IF(D2568="","",N(AG2567)+IF(MATCH(D2568,$D$2:$D$3001,0)=ROW()-1,1,0))</f>
        <v/>
      </c>
    </row>
    <row r="2569">
      <c r="Y2569" s="5">
        <f>IF(D2569="","",X2569*IF(AND(ISNUMBER(AC2569),AC2569&gt;0,AC2569&lt;1),AC2569*100,AC2569)/100)</f>
        <v/>
      </c>
      <c r="Z2569" s="5">
        <f>IF(D2569="","",AB2569*AA2569/100)</f>
        <v/>
      </c>
      <c r="AA2569" s="5">
        <f>IF(D2569="","",X2569-Y2569)</f>
        <v/>
      </c>
      <c r="AD2569" s="5">
        <f>IF(D2569="","",AA2569-Z2569)</f>
        <v/>
      </c>
      <c r="AG2569">
        <f>IF(D2569="","",N(AG2568)+IF(MATCH(D2569,$D$2:$D$3001,0)=ROW()-1,1,0))</f>
        <v/>
      </c>
    </row>
    <row r="2570">
      <c r="Y2570" s="5">
        <f>IF(D2570="","",X2570*IF(AND(ISNUMBER(AC2570),AC2570&gt;0,AC2570&lt;1),AC2570*100,AC2570)/100)</f>
        <v/>
      </c>
      <c r="Z2570" s="5">
        <f>IF(D2570="","",AB2570*AA2570/100)</f>
        <v/>
      </c>
      <c r="AA2570" s="5">
        <f>IF(D2570="","",X2570-Y2570)</f>
        <v/>
      </c>
      <c r="AD2570" s="5">
        <f>IF(D2570="","",AA2570-Z2570)</f>
        <v/>
      </c>
      <c r="AG2570">
        <f>IF(D2570="","",N(AG2569)+IF(MATCH(D2570,$D$2:$D$3001,0)=ROW()-1,1,0))</f>
        <v/>
      </c>
    </row>
    <row r="2571">
      <c r="Y2571" s="5">
        <f>IF(D2571="","",X2571*IF(AND(ISNUMBER(AC2571),AC2571&gt;0,AC2571&lt;1),AC2571*100,AC2571)/100)</f>
        <v/>
      </c>
      <c r="Z2571" s="5">
        <f>IF(D2571="","",AB2571*AA2571/100)</f>
        <v/>
      </c>
      <c r="AA2571" s="5">
        <f>IF(D2571="","",X2571-Y2571)</f>
        <v/>
      </c>
      <c r="AD2571" s="5">
        <f>IF(D2571="","",AA2571-Z2571)</f>
        <v/>
      </c>
      <c r="AG2571">
        <f>IF(D2571="","",N(AG2570)+IF(MATCH(D2571,$D$2:$D$3001,0)=ROW()-1,1,0))</f>
        <v/>
      </c>
    </row>
    <row r="2572">
      <c r="Y2572" s="5">
        <f>IF(D2572="","",X2572*IF(AND(ISNUMBER(AC2572),AC2572&gt;0,AC2572&lt;1),AC2572*100,AC2572)/100)</f>
        <v/>
      </c>
      <c r="Z2572" s="5">
        <f>IF(D2572="","",AB2572*AA2572/100)</f>
        <v/>
      </c>
      <c r="AA2572" s="5">
        <f>IF(D2572="","",X2572-Y2572)</f>
        <v/>
      </c>
      <c r="AD2572" s="5">
        <f>IF(D2572="","",AA2572-Z2572)</f>
        <v/>
      </c>
      <c r="AG2572">
        <f>IF(D2572="","",N(AG2571)+IF(MATCH(D2572,$D$2:$D$3001,0)=ROW()-1,1,0))</f>
        <v/>
      </c>
    </row>
    <row r="2573">
      <c r="Y2573" s="5">
        <f>IF(D2573="","",X2573*IF(AND(ISNUMBER(AC2573),AC2573&gt;0,AC2573&lt;1),AC2573*100,AC2573)/100)</f>
        <v/>
      </c>
      <c r="Z2573" s="5">
        <f>IF(D2573="","",AB2573*AA2573/100)</f>
        <v/>
      </c>
      <c r="AA2573" s="5">
        <f>IF(D2573="","",X2573-Y2573)</f>
        <v/>
      </c>
      <c r="AD2573" s="5">
        <f>IF(D2573="","",AA2573-Z2573)</f>
        <v/>
      </c>
      <c r="AG2573">
        <f>IF(D2573="","",N(AG2572)+IF(MATCH(D2573,$D$2:$D$3001,0)=ROW()-1,1,0))</f>
        <v/>
      </c>
    </row>
    <row r="2574">
      <c r="Y2574" s="5">
        <f>IF(D2574="","",X2574*IF(AND(ISNUMBER(AC2574),AC2574&gt;0,AC2574&lt;1),AC2574*100,AC2574)/100)</f>
        <v/>
      </c>
      <c r="Z2574" s="5">
        <f>IF(D2574="","",AB2574*AA2574/100)</f>
        <v/>
      </c>
      <c r="AA2574" s="5">
        <f>IF(D2574="","",X2574-Y2574)</f>
        <v/>
      </c>
      <c r="AD2574" s="5">
        <f>IF(D2574="","",AA2574-Z2574)</f>
        <v/>
      </c>
      <c r="AG2574">
        <f>IF(D2574="","",N(AG2573)+IF(MATCH(D2574,$D$2:$D$3001,0)=ROW()-1,1,0))</f>
        <v/>
      </c>
    </row>
    <row r="2575">
      <c r="Y2575" s="5">
        <f>IF(D2575="","",X2575*IF(AND(ISNUMBER(AC2575),AC2575&gt;0,AC2575&lt;1),AC2575*100,AC2575)/100)</f>
        <v/>
      </c>
      <c r="Z2575" s="5">
        <f>IF(D2575="","",AB2575*AA2575/100)</f>
        <v/>
      </c>
      <c r="AA2575" s="5">
        <f>IF(D2575="","",X2575-Y2575)</f>
        <v/>
      </c>
      <c r="AD2575" s="5">
        <f>IF(D2575="","",AA2575-Z2575)</f>
        <v/>
      </c>
      <c r="AG2575">
        <f>IF(D2575="","",N(AG2574)+IF(MATCH(D2575,$D$2:$D$3001,0)=ROW()-1,1,0))</f>
        <v/>
      </c>
    </row>
    <row r="2576">
      <c r="Y2576" s="5">
        <f>IF(D2576="","",X2576*IF(AND(ISNUMBER(AC2576),AC2576&gt;0,AC2576&lt;1),AC2576*100,AC2576)/100)</f>
        <v/>
      </c>
      <c r="Z2576" s="5">
        <f>IF(D2576="","",AB2576*AA2576/100)</f>
        <v/>
      </c>
      <c r="AA2576" s="5">
        <f>IF(D2576="","",X2576-Y2576)</f>
        <v/>
      </c>
      <c r="AD2576" s="5">
        <f>IF(D2576="","",AA2576-Z2576)</f>
        <v/>
      </c>
      <c r="AG2576">
        <f>IF(D2576="","",N(AG2575)+IF(MATCH(D2576,$D$2:$D$3001,0)=ROW()-1,1,0))</f>
        <v/>
      </c>
    </row>
    <row r="2577">
      <c r="Y2577" s="5">
        <f>IF(D2577="","",X2577*IF(AND(ISNUMBER(AC2577),AC2577&gt;0,AC2577&lt;1),AC2577*100,AC2577)/100)</f>
        <v/>
      </c>
      <c r="Z2577" s="5">
        <f>IF(D2577="","",AB2577*AA2577/100)</f>
        <v/>
      </c>
      <c r="AA2577" s="5">
        <f>IF(D2577="","",X2577-Y2577)</f>
        <v/>
      </c>
      <c r="AD2577" s="5">
        <f>IF(D2577="","",AA2577-Z2577)</f>
        <v/>
      </c>
      <c r="AG2577">
        <f>IF(D2577="","",N(AG2576)+IF(MATCH(D2577,$D$2:$D$3001,0)=ROW()-1,1,0))</f>
        <v/>
      </c>
    </row>
    <row r="2578">
      <c r="Y2578" s="5">
        <f>IF(D2578="","",X2578*IF(AND(ISNUMBER(AC2578),AC2578&gt;0,AC2578&lt;1),AC2578*100,AC2578)/100)</f>
        <v/>
      </c>
      <c r="Z2578" s="5">
        <f>IF(D2578="","",AB2578*AA2578/100)</f>
        <v/>
      </c>
      <c r="AA2578" s="5">
        <f>IF(D2578="","",X2578-Y2578)</f>
        <v/>
      </c>
      <c r="AD2578" s="5">
        <f>IF(D2578="","",AA2578-Z2578)</f>
        <v/>
      </c>
      <c r="AG2578">
        <f>IF(D2578="","",N(AG2577)+IF(MATCH(D2578,$D$2:$D$3001,0)=ROW()-1,1,0))</f>
        <v/>
      </c>
    </row>
    <row r="2579">
      <c r="Y2579" s="5">
        <f>IF(D2579="","",X2579*IF(AND(ISNUMBER(AC2579),AC2579&gt;0,AC2579&lt;1),AC2579*100,AC2579)/100)</f>
        <v/>
      </c>
      <c r="Z2579" s="5">
        <f>IF(D2579="","",AB2579*AA2579/100)</f>
        <v/>
      </c>
      <c r="AA2579" s="5">
        <f>IF(D2579="","",X2579-Y2579)</f>
        <v/>
      </c>
      <c r="AD2579" s="5">
        <f>IF(D2579="","",AA2579-Z2579)</f>
        <v/>
      </c>
      <c r="AG2579">
        <f>IF(D2579="","",N(AG2578)+IF(MATCH(D2579,$D$2:$D$3001,0)=ROW()-1,1,0))</f>
        <v/>
      </c>
    </row>
    <row r="2580">
      <c r="Y2580" s="5">
        <f>IF(D2580="","",X2580*IF(AND(ISNUMBER(AC2580),AC2580&gt;0,AC2580&lt;1),AC2580*100,AC2580)/100)</f>
        <v/>
      </c>
      <c r="Z2580" s="5">
        <f>IF(D2580="","",AB2580*AA2580/100)</f>
        <v/>
      </c>
      <c r="AA2580" s="5">
        <f>IF(D2580="","",X2580-Y2580)</f>
        <v/>
      </c>
      <c r="AD2580" s="5">
        <f>IF(D2580="","",AA2580-Z2580)</f>
        <v/>
      </c>
      <c r="AG2580">
        <f>IF(D2580="","",N(AG2579)+IF(MATCH(D2580,$D$2:$D$3001,0)=ROW()-1,1,0))</f>
        <v/>
      </c>
    </row>
    <row r="2581">
      <c r="Y2581" s="5">
        <f>IF(D2581="","",X2581*IF(AND(ISNUMBER(AC2581),AC2581&gt;0,AC2581&lt;1),AC2581*100,AC2581)/100)</f>
        <v/>
      </c>
      <c r="Z2581" s="5">
        <f>IF(D2581="","",AB2581*AA2581/100)</f>
        <v/>
      </c>
      <c r="AA2581" s="5">
        <f>IF(D2581="","",X2581-Y2581)</f>
        <v/>
      </c>
      <c r="AD2581" s="5">
        <f>IF(D2581="","",AA2581-Z2581)</f>
        <v/>
      </c>
      <c r="AG2581">
        <f>IF(D2581="","",N(AG2580)+IF(MATCH(D2581,$D$2:$D$3001,0)=ROW()-1,1,0))</f>
        <v/>
      </c>
    </row>
    <row r="2582">
      <c r="Y2582" s="5">
        <f>IF(D2582="","",X2582*IF(AND(ISNUMBER(AC2582),AC2582&gt;0,AC2582&lt;1),AC2582*100,AC2582)/100)</f>
        <v/>
      </c>
      <c r="Z2582" s="5">
        <f>IF(D2582="","",AB2582*AA2582/100)</f>
        <v/>
      </c>
      <c r="AA2582" s="5">
        <f>IF(D2582="","",X2582-Y2582)</f>
        <v/>
      </c>
      <c r="AD2582" s="5">
        <f>IF(D2582="","",AA2582-Z2582)</f>
        <v/>
      </c>
      <c r="AG2582">
        <f>IF(D2582="","",N(AG2581)+IF(MATCH(D2582,$D$2:$D$3001,0)=ROW()-1,1,0))</f>
        <v/>
      </c>
    </row>
    <row r="2583">
      <c r="Y2583" s="5">
        <f>IF(D2583="","",X2583*IF(AND(ISNUMBER(AC2583),AC2583&gt;0,AC2583&lt;1),AC2583*100,AC2583)/100)</f>
        <v/>
      </c>
      <c r="Z2583" s="5">
        <f>IF(D2583="","",AB2583*AA2583/100)</f>
        <v/>
      </c>
      <c r="AA2583" s="5">
        <f>IF(D2583="","",X2583-Y2583)</f>
        <v/>
      </c>
      <c r="AD2583" s="5">
        <f>IF(D2583="","",AA2583-Z2583)</f>
        <v/>
      </c>
      <c r="AG2583">
        <f>IF(D2583="","",N(AG2582)+IF(MATCH(D2583,$D$2:$D$3001,0)=ROW()-1,1,0))</f>
        <v/>
      </c>
    </row>
    <row r="2584">
      <c r="Y2584" s="5">
        <f>IF(D2584="","",X2584*IF(AND(ISNUMBER(AC2584),AC2584&gt;0,AC2584&lt;1),AC2584*100,AC2584)/100)</f>
        <v/>
      </c>
      <c r="Z2584" s="5">
        <f>IF(D2584="","",AB2584*AA2584/100)</f>
        <v/>
      </c>
      <c r="AA2584" s="5">
        <f>IF(D2584="","",X2584-Y2584)</f>
        <v/>
      </c>
      <c r="AD2584" s="5">
        <f>IF(D2584="","",AA2584-Z2584)</f>
        <v/>
      </c>
      <c r="AG2584">
        <f>IF(D2584="","",N(AG2583)+IF(MATCH(D2584,$D$2:$D$3001,0)=ROW()-1,1,0))</f>
        <v/>
      </c>
    </row>
    <row r="2585">
      <c r="Y2585" s="5">
        <f>IF(D2585="","",X2585*IF(AND(ISNUMBER(AC2585),AC2585&gt;0,AC2585&lt;1),AC2585*100,AC2585)/100)</f>
        <v/>
      </c>
      <c r="Z2585" s="5">
        <f>IF(D2585="","",AB2585*AA2585/100)</f>
        <v/>
      </c>
      <c r="AA2585" s="5">
        <f>IF(D2585="","",X2585-Y2585)</f>
        <v/>
      </c>
      <c r="AD2585" s="5">
        <f>IF(D2585="","",AA2585-Z2585)</f>
        <v/>
      </c>
      <c r="AG2585">
        <f>IF(D2585="","",N(AG2584)+IF(MATCH(D2585,$D$2:$D$3001,0)=ROW()-1,1,0))</f>
        <v/>
      </c>
    </row>
    <row r="2586">
      <c r="Y2586" s="5">
        <f>IF(D2586="","",X2586*IF(AND(ISNUMBER(AC2586),AC2586&gt;0,AC2586&lt;1),AC2586*100,AC2586)/100)</f>
        <v/>
      </c>
      <c r="Z2586" s="5">
        <f>IF(D2586="","",AB2586*AA2586/100)</f>
        <v/>
      </c>
      <c r="AA2586" s="5">
        <f>IF(D2586="","",X2586-Y2586)</f>
        <v/>
      </c>
      <c r="AD2586" s="5">
        <f>IF(D2586="","",AA2586-Z2586)</f>
        <v/>
      </c>
      <c r="AG2586">
        <f>IF(D2586="","",N(AG2585)+IF(MATCH(D2586,$D$2:$D$3001,0)=ROW()-1,1,0))</f>
        <v/>
      </c>
    </row>
    <row r="2587">
      <c r="Y2587" s="5">
        <f>IF(D2587="","",X2587*IF(AND(ISNUMBER(AC2587),AC2587&gt;0,AC2587&lt;1),AC2587*100,AC2587)/100)</f>
        <v/>
      </c>
      <c r="Z2587" s="5">
        <f>IF(D2587="","",AB2587*AA2587/100)</f>
        <v/>
      </c>
      <c r="AA2587" s="5">
        <f>IF(D2587="","",X2587-Y2587)</f>
        <v/>
      </c>
      <c r="AD2587" s="5">
        <f>IF(D2587="","",AA2587-Z2587)</f>
        <v/>
      </c>
      <c r="AG2587">
        <f>IF(D2587="","",N(AG2586)+IF(MATCH(D2587,$D$2:$D$3001,0)=ROW()-1,1,0))</f>
        <v/>
      </c>
    </row>
    <row r="2588">
      <c r="Y2588" s="5">
        <f>IF(D2588="","",X2588*IF(AND(ISNUMBER(AC2588),AC2588&gt;0,AC2588&lt;1),AC2588*100,AC2588)/100)</f>
        <v/>
      </c>
      <c r="Z2588" s="5">
        <f>IF(D2588="","",AB2588*AA2588/100)</f>
        <v/>
      </c>
      <c r="AA2588" s="5">
        <f>IF(D2588="","",X2588-Y2588)</f>
        <v/>
      </c>
      <c r="AD2588" s="5">
        <f>IF(D2588="","",AA2588-Z2588)</f>
        <v/>
      </c>
      <c r="AG2588">
        <f>IF(D2588="","",N(AG2587)+IF(MATCH(D2588,$D$2:$D$3001,0)=ROW()-1,1,0))</f>
        <v/>
      </c>
    </row>
    <row r="2589">
      <c r="Y2589" s="5">
        <f>IF(D2589="","",X2589*IF(AND(ISNUMBER(AC2589),AC2589&gt;0,AC2589&lt;1),AC2589*100,AC2589)/100)</f>
        <v/>
      </c>
      <c r="Z2589" s="5">
        <f>IF(D2589="","",AB2589*AA2589/100)</f>
        <v/>
      </c>
      <c r="AA2589" s="5">
        <f>IF(D2589="","",X2589-Y2589)</f>
        <v/>
      </c>
      <c r="AD2589" s="5">
        <f>IF(D2589="","",AA2589-Z2589)</f>
        <v/>
      </c>
      <c r="AG2589">
        <f>IF(D2589="","",N(AG2588)+IF(MATCH(D2589,$D$2:$D$3001,0)=ROW()-1,1,0))</f>
        <v/>
      </c>
    </row>
    <row r="2590">
      <c r="Y2590" s="5">
        <f>IF(D2590="","",X2590*IF(AND(ISNUMBER(AC2590),AC2590&gt;0,AC2590&lt;1),AC2590*100,AC2590)/100)</f>
        <v/>
      </c>
      <c r="Z2590" s="5">
        <f>IF(D2590="","",AB2590*AA2590/100)</f>
        <v/>
      </c>
      <c r="AA2590" s="5">
        <f>IF(D2590="","",X2590-Y2590)</f>
        <v/>
      </c>
      <c r="AD2590" s="5">
        <f>IF(D2590="","",AA2590-Z2590)</f>
        <v/>
      </c>
      <c r="AG2590">
        <f>IF(D2590="","",N(AG2589)+IF(MATCH(D2590,$D$2:$D$3001,0)=ROW()-1,1,0))</f>
        <v/>
      </c>
    </row>
    <row r="2591">
      <c r="Y2591" s="5">
        <f>IF(D2591="","",X2591*IF(AND(ISNUMBER(AC2591),AC2591&gt;0,AC2591&lt;1),AC2591*100,AC2591)/100)</f>
        <v/>
      </c>
      <c r="Z2591" s="5">
        <f>IF(D2591="","",AB2591*AA2591/100)</f>
        <v/>
      </c>
      <c r="AA2591" s="5">
        <f>IF(D2591="","",X2591-Y2591)</f>
        <v/>
      </c>
      <c r="AD2591" s="5">
        <f>IF(D2591="","",AA2591-Z2591)</f>
        <v/>
      </c>
      <c r="AG2591">
        <f>IF(D2591="","",N(AG2590)+IF(MATCH(D2591,$D$2:$D$3001,0)=ROW()-1,1,0))</f>
        <v/>
      </c>
    </row>
    <row r="2592">
      <c r="Y2592" s="5">
        <f>IF(D2592="","",X2592*IF(AND(ISNUMBER(AC2592),AC2592&gt;0,AC2592&lt;1),AC2592*100,AC2592)/100)</f>
        <v/>
      </c>
      <c r="Z2592" s="5">
        <f>IF(D2592="","",AB2592*AA2592/100)</f>
        <v/>
      </c>
      <c r="AA2592" s="5">
        <f>IF(D2592="","",X2592-Y2592)</f>
        <v/>
      </c>
      <c r="AD2592" s="5">
        <f>IF(D2592="","",AA2592-Z2592)</f>
        <v/>
      </c>
      <c r="AG2592">
        <f>IF(D2592="","",N(AG2591)+IF(MATCH(D2592,$D$2:$D$3001,0)=ROW()-1,1,0))</f>
        <v/>
      </c>
    </row>
    <row r="2593">
      <c r="Y2593" s="5">
        <f>IF(D2593="","",X2593*IF(AND(ISNUMBER(AC2593),AC2593&gt;0,AC2593&lt;1),AC2593*100,AC2593)/100)</f>
        <v/>
      </c>
      <c r="Z2593" s="5">
        <f>IF(D2593="","",AB2593*AA2593/100)</f>
        <v/>
      </c>
      <c r="AA2593" s="5">
        <f>IF(D2593="","",X2593-Y2593)</f>
        <v/>
      </c>
      <c r="AD2593" s="5">
        <f>IF(D2593="","",AA2593-Z2593)</f>
        <v/>
      </c>
      <c r="AG2593">
        <f>IF(D2593="","",N(AG2592)+IF(MATCH(D2593,$D$2:$D$3001,0)=ROW()-1,1,0))</f>
        <v/>
      </c>
    </row>
    <row r="2594">
      <c r="Y2594" s="5">
        <f>IF(D2594="","",X2594*IF(AND(ISNUMBER(AC2594),AC2594&gt;0,AC2594&lt;1),AC2594*100,AC2594)/100)</f>
        <v/>
      </c>
      <c r="Z2594" s="5">
        <f>IF(D2594="","",AB2594*AA2594/100)</f>
        <v/>
      </c>
      <c r="AA2594" s="5">
        <f>IF(D2594="","",X2594-Y2594)</f>
        <v/>
      </c>
      <c r="AD2594" s="5">
        <f>IF(D2594="","",AA2594-Z2594)</f>
        <v/>
      </c>
      <c r="AG2594">
        <f>IF(D2594="","",N(AG2593)+IF(MATCH(D2594,$D$2:$D$3001,0)=ROW()-1,1,0))</f>
        <v/>
      </c>
    </row>
    <row r="2595">
      <c r="Y2595" s="5">
        <f>IF(D2595="","",X2595*IF(AND(ISNUMBER(AC2595),AC2595&gt;0,AC2595&lt;1),AC2595*100,AC2595)/100)</f>
        <v/>
      </c>
      <c r="Z2595" s="5">
        <f>IF(D2595="","",AB2595*AA2595/100)</f>
        <v/>
      </c>
      <c r="AA2595" s="5">
        <f>IF(D2595="","",X2595-Y2595)</f>
        <v/>
      </c>
      <c r="AD2595" s="5">
        <f>IF(D2595="","",AA2595-Z2595)</f>
        <v/>
      </c>
      <c r="AG2595">
        <f>IF(D2595="","",N(AG2594)+IF(MATCH(D2595,$D$2:$D$3001,0)=ROW()-1,1,0))</f>
        <v/>
      </c>
    </row>
    <row r="2596">
      <c r="Y2596" s="5">
        <f>IF(D2596="","",X2596*IF(AND(ISNUMBER(AC2596),AC2596&gt;0,AC2596&lt;1),AC2596*100,AC2596)/100)</f>
        <v/>
      </c>
      <c r="Z2596" s="5">
        <f>IF(D2596="","",AB2596*AA2596/100)</f>
        <v/>
      </c>
      <c r="AA2596" s="5">
        <f>IF(D2596="","",X2596-Y2596)</f>
        <v/>
      </c>
      <c r="AD2596" s="5">
        <f>IF(D2596="","",AA2596-Z2596)</f>
        <v/>
      </c>
      <c r="AG2596">
        <f>IF(D2596="","",N(AG2595)+IF(MATCH(D2596,$D$2:$D$3001,0)=ROW()-1,1,0))</f>
        <v/>
      </c>
    </row>
    <row r="2597">
      <c r="Y2597" s="5">
        <f>IF(D2597="","",X2597*IF(AND(ISNUMBER(AC2597),AC2597&gt;0,AC2597&lt;1),AC2597*100,AC2597)/100)</f>
        <v/>
      </c>
      <c r="Z2597" s="5">
        <f>IF(D2597="","",AB2597*AA2597/100)</f>
        <v/>
      </c>
      <c r="AA2597" s="5">
        <f>IF(D2597="","",X2597-Y2597)</f>
        <v/>
      </c>
      <c r="AD2597" s="5">
        <f>IF(D2597="","",AA2597-Z2597)</f>
        <v/>
      </c>
      <c r="AG2597">
        <f>IF(D2597="","",N(AG2596)+IF(MATCH(D2597,$D$2:$D$3001,0)=ROW()-1,1,0))</f>
        <v/>
      </c>
    </row>
    <row r="2598">
      <c r="Y2598" s="5">
        <f>IF(D2598="","",X2598*IF(AND(ISNUMBER(AC2598),AC2598&gt;0,AC2598&lt;1),AC2598*100,AC2598)/100)</f>
        <v/>
      </c>
      <c r="Z2598" s="5">
        <f>IF(D2598="","",AB2598*AA2598/100)</f>
        <v/>
      </c>
      <c r="AA2598" s="5">
        <f>IF(D2598="","",X2598-Y2598)</f>
        <v/>
      </c>
      <c r="AD2598" s="5">
        <f>IF(D2598="","",AA2598-Z2598)</f>
        <v/>
      </c>
      <c r="AG2598">
        <f>IF(D2598="","",N(AG2597)+IF(MATCH(D2598,$D$2:$D$3001,0)=ROW()-1,1,0))</f>
        <v/>
      </c>
    </row>
    <row r="2599">
      <c r="Y2599" s="5">
        <f>IF(D2599="","",X2599*IF(AND(ISNUMBER(AC2599),AC2599&gt;0,AC2599&lt;1),AC2599*100,AC2599)/100)</f>
        <v/>
      </c>
      <c r="Z2599" s="5">
        <f>IF(D2599="","",AB2599*AA2599/100)</f>
        <v/>
      </c>
      <c r="AA2599" s="5">
        <f>IF(D2599="","",X2599-Y2599)</f>
        <v/>
      </c>
      <c r="AD2599" s="5">
        <f>IF(D2599="","",AA2599-Z2599)</f>
        <v/>
      </c>
      <c r="AG2599">
        <f>IF(D2599="","",N(AG2598)+IF(MATCH(D2599,$D$2:$D$3001,0)=ROW()-1,1,0))</f>
        <v/>
      </c>
    </row>
    <row r="2600">
      <c r="Y2600" s="5">
        <f>IF(D2600="","",X2600*IF(AND(ISNUMBER(AC2600),AC2600&gt;0,AC2600&lt;1),AC2600*100,AC2600)/100)</f>
        <v/>
      </c>
      <c r="Z2600" s="5">
        <f>IF(D2600="","",AB2600*AA2600/100)</f>
        <v/>
      </c>
      <c r="AA2600" s="5">
        <f>IF(D2600="","",X2600-Y2600)</f>
        <v/>
      </c>
      <c r="AD2600" s="5">
        <f>IF(D2600="","",AA2600-Z2600)</f>
        <v/>
      </c>
      <c r="AG2600">
        <f>IF(D2600="","",N(AG2599)+IF(MATCH(D2600,$D$2:$D$3001,0)=ROW()-1,1,0))</f>
        <v/>
      </c>
    </row>
    <row r="2601">
      <c r="Y2601" s="5">
        <f>IF(D2601="","",X2601*IF(AND(ISNUMBER(AC2601),AC2601&gt;0,AC2601&lt;1),AC2601*100,AC2601)/100)</f>
        <v/>
      </c>
      <c r="Z2601" s="5">
        <f>IF(D2601="","",AB2601*AA2601/100)</f>
        <v/>
      </c>
      <c r="AA2601" s="5">
        <f>IF(D2601="","",X2601-Y2601)</f>
        <v/>
      </c>
      <c r="AD2601" s="5">
        <f>IF(D2601="","",AA2601-Z2601)</f>
        <v/>
      </c>
      <c r="AG2601">
        <f>IF(D2601="","",N(AG2600)+IF(MATCH(D2601,$D$2:$D$3001,0)=ROW()-1,1,0))</f>
        <v/>
      </c>
    </row>
    <row r="2602">
      <c r="Y2602" s="5">
        <f>IF(D2602="","",X2602*IF(AND(ISNUMBER(AC2602),AC2602&gt;0,AC2602&lt;1),AC2602*100,AC2602)/100)</f>
        <v/>
      </c>
      <c r="Z2602" s="5">
        <f>IF(D2602="","",AB2602*AA2602/100)</f>
        <v/>
      </c>
      <c r="AA2602" s="5">
        <f>IF(D2602="","",X2602-Y2602)</f>
        <v/>
      </c>
      <c r="AD2602" s="5">
        <f>IF(D2602="","",AA2602-Z2602)</f>
        <v/>
      </c>
      <c r="AG2602">
        <f>IF(D2602="","",N(AG2601)+IF(MATCH(D2602,$D$2:$D$3001,0)=ROW()-1,1,0))</f>
        <v/>
      </c>
    </row>
    <row r="2603">
      <c r="Y2603" s="5">
        <f>IF(D2603="","",X2603*IF(AND(ISNUMBER(AC2603),AC2603&gt;0,AC2603&lt;1),AC2603*100,AC2603)/100)</f>
        <v/>
      </c>
      <c r="Z2603" s="5">
        <f>IF(D2603="","",AB2603*AA2603/100)</f>
        <v/>
      </c>
      <c r="AA2603" s="5">
        <f>IF(D2603="","",X2603-Y2603)</f>
        <v/>
      </c>
      <c r="AD2603" s="5">
        <f>IF(D2603="","",AA2603-Z2603)</f>
        <v/>
      </c>
      <c r="AG2603">
        <f>IF(D2603="","",N(AG2602)+IF(MATCH(D2603,$D$2:$D$3001,0)=ROW()-1,1,0))</f>
        <v/>
      </c>
    </row>
    <row r="2604">
      <c r="Y2604" s="5">
        <f>IF(D2604="","",X2604*IF(AND(ISNUMBER(AC2604),AC2604&gt;0,AC2604&lt;1),AC2604*100,AC2604)/100)</f>
        <v/>
      </c>
      <c r="Z2604" s="5">
        <f>IF(D2604="","",AB2604*AA2604/100)</f>
        <v/>
      </c>
      <c r="AA2604" s="5">
        <f>IF(D2604="","",X2604-Y2604)</f>
        <v/>
      </c>
      <c r="AD2604" s="5">
        <f>IF(D2604="","",AA2604-Z2604)</f>
        <v/>
      </c>
      <c r="AG2604">
        <f>IF(D2604="","",N(AG2603)+IF(MATCH(D2604,$D$2:$D$3001,0)=ROW()-1,1,0))</f>
        <v/>
      </c>
    </row>
    <row r="2605">
      <c r="Y2605" s="5">
        <f>IF(D2605="","",X2605*IF(AND(ISNUMBER(AC2605),AC2605&gt;0,AC2605&lt;1),AC2605*100,AC2605)/100)</f>
        <v/>
      </c>
      <c r="Z2605" s="5">
        <f>IF(D2605="","",AB2605*AA2605/100)</f>
        <v/>
      </c>
      <c r="AA2605" s="5">
        <f>IF(D2605="","",X2605-Y2605)</f>
        <v/>
      </c>
      <c r="AD2605" s="5">
        <f>IF(D2605="","",AA2605-Z2605)</f>
        <v/>
      </c>
      <c r="AG2605">
        <f>IF(D2605="","",N(AG2604)+IF(MATCH(D2605,$D$2:$D$3001,0)=ROW()-1,1,0))</f>
        <v/>
      </c>
    </row>
    <row r="2606">
      <c r="Y2606" s="5">
        <f>IF(D2606="","",X2606*IF(AND(ISNUMBER(AC2606),AC2606&gt;0,AC2606&lt;1),AC2606*100,AC2606)/100)</f>
        <v/>
      </c>
      <c r="Z2606" s="5">
        <f>IF(D2606="","",AB2606*AA2606/100)</f>
        <v/>
      </c>
      <c r="AA2606" s="5">
        <f>IF(D2606="","",X2606-Y2606)</f>
        <v/>
      </c>
      <c r="AD2606" s="5">
        <f>IF(D2606="","",AA2606-Z2606)</f>
        <v/>
      </c>
      <c r="AG2606">
        <f>IF(D2606="","",N(AG2605)+IF(MATCH(D2606,$D$2:$D$3001,0)=ROW()-1,1,0))</f>
        <v/>
      </c>
    </row>
    <row r="2607">
      <c r="Y2607" s="5">
        <f>IF(D2607="","",X2607*IF(AND(ISNUMBER(AC2607),AC2607&gt;0,AC2607&lt;1),AC2607*100,AC2607)/100)</f>
        <v/>
      </c>
      <c r="Z2607" s="5">
        <f>IF(D2607="","",AB2607*AA2607/100)</f>
        <v/>
      </c>
      <c r="AA2607" s="5">
        <f>IF(D2607="","",X2607-Y2607)</f>
        <v/>
      </c>
      <c r="AD2607" s="5">
        <f>IF(D2607="","",AA2607-Z2607)</f>
        <v/>
      </c>
      <c r="AG2607">
        <f>IF(D2607="","",N(AG2606)+IF(MATCH(D2607,$D$2:$D$3001,0)=ROW()-1,1,0))</f>
        <v/>
      </c>
    </row>
    <row r="2608">
      <c r="Y2608" s="5">
        <f>IF(D2608="","",X2608*IF(AND(ISNUMBER(AC2608),AC2608&gt;0,AC2608&lt;1),AC2608*100,AC2608)/100)</f>
        <v/>
      </c>
      <c r="Z2608" s="5">
        <f>IF(D2608="","",AB2608*AA2608/100)</f>
        <v/>
      </c>
      <c r="AA2608" s="5">
        <f>IF(D2608="","",X2608-Y2608)</f>
        <v/>
      </c>
      <c r="AD2608" s="5">
        <f>IF(D2608="","",AA2608-Z2608)</f>
        <v/>
      </c>
      <c r="AG2608">
        <f>IF(D2608="","",N(AG2607)+IF(MATCH(D2608,$D$2:$D$3001,0)=ROW()-1,1,0))</f>
        <v/>
      </c>
    </row>
    <row r="2609">
      <c r="Y2609" s="5">
        <f>IF(D2609="","",X2609*IF(AND(ISNUMBER(AC2609),AC2609&gt;0,AC2609&lt;1),AC2609*100,AC2609)/100)</f>
        <v/>
      </c>
      <c r="Z2609" s="5">
        <f>IF(D2609="","",AB2609*AA2609/100)</f>
        <v/>
      </c>
      <c r="AA2609" s="5">
        <f>IF(D2609="","",X2609-Y2609)</f>
        <v/>
      </c>
      <c r="AD2609" s="5">
        <f>IF(D2609="","",AA2609-Z2609)</f>
        <v/>
      </c>
      <c r="AG2609">
        <f>IF(D2609="","",N(AG2608)+IF(MATCH(D2609,$D$2:$D$3001,0)=ROW()-1,1,0))</f>
        <v/>
      </c>
    </row>
    <row r="2610">
      <c r="Y2610" s="5">
        <f>IF(D2610="","",X2610*IF(AND(ISNUMBER(AC2610),AC2610&gt;0,AC2610&lt;1),AC2610*100,AC2610)/100)</f>
        <v/>
      </c>
      <c r="Z2610" s="5">
        <f>IF(D2610="","",AB2610*AA2610/100)</f>
        <v/>
      </c>
      <c r="AA2610" s="5">
        <f>IF(D2610="","",X2610-Y2610)</f>
        <v/>
      </c>
      <c r="AD2610" s="5">
        <f>IF(D2610="","",AA2610-Z2610)</f>
        <v/>
      </c>
      <c r="AG2610">
        <f>IF(D2610="","",N(AG2609)+IF(MATCH(D2610,$D$2:$D$3001,0)=ROW()-1,1,0))</f>
        <v/>
      </c>
    </row>
    <row r="2611">
      <c r="Y2611" s="5">
        <f>IF(D2611="","",X2611*IF(AND(ISNUMBER(AC2611),AC2611&gt;0,AC2611&lt;1),AC2611*100,AC2611)/100)</f>
        <v/>
      </c>
      <c r="Z2611" s="5">
        <f>IF(D2611="","",AB2611*AA2611/100)</f>
        <v/>
      </c>
      <c r="AA2611" s="5">
        <f>IF(D2611="","",X2611-Y2611)</f>
        <v/>
      </c>
      <c r="AD2611" s="5">
        <f>IF(D2611="","",AA2611-Z2611)</f>
        <v/>
      </c>
      <c r="AG2611">
        <f>IF(D2611="","",N(AG2610)+IF(MATCH(D2611,$D$2:$D$3001,0)=ROW()-1,1,0))</f>
        <v/>
      </c>
    </row>
    <row r="2612">
      <c r="Y2612" s="5">
        <f>IF(D2612="","",X2612*IF(AND(ISNUMBER(AC2612),AC2612&gt;0,AC2612&lt;1),AC2612*100,AC2612)/100)</f>
        <v/>
      </c>
      <c r="Z2612" s="5">
        <f>IF(D2612="","",AB2612*AA2612/100)</f>
        <v/>
      </c>
      <c r="AA2612" s="5">
        <f>IF(D2612="","",X2612-Y2612)</f>
        <v/>
      </c>
      <c r="AD2612" s="5">
        <f>IF(D2612="","",AA2612-Z2612)</f>
        <v/>
      </c>
      <c r="AG2612">
        <f>IF(D2612="","",N(AG2611)+IF(MATCH(D2612,$D$2:$D$3001,0)=ROW()-1,1,0))</f>
        <v/>
      </c>
    </row>
    <row r="2613">
      <c r="Y2613" s="5">
        <f>IF(D2613="","",X2613*IF(AND(ISNUMBER(AC2613),AC2613&gt;0,AC2613&lt;1),AC2613*100,AC2613)/100)</f>
        <v/>
      </c>
      <c r="Z2613" s="5">
        <f>IF(D2613="","",AB2613*AA2613/100)</f>
        <v/>
      </c>
      <c r="AA2613" s="5">
        <f>IF(D2613="","",X2613-Y2613)</f>
        <v/>
      </c>
      <c r="AD2613" s="5">
        <f>IF(D2613="","",AA2613-Z2613)</f>
        <v/>
      </c>
      <c r="AG2613">
        <f>IF(D2613="","",N(AG2612)+IF(MATCH(D2613,$D$2:$D$3001,0)=ROW()-1,1,0))</f>
        <v/>
      </c>
    </row>
    <row r="2614">
      <c r="Y2614" s="5">
        <f>IF(D2614="","",X2614*IF(AND(ISNUMBER(AC2614),AC2614&gt;0,AC2614&lt;1),AC2614*100,AC2614)/100)</f>
        <v/>
      </c>
      <c r="Z2614" s="5">
        <f>IF(D2614="","",AB2614*AA2614/100)</f>
        <v/>
      </c>
      <c r="AA2614" s="5">
        <f>IF(D2614="","",X2614-Y2614)</f>
        <v/>
      </c>
      <c r="AD2614" s="5">
        <f>IF(D2614="","",AA2614-Z2614)</f>
        <v/>
      </c>
      <c r="AG2614">
        <f>IF(D2614="","",N(AG2613)+IF(MATCH(D2614,$D$2:$D$3001,0)=ROW()-1,1,0))</f>
        <v/>
      </c>
    </row>
    <row r="2615">
      <c r="Y2615" s="5">
        <f>IF(D2615="","",X2615*IF(AND(ISNUMBER(AC2615),AC2615&gt;0,AC2615&lt;1),AC2615*100,AC2615)/100)</f>
        <v/>
      </c>
      <c r="Z2615" s="5">
        <f>IF(D2615="","",AB2615*AA2615/100)</f>
        <v/>
      </c>
      <c r="AA2615" s="5">
        <f>IF(D2615="","",X2615-Y2615)</f>
        <v/>
      </c>
      <c r="AD2615" s="5">
        <f>IF(D2615="","",AA2615-Z2615)</f>
        <v/>
      </c>
      <c r="AG2615">
        <f>IF(D2615="","",N(AG2614)+IF(MATCH(D2615,$D$2:$D$3001,0)=ROW()-1,1,0))</f>
        <v/>
      </c>
    </row>
    <row r="2616">
      <c r="Y2616" s="5">
        <f>IF(D2616="","",X2616*IF(AND(ISNUMBER(AC2616),AC2616&gt;0,AC2616&lt;1),AC2616*100,AC2616)/100)</f>
        <v/>
      </c>
      <c r="Z2616" s="5">
        <f>IF(D2616="","",AB2616*AA2616/100)</f>
        <v/>
      </c>
      <c r="AA2616" s="5">
        <f>IF(D2616="","",X2616-Y2616)</f>
        <v/>
      </c>
      <c r="AD2616" s="5">
        <f>IF(D2616="","",AA2616-Z2616)</f>
        <v/>
      </c>
      <c r="AG2616">
        <f>IF(D2616="","",N(AG2615)+IF(MATCH(D2616,$D$2:$D$3001,0)=ROW()-1,1,0))</f>
        <v/>
      </c>
    </row>
    <row r="2617">
      <c r="Y2617" s="5">
        <f>IF(D2617="","",X2617*IF(AND(ISNUMBER(AC2617),AC2617&gt;0,AC2617&lt;1),AC2617*100,AC2617)/100)</f>
        <v/>
      </c>
      <c r="Z2617" s="5">
        <f>IF(D2617="","",AB2617*AA2617/100)</f>
        <v/>
      </c>
      <c r="AA2617" s="5">
        <f>IF(D2617="","",X2617-Y2617)</f>
        <v/>
      </c>
      <c r="AD2617" s="5">
        <f>IF(D2617="","",AA2617-Z2617)</f>
        <v/>
      </c>
      <c r="AG2617">
        <f>IF(D2617="","",N(AG2616)+IF(MATCH(D2617,$D$2:$D$3001,0)=ROW()-1,1,0))</f>
        <v/>
      </c>
    </row>
    <row r="2618">
      <c r="Y2618" s="5">
        <f>IF(D2618="","",X2618*IF(AND(ISNUMBER(AC2618),AC2618&gt;0,AC2618&lt;1),AC2618*100,AC2618)/100)</f>
        <v/>
      </c>
      <c r="Z2618" s="5">
        <f>IF(D2618="","",AB2618*AA2618/100)</f>
        <v/>
      </c>
      <c r="AA2618" s="5">
        <f>IF(D2618="","",X2618-Y2618)</f>
        <v/>
      </c>
      <c r="AD2618" s="5">
        <f>IF(D2618="","",AA2618-Z2618)</f>
        <v/>
      </c>
      <c r="AG2618">
        <f>IF(D2618="","",N(AG2617)+IF(MATCH(D2618,$D$2:$D$3001,0)=ROW()-1,1,0))</f>
        <v/>
      </c>
    </row>
    <row r="2619">
      <c r="Y2619" s="5">
        <f>IF(D2619="","",X2619*IF(AND(ISNUMBER(AC2619),AC2619&gt;0,AC2619&lt;1),AC2619*100,AC2619)/100)</f>
        <v/>
      </c>
      <c r="Z2619" s="5">
        <f>IF(D2619="","",AB2619*AA2619/100)</f>
        <v/>
      </c>
      <c r="AA2619" s="5">
        <f>IF(D2619="","",X2619-Y2619)</f>
        <v/>
      </c>
      <c r="AD2619" s="5">
        <f>IF(D2619="","",AA2619-Z2619)</f>
        <v/>
      </c>
      <c r="AG2619">
        <f>IF(D2619="","",N(AG2618)+IF(MATCH(D2619,$D$2:$D$3001,0)=ROW()-1,1,0))</f>
        <v/>
      </c>
    </row>
    <row r="2620">
      <c r="Y2620" s="5">
        <f>IF(D2620="","",X2620*IF(AND(ISNUMBER(AC2620),AC2620&gt;0,AC2620&lt;1),AC2620*100,AC2620)/100)</f>
        <v/>
      </c>
      <c r="Z2620" s="5">
        <f>IF(D2620="","",AB2620*AA2620/100)</f>
        <v/>
      </c>
      <c r="AA2620" s="5">
        <f>IF(D2620="","",X2620-Y2620)</f>
        <v/>
      </c>
      <c r="AD2620" s="5">
        <f>IF(D2620="","",AA2620-Z2620)</f>
        <v/>
      </c>
      <c r="AG2620">
        <f>IF(D2620="","",N(AG2619)+IF(MATCH(D2620,$D$2:$D$3001,0)=ROW()-1,1,0))</f>
        <v/>
      </c>
    </row>
    <row r="2621">
      <c r="Y2621" s="5">
        <f>IF(D2621="","",X2621*IF(AND(ISNUMBER(AC2621),AC2621&gt;0,AC2621&lt;1),AC2621*100,AC2621)/100)</f>
        <v/>
      </c>
      <c r="Z2621" s="5">
        <f>IF(D2621="","",AB2621*AA2621/100)</f>
        <v/>
      </c>
      <c r="AA2621" s="5">
        <f>IF(D2621="","",X2621-Y2621)</f>
        <v/>
      </c>
      <c r="AD2621" s="5">
        <f>IF(D2621="","",AA2621-Z2621)</f>
        <v/>
      </c>
      <c r="AG2621">
        <f>IF(D2621="","",N(AG2620)+IF(MATCH(D2621,$D$2:$D$3001,0)=ROW()-1,1,0))</f>
        <v/>
      </c>
    </row>
    <row r="2622">
      <c r="Y2622" s="5">
        <f>IF(D2622="","",X2622*IF(AND(ISNUMBER(AC2622),AC2622&gt;0,AC2622&lt;1),AC2622*100,AC2622)/100)</f>
        <v/>
      </c>
      <c r="Z2622" s="5">
        <f>IF(D2622="","",AB2622*AA2622/100)</f>
        <v/>
      </c>
      <c r="AA2622" s="5">
        <f>IF(D2622="","",X2622-Y2622)</f>
        <v/>
      </c>
      <c r="AD2622" s="5">
        <f>IF(D2622="","",AA2622-Z2622)</f>
        <v/>
      </c>
      <c r="AG2622">
        <f>IF(D2622="","",N(AG2621)+IF(MATCH(D2622,$D$2:$D$3001,0)=ROW()-1,1,0))</f>
        <v/>
      </c>
    </row>
    <row r="2623">
      <c r="Y2623" s="5">
        <f>IF(D2623="","",X2623*IF(AND(ISNUMBER(AC2623),AC2623&gt;0,AC2623&lt;1),AC2623*100,AC2623)/100)</f>
        <v/>
      </c>
      <c r="Z2623" s="5">
        <f>IF(D2623="","",AB2623*AA2623/100)</f>
        <v/>
      </c>
      <c r="AA2623" s="5">
        <f>IF(D2623="","",X2623-Y2623)</f>
        <v/>
      </c>
      <c r="AD2623" s="5">
        <f>IF(D2623="","",AA2623-Z2623)</f>
        <v/>
      </c>
      <c r="AG2623">
        <f>IF(D2623="","",N(AG2622)+IF(MATCH(D2623,$D$2:$D$3001,0)=ROW()-1,1,0))</f>
        <v/>
      </c>
    </row>
    <row r="2624">
      <c r="Y2624" s="5">
        <f>IF(D2624="","",X2624*IF(AND(ISNUMBER(AC2624),AC2624&gt;0,AC2624&lt;1),AC2624*100,AC2624)/100)</f>
        <v/>
      </c>
      <c r="Z2624" s="5">
        <f>IF(D2624="","",AB2624*AA2624/100)</f>
        <v/>
      </c>
      <c r="AA2624" s="5">
        <f>IF(D2624="","",X2624-Y2624)</f>
        <v/>
      </c>
      <c r="AD2624" s="5">
        <f>IF(D2624="","",AA2624-Z2624)</f>
        <v/>
      </c>
      <c r="AG2624">
        <f>IF(D2624="","",N(AG2623)+IF(MATCH(D2624,$D$2:$D$3001,0)=ROW()-1,1,0))</f>
        <v/>
      </c>
    </row>
    <row r="2625">
      <c r="Y2625" s="5">
        <f>IF(D2625="","",X2625*IF(AND(ISNUMBER(AC2625),AC2625&gt;0,AC2625&lt;1),AC2625*100,AC2625)/100)</f>
        <v/>
      </c>
      <c r="Z2625" s="5">
        <f>IF(D2625="","",AB2625*AA2625/100)</f>
        <v/>
      </c>
      <c r="AA2625" s="5">
        <f>IF(D2625="","",X2625-Y2625)</f>
        <v/>
      </c>
      <c r="AD2625" s="5">
        <f>IF(D2625="","",AA2625-Z2625)</f>
        <v/>
      </c>
      <c r="AG2625">
        <f>IF(D2625="","",N(AG2624)+IF(MATCH(D2625,$D$2:$D$3001,0)=ROW()-1,1,0))</f>
        <v/>
      </c>
    </row>
    <row r="2626">
      <c r="Y2626" s="5">
        <f>IF(D2626="","",X2626*IF(AND(ISNUMBER(AC2626),AC2626&gt;0,AC2626&lt;1),AC2626*100,AC2626)/100)</f>
        <v/>
      </c>
      <c r="Z2626" s="5">
        <f>IF(D2626="","",AB2626*AA2626/100)</f>
        <v/>
      </c>
      <c r="AA2626" s="5">
        <f>IF(D2626="","",X2626-Y2626)</f>
        <v/>
      </c>
      <c r="AD2626" s="5">
        <f>IF(D2626="","",AA2626-Z2626)</f>
        <v/>
      </c>
      <c r="AG2626">
        <f>IF(D2626="","",N(AG2625)+IF(MATCH(D2626,$D$2:$D$3001,0)=ROW()-1,1,0))</f>
        <v/>
      </c>
    </row>
    <row r="2627">
      <c r="Y2627" s="5">
        <f>IF(D2627="","",X2627*IF(AND(ISNUMBER(AC2627),AC2627&gt;0,AC2627&lt;1),AC2627*100,AC2627)/100)</f>
        <v/>
      </c>
      <c r="Z2627" s="5">
        <f>IF(D2627="","",AB2627*AA2627/100)</f>
        <v/>
      </c>
      <c r="AA2627" s="5">
        <f>IF(D2627="","",X2627-Y2627)</f>
        <v/>
      </c>
      <c r="AD2627" s="5">
        <f>IF(D2627="","",AA2627-Z2627)</f>
        <v/>
      </c>
      <c r="AG2627">
        <f>IF(D2627="","",N(AG2626)+IF(MATCH(D2627,$D$2:$D$3001,0)=ROW()-1,1,0))</f>
        <v/>
      </c>
    </row>
    <row r="2628">
      <c r="Y2628" s="5">
        <f>IF(D2628="","",X2628*IF(AND(ISNUMBER(AC2628),AC2628&gt;0,AC2628&lt;1),AC2628*100,AC2628)/100)</f>
        <v/>
      </c>
      <c r="Z2628" s="5">
        <f>IF(D2628="","",AB2628*AA2628/100)</f>
        <v/>
      </c>
      <c r="AA2628" s="5">
        <f>IF(D2628="","",X2628-Y2628)</f>
        <v/>
      </c>
      <c r="AD2628" s="5">
        <f>IF(D2628="","",AA2628-Z2628)</f>
        <v/>
      </c>
      <c r="AG2628">
        <f>IF(D2628="","",N(AG2627)+IF(MATCH(D2628,$D$2:$D$3001,0)=ROW()-1,1,0))</f>
        <v/>
      </c>
    </row>
    <row r="2629">
      <c r="Y2629" s="5">
        <f>IF(D2629="","",X2629*IF(AND(ISNUMBER(AC2629),AC2629&gt;0,AC2629&lt;1),AC2629*100,AC2629)/100)</f>
        <v/>
      </c>
      <c r="Z2629" s="5">
        <f>IF(D2629="","",AB2629*AA2629/100)</f>
        <v/>
      </c>
      <c r="AA2629" s="5">
        <f>IF(D2629="","",X2629-Y2629)</f>
        <v/>
      </c>
      <c r="AD2629" s="5">
        <f>IF(D2629="","",AA2629-Z2629)</f>
        <v/>
      </c>
      <c r="AG2629">
        <f>IF(D2629="","",N(AG2628)+IF(MATCH(D2629,$D$2:$D$3001,0)=ROW()-1,1,0))</f>
        <v/>
      </c>
    </row>
    <row r="2630">
      <c r="Y2630" s="5">
        <f>IF(D2630="","",X2630*IF(AND(ISNUMBER(AC2630),AC2630&gt;0,AC2630&lt;1),AC2630*100,AC2630)/100)</f>
        <v/>
      </c>
      <c r="Z2630" s="5">
        <f>IF(D2630="","",AB2630*AA2630/100)</f>
        <v/>
      </c>
      <c r="AA2630" s="5">
        <f>IF(D2630="","",X2630-Y2630)</f>
        <v/>
      </c>
      <c r="AD2630" s="5">
        <f>IF(D2630="","",AA2630-Z2630)</f>
        <v/>
      </c>
      <c r="AG2630">
        <f>IF(D2630="","",N(AG2629)+IF(MATCH(D2630,$D$2:$D$3001,0)=ROW()-1,1,0))</f>
        <v/>
      </c>
    </row>
    <row r="2631">
      <c r="Y2631" s="5">
        <f>IF(D2631="","",X2631*IF(AND(ISNUMBER(AC2631),AC2631&gt;0,AC2631&lt;1),AC2631*100,AC2631)/100)</f>
        <v/>
      </c>
      <c r="Z2631" s="5">
        <f>IF(D2631="","",AB2631*AA2631/100)</f>
        <v/>
      </c>
      <c r="AA2631" s="5">
        <f>IF(D2631="","",X2631-Y2631)</f>
        <v/>
      </c>
      <c r="AD2631" s="5">
        <f>IF(D2631="","",AA2631-Z2631)</f>
        <v/>
      </c>
      <c r="AG2631">
        <f>IF(D2631="","",N(AG2630)+IF(MATCH(D2631,$D$2:$D$3001,0)=ROW()-1,1,0))</f>
        <v/>
      </c>
    </row>
    <row r="2632">
      <c r="Y2632" s="5">
        <f>IF(D2632="","",X2632*IF(AND(ISNUMBER(AC2632),AC2632&gt;0,AC2632&lt;1),AC2632*100,AC2632)/100)</f>
        <v/>
      </c>
      <c r="Z2632" s="5">
        <f>IF(D2632="","",AB2632*AA2632/100)</f>
        <v/>
      </c>
      <c r="AA2632" s="5">
        <f>IF(D2632="","",X2632-Y2632)</f>
        <v/>
      </c>
      <c r="AD2632" s="5">
        <f>IF(D2632="","",AA2632-Z2632)</f>
        <v/>
      </c>
      <c r="AG2632">
        <f>IF(D2632="","",N(AG2631)+IF(MATCH(D2632,$D$2:$D$3001,0)=ROW()-1,1,0))</f>
        <v/>
      </c>
    </row>
    <row r="2633">
      <c r="Y2633" s="5">
        <f>IF(D2633="","",X2633*IF(AND(ISNUMBER(AC2633),AC2633&gt;0,AC2633&lt;1),AC2633*100,AC2633)/100)</f>
        <v/>
      </c>
      <c r="Z2633" s="5">
        <f>IF(D2633="","",AB2633*AA2633/100)</f>
        <v/>
      </c>
      <c r="AA2633" s="5">
        <f>IF(D2633="","",X2633-Y2633)</f>
        <v/>
      </c>
      <c r="AD2633" s="5">
        <f>IF(D2633="","",AA2633-Z2633)</f>
        <v/>
      </c>
      <c r="AG2633">
        <f>IF(D2633="","",N(AG2632)+IF(MATCH(D2633,$D$2:$D$3001,0)=ROW()-1,1,0))</f>
        <v/>
      </c>
    </row>
    <row r="2634">
      <c r="Y2634" s="5">
        <f>IF(D2634="","",X2634*IF(AND(ISNUMBER(AC2634),AC2634&gt;0,AC2634&lt;1),AC2634*100,AC2634)/100)</f>
        <v/>
      </c>
      <c r="Z2634" s="5">
        <f>IF(D2634="","",AB2634*AA2634/100)</f>
        <v/>
      </c>
      <c r="AA2634" s="5">
        <f>IF(D2634="","",X2634-Y2634)</f>
        <v/>
      </c>
      <c r="AD2634" s="5">
        <f>IF(D2634="","",AA2634-Z2634)</f>
        <v/>
      </c>
      <c r="AG2634">
        <f>IF(D2634="","",N(AG2633)+IF(MATCH(D2634,$D$2:$D$3001,0)=ROW()-1,1,0))</f>
        <v/>
      </c>
    </row>
    <row r="2635">
      <c r="Y2635" s="5">
        <f>IF(D2635="","",X2635*IF(AND(ISNUMBER(AC2635),AC2635&gt;0,AC2635&lt;1),AC2635*100,AC2635)/100)</f>
        <v/>
      </c>
      <c r="Z2635" s="5">
        <f>IF(D2635="","",AB2635*AA2635/100)</f>
        <v/>
      </c>
      <c r="AA2635" s="5">
        <f>IF(D2635="","",X2635-Y2635)</f>
        <v/>
      </c>
      <c r="AD2635" s="5">
        <f>IF(D2635="","",AA2635-Z2635)</f>
        <v/>
      </c>
      <c r="AG2635">
        <f>IF(D2635="","",N(AG2634)+IF(MATCH(D2635,$D$2:$D$3001,0)=ROW()-1,1,0))</f>
        <v/>
      </c>
    </row>
    <row r="2636">
      <c r="Y2636" s="5">
        <f>IF(D2636="","",X2636*IF(AND(ISNUMBER(AC2636),AC2636&gt;0,AC2636&lt;1),AC2636*100,AC2636)/100)</f>
        <v/>
      </c>
      <c r="Z2636" s="5">
        <f>IF(D2636="","",AB2636*AA2636/100)</f>
        <v/>
      </c>
      <c r="AA2636" s="5">
        <f>IF(D2636="","",X2636-Y2636)</f>
        <v/>
      </c>
      <c r="AD2636" s="5">
        <f>IF(D2636="","",AA2636-Z2636)</f>
        <v/>
      </c>
      <c r="AG2636">
        <f>IF(D2636="","",N(AG2635)+IF(MATCH(D2636,$D$2:$D$3001,0)=ROW()-1,1,0))</f>
        <v/>
      </c>
    </row>
    <row r="2637">
      <c r="Y2637" s="5">
        <f>IF(D2637="","",X2637*IF(AND(ISNUMBER(AC2637),AC2637&gt;0,AC2637&lt;1),AC2637*100,AC2637)/100)</f>
        <v/>
      </c>
      <c r="Z2637" s="5">
        <f>IF(D2637="","",AB2637*AA2637/100)</f>
        <v/>
      </c>
      <c r="AA2637" s="5">
        <f>IF(D2637="","",X2637-Y2637)</f>
        <v/>
      </c>
      <c r="AD2637" s="5">
        <f>IF(D2637="","",AA2637-Z2637)</f>
        <v/>
      </c>
      <c r="AG2637">
        <f>IF(D2637="","",N(AG2636)+IF(MATCH(D2637,$D$2:$D$3001,0)=ROW()-1,1,0))</f>
        <v/>
      </c>
    </row>
    <row r="2638">
      <c r="Y2638" s="5">
        <f>IF(D2638="","",X2638*IF(AND(ISNUMBER(AC2638),AC2638&gt;0,AC2638&lt;1),AC2638*100,AC2638)/100)</f>
        <v/>
      </c>
      <c r="Z2638" s="5">
        <f>IF(D2638="","",AB2638*AA2638/100)</f>
        <v/>
      </c>
      <c r="AA2638" s="5">
        <f>IF(D2638="","",X2638-Y2638)</f>
        <v/>
      </c>
      <c r="AD2638" s="5">
        <f>IF(D2638="","",AA2638-Z2638)</f>
        <v/>
      </c>
      <c r="AG2638">
        <f>IF(D2638="","",N(AG2637)+IF(MATCH(D2638,$D$2:$D$3001,0)=ROW()-1,1,0))</f>
        <v/>
      </c>
    </row>
    <row r="2639">
      <c r="Y2639" s="5">
        <f>IF(D2639="","",X2639*IF(AND(ISNUMBER(AC2639),AC2639&gt;0,AC2639&lt;1),AC2639*100,AC2639)/100)</f>
        <v/>
      </c>
      <c r="Z2639" s="5">
        <f>IF(D2639="","",AB2639*AA2639/100)</f>
        <v/>
      </c>
      <c r="AA2639" s="5">
        <f>IF(D2639="","",X2639-Y2639)</f>
        <v/>
      </c>
      <c r="AD2639" s="5">
        <f>IF(D2639="","",AA2639-Z2639)</f>
        <v/>
      </c>
      <c r="AG2639">
        <f>IF(D2639="","",N(AG2638)+IF(MATCH(D2639,$D$2:$D$3001,0)=ROW()-1,1,0))</f>
        <v/>
      </c>
    </row>
    <row r="2640">
      <c r="Y2640" s="5">
        <f>IF(D2640="","",X2640*IF(AND(ISNUMBER(AC2640),AC2640&gt;0,AC2640&lt;1),AC2640*100,AC2640)/100)</f>
        <v/>
      </c>
      <c r="Z2640" s="5">
        <f>IF(D2640="","",AB2640*AA2640/100)</f>
        <v/>
      </c>
      <c r="AA2640" s="5">
        <f>IF(D2640="","",X2640-Y2640)</f>
        <v/>
      </c>
      <c r="AD2640" s="5">
        <f>IF(D2640="","",AA2640-Z2640)</f>
        <v/>
      </c>
      <c r="AG2640">
        <f>IF(D2640="","",N(AG2639)+IF(MATCH(D2640,$D$2:$D$3001,0)=ROW()-1,1,0))</f>
        <v/>
      </c>
    </row>
    <row r="2641">
      <c r="Y2641" s="5">
        <f>IF(D2641="","",X2641*IF(AND(ISNUMBER(AC2641),AC2641&gt;0,AC2641&lt;1),AC2641*100,AC2641)/100)</f>
        <v/>
      </c>
      <c r="Z2641" s="5">
        <f>IF(D2641="","",AB2641*AA2641/100)</f>
        <v/>
      </c>
      <c r="AA2641" s="5">
        <f>IF(D2641="","",X2641-Y2641)</f>
        <v/>
      </c>
      <c r="AD2641" s="5">
        <f>IF(D2641="","",AA2641-Z2641)</f>
        <v/>
      </c>
      <c r="AG2641">
        <f>IF(D2641="","",N(AG2640)+IF(MATCH(D2641,$D$2:$D$3001,0)=ROW()-1,1,0))</f>
        <v/>
      </c>
    </row>
    <row r="2642">
      <c r="Y2642" s="5">
        <f>IF(D2642="","",X2642*IF(AND(ISNUMBER(AC2642),AC2642&gt;0,AC2642&lt;1),AC2642*100,AC2642)/100)</f>
        <v/>
      </c>
      <c r="Z2642" s="5">
        <f>IF(D2642="","",AB2642*AA2642/100)</f>
        <v/>
      </c>
      <c r="AA2642" s="5">
        <f>IF(D2642="","",X2642-Y2642)</f>
        <v/>
      </c>
      <c r="AD2642" s="5">
        <f>IF(D2642="","",AA2642-Z2642)</f>
        <v/>
      </c>
      <c r="AG2642">
        <f>IF(D2642="","",N(AG2641)+IF(MATCH(D2642,$D$2:$D$3001,0)=ROW()-1,1,0))</f>
        <v/>
      </c>
    </row>
    <row r="2643">
      <c r="Y2643" s="5">
        <f>IF(D2643="","",X2643*IF(AND(ISNUMBER(AC2643),AC2643&gt;0,AC2643&lt;1),AC2643*100,AC2643)/100)</f>
        <v/>
      </c>
      <c r="Z2643" s="5">
        <f>IF(D2643="","",AB2643*AA2643/100)</f>
        <v/>
      </c>
      <c r="AA2643" s="5">
        <f>IF(D2643="","",X2643-Y2643)</f>
        <v/>
      </c>
      <c r="AD2643" s="5">
        <f>IF(D2643="","",AA2643-Z2643)</f>
        <v/>
      </c>
      <c r="AG2643">
        <f>IF(D2643="","",N(AG2642)+IF(MATCH(D2643,$D$2:$D$3001,0)=ROW()-1,1,0))</f>
        <v/>
      </c>
    </row>
    <row r="2644">
      <c r="Y2644" s="5">
        <f>IF(D2644="","",X2644*IF(AND(ISNUMBER(AC2644),AC2644&gt;0,AC2644&lt;1),AC2644*100,AC2644)/100)</f>
        <v/>
      </c>
      <c r="Z2644" s="5">
        <f>IF(D2644="","",AB2644*AA2644/100)</f>
        <v/>
      </c>
      <c r="AA2644" s="5">
        <f>IF(D2644="","",X2644-Y2644)</f>
        <v/>
      </c>
      <c r="AD2644" s="5">
        <f>IF(D2644="","",AA2644-Z2644)</f>
        <v/>
      </c>
      <c r="AG2644">
        <f>IF(D2644="","",N(AG2643)+IF(MATCH(D2644,$D$2:$D$3001,0)=ROW()-1,1,0))</f>
        <v/>
      </c>
    </row>
    <row r="2645">
      <c r="Y2645" s="5">
        <f>IF(D2645="","",X2645*IF(AND(ISNUMBER(AC2645),AC2645&gt;0,AC2645&lt;1),AC2645*100,AC2645)/100)</f>
        <v/>
      </c>
      <c r="Z2645" s="5">
        <f>IF(D2645="","",AB2645*AA2645/100)</f>
        <v/>
      </c>
      <c r="AA2645" s="5">
        <f>IF(D2645="","",X2645-Y2645)</f>
        <v/>
      </c>
      <c r="AD2645" s="5">
        <f>IF(D2645="","",AA2645-Z2645)</f>
        <v/>
      </c>
      <c r="AG2645">
        <f>IF(D2645="","",N(AG2644)+IF(MATCH(D2645,$D$2:$D$3001,0)=ROW()-1,1,0))</f>
        <v/>
      </c>
    </row>
    <row r="2646">
      <c r="Y2646" s="5">
        <f>IF(D2646="","",X2646*IF(AND(ISNUMBER(AC2646),AC2646&gt;0,AC2646&lt;1),AC2646*100,AC2646)/100)</f>
        <v/>
      </c>
      <c r="Z2646" s="5">
        <f>IF(D2646="","",AB2646*AA2646/100)</f>
        <v/>
      </c>
      <c r="AA2646" s="5">
        <f>IF(D2646="","",X2646-Y2646)</f>
        <v/>
      </c>
      <c r="AD2646" s="5">
        <f>IF(D2646="","",AA2646-Z2646)</f>
        <v/>
      </c>
      <c r="AG2646">
        <f>IF(D2646="","",N(AG2645)+IF(MATCH(D2646,$D$2:$D$3001,0)=ROW()-1,1,0))</f>
        <v/>
      </c>
    </row>
    <row r="2647">
      <c r="Y2647" s="5">
        <f>IF(D2647="","",X2647*IF(AND(ISNUMBER(AC2647),AC2647&gt;0,AC2647&lt;1),AC2647*100,AC2647)/100)</f>
        <v/>
      </c>
      <c r="Z2647" s="5">
        <f>IF(D2647="","",AB2647*AA2647/100)</f>
        <v/>
      </c>
      <c r="AA2647" s="5">
        <f>IF(D2647="","",X2647-Y2647)</f>
        <v/>
      </c>
      <c r="AD2647" s="5">
        <f>IF(D2647="","",AA2647-Z2647)</f>
        <v/>
      </c>
      <c r="AG2647">
        <f>IF(D2647="","",N(AG2646)+IF(MATCH(D2647,$D$2:$D$3001,0)=ROW()-1,1,0))</f>
        <v/>
      </c>
    </row>
    <row r="2648">
      <c r="Y2648" s="5">
        <f>IF(D2648="","",X2648*IF(AND(ISNUMBER(AC2648),AC2648&gt;0,AC2648&lt;1),AC2648*100,AC2648)/100)</f>
        <v/>
      </c>
      <c r="Z2648" s="5">
        <f>IF(D2648="","",AB2648*AA2648/100)</f>
        <v/>
      </c>
      <c r="AA2648" s="5">
        <f>IF(D2648="","",X2648-Y2648)</f>
        <v/>
      </c>
      <c r="AD2648" s="5">
        <f>IF(D2648="","",AA2648-Z2648)</f>
        <v/>
      </c>
      <c r="AG2648">
        <f>IF(D2648="","",N(AG2647)+IF(MATCH(D2648,$D$2:$D$3001,0)=ROW()-1,1,0))</f>
        <v/>
      </c>
    </row>
    <row r="2649">
      <c r="Y2649" s="5">
        <f>IF(D2649="","",X2649*IF(AND(ISNUMBER(AC2649),AC2649&gt;0,AC2649&lt;1),AC2649*100,AC2649)/100)</f>
        <v/>
      </c>
      <c r="Z2649" s="5">
        <f>IF(D2649="","",AB2649*AA2649/100)</f>
        <v/>
      </c>
      <c r="AA2649" s="5">
        <f>IF(D2649="","",X2649-Y2649)</f>
        <v/>
      </c>
      <c r="AD2649" s="5">
        <f>IF(D2649="","",AA2649-Z2649)</f>
        <v/>
      </c>
      <c r="AG2649">
        <f>IF(D2649="","",N(AG2648)+IF(MATCH(D2649,$D$2:$D$3001,0)=ROW()-1,1,0))</f>
        <v/>
      </c>
    </row>
    <row r="2650">
      <c r="Y2650" s="5">
        <f>IF(D2650="","",X2650*IF(AND(ISNUMBER(AC2650),AC2650&gt;0,AC2650&lt;1),AC2650*100,AC2650)/100)</f>
        <v/>
      </c>
      <c r="Z2650" s="5">
        <f>IF(D2650="","",AB2650*AA2650/100)</f>
        <v/>
      </c>
      <c r="AA2650" s="5">
        <f>IF(D2650="","",X2650-Y2650)</f>
        <v/>
      </c>
      <c r="AD2650" s="5">
        <f>IF(D2650="","",AA2650-Z2650)</f>
        <v/>
      </c>
      <c r="AG2650">
        <f>IF(D2650="","",N(AG2649)+IF(MATCH(D2650,$D$2:$D$3001,0)=ROW()-1,1,0))</f>
        <v/>
      </c>
    </row>
    <row r="2651">
      <c r="Y2651" s="5">
        <f>IF(D2651="","",X2651*IF(AND(ISNUMBER(AC2651),AC2651&gt;0,AC2651&lt;1),AC2651*100,AC2651)/100)</f>
        <v/>
      </c>
      <c r="Z2651" s="5">
        <f>IF(D2651="","",AB2651*AA2651/100)</f>
        <v/>
      </c>
      <c r="AA2651" s="5">
        <f>IF(D2651="","",X2651-Y2651)</f>
        <v/>
      </c>
      <c r="AD2651" s="5">
        <f>IF(D2651="","",AA2651-Z2651)</f>
        <v/>
      </c>
      <c r="AG2651">
        <f>IF(D2651="","",N(AG2650)+IF(MATCH(D2651,$D$2:$D$3001,0)=ROW()-1,1,0))</f>
        <v/>
      </c>
    </row>
    <row r="2652">
      <c r="Y2652" s="5">
        <f>IF(D2652="","",X2652*IF(AND(ISNUMBER(AC2652),AC2652&gt;0,AC2652&lt;1),AC2652*100,AC2652)/100)</f>
        <v/>
      </c>
      <c r="Z2652" s="5">
        <f>IF(D2652="","",AB2652*AA2652/100)</f>
        <v/>
      </c>
      <c r="AA2652" s="5">
        <f>IF(D2652="","",X2652-Y2652)</f>
        <v/>
      </c>
      <c r="AD2652" s="5">
        <f>IF(D2652="","",AA2652-Z2652)</f>
        <v/>
      </c>
      <c r="AG2652">
        <f>IF(D2652="","",N(AG2651)+IF(MATCH(D2652,$D$2:$D$3001,0)=ROW()-1,1,0))</f>
        <v/>
      </c>
    </row>
    <row r="2653">
      <c r="Y2653" s="5">
        <f>IF(D2653="","",X2653*IF(AND(ISNUMBER(AC2653),AC2653&gt;0,AC2653&lt;1),AC2653*100,AC2653)/100)</f>
        <v/>
      </c>
      <c r="Z2653" s="5">
        <f>IF(D2653="","",AB2653*AA2653/100)</f>
        <v/>
      </c>
      <c r="AA2653" s="5">
        <f>IF(D2653="","",X2653-Y2653)</f>
        <v/>
      </c>
      <c r="AD2653" s="5">
        <f>IF(D2653="","",AA2653-Z2653)</f>
        <v/>
      </c>
      <c r="AG2653">
        <f>IF(D2653="","",N(AG2652)+IF(MATCH(D2653,$D$2:$D$3001,0)=ROW()-1,1,0))</f>
        <v/>
      </c>
    </row>
    <row r="2654">
      <c r="Y2654" s="5">
        <f>IF(D2654="","",X2654*IF(AND(ISNUMBER(AC2654),AC2654&gt;0,AC2654&lt;1),AC2654*100,AC2654)/100)</f>
        <v/>
      </c>
      <c r="Z2654" s="5">
        <f>IF(D2654="","",AB2654*AA2654/100)</f>
        <v/>
      </c>
      <c r="AA2654" s="5">
        <f>IF(D2654="","",X2654-Y2654)</f>
        <v/>
      </c>
      <c r="AD2654" s="5">
        <f>IF(D2654="","",AA2654-Z2654)</f>
        <v/>
      </c>
      <c r="AG2654">
        <f>IF(D2654="","",N(AG2653)+IF(MATCH(D2654,$D$2:$D$3001,0)=ROW()-1,1,0))</f>
        <v/>
      </c>
    </row>
    <row r="2655">
      <c r="Y2655" s="5">
        <f>IF(D2655="","",X2655*IF(AND(ISNUMBER(AC2655),AC2655&gt;0,AC2655&lt;1),AC2655*100,AC2655)/100)</f>
        <v/>
      </c>
      <c r="Z2655" s="5">
        <f>IF(D2655="","",AB2655*AA2655/100)</f>
        <v/>
      </c>
      <c r="AA2655" s="5">
        <f>IF(D2655="","",X2655-Y2655)</f>
        <v/>
      </c>
      <c r="AD2655" s="5">
        <f>IF(D2655="","",AA2655-Z2655)</f>
        <v/>
      </c>
      <c r="AG2655">
        <f>IF(D2655="","",N(AG2654)+IF(MATCH(D2655,$D$2:$D$3001,0)=ROW()-1,1,0))</f>
        <v/>
      </c>
    </row>
    <row r="2656">
      <c r="Y2656" s="5">
        <f>IF(D2656="","",X2656*IF(AND(ISNUMBER(AC2656),AC2656&gt;0,AC2656&lt;1),AC2656*100,AC2656)/100)</f>
        <v/>
      </c>
      <c r="Z2656" s="5">
        <f>IF(D2656="","",AB2656*AA2656/100)</f>
        <v/>
      </c>
      <c r="AA2656" s="5">
        <f>IF(D2656="","",X2656-Y2656)</f>
        <v/>
      </c>
      <c r="AD2656" s="5">
        <f>IF(D2656="","",AA2656-Z2656)</f>
        <v/>
      </c>
      <c r="AG2656">
        <f>IF(D2656="","",N(AG2655)+IF(MATCH(D2656,$D$2:$D$3001,0)=ROW()-1,1,0))</f>
        <v/>
      </c>
    </row>
    <row r="2657">
      <c r="Y2657" s="5">
        <f>IF(D2657="","",X2657*IF(AND(ISNUMBER(AC2657),AC2657&gt;0,AC2657&lt;1),AC2657*100,AC2657)/100)</f>
        <v/>
      </c>
      <c r="Z2657" s="5">
        <f>IF(D2657="","",AB2657*AA2657/100)</f>
        <v/>
      </c>
      <c r="AA2657" s="5">
        <f>IF(D2657="","",X2657-Y2657)</f>
        <v/>
      </c>
      <c r="AD2657" s="5">
        <f>IF(D2657="","",AA2657-Z2657)</f>
        <v/>
      </c>
      <c r="AG2657">
        <f>IF(D2657="","",N(AG2656)+IF(MATCH(D2657,$D$2:$D$3001,0)=ROW()-1,1,0))</f>
        <v/>
      </c>
    </row>
    <row r="2658">
      <c r="Y2658" s="5">
        <f>IF(D2658="","",X2658*IF(AND(ISNUMBER(AC2658),AC2658&gt;0,AC2658&lt;1),AC2658*100,AC2658)/100)</f>
        <v/>
      </c>
      <c r="Z2658" s="5">
        <f>IF(D2658="","",AB2658*AA2658/100)</f>
        <v/>
      </c>
      <c r="AA2658" s="5">
        <f>IF(D2658="","",X2658-Y2658)</f>
        <v/>
      </c>
      <c r="AD2658" s="5">
        <f>IF(D2658="","",AA2658-Z2658)</f>
        <v/>
      </c>
      <c r="AG2658">
        <f>IF(D2658="","",N(AG2657)+IF(MATCH(D2658,$D$2:$D$3001,0)=ROW()-1,1,0))</f>
        <v/>
      </c>
    </row>
    <row r="2659">
      <c r="Y2659" s="5">
        <f>IF(D2659="","",X2659*IF(AND(ISNUMBER(AC2659),AC2659&gt;0,AC2659&lt;1),AC2659*100,AC2659)/100)</f>
        <v/>
      </c>
      <c r="Z2659" s="5">
        <f>IF(D2659="","",AB2659*AA2659/100)</f>
        <v/>
      </c>
      <c r="AA2659" s="5">
        <f>IF(D2659="","",X2659-Y2659)</f>
        <v/>
      </c>
      <c r="AD2659" s="5">
        <f>IF(D2659="","",AA2659-Z2659)</f>
        <v/>
      </c>
      <c r="AG2659">
        <f>IF(D2659="","",N(AG2658)+IF(MATCH(D2659,$D$2:$D$3001,0)=ROW()-1,1,0))</f>
        <v/>
      </c>
    </row>
    <row r="2660">
      <c r="Y2660" s="5">
        <f>IF(D2660="","",X2660*IF(AND(ISNUMBER(AC2660),AC2660&gt;0,AC2660&lt;1),AC2660*100,AC2660)/100)</f>
        <v/>
      </c>
      <c r="Z2660" s="5">
        <f>IF(D2660="","",AB2660*AA2660/100)</f>
        <v/>
      </c>
      <c r="AA2660" s="5">
        <f>IF(D2660="","",X2660-Y2660)</f>
        <v/>
      </c>
      <c r="AD2660" s="5">
        <f>IF(D2660="","",AA2660-Z2660)</f>
        <v/>
      </c>
      <c r="AG2660">
        <f>IF(D2660="","",N(AG2659)+IF(MATCH(D2660,$D$2:$D$3001,0)=ROW()-1,1,0))</f>
        <v/>
      </c>
    </row>
    <row r="2661">
      <c r="Y2661" s="5">
        <f>IF(D2661="","",X2661*IF(AND(ISNUMBER(AC2661),AC2661&gt;0,AC2661&lt;1),AC2661*100,AC2661)/100)</f>
        <v/>
      </c>
      <c r="Z2661" s="5">
        <f>IF(D2661="","",AB2661*AA2661/100)</f>
        <v/>
      </c>
      <c r="AA2661" s="5">
        <f>IF(D2661="","",X2661-Y2661)</f>
        <v/>
      </c>
      <c r="AD2661" s="5">
        <f>IF(D2661="","",AA2661-Z2661)</f>
        <v/>
      </c>
      <c r="AG2661">
        <f>IF(D2661="","",N(AG2660)+IF(MATCH(D2661,$D$2:$D$3001,0)=ROW()-1,1,0))</f>
        <v/>
      </c>
    </row>
    <row r="2662">
      <c r="Y2662" s="5">
        <f>IF(D2662="","",X2662*IF(AND(ISNUMBER(AC2662),AC2662&gt;0,AC2662&lt;1),AC2662*100,AC2662)/100)</f>
        <v/>
      </c>
      <c r="Z2662" s="5">
        <f>IF(D2662="","",AB2662*AA2662/100)</f>
        <v/>
      </c>
      <c r="AA2662" s="5">
        <f>IF(D2662="","",X2662-Y2662)</f>
        <v/>
      </c>
      <c r="AD2662" s="5">
        <f>IF(D2662="","",AA2662-Z2662)</f>
        <v/>
      </c>
      <c r="AG2662">
        <f>IF(D2662="","",N(AG2661)+IF(MATCH(D2662,$D$2:$D$3001,0)=ROW()-1,1,0))</f>
        <v/>
      </c>
    </row>
    <row r="2663">
      <c r="Y2663" s="5">
        <f>IF(D2663="","",X2663*IF(AND(ISNUMBER(AC2663),AC2663&gt;0,AC2663&lt;1),AC2663*100,AC2663)/100)</f>
        <v/>
      </c>
      <c r="Z2663" s="5">
        <f>IF(D2663="","",AB2663*AA2663/100)</f>
        <v/>
      </c>
      <c r="AA2663" s="5">
        <f>IF(D2663="","",X2663-Y2663)</f>
        <v/>
      </c>
      <c r="AD2663" s="5">
        <f>IF(D2663="","",AA2663-Z2663)</f>
        <v/>
      </c>
      <c r="AG2663">
        <f>IF(D2663="","",N(AG2662)+IF(MATCH(D2663,$D$2:$D$3001,0)=ROW()-1,1,0))</f>
        <v/>
      </c>
    </row>
    <row r="2664">
      <c r="Y2664" s="5">
        <f>IF(D2664="","",X2664*IF(AND(ISNUMBER(AC2664),AC2664&gt;0,AC2664&lt;1),AC2664*100,AC2664)/100)</f>
        <v/>
      </c>
      <c r="Z2664" s="5">
        <f>IF(D2664="","",AB2664*AA2664/100)</f>
        <v/>
      </c>
      <c r="AA2664" s="5">
        <f>IF(D2664="","",X2664-Y2664)</f>
        <v/>
      </c>
      <c r="AD2664" s="5">
        <f>IF(D2664="","",AA2664-Z2664)</f>
        <v/>
      </c>
      <c r="AG2664">
        <f>IF(D2664="","",N(AG2663)+IF(MATCH(D2664,$D$2:$D$3001,0)=ROW()-1,1,0))</f>
        <v/>
      </c>
    </row>
    <row r="2665">
      <c r="Y2665" s="5">
        <f>IF(D2665="","",X2665*IF(AND(ISNUMBER(AC2665),AC2665&gt;0,AC2665&lt;1),AC2665*100,AC2665)/100)</f>
        <v/>
      </c>
      <c r="Z2665" s="5">
        <f>IF(D2665="","",AB2665*AA2665/100)</f>
        <v/>
      </c>
      <c r="AA2665" s="5">
        <f>IF(D2665="","",X2665-Y2665)</f>
        <v/>
      </c>
      <c r="AD2665" s="5">
        <f>IF(D2665="","",AA2665-Z2665)</f>
        <v/>
      </c>
      <c r="AG2665">
        <f>IF(D2665="","",N(AG2664)+IF(MATCH(D2665,$D$2:$D$3001,0)=ROW()-1,1,0))</f>
        <v/>
      </c>
    </row>
    <row r="2666">
      <c r="Y2666" s="5">
        <f>IF(D2666="","",X2666*IF(AND(ISNUMBER(AC2666),AC2666&gt;0,AC2666&lt;1),AC2666*100,AC2666)/100)</f>
        <v/>
      </c>
      <c r="Z2666" s="5">
        <f>IF(D2666="","",AB2666*AA2666/100)</f>
        <v/>
      </c>
      <c r="AA2666" s="5">
        <f>IF(D2666="","",X2666-Y2666)</f>
        <v/>
      </c>
      <c r="AD2666" s="5">
        <f>IF(D2666="","",AA2666-Z2666)</f>
        <v/>
      </c>
      <c r="AG2666">
        <f>IF(D2666="","",N(AG2665)+IF(MATCH(D2666,$D$2:$D$3001,0)=ROW()-1,1,0))</f>
        <v/>
      </c>
    </row>
    <row r="2667">
      <c r="Y2667" s="5">
        <f>IF(D2667="","",X2667*IF(AND(ISNUMBER(AC2667),AC2667&gt;0,AC2667&lt;1),AC2667*100,AC2667)/100)</f>
        <v/>
      </c>
      <c r="Z2667" s="5">
        <f>IF(D2667="","",AB2667*AA2667/100)</f>
        <v/>
      </c>
      <c r="AA2667" s="5">
        <f>IF(D2667="","",X2667-Y2667)</f>
        <v/>
      </c>
      <c r="AD2667" s="5">
        <f>IF(D2667="","",AA2667-Z2667)</f>
        <v/>
      </c>
      <c r="AG2667">
        <f>IF(D2667="","",N(AG2666)+IF(MATCH(D2667,$D$2:$D$3001,0)=ROW()-1,1,0))</f>
        <v/>
      </c>
    </row>
    <row r="2668">
      <c r="Y2668" s="5">
        <f>IF(D2668="","",X2668*IF(AND(ISNUMBER(AC2668),AC2668&gt;0,AC2668&lt;1),AC2668*100,AC2668)/100)</f>
        <v/>
      </c>
      <c r="Z2668" s="5">
        <f>IF(D2668="","",AB2668*AA2668/100)</f>
        <v/>
      </c>
      <c r="AA2668" s="5">
        <f>IF(D2668="","",X2668-Y2668)</f>
        <v/>
      </c>
      <c r="AD2668" s="5">
        <f>IF(D2668="","",AA2668-Z2668)</f>
        <v/>
      </c>
      <c r="AG2668">
        <f>IF(D2668="","",N(AG2667)+IF(MATCH(D2668,$D$2:$D$3001,0)=ROW()-1,1,0))</f>
        <v/>
      </c>
    </row>
    <row r="2669">
      <c r="Y2669" s="5">
        <f>IF(D2669="","",X2669*IF(AND(ISNUMBER(AC2669),AC2669&gt;0,AC2669&lt;1),AC2669*100,AC2669)/100)</f>
        <v/>
      </c>
      <c r="Z2669" s="5">
        <f>IF(D2669="","",AB2669*AA2669/100)</f>
        <v/>
      </c>
      <c r="AA2669" s="5">
        <f>IF(D2669="","",X2669-Y2669)</f>
        <v/>
      </c>
      <c r="AD2669" s="5">
        <f>IF(D2669="","",AA2669-Z2669)</f>
        <v/>
      </c>
      <c r="AG2669">
        <f>IF(D2669="","",N(AG2668)+IF(MATCH(D2669,$D$2:$D$3001,0)=ROW()-1,1,0))</f>
        <v/>
      </c>
    </row>
    <row r="2670">
      <c r="Y2670" s="5">
        <f>IF(D2670="","",X2670*IF(AND(ISNUMBER(AC2670),AC2670&gt;0,AC2670&lt;1),AC2670*100,AC2670)/100)</f>
        <v/>
      </c>
      <c r="Z2670" s="5">
        <f>IF(D2670="","",AB2670*AA2670/100)</f>
        <v/>
      </c>
      <c r="AA2670" s="5">
        <f>IF(D2670="","",X2670-Y2670)</f>
        <v/>
      </c>
      <c r="AD2670" s="5">
        <f>IF(D2670="","",AA2670-Z2670)</f>
        <v/>
      </c>
      <c r="AG2670">
        <f>IF(D2670="","",N(AG2669)+IF(MATCH(D2670,$D$2:$D$3001,0)=ROW()-1,1,0))</f>
        <v/>
      </c>
    </row>
    <row r="2671">
      <c r="Y2671" s="5">
        <f>IF(D2671="","",X2671*IF(AND(ISNUMBER(AC2671),AC2671&gt;0,AC2671&lt;1),AC2671*100,AC2671)/100)</f>
        <v/>
      </c>
      <c r="Z2671" s="5">
        <f>IF(D2671="","",AB2671*AA2671/100)</f>
        <v/>
      </c>
      <c r="AA2671" s="5">
        <f>IF(D2671="","",X2671-Y2671)</f>
        <v/>
      </c>
      <c r="AD2671" s="5">
        <f>IF(D2671="","",AA2671-Z2671)</f>
        <v/>
      </c>
      <c r="AG2671">
        <f>IF(D2671="","",N(AG2670)+IF(MATCH(D2671,$D$2:$D$3001,0)=ROW()-1,1,0))</f>
        <v/>
      </c>
    </row>
    <row r="2672">
      <c r="Y2672" s="5">
        <f>IF(D2672="","",X2672*IF(AND(ISNUMBER(AC2672),AC2672&gt;0,AC2672&lt;1),AC2672*100,AC2672)/100)</f>
        <v/>
      </c>
      <c r="Z2672" s="5">
        <f>IF(D2672="","",AB2672*AA2672/100)</f>
        <v/>
      </c>
      <c r="AA2672" s="5">
        <f>IF(D2672="","",X2672-Y2672)</f>
        <v/>
      </c>
      <c r="AD2672" s="5">
        <f>IF(D2672="","",AA2672-Z2672)</f>
        <v/>
      </c>
      <c r="AG2672">
        <f>IF(D2672="","",N(AG2671)+IF(MATCH(D2672,$D$2:$D$3001,0)=ROW()-1,1,0))</f>
        <v/>
      </c>
    </row>
    <row r="2673">
      <c r="Y2673" s="5">
        <f>IF(D2673="","",X2673*IF(AND(ISNUMBER(AC2673),AC2673&gt;0,AC2673&lt;1),AC2673*100,AC2673)/100)</f>
        <v/>
      </c>
      <c r="Z2673" s="5">
        <f>IF(D2673="","",AB2673*AA2673/100)</f>
        <v/>
      </c>
      <c r="AA2673" s="5">
        <f>IF(D2673="","",X2673-Y2673)</f>
        <v/>
      </c>
      <c r="AD2673" s="5">
        <f>IF(D2673="","",AA2673-Z2673)</f>
        <v/>
      </c>
      <c r="AG2673">
        <f>IF(D2673="","",N(AG2672)+IF(MATCH(D2673,$D$2:$D$3001,0)=ROW()-1,1,0))</f>
        <v/>
      </c>
    </row>
    <row r="2674">
      <c r="Y2674" s="5">
        <f>IF(D2674="","",X2674*IF(AND(ISNUMBER(AC2674),AC2674&gt;0,AC2674&lt;1),AC2674*100,AC2674)/100)</f>
        <v/>
      </c>
      <c r="Z2674" s="5">
        <f>IF(D2674="","",AB2674*AA2674/100)</f>
        <v/>
      </c>
      <c r="AA2674" s="5">
        <f>IF(D2674="","",X2674-Y2674)</f>
        <v/>
      </c>
      <c r="AD2674" s="5">
        <f>IF(D2674="","",AA2674-Z2674)</f>
        <v/>
      </c>
      <c r="AG2674">
        <f>IF(D2674="","",N(AG2673)+IF(MATCH(D2674,$D$2:$D$3001,0)=ROW()-1,1,0))</f>
        <v/>
      </c>
    </row>
    <row r="2675">
      <c r="Y2675" s="5">
        <f>IF(D2675="","",X2675*IF(AND(ISNUMBER(AC2675),AC2675&gt;0,AC2675&lt;1),AC2675*100,AC2675)/100)</f>
        <v/>
      </c>
      <c r="Z2675" s="5">
        <f>IF(D2675="","",AB2675*AA2675/100)</f>
        <v/>
      </c>
      <c r="AA2675" s="5">
        <f>IF(D2675="","",X2675-Y2675)</f>
        <v/>
      </c>
      <c r="AD2675" s="5">
        <f>IF(D2675="","",AA2675-Z2675)</f>
        <v/>
      </c>
      <c r="AG2675">
        <f>IF(D2675="","",N(AG2674)+IF(MATCH(D2675,$D$2:$D$3001,0)=ROW()-1,1,0))</f>
        <v/>
      </c>
    </row>
    <row r="2676">
      <c r="Y2676" s="5">
        <f>IF(D2676="","",X2676*IF(AND(ISNUMBER(AC2676),AC2676&gt;0,AC2676&lt;1),AC2676*100,AC2676)/100)</f>
        <v/>
      </c>
      <c r="Z2676" s="5">
        <f>IF(D2676="","",AB2676*AA2676/100)</f>
        <v/>
      </c>
      <c r="AA2676" s="5">
        <f>IF(D2676="","",X2676-Y2676)</f>
        <v/>
      </c>
      <c r="AD2676" s="5">
        <f>IF(D2676="","",AA2676-Z2676)</f>
        <v/>
      </c>
      <c r="AG2676">
        <f>IF(D2676="","",N(AG2675)+IF(MATCH(D2676,$D$2:$D$3001,0)=ROW()-1,1,0))</f>
        <v/>
      </c>
    </row>
    <row r="2677">
      <c r="Y2677" s="5">
        <f>IF(D2677="","",X2677*IF(AND(ISNUMBER(AC2677),AC2677&gt;0,AC2677&lt;1),AC2677*100,AC2677)/100)</f>
        <v/>
      </c>
      <c r="Z2677" s="5">
        <f>IF(D2677="","",AB2677*AA2677/100)</f>
        <v/>
      </c>
      <c r="AA2677" s="5">
        <f>IF(D2677="","",X2677-Y2677)</f>
        <v/>
      </c>
      <c r="AD2677" s="5">
        <f>IF(D2677="","",AA2677-Z2677)</f>
        <v/>
      </c>
      <c r="AG2677">
        <f>IF(D2677="","",N(AG2676)+IF(MATCH(D2677,$D$2:$D$3001,0)=ROW()-1,1,0))</f>
        <v/>
      </c>
    </row>
    <row r="2678">
      <c r="Y2678" s="5">
        <f>IF(D2678="","",X2678*IF(AND(ISNUMBER(AC2678),AC2678&gt;0,AC2678&lt;1),AC2678*100,AC2678)/100)</f>
        <v/>
      </c>
      <c r="Z2678" s="5">
        <f>IF(D2678="","",AB2678*AA2678/100)</f>
        <v/>
      </c>
      <c r="AA2678" s="5">
        <f>IF(D2678="","",X2678-Y2678)</f>
        <v/>
      </c>
      <c r="AD2678" s="5">
        <f>IF(D2678="","",AA2678-Z2678)</f>
        <v/>
      </c>
      <c r="AG2678">
        <f>IF(D2678="","",N(AG2677)+IF(MATCH(D2678,$D$2:$D$3001,0)=ROW()-1,1,0))</f>
        <v/>
      </c>
    </row>
    <row r="2679">
      <c r="Y2679" s="5">
        <f>IF(D2679="","",X2679*IF(AND(ISNUMBER(AC2679),AC2679&gt;0,AC2679&lt;1),AC2679*100,AC2679)/100)</f>
        <v/>
      </c>
      <c r="Z2679" s="5">
        <f>IF(D2679="","",AB2679*AA2679/100)</f>
        <v/>
      </c>
      <c r="AA2679" s="5">
        <f>IF(D2679="","",X2679-Y2679)</f>
        <v/>
      </c>
      <c r="AD2679" s="5">
        <f>IF(D2679="","",AA2679-Z2679)</f>
        <v/>
      </c>
      <c r="AG2679">
        <f>IF(D2679="","",N(AG2678)+IF(MATCH(D2679,$D$2:$D$3001,0)=ROW()-1,1,0))</f>
        <v/>
      </c>
    </row>
    <row r="2680">
      <c r="Y2680" s="5">
        <f>IF(D2680="","",X2680*IF(AND(ISNUMBER(AC2680),AC2680&gt;0,AC2680&lt;1),AC2680*100,AC2680)/100)</f>
        <v/>
      </c>
      <c r="Z2680" s="5">
        <f>IF(D2680="","",AB2680*AA2680/100)</f>
        <v/>
      </c>
      <c r="AA2680" s="5">
        <f>IF(D2680="","",X2680-Y2680)</f>
        <v/>
      </c>
      <c r="AD2680" s="5">
        <f>IF(D2680="","",AA2680-Z2680)</f>
        <v/>
      </c>
      <c r="AG2680">
        <f>IF(D2680="","",N(AG2679)+IF(MATCH(D2680,$D$2:$D$3001,0)=ROW()-1,1,0))</f>
        <v/>
      </c>
    </row>
    <row r="2681">
      <c r="Y2681" s="5">
        <f>IF(D2681="","",X2681*IF(AND(ISNUMBER(AC2681),AC2681&gt;0,AC2681&lt;1),AC2681*100,AC2681)/100)</f>
        <v/>
      </c>
      <c r="Z2681" s="5">
        <f>IF(D2681="","",AB2681*AA2681/100)</f>
        <v/>
      </c>
      <c r="AA2681" s="5">
        <f>IF(D2681="","",X2681-Y2681)</f>
        <v/>
      </c>
      <c r="AD2681" s="5">
        <f>IF(D2681="","",AA2681-Z2681)</f>
        <v/>
      </c>
      <c r="AG2681">
        <f>IF(D2681="","",N(AG2680)+IF(MATCH(D2681,$D$2:$D$3001,0)=ROW()-1,1,0))</f>
        <v/>
      </c>
    </row>
    <row r="2682">
      <c r="Y2682" s="5">
        <f>IF(D2682="","",X2682*IF(AND(ISNUMBER(AC2682),AC2682&gt;0,AC2682&lt;1),AC2682*100,AC2682)/100)</f>
        <v/>
      </c>
      <c r="Z2682" s="5">
        <f>IF(D2682="","",AB2682*AA2682/100)</f>
        <v/>
      </c>
      <c r="AA2682" s="5">
        <f>IF(D2682="","",X2682-Y2682)</f>
        <v/>
      </c>
      <c r="AD2682" s="5">
        <f>IF(D2682="","",AA2682-Z2682)</f>
        <v/>
      </c>
      <c r="AG2682">
        <f>IF(D2682="","",N(AG2681)+IF(MATCH(D2682,$D$2:$D$3001,0)=ROW()-1,1,0))</f>
        <v/>
      </c>
    </row>
    <row r="2683">
      <c r="Y2683" s="5">
        <f>IF(D2683="","",X2683*IF(AND(ISNUMBER(AC2683),AC2683&gt;0,AC2683&lt;1),AC2683*100,AC2683)/100)</f>
        <v/>
      </c>
      <c r="Z2683" s="5">
        <f>IF(D2683="","",AB2683*AA2683/100)</f>
        <v/>
      </c>
      <c r="AA2683" s="5">
        <f>IF(D2683="","",X2683-Y2683)</f>
        <v/>
      </c>
      <c r="AD2683" s="5">
        <f>IF(D2683="","",AA2683-Z2683)</f>
        <v/>
      </c>
      <c r="AG2683">
        <f>IF(D2683="","",N(AG2682)+IF(MATCH(D2683,$D$2:$D$3001,0)=ROW()-1,1,0))</f>
        <v/>
      </c>
    </row>
    <row r="2684">
      <c r="Y2684" s="5">
        <f>IF(D2684="","",X2684*IF(AND(ISNUMBER(AC2684),AC2684&gt;0,AC2684&lt;1),AC2684*100,AC2684)/100)</f>
        <v/>
      </c>
      <c r="Z2684" s="5">
        <f>IF(D2684="","",AB2684*AA2684/100)</f>
        <v/>
      </c>
      <c r="AA2684" s="5">
        <f>IF(D2684="","",X2684-Y2684)</f>
        <v/>
      </c>
      <c r="AD2684" s="5">
        <f>IF(D2684="","",AA2684-Z2684)</f>
        <v/>
      </c>
      <c r="AG2684">
        <f>IF(D2684="","",N(AG2683)+IF(MATCH(D2684,$D$2:$D$3001,0)=ROW()-1,1,0))</f>
        <v/>
      </c>
    </row>
    <row r="2685">
      <c r="Y2685" s="5">
        <f>IF(D2685="","",X2685*IF(AND(ISNUMBER(AC2685),AC2685&gt;0,AC2685&lt;1),AC2685*100,AC2685)/100)</f>
        <v/>
      </c>
      <c r="Z2685" s="5">
        <f>IF(D2685="","",AB2685*AA2685/100)</f>
        <v/>
      </c>
      <c r="AA2685" s="5">
        <f>IF(D2685="","",X2685-Y2685)</f>
        <v/>
      </c>
      <c r="AD2685" s="5">
        <f>IF(D2685="","",AA2685-Z2685)</f>
        <v/>
      </c>
      <c r="AG2685">
        <f>IF(D2685="","",N(AG2684)+IF(MATCH(D2685,$D$2:$D$3001,0)=ROW()-1,1,0))</f>
        <v/>
      </c>
    </row>
    <row r="2686">
      <c r="Y2686" s="5">
        <f>IF(D2686="","",X2686*IF(AND(ISNUMBER(AC2686),AC2686&gt;0,AC2686&lt;1),AC2686*100,AC2686)/100)</f>
        <v/>
      </c>
      <c r="Z2686" s="5">
        <f>IF(D2686="","",AB2686*AA2686/100)</f>
        <v/>
      </c>
      <c r="AA2686" s="5">
        <f>IF(D2686="","",X2686-Y2686)</f>
        <v/>
      </c>
      <c r="AD2686" s="5">
        <f>IF(D2686="","",AA2686-Z2686)</f>
        <v/>
      </c>
      <c r="AG2686">
        <f>IF(D2686="","",N(AG2685)+IF(MATCH(D2686,$D$2:$D$3001,0)=ROW()-1,1,0))</f>
        <v/>
      </c>
    </row>
    <row r="2687">
      <c r="Y2687" s="5">
        <f>IF(D2687="","",X2687*IF(AND(ISNUMBER(AC2687),AC2687&gt;0,AC2687&lt;1),AC2687*100,AC2687)/100)</f>
        <v/>
      </c>
      <c r="Z2687" s="5">
        <f>IF(D2687="","",AB2687*AA2687/100)</f>
        <v/>
      </c>
      <c r="AA2687" s="5">
        <f>IF(D2687="","",X2687-Y2687)</f>
        <v/>
      </c>
      <c r="AD2687" s="5">
        <f>IF(D2687="","",AA2687-Z2687)</f>
        <v/>
      </c>
      <c r="AG2687">
        <f>IF(D2687="","",N(AG2686)+IF(MATCH(D2687,$D$2:$D$3001,0)=ROW()-1,1,0))</f>
        <v/>
      </c>
    </row>
    <row r="2688">
      <c r="Y2688" s="5">
        <f>IF(D2688="","",X2688*IF(AND(ISNUMBER(AC2688),AC2688&gt;0,AC2688&lt;1),AC2688*100,AC2688)/100)</f>
        <v/>
      </c>
      <c r="Z2688" s="5">
        <f>IF(D2688="","",AB2688*AA2688/100)</f>
        <v/>
      </c>
      <c r="AA2688" s="5">
        <f>IF(D2688="","",X2688-Y2688)</f>
        <v/>
      </c>
      <c r="AD2688" s="5">
        <f>IF(D2688="","",AA2688-Z2688)</f>
        <v/>
      </c>
      <c r="AG2688">
        <f>IF(D2688="","",N(AG2687)+IF(MATCH(D2688,$D$2:$D$3001,0)=ROW()-1,1,0))</f>
        <v/>
      </c>
    </row>
    <row r="2689">
      <c r="Y2689" s="5">
        <f>IF(D2689="","",X2689*IF(AND(ISNUMBER(AC2689),AC2689&gt;0,AC2689&lt;1),AC2689*100,AC2689)/100)</f>
        <v/>
      </c>
      <c r="Z2689" s="5">
        <f>IF(D2689="","",AB2689*AA2689/100)</f>
        <v/>
      </c>
      <c r="AA2689" s="5">
        <f>IF(D2689="","",X2689-Y2689)</f>
        <v/>
      </c>
      <c r="AD2689" s="5">
        <f>IF(D2689="","",AA2689-Z2689)</f>
        <v/>
      </c>
      <c r="AG2689">
        <f>IF(D2689="","",N(AG2688)+IF(MATCH(D2689,$D$2:$D$3001,0)=ROW()-1,1,0))</f>
        <v/>
      </c>
    </row>
    <row r="2690">
      <c r="Y2690" s="5">
        <f>IF(D2690="","",X2690*IF(AND(ISNUMBER(AC2690),AC2690&gt;0,AC2690&lt;1),AC2690*100,AC2690)/100)</f>
        <v/>
      </c>
      <c r="Z2690" s="5">
        <f>IF(D2690="","",AB2690*AA2690/100)</f>
        <v/>
      </c>
      <c r="AA2690" s="5">
        <f>IF(D2690="","",X2690-Y2690)</f>
        <v/>
      </c>
      <c r="AD2690" s="5">
        <f>IF(D2690="","",AA2690-Z2690)</f>
        <v/>
      </c>
      <c r="AG2690">
        <f>IF(D2690="","",N(AG2689)+IF(MATCH(D2690,$D$2:$D$3001,0)=ROW()-1,1,0))</f>
        <v/>
      </c>
    </row>
    <row r="2691">
      <c r="Y2691" s="5">
        <f>IF(D2691="","",X2691*IF(AND(ISNUMBER(AC2691),AC2691&gt;0,AC2691&lt;1),AC2691*100,AC2691)/100)</f>
        <v/>
      </c>
      <c r="Z2691" s="5">
        <f>IF(D2691="","",AB2691*AA2691/100)</f>
        <v/>
      </c>
      <c r="AA2691" s="5">
        <f>IF(D2691="","",X2691-Y2691)</f>
        <v/>
      </c>
      <c r="AD2691" s="5">
        <f>IF(D2691="","",AA2691-Z2691)</f>
        <v/>
      </c>
      <c r="AG2691">
        <f>IF(D2691="","",N(AG2690)+IF(MATCH(D2691,$D$2:$D$3001,0)=ROW()-1,1,0))</f>
        <v/>
      </c>
    </row>
    <row r="2692">
      <c r="Y2692" s="5">
        <f>IF(D2692="","",X2692*IF(AND(ISNUMBER(AC2692),AC2692&gt;0,AC2692&lt;1),AC2692*100,AC2692)/100)</f>
        <v/>
      </c>
      <c r="Z2692" s="5">
        <f>IF(D2692="","",AB2692*AA2692/100)</f>
        <v/>
      </c>
      <c r="AA2692" s="5">
        <f>IF(D2692="","",X2692-Y2692)</f>
        <v/>
      </c>
      <c r="AD2692" s="5">
        <f>IF(D2692="","",AA2692-Z2692)</f>
        <v/>
      </c>
      <c r="AG2692">
        <f>IF(D2692="","",N(AG2691)+IF(MATCH(D2692,$D$2:$D$3001,0)=ROW()-1,1,0))</f>
        <v/>
      </c>
    </row>
    <row r="2693">
      <c r="Y2693" s="5">
        <f>IF(D2693="","",X2693*IF(AND(ISNUMBER(AC2693),AC2693&gt;0,AC2693&lt;1),AC2693*100,AC2693)/100)</f>
        <v/>
      </c>
      <c r="Z2693" s="5">
        <f>IF(D2693="","",AB2693*AA2693/100)</f>
        <v/>
      </c>
      <c r="AA2693" s="5">
        <f>IF(D2693="","",X2693-Y2693)</f>
        <v/>
      </c>
      <c r="AD2693" s="5">
        <f>IF(D2693="","",AA2693-Z2693)</f>
        <v/>
      </c>
      <c r="AG2693">
        <f>IF(D2693="","",N(AG2692)+IF(MATCH(D2693,$D$2:$D$3001,0)=ROW()-1,1,0))</f>
        <v/>
      </c>
    </row>
    <row r="2694">
      <c r="Y2694" s="5">
        <f>IF(D2694="","",X2694*IF(AND(ISNUMBER(AC2694),AC2694&gt;0,AC2694&lt;1),AC2694*100,AC2694)/100)</f>
        <v/>
      </c>
      <c r="Z2694" s="5">
        <f>IF(D2694="","",AB2694*AA2694/100)</f>
        <v/>
      </c>
      <c r="AA2694" s="5">
        <f>IF(D2694="","",X2694-Y2694)</f>
        <v/>
      </c>
      <c r="AD2694" s="5">
        <f>IF(D2694="","",AA2694-Z2694)</f>
        <v/>
      </c>
      <c r="AG2694">
        <f>IF(D2694="","",N(AG2693)+IF(MATCH(D2694,$D$2:$D$3001,0)=ROW()-1,1,0))</f>
        <v/>
      </c>
    </row>
    <row r="2695">
      <c r="Y2695" s="5">
        <f>IF(D2695="","",X2695*IF(AND(ISNUMBER(AC2695),AC2695&gt;0,AC2695&lt;1),AC2695*100,AC2695)/100)</f>
        <v/>
      </c>
      <c r="Z2695" s="5">
        <f>IF(D2695="","",AB2695*AA2695/100)</f>
        <v/>
      </c>
      <c r="AA2695" s="5">
        <f>IF(D2695="","",X2695-Y2695)</f>
        <v/>
      </c>
      <c r="AD2695" s="5">
        <f>IF(D2695="","",AA2695-Z2695)</f>
        <v/>
      </c>
      <c r="AG2695">
        <f>IF(D2695="","",N(AG2694)+IF(MATCH(D2695,$D$2:$D$3001,0)=ROW()-1,1,0))</f>
        <v/>
      </c>
    </row>
    <row r="2696">
      <c r="Y2696" s="5">
        <f>IF(D2696="","",X2696*IF(AND(ISNUMBER(AC2696),AC2696&gt;0,AC2696&lt;1),AC2696*100,AC2696)/100)</f>
        <v/>
      </c>
      <c r="Z2696" s="5">
        <f>IF(D2696="","",AB2696*AA2696/100)</f>
        <v/>
      </c>
      <c r="AA2696" s="5">
        <f>IF(D2696="","",X2696-Y2696)</f>
        <v/>
      </c>
      <c r="AD2696" s="5">
        <f>IF(D2696="","",AA2696-Z2696)</f>
        <v/>
      </c>
      <c r="AG2696">
        <f>IF(D2696="","",N(AG2695)+IF(MATCH(D2696,$D$2:$D$3001,0)=ROW()-1,1,0))</f>
        <v/>
      </c>
    </row>
    <row r="2697">
      <c r="Y2697" s="5">
        <f>IF(D2697="","",X2697*IF(AND(ISNUMBER(AC2697),AC2697&gt;0,AC2697&lt;1),AC2697*100,AC2697)/100)</f>
        <v/>
      </c>
      <c r="Z2697" s="5">
        <f>IF(D2697="","",AB2697*AA2697/100)</f>
        <v/>
      </c>
      <c r="AA2697" s="5">
        <f>IF(D2697="","",X2697-Y2697)</f>
        <v/>
      </c>
      <c r="AD2697" s="5">
        <f>IF(D2697="","",AA2697-Z2697)</f>
        <v/>
      </c>
      <c r="AG2697">
        <f>IF(D2697="","",N(AG2696)+IF(MATCH(D2697,$D$2:$D$3001,0)=ROW()-1,1,0))</f>
        <v/>
      </c>
    </row>
    <row r="2698">
      <c r="Y2698" s="5">
        <f>IF(D2698="","",X2698*IF(AND(ISNUMBER(AC2698),AC2698&gt;0,AC2698&lt;1),AC2698*100,AC2698)/100)</f>
        <v/>
      </c>
      <c r="Z2698" s="5">
        <f>IF(D2698="","",AB2698*AA2698/100)</f>
        <v/>
      </c>
      <c r="AA2698" s="5">
        <f>IF(D2698="","",X2698-Y2698)</f>
        <v/>
      </c>
      <c r="AD2698" s="5">
        <f>IF(D2698="","",AA2698-Z2698)</f>
        <v/>
      </c>
      <c r="AG2698">
        <f>IF(D2698="","",N(AG2697)+IF(MATCH(D2698,$D$2:$D$3001,0)=ROW()-1,1,0))</f>
        <v/>
      </c>
    </row>
    <row r="2699">
      <c r="Y2699" s="5">
        <f>IF(D2699="","",X2699*IF(AND(ISNUMBER(AC2699),AC2699&gt;0,AC2699&lt;1),AC2699*100,AC2699)/100)</f>
        <v/>
      </c>
      <c r="Z2699" s="5">
        <f>IF(D2699="","",AB2699*AA2699/100)</f>
        <v/>
      </c>
      <c r="AA2699" s="5">
        <f>IF(D2699="","",X2699-Y2699)</f>
        <v/>
      </c>
      <c r="AD2699" s="5">
        <f>IF(D2699="","",AA2699-Z2699)</f>
        <v/>
      </c>
      <c r="AG2699">
        <f>IF(D2699="","",N(AG2698)+IF(MATCH(D2699,$D$2:$D$3001,0)=ROW()-1,1,0))</f>
        <v/>
      </c>
    </row>
    <row r="2700">
      <c r="Y2700" s="5">
        <f>IF(D2700="","",X2700*IF(AND(ISNUMBER(AC2700),AC2700&gt;0,AC2700&lt;1),AC2700*100,AC2700)/100)</f>
        <v/>
      </c>
      <c r="Z2700" s="5">
        <f>IF(D2700="","",AB2700*AA2700/100)</f>
        <v/>
      </c>
      <c r="AA2700" s="5">
        <f>IF(D2700="","",X2700-Y2700)</f>
        <v/>
      </c>
      <c r="AD2700" s="5">
        <f>IF(D2700="","",AA2700-Z2700)</f>
        <v/>
      </c>
      <c r="AG2700">
        <f>IF(D2700="","",N(AG2699)+IF(MATCH(D2700,$D$2:$D$3001,0)=ROW()-1,1,0))</f>
        <v/>
      </c>
    </row>
    <row r="2701">
      <c r="Y2701" s="5">
        <f>IF(D2701="","",X2701*IF(AND(ISNUMBER(AC2701),AC2701&gt;0,AC2701&lt;1),AC2701*100,AC2701)/100)</f>
        <v/>
      </c>
      <c r="Z2701" s="5">
        <f>IF(D2701="","",AB2701*AA2701/100)</f>
        <v/>
      </c>
      <c r="AA2701" s="5">
        <f>IF(D2701="","",X2701-Y2701)</f>
        <v/>
      </c>
      <c r="AD2701" s="5">
        <f>IF(D2701="","",AA2701-Z2701)</f>
        <v/>
      </c>
      <c r="AG2701">
        <f>IF(D2701="","",N(AG2700)+IF(MATCH(D2701,$D$2:$D$3001,0)=ROW()-1,1,0))</f>
        <v/>
      </c>
    </row>
    <row r="2702">
      <c r="Y2702" s="5">
        <f>IF(D2702="","",X2702*IF(AND(ISNUMBER(AC2702),AC2702&gt;0,AC2702&lt;1),AC2702*100,AC2702)/100)</f>
        <v/>
      </c>
      <c r="Z2702" s="5">
        <f>IF(D2702="","",AB2702*AA2702/100)</f>
        <v/>
      </c>
      <c r="AA2702" s="5">
        <f>IF(D2702="","",X2702-Y2702)</f>
        <v/>
      </c>
      <c r="AD2702" s="5">
        <f>IF(D2702="","",AA2702-Z2702)</f>
        <v/>
      </c>
      <c r="AG2702">
        <f>IF(D2702="","",N(AG2701)+IF(MATCH(D2702,$D$2:$D$3001,0)=ROW()-1,1,0))</f>
        <v/>
      </c>
    </row>
    <row r="2703">
      <c r="Y2703" s="5">
        <f>IF(D2703="","",X2703*IF(AND(ISNUMBER(AC2703),AC2703&gt;0,AC2703&lt;1),AC2703*100,AC2703)/100)</f>
        <v/>
      </c>
      <c r="Z2703" s="5">
        <f>IF(D2703="","",AB2703*AA2703/100)</f>
        <v/>
      </c>
      <c r="AA2703" s="5">
        <f>IF(D2703="","",X2703-Y2703)</f>
        <v/>
      </c>
      <c r="AD2703" s="5">
        <f>IF(D2703="","",AA2703-Z2703)</f>
        <v/>
      </c>
      <c r="AG2703">
        <f>IF(D2703="","",N(AG2702)+IF(MATCH(D2703,$D$2:$D$3001,0)=ROW()-1,1,0))</f>
        <v/>
      </c>
    </row>
    <row r="2704">
      <c r="Y2704" s="5">
        <f>IF(D2704="","",X2704*IF(AND(ISNUMBER(AC2704),AC2704&gt;0,AC2704&lt;1),AC2704*100,AC2704)/100)</f>
        <v/>
      </c>
      <c r="Z2704" s="5">
        <f>IF(D2704="","",AB2704*AA2704/100)</f>
        <v/>
      </c>
      <c r="AA2704" s="5">
        <f>IF(D2704="","",X2704-Y2704)</f>
        <v/>
      </c>
      <c r="AD2704" s="5">
        <f>IF(D2704="","",AA2704-Z2704)</f>
        <v/>
      </c>
      <c r="AG2704">
        <f>IF(D2704="","",N(AG2703)+IF(MATCH(D2704,$D$2:$D$3001,0)=ROW()-1,1,0))</f>
        <v/>
      </c>
    </row>
    <row r="2705">
      <c r="Y2705" s="5">
        <f>IF(D2705="","",X2705*IF(AND(ISNUMBER(AC2705),AC2705&gt;0,AC2705&lt;1),AC2705*100,AC2705)/100)</f>
        <v/>
      </c>
      <c r="Z2705" s="5">
        <f>IF(D2705="","",AB2705*AA2705/100)</f>
        <v/>
      </c>
      <c r="AA2705" s="5">
        <f>IF(D2705="","",X2705-Y2705)</f>
        <v/>
      </c>
      <c r="AD2705" s="5">
        <f>IF(D2705="","",AA2705-Z2705)</f>
        <v/>
      </c>
      <c r="AG2705">
        <f>IF(D2705="","",N(AG2704)+IF(MATCH(D2705,$D$2:$D$3001,0)=ROW()-1,1,0))</f>
        <v/>
      </c>
    </row>
    <row r="2706">
      <c r="Y2706" s="5">
        <f>IF(D2706="","",X2706*IF(AND(ISNUMBER(AC2706),AC2706&gt;0,AC2706&lt;1),AC2706*100,AC2706)/100)</f>
        <v/>
      </c>
      <c r="Z2706" s="5">
        <f>IF(D2706="","",AB2706*AA2706/100)</f>
        <v/>
      </c>
      <c r="AA2706" s="5">
        <f>IF(D2706="","",X2706-Y2706)</f>
        <v/>
      </c>
      <c r="AD2706" s="5">
        <f>IF(D2706="","",AA2706-Z2706)</f>
        <v/>
      </c>
      <c r="AG2706">
        <f>IF(D2706="","",N(AG2705)+IF(MATCH(D2706,$D$2:$D$3001,0)=ROW()-1,1,0))</f>
        <v/>
      </c>
    </row>
    <row r="2707">
      <c r="Y2707" s="5">
        <f>IF(D2707="","",X2707*IF(AND(ISNUMBER(AC2707),AC2707&gt;0,AC2707&lt;1),AC2707*100,AC2707)/100)</f>
        <v/>
      </c>
      <c r="Z2707" s="5">
        <f>IF(D2707="","",AB2707*AA2707/100)</f>
        <v/>
      </c>
      <c r="AA2707" s="5">
        <f>IF(D2707="","",X2707-Y2707)</f>
        <v/>
      </c>
      <c r="AD2707" s="5">
        <f>IF(D2707="","",AA2707-Z2707)</f>
        <v/>
      </c>
      <c r="AG2707">
        <f>IF(D2707="","",N(AG2706)+IF(MATCH(D2707,$D$2:$D$3001,0)=ROW()-1,1,0))</f>
        <v/>
      </c>
    </row>
    <row r="2708">
      <c r="Y2708" s="5">
        <f>IF(D2708="","",X2708*IF(AND(ISNUMBER(AC2708),AC2708&gt;0,AC2708&lt;1),AC2708*100,AC2708)/100)</f>
        <v/>
      </c>
      <c r="Z2708" s="5">
        <f>IF(D2708="","",AB2708*AA2708/100)</f>
        <v/>
      </c>
      <c r="AA2708" s="5">
        <f>IF(D2708="","",X2708-Y2708)</f>
        <v/>
      </c>
      <c r="AD2708" s="5">
        <f>IF(D2708="","",AA2708-Z2708)</f>
        <v/>
      </c>
      <c r="AG2708">
        <f>IF(D2708="","",N(AG2707)+IF(MATCH(D2708,$D$2:$D$3001,0)=ROW()-1,1,0))</f>
        <v/>
      </c>
    </row>
    <row r="2709">
      <c r="Y2709" s="5">
        <f>IF(D2709="","",X2709*IF(AND(ISNUMBER(AC2709),AC2709&gt;0,AC2709&lt;1),AC2709*100,AC2709)/100)</f>
        <v/>
      </c>
      <c r="Z2709" s="5">
        <f>IF(D2709="","",AB2709*AA2709/100)</f>
        <v/>
      </c>
      <c r="AA2709" s="5">
        <f>IF(D2709="","",X2709-Y2709)</f>
        <v/>
      </c>
      <c r="AD2709" s="5">
        <f>IF(D2709="","",AA2709-Z2709)</f>
        <v/>
      </c>
      <c r="AG2709">
        <f>IF(D2709="","",N(AG2708)+IF(MATCH(D2709,$D$2:$D$3001,0)=ROW()-1,1,0))</f>
        <v/>
      </c>
    </row>
    <row r="2710">
      <c r="Y2710" s="5">
        <f>IF(D2710="","",X2710*IF(AND(ISNUMBER(AC2710),AC2710&gt;0,AC2710&lt;1),AC2710*100,AC2710)/100)</f>
        <v/>
      </c>
      <c r="Z2710" s="5">
        <f>IF(D2710="","",AB2710*AA2710/100)</f>
        <v/>
      </c>
      <c r="AA2710" s="5">
        <f>IF(D2710="","",X2710-Y2710)</f>
        <v/>
      </c>
      <c r="AD2710" s="5">
        <f>IF(D2710="","",AA2710-Z2710)</f>
        <v/>
      </c>
      <c r="AG2710">
        <f>IF(D2710="","",N(AG2709)+IF(MATCH(D2710,$D$2:$D$3001,0)=ROW()-1,1,0))</f>
        <v/>
      </c>
    </row>
    <row r="2711">
      <c r="Y2711" s="5">
        <f>IF(D2711="","",X2711*IF(AND(ISNUMBER(AC2711),AC2711&gt;0,AC2711&lt;1),AC2711*100,AC2711)/100)</f>
        <v/>
      </c>
      <c r="Z2711" s="5">
        <f>IF(D2711="","",AB2711*AA2711/100)</f>
        <v/>
      </c>
      <c r="AA2711" s="5">
        <f>IF(D2711="","",X2711-Y2711)</f>
        <v/>
      </c>
      <c r="AD2711" s="5">
        <f>IF(D2711="","",AA2711-Z2711)</f>
        <v/>
      </c>
      <c r="AG2711">
        <f>IF(D2711="","",N(AG2710)+IF(MATCH(D2711,$D$2:$D$3001,0)=ROW()-1,1,0))</f>
        <v/>
      </c>
    </row>
    <row r="2712">
      <c r="Y2712" s="5">
        <f>IF(D2712="","",X2712*IF(AND(ISNUMBER(AC2712),AC2712&gt;0,AC2712&lt;1),AC2712*100,AC2712)/100)</f>
        <v/>
      </c>
      <c r="Z2712" s="5">
        <f>IF(D2712="","",AB2712*AA2712/100)</f>
        <v/>
      </c>
      <c r="AA2712" s="5">
        <f>IF(D2712="","",X2712-Y2712)</f>
        <v/>
      </c>
      <c r="AD2712" s="5">
        <f>IF(D2712="","",AA2712-Z2712)</f>
        <v/>
      </c>
      <c r="AG2712">
        <f>IF(D2712="","",N(AG2711)+IF(MATCH(D2712,$D$2:$D$3001,0)=ROW()-1,1,0))</f>
        <v/>
      </c>
    </row>
    <row r="2713">
      <c r="Y2713" s="5">
        <f>IF(D2713="","",X2713*IF(AND(ISNUMBER(AC2713),AC2713&gt;0,AC2713&lt;1),AC2713*100,AC2713)/100)</f>
        <v/>
      </c>
      <c r="Z2713" s="5">
        <f>IF(D2713="","",AB2713*AA2713/100)</f>
        <v/>
      </c>
      <c r="AA2713" s="5">
        <f>IF(D2713="","",X2713-Y2713)</f>
        <v/>
      </c>
      <c r="AD2713" s="5">
        <f>IF(D2713="","",AA2713-Z2713)</f>
        <v/>
      </c>
      <c r="AG2713">
        <f>IF(D2713="","",N(AG2712)+IF(MATCH(D2713,$D$2:$D$3001,0)=ROW()-1,1,0))</f>
        <v/>
      </c>
    </row>
    <row r="2714">
      <c r="Y2714" s="5">
        <f>IF(D2714="","",X2714*IF(AND(ISNUMBER(AC2714),AC2714&gt;0,AC2714&lt;1),AC2714*100,AC2714)/100)</f>
        <v/>
      </c>
      <c r="Z2714" s="5">
        <f>IF(D2714="","",AB2714*AA2714/100)</f>
        <v/>
      </c>
      <c r="AA2714" s="5">
        <f>IF(D2714="","",X2714-Y2714)</f>
        <v/>
      </c>
      <c r="AD2714" s="5">
        <f>IF(D2714="","",AA2714-Z2714)</f>
        <v/>
      </c>
      <c r="AG2714">
        <f>IF(D2714="","",N(AG2713)+IF(MATCH(D2714,$D$2:$D$3001,0)=ROW()-1,1,0))</f>
        <v/>
      </c>
    </row>
    <row r="2715">
      <c r="Y2715" s="5">
        <f>IF(D2715="","",X2715*IF(AND(ISNUMBER(AC2715),AC2715&gt;0,AC2715&lt;1),AC2715*100,AC2715)/100)</f>
        <v/>
      </c>
      <c r="Z2715" s="5">
        <f>IF(D2715="","",AB2715*AA2715/100)</f>
        <v/>
      </c>
      <c r="AA2715" s="5">
        <f>IF(D2715="","",X2715-Y2715)</f>
        <v/>
      </c>
      <c r="AD2715" s="5">
        <f>IF(D2715="","",AA2715-Z2715)</f>
        <v/>
      </c>
      <c r="AG2715">
        <f>IF(D2715="","",N(AG2714)+IF(MATCH(D2715,$D$2:$D$3001,0)=ROW()-1,1,0))</f>
        <v/>
      </c>
    </row>
    <row r="2716">
      <c r="Y2716" s="5">
        <f>IF(D2716="","",X2716*IF(AND(ISNUMBER(AC2716),AC2716&gt;0,AC2716&lt;1),AC2716*100,AC2716)/100)</f>
        <v/>
      </c>
      <c r="Z2716" s="5">
        <f>IF(D2716="","",AB2716*AA2716/100)</f>
        <v/>
      </c>
      <c r="AA2716" s="5">
        <f>IF(D2716="","",X2716-Y2716)</f>
        <v/>
      </c>
      <c r="AD2716" s="5">
        <f>IF(D2716="","",AA2716-Z2716)</f>
        <v/>
      </c>
      <c r="AG2716">
        <f>IF(D2716="","",N(AG2715)+IF(MATCH(D2716,$D$2:$D$3001,0)=ROW()-1,1,0))</f>
        <v/>
      </c>
    </row>
    <row r="2717">
      <c r="Y2717" s="5">
        <f>IF(D2717="","",X2717*IF(AND(ISNUMBER(AC2717),AC2717&gt;0,AC2717&lt;1),AC2717*100,AC2717)/100)</f>
        <v/>
      </c>
      <c r="Z2717" s="5">
        <f>IF(D2717="","",AB2717*AA2717/100)</f>
        <v/>
      </c>
      <c r="AA2717" s="5">
        <f>IF(D2717="","",X2717-Y2717)</f>
        <v/>
      </c>
      <c r="AD2717" s="5">
        <f>IF(D2717="","",AA2717-Z2717)</f>
        <v/>
      </c>
      <c r="AG2717">
        <f>IF(D2717="","",N(AG2716)+IF(MATCH(D2717,$D$2:$D$3001,0)=ROW()-1,1,0))</f>
        <v/>
      </c>
    </row>
    <row r="2718">
      <c r="Y2718" s="5">
        <f>IF(D2718="","",X2718*IF(AND(ISNUMBER(AC2718),AC2718&gt;0,AC2718&lt;1),AC2718*100,AC2718)/100)</f>
        <v/>
      </c>
      <c r="Z2718" s="5">
        <f>IF(D2718="","",AB2718*AA2718/100)</f>
        <v/>
      </c>
      <c r="AA2718" s="5">
        <f>IF(D2718="","",X2718-Y2718)</f>
        <v/>
      </c>
      <c r="AD2718" s="5">
        <f>IF(D2718="","",AA2718-Z2718)</f>
        <v/>
      </c>
      <c r="AG2718">
        <f>IF(D2718="","",N(AG2717)+IF(MATCH(D2718,$D$2:$D$3001,0)=ROW()-1,1,0))</f>
        <v/>
      </c>
    </row>
    <row r="2719">
      <c r="Y2719" s="5">
        <f>IF(D2719="","",X2719*IF(AND(ISNUMBER(AC2719),AC2719&gt;0,AC2719&lt;1),AC2719*100,AC2719)/100)</f>
        <v/>
      </c>
      <c r="Z2719" s="5">
        <f>IF(D2719="","",AB2719*AA2719/100)</f>
        <v/>
      </c>
      <c r="AA2719" s="5">
        <f>IF(D2719="","",X2719-Y2719)</f>
        <v/>
      </c>
      <c r="AD2719" s="5">
        <f>IF(D2719="","",AA2719-Z2719)</f>
        <v/>
      </c>
      <c r="AG2719">
        <f>IF(D2719="","",N(AG2718)+IF(MATCH(D2719,$D$2:$D$3001,0)=ROW()-1,1,0))</f>
        <v/>
      </c>
    </row>
    <row r="2720">
      <c r="Y2720" s="5">
        <f>IF(D2720="","",X2720*IF(AND(ISNUMBER(AC2720),AC2720&gt;0,AC2720&lt;1),AC2720*100,AC2720)/100)</f>
        <v/>
      </c>
      <c r="Z2720" s="5">
        <f>IF(D2720="","",AB2720*AA2720/100)</f>
        <v/>
      </c>
      <c r="AA2720" s="5">
        <f>IF(D2720="","",X2720-Y2720)</f>
        <v/>
      </c>
      <c r="AD2720" s="5">
        <f>IF(D2720="","",AA2720-Z2720)</f>
        <v/>
      </c>
      <c r="AG2720">
        <f>IF(D2720="","",N(AG2719)+IF(MATCH(D2720,$D$2:$D$3001,0)=ROW()-1,1,0))</f>
        <v/>
      </c>
    </row>
    <row r="2721">
      <c r="Y2721" s="5">
        <f>IF(D2721="","",X2721*IF(AND(ISNUMBER(AC2721),AC2721&gt;0,AC2721&lt;1),AC2721*100,AC2721)/100)</f>
        <v/>
      </c>
      <c r="Z2721" s="5">
        <f>IF(D2721="","",AB2721*AA2721/100)</f>
        <v/>
      </c>
      <c r="AA2721" s="5">
        <f>IF(D2721="","",X2721-Y2721)</f>
        <v/>
      </c>
      <c r="AD2721" s="5">
        <f>IF(D2721="","",AA2721-Z2721)</f>
        <v/>
      </c>
      <c r="AG2721">
        <f>IF(D2721="","",N(AG2720)+IF(MATCH(D2721,$D$2:$D$3001,0)=ROW()-1,1,0))</f>
        <v/>
      </c>
    </row>
    <row r="2722">
      <c r="Y2722" s="5">
        <f>IF(D2722="","",X2722*IF(AND(ISNUMBER(AC2722),AC2722&gt;0,AC2722&lt;1),AC2722*100,AC2722)/100)</f>
        <v/>
      </c>
      <c r="Z2722" s="5">
        <f>IF(D2722="","",AB2722*AA2722/100)</f>
        <v/>
      </c>
      <c r="AA2722" s="5">
        <f>IF(D2722="","",X2722-Y2722)</f>
        <v/>
      </c>
      <c r="AD2722" s="5">
        <f>IF(D2722="","",AA2722-Z2722)</f>
        <v/>
      </c>
      <c r="AG2722">
        <f>IF(D2722="","",N(AG2721)+IF(MATCH(D2722,$D$2:$D$3001,0)=ROW()-1,1,0))</f>
        <v/>
      </c>
    </row>
    <row r="2723">
      <c r="Y2723" s="5">
        <f>IF(D2723="","",X2723*IF(AND(ISNUMBER(AC2723),AC2723&gt;0,AC2723&lt;1),AC2723*100,AC2723)/100)</f>
        <v/>
      </c>
      <c r="Z2723" s="5">
        <f>IF(D2723="","",AB2723*AA2723/100)</f>
        <v/>
      </c>
      <c r="AA2723" s="5">
        <f>IF(D2723="","",X2723-Y2723)</f>
        <v/>
      </c>
      <c r="AD2723" s="5">
        <f>IF(D2723="","",AA2723-Z2723)</f>
        <v/>
      </c>
      <c r="AG2723">
        <f>IF(D2723="","",N(AG2722)+IF(MATCH(D2723,$D$2:$D$3001,0)=ROW()-1,1,0))</f>
        <v/>
      </c>
    </row>
    <row r="2724">
      <c r="Y2724" s="5">
        <f>IF(D2724="","",X2724*IF(AND(ISNUMBER(AC2724),AC2724&gt;0,AC2724&lt;1),AC2724*100,AC2724)/100)</f>
        <v/>
      </c>
      <c r="Z2724" s="5">
        <f>IF(D2724="","",AB2724*AA2724/100)</f>
        <v/>
      </c>
      <c r="AA2724" s="5">
        <f>IF(D2724="","",X2724-Y2724)</f>
        <v/>
      </c>
      <c r="AD2724" s="5">
        <f>IF(D2724="","",AA2724-Z2724)</f>
        <v/>
      </c>
      <c r="AG2724">
        <f>IF(D2724="","",N(AG2723)+IF(MATCH(D2724,$D$2:$D$3001,0)=ROW()-1,1,0))</f>
        <v/>
      </c>
    </row>
    <row r="2725">
      <c r="Y2725" s="5">
        <f>IF(D2725="","",X2725*IF(AND(ISNUMBER(AC2725),AC2725&gt;0,AC2725&lt;1),AC2725*100,AC2725)/100)</f>
        <v/>
      </c>
      <c r="Z2725" s="5">
        <f>IF(D2725="","",AB2725*AA2725/100)</f>
        <v/>
      </c>
      <c r="AA2725" s="5">
        <f>IF(D2725="","",X2725-Y2725)</f>
        <v/>
      </c>
      <c r="AD2725" s="5">
        <f>IF(D2725="","",AA2725-Z2725)</f>
        <v/>
      </c>
      <c r="AG2725">
        <f>IF(D2725="","",N(AG2724)+IF(MATCH(D2725,$D$2:$D$3001,0)=ROW()-1,1,0))</f>
        <v/>
      </c>
    </row>
    <row r="2726">
      <c r="Y2726" s="5">
        <f>IF(D2726="","",X2726*IF(AND(ISNUMBER(AC2726),AC2726&gt;0,AC2726&lt;1),AC2726*100,AC2726)/100)</f>
        <v/>
      </c>
      <c r="Z2726" s="5">
        <f>IF(D2726="","",AB2726*AA2726/100)</f>
        <v/>
      </c>
      <c r="AA2726" s="5">
        <f>IF(D2726="","",X2726-Y2726)</f>
        <v/>
      </c>
      <c r="AD2726" s="5">
        <f>IF(D2726="","",AA2726-Z2726)</f>
        <v/>
      </c>
      <c r="AG2726">
        <f>IF(D2726="","",N(AG2725)+IF(MATCH(D2726,$D$2:$D$3001,0)=ROW()-1,1,0))</f>
        <v/>
      </c>
    </row>
    <row r="2727">
      <c r="Y2727" s="5">
        <f>IF(D2727="","",X2727*IF(AND(ISNUMBER(AC2727),AC2727&gt;0,AC2727&lt;1),AC2727*100,AC2727)/100)</f>
        <v/>
      </c>
      <c r="Z2727" s="5">
        <f>IF(D2727="","",AB2727*AA2727/100)</f>
        <v/>
      </c>
      <c r="AA2727" s="5">
        <f>IF(D2727="","",X2727-Y2727)</f>
        <v/>
      </c>
      <c r="AD2727" s="5">
        <f>IF(D2727="","",AA2727-Z2727)</f>
        <v/>
      </c>
      <c r="AG2727">
        <f>IF(D2727="","",N(AG2726)+IF(MATCH(D2727,$D$2:$D$3001,0)=ROW()-1,1,0))</f>
        <v/>
      </c>
    </row>
    <row r="2728">
      <c r="Y2728" s="5">
        <f>IF(D2728="","",X2728*IF(AND(ISNUMBER(AC2728),AC2728&gt;0,AC2728&lt;1),AC2728*100,AC2728)/100)</f>
        <v/>
      </c>
      <c r="Z2728" s="5">
        <f>IF(D2728="","",AB2728*AA2728/100)</f>
        <v/>
      </c>
      <c r="AA2728" s="5">
        <f>IF(D2728="","",X2728-Y2728)</f>
        <v/>
      </c>
      <c r="AD2728" s="5">
        <f>IF(D2728="","",AA2728-Z2728)</f>
        <v/>
      </c>
      <c r="AG2728">
        <f>IF(D2728="","",N(AG2727)+IF(MATCH(D2728,$D$2:$D$3001,0)=ROW()-1,1,0))</f>
        <v/>
      </c>
    </row>
    <row r="2729">
      <c r="Y2729" s="5">
        <f>IF(D2729="","",X2729*IF(AND(ISNUMBER(AC2729),AC2729&gt;0,AC2729&lt;1),AC2729*100,AC2729)/100)</f>
        <v/>
      </c>
      <c r="Z2729" s="5">
        <f>IF(D2729="","",AB2729*AA2729/100)</f>
        <v/>
      </c>
      <c r="AA2729" s="5">
        <f>IF(D2729="","",X2729-Y2729)</f>
        <v/>
      </c>
      <c r="AD2729" s="5">
        <f>IF(D2729="","",AA2729-Z2729)</f>
        <v/>
      </c>
      <c r="AG2729">
        <f>IF(D2729="","",N(AG2728)+IF(MATCH(D2729,$D$2:$D$3001,0)=ROW()-1,1,0))</f>
        <v/>
      </c>
    </row>
    <row r="2730">
      <c r="Y2730" s="5">
        <f>IF(D2730="","",X2730*IF(AND(ISNUMBER(AC2730),AC2730&gt;0,AC2730&lt;1),AC2730*100,AC2730)/100)</f>
        <v/>
      </c>
      <c r="Z2730" s="5">
        <f>IF(D2730="","",AB2730*AA2730/100)</f>
        <v/>
      </c>
      <c r="AA2730" s="5">
        <f>IF(D2730="","",X2730-Y2730)</f>
        <v/>
      </c>
      <c r="AD2730" s="5">
        <f>IF(D2730="","",AA2730-Z2730)</f>
        <v/>
      </c>
      <c r="AG2730">
        <f>IF(D2730="","",N(AG2729)+IF(MATCH(D2730,$D$2:$D$3001,0)=ROW()-1,1,0))</f>
        <v/>
      </c>
    </row>
    <row r="2731">
      <c r="Y2731" s="5">
        <f>IF(D2731="","",X2731*IF(AND(ISNUMBER(AC2731),AC2731&gt;0,AC2731&lt;1),AC2731*100,AC2731)/100)</f>
        <v/>
      </c>
      <c r="Z2731" s="5">
        <f>IF(D2731="","",AB2731*AA2731/100)</f>
        <v/>
      </c>
      <c r="AA2731" s="5">
        <f>IF(D2731="","",X2731-Y2731)</f>
        <v/>
      </c>
      <c r="AD2731" s="5">
        <f>IF(D2731="","",AA2731-Z2731)</f>
        <v/>
      </c>
      <c r="AG2731">
        <f>IF(D2731="","",N(AG2730)+IF(MATCH(D2731,$D$2:$D$3001,0)=ROW()-1,1,0))</f>
        <v/>
      </c>
    </row>
    <row r="2732">
      <c r="Y2732" s="5">
        <f>IF(D2732="","",X2732*IF(AND(ISNUMBER(AC2732),AC2732&gt;0,AC2732&lt;1),AC2732*100,AC2732)/100)</f>
        <v/>
      </c>
      <c r="Z2732" s="5">
        <f>IF(D2732="","",AB2732*AA2732/100)</f>
        <v/>
      </c>
      <c r="AA2732" s="5">
        <f>IF(D2732="","",X2732-Y2732)</f>
        <v/>
      </c>
      <c r="AD2732" s="5">
        <f>IF(D2732="","",AA2732-Z2732)</f>
        <v/>
      </c>
      <c r="AG2732">
        <f>IF(D2732="","",N(AG2731)+IF(MATCH(D2732,$D$2:$D$3001,0)=ROW()-1,1,0))</f>
        <v/>
      </c>
    </row>
    <row r="2733">
      <c r="Y2733" s="5">
        <f>IF(D2733="","",X2733*IF(AND(ISNUMBER(AC2733),AC2733&gt;0,AC2733&lt;1),AC2733*100,AC2733)/100)</f>
        <v/>
      </c>
      <c r="Z2733" s="5">
        <f>IF(D2733="","",AB2733*AA2733/100)</f>
        <v/>
      </c>
      <c r="AA2733" s="5">
        <f>IF(D2733="","",X2733-Y2733)</f>
        <v/>
      </c>
      <c r="AD2733" s="5">
        <f>IF(D2733="","",AA2733-Z2733)</f>
        <v/>
      </c>
      <c r="AG2733">
        <f>IF(D2733="","",N(AG2732)+IF(MATCH(D2733,$D$2:$D$3001,0)=ROW()-1,1,0))</f>
        <v/>
      </c>
    </row>
    <row r="2734">
      <c r="Y2734" s="5">
        <f>IF(D2734="","",X2734*IF(AND(ISNUMBER(AC2734),AC2734&gt;0,AC2734&lt;1),AC2734*100,AC2734)/100)</f>
        <v/>
      </c>
      <c r="Z2734" s="5">
        <f>IF(D2734="","",AB2734*AA2734/100)</f>
        <v/>
      </c>
      <c r="AA2734" s="5">
        <f>IF(D2734="","",X2734-Y2734)</f>
        <v/>
      </c>
      <c r="AD2734" s="5">
        <f>IF(D2734="","",AA2734-Z2734)</f>
        <v/>
      </c>
      <c r="AG2734">
        <f>IF(D2734="","",N(AG2733)+IF(MATCH(D2734,$D$2:$D$3001,0)=ROW()-1,1,0))</f>
        <v/>
      </c>
    </row>
    <row r="2735">
      <c r="Y2735" s="5">
        <f>IF(D2735="","",X2735*IF(AND(ISNUMBER(AC2735),AC2735&gt;0,AC2735&lt;1),AC2735*100,AC2735)/100)</f>
        <v/>
      </c>
      <c r="Z2735" s="5">
        <f>IF(D2735="","",AB2735*AA2735/100)</f>
        <v/>
      </c>
      <c r="AA2735" s="5">
        <f>IF(D2735="","",X2735-Y2735)</f>
        <v/>
      </c>
      <c r="AD2735" s="5">
        <f>IF(D2735="","",AA2735-Z2735)</f>
        <v/>
      </c>
      <c r="AG2735">
        <f>IF(D2735="","",N(AG2734)+IF(MATCH(D2735,$D$2:$D$3001,0)=ROW()-1,1,0))</f>
        <v/>
      </c>
    </row>
    <row r="2736">
      <c r="Y2736" s="5">
        <f>IF(D2736="","",X2736*IF(AND(ISNUMBER(AC2736),AC2736&gt;0,AC2736&lt;1),AC2736*100,AC2736)/100)</f>
        <v/>
      </c>
      <c r="Z2736" s="5">
        <f>IF(D2736="","",AB2736*AA2736/100)</f>
        <v/>
      </c>
      <c r="AA2736" s="5">
        <f>IF(D2736="","",X2736-Y2736)</f>
        <v/>
      </c>
      <c r="AD2736" s="5">
        <f>IF(D2736="","",AA2736-Z2736)</f>
        <v/>
      </c>
      <c r="AG2736">
        <f>IF(D2736="","",N(AG2735)+IF(MATCH(D2736,$D$2:$D$3001,0)=ROW()-1,1,0))</f>
        <v/>
      </c>
    </row>
    <row r="2737">
      <c r="Y2737" s="5">
        <f>IF(D2737="","",X2737*IF(AND(ISNUMBER(AC2737),AC2737&gt;0,AC2737&lt;1),AC2737*100,AC2737)/100)</f>
        <v/>
      </c>
      <c r="Z2737" s="5">
        <f>IF(D2737="","",AB2737*AA2737/100)</f>
        <v/>
      </c>
      <c r="AA2737" s="5">
        <f>IF(D2737="","",X2737-Y2737)</f>
        <v/>
      </c>
      <c r="AD2737" s="5">
        <f>IF(D2737="","",AA2737-Z2737)</f>
        <v/>
      </c>
      <c r="AG2737">
        <f>IF(D2737="","",N(AG2736)+IF(MATCH(D2737,$D$2:$D$3001,0)=ROW()-1,1,0))</f>
        <v/>
      </c>
    </row>
    <row r="2738">
      <c r="Y2738" s="5">
        <f>IF(D2738="","",X2738*IF(AND(ISNUMBER(AC2738),AC2738&gt;0,AC2738&lt;1),AC2738*100,AC2738)/100)</f>
        <v/>
      </c>
      <c r="Z2738" s="5">
        <f>IF(D2738="","",AB2738*AA2738/100)</f>
        <v/>
      </c>
      <c r="AA2738" s="5">
        <f>IF(D2738="","",X2738-Y2738)</f>
        <v/>
      </c>
      <c r="AD2738" s="5">
        <f>IF(D2738="","",AA2738-Z2738)</f>
        <v/>
      </c>
      <c r="AG2738">
        <f>IF(D2738="","",N(AG2737)+IF(MATCH(D2738,$D$2:$D$3001,0)=ROW()-1,1,0))</f>
        <v/>
      </c>
    </row>
    <row r="2739">
      <c r="Y2739" s="5">
        <f>IF(D2739="","",X2739*IF(AND(ISNUMBER(AC2739),AC2739&gt;0,AC2739&lt;1),AC2739*100,AC2739)/100)</f>
        <v/>
      </c>
      <c r="Z2739" s="5">
        <f>IF(D2739="","",AB2739*AA2739/100)</f>
        <v/>
      </c>
      <c r="AA2739" s="5">
        <f>IF(D2739="","",X2739-Y2739)</f>
        <v/>
      </c>
      <c r="AD2739" s="5">
        <f>IF(D2739="","",AA2739-Z2739)</f>
        <v/>
      </c>
      <c r="AG2739">
        <f>IF(D2739="","",N(AG2738)+IF(MATCH(D2739,$D$2:$D$3001,0)=ROW()-1,1,0))</f>
        <v/>
      </c>
    </row>
    <row r="2740">
      <c r="Y2740" s="5">
        <f>IF(D2740="","",X2740*IF(AND(ISNUMBER(AC2740),AC2740&gt;0,AC2740&lt;1),AC2740*100,AC2740)/100)</f>
        <v/>
      </c>
      <c r="Z2740" s="5">
        <f>IF(D2740="","",AB2740*AA2740/100)</f>
        <v/>
      </c>
      <c r="AA2740" s="5">
        <f>IF(D2740="","",X2740-Y2740)</f>
        <v/>
      </c>
      <c r="AD2740" s="5">
        <f>IF(D2740="","",AA2740-Z2740)</f>
        <v/>
      </c>
      <c r="AG2740">
        <f>IF(D2740="","",N(AG2739)+IF(MATCH(D2740,$D$2:$D$3001,0)=ROW()-1,1,0))</f>
        <v/>
      </c>
    </row>
    <row r="2741">
      <c r="Y2741" s="5">
        <f>IF(D2741="","",X2741*IF(AND(ISNUMBER(AC2741),AC2741&gt;0,AC2741&lt;1),AC2741*100,AC2741)/100)</f>
        <v/>
      </c>
      <c r="Z2741" s="5">
        <f>IF(D2741="","",AB2741*AA2741/100)</f>
        <v/>
      </c>
      <c r="AA2741" s="5">
        <f>IF(D2741="","",X2741-Y2741)</f>
        <v/>
      </c>
      <c r="AD2741" s="5">
        <f>IF(D2741="","",AA2741-Z2741)</f>
        <v/>
      </c>
      <c r="AG2741">
        <f>IF(D2741="","",N(AG2740)+IF(MATCH(D2741,$D$2:$D$3001,0)=ROW()-1,1,0))</f>
        <v/>
      </c>
    </row>
    <row r="2742">
      <c r="Y2742" s="5">
        <f>IF(D2742="","",X2742*IF(AND(ISNUMBER(AC2742),AC2742&gt;0,AC2742&lt;1),AC2742*100,AC2742)/100)</f>
        <v/>
      </c>
      <c r="Z2742" s="5">
        <f>IF(D2742="","",AB2742*AA2742/100)</f>
        <v/>
      </c>
      <c r="AA2742" s="5">
        <f>IF(D2742="","",X2742-Y2742)</f>
        <v/>
      </c>
      <c r="AD2742" s="5">
        <f>IF(D2742="","",AA2742-Z2742)</f>
        <v/>
      </c>
      <c r="AG2742">
        <f>IF(D2742="","",N(AG2741)+IF(MATCH(D2742,$D$2:$D$3001,0)=ROW()-1,1,0))</f>
        <v/>
      </c>
    </row>
    <row r="2743">
      <c r="Y2743" s="5">
        <f>IF(D2743="","",X2743*IF(AND(ISNUMBER(AC2743),AC2743&gt;0,AC2743&lt;1),AC2743*100,AC2743)/100)</f>
        <v/>
      </c>
      <c r="Z2743" s="5">
        <f>IF(D2743="","",AB2743*AA2743/100)</f>
        <v/>
      </c>
      <c r="AA2743" s="5">
        <f>IF(D2743="","",X2743-Y2743)</f>
        <v/>
      </c>
      <c r="AD2743" s="5">
        <f>IF(D2743="","",AA2743-Z2743)</f>
        <v/>
      </c>
      <c r="AG2743">
        <f>IF(D2743="","",N(AG2742)+IF(MATCH(D2743,$D$2:$D$3001,0)=ROW()-1,1,0))</f>
        <v/>
      </c>
    </row>
    <row r="2744">
      <c r="Y2744" s="5">
        <f>IF(D2744="","",X2744*IF(AND(ISNUMBER(AC2744),AC2744&gt;0,AC2744&lt;1),AC2744*100,AC2744)/100)</f>
        <v/>
      </c>
      <c r="Z2744" s="5">
        <f>IF(D2744="","",AB2744*AA2744/100)</f>
        <v/>
      </c>
      <c r="AA2744" s="5">
        <f>IF(D2744="","",X2744-Y2744)</f>
        <v/>
      </c>
      <c r="AD2744" s="5">
        <f>IF(D2744="","",AA2744-Z2744)</f>
        <v/>
      </c>
      <c r="AG2744">
        <f>IF(D2744="","",N(AG2743)+IF(MATCH(D2744,$D$2:$D$3001,0)=ROW()-1,1,0))</f>
        <v/>
      </c>
    </row>
    <row r="2745">
      <c r="Y2745" s="5">
        <f>IF(D2745="","",X2745*IF(AND(ISNUMBER(AC2745),AC2745&gt;0,AC2745&lt;1),AC2745*100,AC2745)/100)</f>
        <v/>
      </c>
      <c r="Z2745" s="5">
        <f>IF(D2745="","",AB2745*AA2745/100)</f>
        <v/>
      </c>
      <c r="AA2745" s="5">
        <f>IF(D2745="","",X2745-Y2745)</f>
        <v/>
      </c>
      <c r="AD2745" s="5">
        <f>IF(D2745="","",AA2745-Z2745)</f>
        <v/>
      </c>
      <c r="AG2745">
        <f>IF(D2745="","",N(AG2744)+IF(MATCH(D2745,$D$2:$D$3001,0)=ROW()-1,1,0))</f>
        <v/>
      </c>
    </row>
    <row r="2746">
      <c r="Y2746" s="5">
        <f>IF(D2746="","",X2746*IF(AND(ISNUMBER(AC2746),AC2746&gt;0,AC2746&lt;1),AC2746*100,AC2746)/100)</f>
        <v/>
      </c>
      <c r="Z2746" s="5">
        <f>IF(D2746="","",AB2746*AA2746/100)</f>
        <v/>
      </c>
      <c r="AA2746" s="5">
        <f>IF(D2746="","",X2746-Y2746)</f>
        <v/>
      </c>
      <c r="AD2746" s="5">
        <f>IF(D2746="","",AA2746-Z2746)</f>
        <v/>
      </c>
      <c r="AG2746">
        <f>IF(D2746="","",N(AG2745)+IF(MATCH(D2746,$D$2:$D$3001,0)=ROW()-1,1,0))</f>
        <v/>
      </c>
    </row>
    <row r="2747">
      <c r="Y2747" s="5">
        <f>IF(D2747="","",X2747*IF(AND(ISNUMBER(AC2747),AC2747&gt;0,AC2747&lt;1),AC2747*100,AC2747)/100)</f>
        <v/>
      </c>
      <c r="Z2747" s="5">
        <f>IF(D2747="","",AB2747*AA2747/100)</f>
        <v/>
      </c>
      <c r="AA2747" s="5">
        <f>IF(D2747="","",X2747-Y2747)</f>
        <v/>
      </c>
      <c r="AD2747" s="5">
        <f>IF(D2747="","",AA2747-Z2747)</f>
        <v/>
      </c>
      <c r="AG2747">
        <f>IF(D2747="","",N(AG2746)+IF(MATCH(D2747,$D$2:$D$3001,0)=ROW()-1,1,0))</f>
        <v/>
      </c>
    </row>
    <row r="2748">
      <c r="Y2748" s="5">
        <f>IF(D2748="","",X2748*IF(AND(ISNUMBER(AC2748),AC2748&gt;0,AC2748&lt;1),AC2748*100,AC2748)/100)</f>
        <v/>
      </c>
      <c r="Z2748" s="5">
        <f>IF(D2748="","",AB2748*AA2748/100)</f>
        <v/>
      </c>
      <c r="AA2748" s="5">
        <f>IF(D2748="","",X2748-Y2748)</f>
        <v/>
      </c>
      <c r="AD2748" s="5">
        <f>IF(D2748="","",AA2748-Z2748)</f>
        <v/>
      </c>
      <c r="AG2748">
        <f>IF(D2748="","",N(AG2747)+IF(MATCH(D2748,$D$2:$D$3001,0)=ROW()-1,1,0))</f>
        <v/>
      </c>
    </row>
    <row r="2749">
      <c r="Y2749" s="5">
        <f>IF(D2749="","",X2749*IF(AND(ISNUMBER(AC2749),AC2749&gt;0,AC2749&lt;1),AC2749*100,AC2749)/100)</f>
        <v/>
      </c>
      <c r="Z2749" s="5">
        <f>IF(D2749="","",AB2749*AA2749/100)</f>
        <v/>
      </c>
      <c r="AA2749" s="5">
        <f>IF(D2749="","",X2749-Y2749)</f>
        <v/>
      </c>
      <c r="AD2749" s="5">
        <f>IF(D2749="","",AA2749-Z2749)</f>
        <v/>
      </c>
      <c r="AG2749">
        <f>IF(D2749="","",N(AG2748)+IF(MATCH(D2749,$D$2:$D$3001,0)=ROW()-1,1,0))</f>
        <v/>
      </c>
    </row>
    <row r="2750">
      <c r="Y2750" s="5">
        <f>IF(D2750="","",X2750*IF(AND(ISNUMBER(AC2750),AC2750&gt;0,AC2750&lt;1),AC2750*100,AC2750)/100)</f>
        <v/>
      </c>
      <c r="Z2750" s="5">
        <f>IF(D2750="","",AB2750*AA2750/100)</f>
        <v/>
      </c>
      <c r="AA2750" s="5">
        <f>IF(D2750="","",X2750-Y2750)</f>
        <v/>
      </c>
      <c r="AD2750" s="5">
        <f>IF(D2750="","",AA2750-Z2750)</f>
        <v/>
      </c>
      <c r="AG2750">
        <f>IF(D2750="","",N(AG2749)+IF(MATCH(D2750,$D$2:$D$3001,0)=ROW()-1,1,0))</f>
        <v/>
      </c>
    </row>
    <row r="2751">
      <c r="Y2751" s="5">
        <f>IF(D2751="","",X2751*IF(AND(ISNUMBER(AC2751),AC2751&gt;0,AC2751&lt;1),AC2751*100,AC2751)/100)</f>
        <v/>
      </c>
      <c r="Z2751" s="5">
        <f>IF(D2751="","",AB2751*AA2751/100)</f>
        <v/>
      </c>
      <c r="AA2751" s="5">
        <f>IF(D2751="","",X2751-Y2751)</f>
        <v/>
      </c>
      <c r="AD2751" s="5">
        <f>IF(D2751="","",AA2751-Z2751)</f>
        <v/>
      </c>
      <c r="AG2751">
        <f>IF(D2751="","",N(AG2750)+IF(MATCH(D2751,$D$2:$D$3001,0)=ROW()-1,1,0))</f>
        <v/>
      </c>
    </row>
    <row r="2752">
      <c r="Y2752" s="5">
        <f>IF(D2752="","",X2752*IF(AND(ISNUMBER(AC2752),AC2752&gt;0,AC2752&lt;1),AC2752*100,AC2752)/100)</f>
        <v/>
      </c>
      <c r="Z2752" s="5">
        <f>IF(D2752="","",AB2752*AA2752/100)</f>
        <v/>
      </c>
      <c r="AA2752" s="5">
        <f>IF(D2752="","",X2752-Y2752)</f>
        <v/>
      </c>
      <c r="AD2752" s="5">
        <f>IF(D2752="","",AA2752-Z2752)</f>
        <v/>
      </c>
      <c r="AG2752">
        <f>IF(D2752="","",N(AG2751)+IF(MATCH(D2752,$D$2:$D$3001,0)=ROW()-1,1,0))</f>
        <v/>
      </c>
    </row>
    <row r="2753">
      <c r="Y2753" s="5">
        <f>IF(D2753="","",X2753*IF(AND(ISNUMBER(AC2753),AC2753&gt;0,AC2753&lt;1),AC2753*100,AC2753)/100)</f>
        <v/>
      </c>
      <c r="Z2753" s="5">
        <f>IF(D2753="","",AB2753*AA2753/100)</f>
        <v/>
      </c>
      <c r="AA2753" s="5">
        <f>IF(D2753="","",X2753-Y2753)</f>
        <v/>
      </c>
      <c r="AD2753" s="5">
        <f>IF(D2753="","",AA2753-Z2753)</f>
        <v/>
      </c>
      <c r="AG2753">
        <f>IF(D2753="","",N(AG2752)+IF(MATCH(D2753,$D$2:$D$3001,0)=ROW()-1,1,0))</f>
        <v/>
      </c>
    </row>
    <row r="2754">
      <c r="Y2754" s="5">
        <f>IF(D2754="","",X2754*IF(AND(ISNUMBER(AC2754),AC2754&gt;0,AC2754&lt;1),AC2754*100,AC2754)/100)</f>
        <v/>
      </c>
      <c r="Z2754" s="5">
        <f>IF(D2754="","",AB2754*AA2754/100)</f>
        <v/>
      </c>
      <c r="AA2754" s="5">
        <f>IF(D2754="","",X2754-Y2754)</f>
        <v/>
      </c>
      <c r="AD2754" s="5">
        <f>IF(D2754="","",AA2754-Z2754)</f>
        <v/>
      </c>
      <c r="AG2754">
        <f>IF(D2754="","",N(AG2753)+IF(MATCH(D2754,$D$2:$D$3001,0)=ROW()-1,1,0))</f>
        <v/>
      </c>
    </row>
    <row r="2755">
      <c r="Y2755" s="5">
        <f>IF(D2755="","",X2755*IF(AND(ISNUMBER(AC2755),AC2755&gt;0,AC2755&lt;1),AC2755*100,AC2755)/100)</f>
        <v/>
      </c>
      <c r="Z2755" s="5">
        <f>IF(D2755="","",AB2755*AA2755/100)</f>
        <v/>
      </c>
      <c r="AA2755" s="5">
        <f>IF(D2755="","",X2755-Y2755)</f>
        <v/>
      </c>
      <c r="AD2755" s="5">
        <f>IF(D2755="","",AA2755-Z2755)</f>
        <v/>
      </c>
      <c r="AG2755">
        <f>IF(D2755="","",N(AG2754)+IF(MATCH(D2755,$D$2:$D$3001,0)=ROW()-1,1,0))</f>
        <v/>
      </c>
    </row>
    <row r="2756">
      <c r="Y2756" s="5">
        <f>IF(D2756="","",X2756*IF(AND(ISNUMBER(AC2756),AC2756&gt;0,AC2756&lt;1),AC2756*100,AC2756)/100)</f>
        <v/>
      </c>
      <c r="Z2756" s="5">
        <f>IF(D2756="","",AB2756*AA2756/100)</f>
        <v/>
      </c>
      <c r="AA2756" s="5">
        <f>IF(D2756="","",X2756-Y2756)</f>
        <v/>
      </c>
      <c r="AD2756" s="5">
        <f>IF(D2756="","",AA2756-Z2756)</f>
        <v/>
      </c>
      <c r="AG2756">
        <f>IF(D2756="","",N(AG2755)+IF(MATCH(D2756,$D$2:$D$3001,0)=ROW()-1,1,0))</f>
        <v/>
      </c>
    </row>
    <row r="2757">
      <c r="Y2757" s="5">
        <f>IF(D2757="","",X2757*IF(AND(ISNUMBER(AC2757),AC2757&gt;0,AC2757&lt;1),AC2757*100,AC2757)/100)</f>
        <v/>
      </c>
      <c r="Z2757" s="5">
        <f>IF(D2757="","",AB2757*AA2757/100)</f>
        <v/>
      </c>
      <c r="AA2757" s="5">
        <f>IF(D2757="","",X2757-Y2757)</f>
        <v/>
      </c>
      <c r="AD2757" s="5">
        <f>IF(D2757="","",AA2757-Z2757)</f>
        <v/>
      </c>
      <c r="AG2757">
        <f>IF(D2757="","",N(AG2756)+IF(MATCH(D2757,$D$2:$D$3001,0)=ROW()-1,1,0))</f>
        <v/>
      </c>
    </row>
    <row r="2758">
      <c r="Y2758" s="5">
        <f>IF(D2758="","",X2758*IF(AND(ISNUMBER(AC2758),AC2758&gt;0,AC2758&lt;1),AC2758*100,AC2758)/100)</f>
        <v/>
      </c>
      <c r="Z2758" s="5">
        <f>IF(D2758="","",AB2758*AA2758/100)</f>
        <v/>
      </c>
      <c r="AA2758" s="5">
        <f>IF(D2758="","",X2758-Y2758)</f>
        <v/>
      </c>
      <c r="AD2758" s="5">
        <f>IF(D2758="","",AA2758-Z2758)</f>
        <v/>
      </c>
      <c r="AG2758">
        <f>IF(D2758="","",N(AG2757)+IF(MATCH(D2758,$D$2:$D$3001,0)=ROW()-1,1,0))</f>
        <v/>
      </c>
    </row>
    <row r="2759">
      <c r="Y2759" s="5">
        <f>IF(D2759="","",X2759*IF(AND(ISNUMBER(AC2759),AC2759&gt;0,AC2759&lt;1),AC2759*100,AC2759)/100)</f>
        <v/>
      </c>
      <c r="Z2759" s="5">
        <f>IF(D2759="","",AB2759*AA2759/100)</f>
        <v/>
      </c>
      <c r="AA2759" s="5">
        <f>IF(D2759="","",X2759-Y2759)</f>
        <v/>
      </c>
      <c r="AD2759" s="5">
        <f>IF(D2759="","",AA2759-Z2759)</f>
        <v/>
      </c>
      <c r="AG2759">
        <f>IF(D2759="","",N(AG2758)+IF(MATCH(D2759,$D$2:$D$3001,0)=ROW()-1,1,0))</f>
        <v/>
      </c>
    </row>
    <row r="2760">
      <c r="Y2760" s="5">
        <f>IF(D2760="","",X2760*IF(AND(ISNUMBER(AC2760),AC2760&gt;0,AC2760&lt;1),AC2760*100,AC2760)/100)</f>
        <v/>
      </c>
      <c r="Z2760" s="5">
        <f>IF(D2760="","",AB2760*AA2760/100)</f>
        <v/>
      </c>
      <c r="AA2760" s="5">
        <f>IF(D2760="","",X2760-Y2760)</f>
        <v/>
      </c>
      <c r="AD2760" s="5">
        <f>IF(D2760="","",AA2760-Z2760)</f>
        <v/>
      </c>
      <c r="AG2760">
        <f>IF(D2760="","",N(AG2759)+IF(MATCH(D2760,$D$2:$D$3001,0)=ROW()-1,1,0))</f>
        <v/>
      </c>
    </row>
    <row r="2761">
      <c r="Y2761" s="5">
        <f>IF(D2761="","",X2761*IF(AND(ISNUMBER(AC2761),AC2761&gt;0,AC2761&lt;1),AC2761*100,AC2761)/100)</f>
        <v/>
      </c>
      <c r="Z2761" s="5">
        <f>IF(D2761="","",AB2761*AA2761/100)</f>
        <v/>
      </c>
      <c r="AA2761" s="5">
        <f>IF(D2761="","",X2761-Y2761)</f>
        <v/>
      </c>
      <c r="AD2761" s="5">
        <f>IF(D2761="","",AA2761-Z2761)</f>
        <v/>
      </c>
      <c r="AG2761">
        <f>IF(D2761="","",N(AG2760)+IF(MATCH(D2761,$D$2:$D$3001,0)=ROW()-1,1,0))</f>
        <v/>
      </c>
    </row>
    <row r="2762">
      <c r="Y2762" s="5">
        <f>IF(D2762="","",X2762*IF(AND(ISNUMBER(AC2762),AC2762&gt;0,AC2762&lt;1),AC2762*100,AC2762)/100)</f>
        <v/>
      </c>
      <c r="Z2762" s="5">
        <f>IF(D2762="","",AB2762*AA2762/100)</f>
        <v/>
      </c>
      <c r="AA2762" s="5">
        <f>IF(D2762="","",X2762-Y2762)</f>
        <v/>
      </c>
      <c r="AD2762" s="5">
        <f>IF(D2762="","",AA2762-Z2762)</f>
        <v/>
      </c>
      <c r="AG2762">
        <f>IF(D2762="","",N(AG2761)+IF(MATCH(D2762,$D$2:$D$3001,0)=ROW()-1,1,0))</f>
        <v/>
      </c>
    </row>
    <row r="2763">
      <c r="Y2763" s="5">
        <f>IF(D2763="","",X2763*IF(AND(ISNUMBER(AC2763),AC2763&gt;0,AC2763&lt;1),AC2763*100,AC2763)/100)</f>
        <v/>
      </c>
      <c r="Z2763" s="5">
        <f>IF(D2763="","",AB2763*AA2763/100)</f>
        <v/>
      </c>
      <c r="AA2763" s="5">
        <f>IF(D2763="","",X2763-Y2763)</f>
        <v/>
      </c>
      <c r="AD2763" s="5">
        <f>IF(D2763="","",AA2763-Z2763)</f>
        <v/>
      </c>
      <c r="AG2763">
        <f>IF(D2763="","",N(AG2762)+IF(MATCH(D2763,$D$2:$D$3001,0)=ROW()-1,1,0))</f>
        <v/>
      </c>
    </row>
    <row r="2764">
      <c r="Y2764" s="5">
        <f>IF(D2764="","",X2764*IF(AND(ISNUMBER(AC2764),AC2764&gt;0,AC2764&lt;1),AC2764*100,AC2764)/100)</f>
        <v/>
      </c>
      <c r="Z2764" s="5">
        <f>IF(D2764="","",AB2764*AA2764/100)</f>
        <v/>
      </c>
      <c r="AA2764" s="5">
        <f>IF(D2764="","",X2764-Y2764)</f>
        <v/>
      </c>
      <c r="AD2764" s="5">
        <f>IF(D2764="","",AA2764-Z2764)</f>
        <v/>
      </c>
      <c r="AG2764">
        <f>IF(D2764="","",N(AG2763)+IF(MATCH(D2764,$D$2:$D$3001,0)=ROW()-1,1,0))</f>
        <v/>
      </c>
    </row>
    <row r="2765">
      <c r="Y2765" s="5">
        <f>IF(D2765="","",X2765*IF(AND(ISNUMBER(AC2765),AC2765&gt;0,AC2765&lt;1),AC2765*100,AC2765)/100)</f>
        <v/>
      </c>
      <c r="Z2765" s="5">
        <f>IF(D2765="","",AB2765*AA2765/100)</f>
        <v/>
      </c>
      <c r="AA2765" s="5">
        <f>IF(D2765="","",X2765-Y2765)</f>
        <v/>
      </c>
      <c r="AD2765" s="5">
        <f>IF(D2765="","",AA2765-Z2765)</f>
        <v/>
      </c>
      <c r="AG2765">
        <f>IF(D2765="","",N(AG2764)+IF(MATCH(D2765,$D$2:$D$3001,0)=ROW()-1,1,0))</f>
        <v/>
      </c>
    </row>
    <row r="2766">
      <c r="Y2766" s="5">
        <f>IF(D2766="","",X2766*IF(AND(ISNUMBER(AC2766),AC2766&gt;0,AC2766&lt;1),AC2766*100,AC2766)/100)</f>
        <v/>
      </c>
      <c r="Z2766" s="5">
        <f>IF(D2766="","",AB2766*AA2766/100)</f>
        <v/>
      </c>
      <c r="AA2766" s="5">
        <f>IF(D2766="","",X2766-Y2766)</f>
        <v/>
      </c>
      <c r="AD2766" s="5">
        <f>IF(D2766="","",AA2766-Z2766)</f>
        <v/>
      </c>
      <c r="AG2766">
        <f>IF(D2766="","",N(AG2765)+IF(MATCH(D2766,$D$2:$D$3001,0)=ROW()-1,1,0))</f>
        <v/>
      </c>
    </row>
    <row r="2767">
      <c r="Y2767" s="5">
        <f>IF(D2767="","",X2767*IF(AND(ISNUMBER(AC2767),AC2767&gt;0,AC2767&lt;1),AC2767*100,AC2767)/100)</f>
        <v/>
      </c>
      <c r="Z2767" s="5">
        <f>IF(D2767="","",AB2767*AA2767/100)</f>
        <v/>
      </c>
      <c r="AA2767" s="5">
        <f>IF(D2767="","",X2767-Y2767)</f>
        <v/>
      </c>
      <c r="AD2767" s="5">
        <f>IF(D2767="","",AA2767-Z2767)</f>
        <v/>
      </c>
      <c r="AG2767">
        <f>IF(D2767="","",N(AG2766)+IF(MATCH(D2767,$D$2:$D$3001,0)=ROW()-1,1,0))</f>
        <v/>
      </c>
    </row>
    <row r="2768">
      <c r="Y2768" s="5">
        <f>IF(D2768="","",X2768*IF(AND(ISNUMBER(AC2768),AC2768&gt;0,AC2768&lt;1),AC2768*100,AC2768)/100)</f>
        <v/>
      </c>
      <c r="Z2768" s="5">
        <f>IF(D2768="","",AB2768*AA2768/100)</f>
        <v/>
      </c>
      <c r="AA2768" s="5">
        <f>IF(D2768="","",X2768-Y2768)</f>
        <v/>
      </c>
      <c r="AD2768" s="5">
        <f>IF(D2768="","",AA2768-Z2768)</f>
        <v/>
      </c>
      <c r="AG2768">
        <f>IF(D2768="","",N(AG2767)+IF(MATCH(D2768,$D$2:$D$3001,0)=ROW()-1,1,0))</f>
        <v/>
      </c>
    </row>
    <row r="2769">
      <c r="Y2769" s="5">
        <f>IF(D2769="","",X2769*IF(AND(ISNUMBER(AC2769),AC2769&gt;0,AC2769&lt;1),AC2769*100,AC2769)/100)</f>
        <v/>
      </c>
      <c r="Z2769" s="5">
        <f>IF(D2769="","",AB2769*AA2769/100)</f>
        <v/>
      </c>
      <c r="AA2769" s="5">
        <f>IF(D2769="","",X2769-Y2769)</f>
        <v/>
      </c>
      <c r="AD2769" s="5">
        <f>IF(D2769="","",AA2769-Z2769)</f>
        <v/>
      </c>
      <c r="AG2769">
        <f>IF(D2769="","",N(AG2768)+IF(MATCH(D2769,$D$2:$D$3001,0)=ROW()-1,1,0))</f>
        <v/>
      </c>
    </row>
    <row r="2770">
      <c r="Y2770" s="5">
        <f>IF(D2770="","",X2770*IF(AND(ISNUMBER(AC2770),AC2770&gt;0,AC2770&lt;1),AC2770*100,AC2770)/100)</f>
        <v/>
      </c>
      <c r="Z2770" s="5">
        <f>IF(D2770="","",AB2770*AA2770/100)</f>
        <v/>
      </c>
      <c r="AA2770" s="5">
        <f>IF(D2770="","",X2770-Y2770)</f>
        <v/>
      </c>
      <c r="AD2770" s="5">
        <f>IF(D2770="","",AA2770-Z2770)</f>
        <v/>
      </c>
      <c r="AG2770">
        <f>IF(D2770="","",N(AG2769)+IF(MATCH(D2770,$D$2:$D$3001,0)=ROW()-1,1,0))</f>
        <v/>
      </c>
    </row>
    <row r="2771">
      <c r="Y2771" s="5">
        <f>IF(D2771="","",X2771*IF(AND(ISNUMBER(AC2771),AC2771&gt;0,AC2771&lt;1),AC2771*100,AC2771)/100)</f>
        <v/>
      </c>
      <c r="Z2771" s="5">
        <f>IF(D2771="","",AB2771*AA2771/100)</f>
        <v/>
      </c>
      <c r="AA2771" s="5">
        <f>IF(D2771="","",X2771-Y2771)</f>
        <v/>
      </c>
      <c r="AD2771" s="5">
        <f>IF(D2771="","",AA2771-Z2771)</f>
        <v/>
      </c>
      <c r="AG2771">
        <f>IF(D2771="","",N(AG2770)+IF(MATCH(D2771,$D$2:$D$3001,0)=ROW()-1,1,0))</f>
        <v/>
      </c>
    </row>
    <row r="2772">
      <c r="Y2772" s="5">
        <f>IF(D2772="","",X2772*IF(AND(ISNUMBER(AC2772),AC2772&gt;0,AC2772&lt;1),AC2772*100,AC2772)/100)</f>
        <v/>
      </c>
      <c r="Z2772" s="5">
        <f>IF(D2772="","",AB2772*AA2772/100)</f>
        <v/>
      </c>
      <c r="AA2772" s="5">
        <f>IF(D2772="","",X2772-Y2772)</f>
        <v/>
      </c>
      <c r="AD2772" s="5">
        <f>IF(D2772="","",AA2772-Z2772)</f>
        <v/>
      </c>
      <c r="AG2772">
        <f>IF(D2772="","",N(AG2771)+IF(MATCH(D2772,$D$2:$D$3001,0)=ROW()-1,1,0))</f>
        <v/>
      </c>
    </row>
    <row r="2773">
      <c r="Y2773" s="5">
        <f>IF(D2773="","",X2773*IF(AND(ISNUMBER(AC2773),AC2773&gt;0,AC2773&lt;1),AC2773*100,AC2773)/100)</f>
        <v/>
      </c>
      <c r="Z2773" s="5">
        <f>IF(D2773="","",AB2773*AA2773/100)</f>
        <v/>
      </c>
      <c r="AA2773" s="5">
        <f>IF(D2773="","",X2773-Y2773)</f>
        <v/>
      </c>
      <c r="AD2773" s="5">
        <f>IF(D2773="","",AA2773-Z2773)</f>
        <v/>
      </c>
      <c r="AG2773">
        <f>IF(D2773="","",N(AG2772)+IF(MATCH(D2773,$D$2:$D$3001,0)=ROW()-1,1,0))</f>
        <v/>
      </c>
    </row>
    <row r="2774">
      <c r="Y2774" s="5">
        <f>IF(D2774="","",X2774*IF(AND(ISNUMBER(AC2774),AC2774&gt;0,AC2774&lt;1),AC2774*100,AC2774)/100)</f>
        <v/>
      </c>
      <c r="Z2774" s="5">
        <f>IF(D2774="","",AB2774*AA2774/100)</f>
        <v/>
      </c>
      <c r="AA2774" s="5">
        <f>IF(D2774="","",X2774-Y2774)</f>
        <v/>
      </c>
      <c r="AD2774" s="5">
        <f>IF(D2774="","",AA2774-Z2774)</f>
        <v/>
      </c>
      <c r="AG2774">
        <f>IF(D2774="","",N(AG2773)+IF(MATCH(D2774,$D$2:$D$3001,0)=ROW()-1,1,0))</f>
        <v/>
      </c>
    </row>
    <row r="2775">
      <c r="Y2775" s="5">
        <f>IF(D2775="","",X2775*IF(AND(ISNUMBER(AC2775),AC2775&gt;0,AC2775&lt;1),AC2775*100,AC2775)/100)</f>
        <v/>
      </c>
      <c r="Z2775" s="5">
        <f>IF(D2775="","",AB2775*AA2775/100)</f>
        <v/>
      </c>
      <c r="AA2775" s="5">
        <f>IF(D2775="","",X2775-Y2775)</f>
        <v/>
      </c>
      <c r="AD2775" s="5">
        <f>IF(D2775="","",AA2775-Z2775)</f>
        <v/>
      </c>
      <c r="AG2775">
        <f>IF(D2775="","",N(AG2774)+IF(MATCH(D2775,$D$2:$D$3001,0)=ROW()-1,1,0))</f>
        <v/>
      </c>
    </row>
    <row r="2776">
      <c r="Y2776" s="5">
        <f>IF(D2776="","",X2776*IF(AND(ISNUMBER(AC2776),AC2776&gt;0,AC2776&lt;1),AC2776*100,AC2776)/100)</f>
        <v/>
      </c>
      <c r="Z2776" s="5">
        <f>IF(D2776="","",AB2776*AA2776/100)</f>
        <v/>
      </c>
      <c r="AA2776" s="5">
        <f>IF(D2776="","",X2776-Y2776)</f>
        <v/>
      </c>
      <c r="AD2776" s="5">
        <f>IF(D2776="","",AA2776-Z2776)</f>
        <v/>
      </c>
      <c r="AG2776">
        <f>IF(D2776="","",N(AG2775)+IF(MATCH(D2776,$D$2:$D$3001,0)=ROW()-1,1,0))</f>
        <v/>
      </c>
    </row>
    <row r="2777">
      <c r="Y2777" s="5">
        <f>IF(D2777="","",X2777*IF(AND(ISNUMBER(AC2777),AC2777&gt;0,AC2777&lt;1),AC2777*100,AC2777)/100)</f>
        <v/>
      </c>
      <c r="Z2777" s="5">
        <f>IF(D2777="","",AB2777*AA2777/100)</f>
        <v/>
      </c>
      <c r="AA2777" s="5">
        <f>IF(D2777="","",X2777-Y2777)</f>
        <v/>
      </c>
      <c r="AD2777" s="5">
        <f>IF(D2777="","",AA2777-Z2777)</f>
        <v/>
      </c>
      <c r="AG2777">
        <f>IF(D2777="","",N(AG2776)+IF(MATCH(D2777,$D$2:$D$3001,0)=ROW()-1,1,0))</f>
        <v/>
      </c>
    </row>
    <row r="2778">
      <c r="Y2778" s="5">
        <f>IF(D2778="","",X2778*IF(AND(ISNUMBER(AC2778),AC2778&gt;0,AC2778&lt;1),AC2778*100,AC2778)/100)</f>
        <v/>
      </c>
      <c r="Z2778" s="5">
        <f>IF(D2778="","",AB2778*AA2778/100)</f>
        <v/>
      </c>
      <c r="AA2778" s="5">
        <f>IF(D2778="","",X2778-Y2778)</f>
        <v/>
      </c>
      <c r="AD2778" s="5">
        <f>IF(D2778="","",AA2778-Z2778)</f>
        <v/>
      </c>
      <c r="AG2778">
        <f>IF(D2778="","",N(AG2777)+IF(MATCH(D2778,$D$2:$D$3001,0)=ROW()-1,1,0))</f>
        <v/>
      </c>
    </row>
    <row r="2779">
      <c r="Y2779" s="5">
        <f>IF(D2779="","",X2779*IF(AND(ISNUMBER(AC2779),AC2779&gt;0,AC2779&lt;1),AC2779*100,AC2779)/100)</f>
        <v/>
      </c>
      <c r="Z2779" s="5">
        <f>IF(D2779="","",AB2779*AA2779/100)</f>
        <v/>
      </c>
      <c r="AA2779" s="5">
        <f>IF(D2779="","",X2779-Y2779)</f>
        <v/>
      </c>
      <c r="AD2779" s="5">
        <f>IF(D2779="","",AA2779-Z2779)</f>
        <v/>
      </c>
      <c r="AG2779">
        <f>IF(D2779="","",N(AG2778)+IF(MATCH(D2779,$D$2:$D$3001,0)=ROW()-1,1,0))</f>
        <v/>
      </c>
    </row>
    <row r="2780">
      <c r="Y2780" s="5">
        <f>IF(D2780="","",X2780*IF(AND(ISNUMBER(AC2780),AC2780&gt;0,AC2780&lt;1),AC2780*100,AC2780)/100)</f>
        <v/>
      </c>
      <c r="Z2780" s="5">
        <f>IF(D2780="","",AB2780*AA2780/100)</f>
        <v/>
      </c>
      <c r="AA2780" s="5">
        <f>IF(D2780="","",X2780-Y2780)</f>
        <v/>
      </c>
      <c r="AD2780" s="5">
        <f>IF(D2780="","",AA2780-Z2780)</f>
        <v/>
      </c>
      <c r="AG2780">
        <f>IF(D2780="","",N(AG2779)+IF(MATCH(D2780,$D$2:$D$3001,0)=ROW()-1,1,0))</f>
        <v/>
      </c>
    </row>
    <row r="2781">
      <c r="Y2781" s="5">
        <f>IF(D2781="","",X2781*IF(AND(ISNUMBER(AC2781),AC2781&gt;0,AC2781&lt;1),AC2781*100,AC2781)/100)</f>
        <v/>
      </c>
      <c r="Z2781" s="5">
        <f>IF(D2781="","",AB2781*AA2781/100)</f>
        <v/>
      </c>
      <c r="AA2781" s="5">
        <f>IF(D2781="","",X2781-Y2781)</f>
        <v/>
      </c>
      <c r="AD2781" s="5">
        <f>IF(D2781="","",AA2781-Z2781)</f>
        <v/>
      </c>
      <c r="AG2781">
        <f>IF(D2781="","",N(AG2780)+IF(MATCH(D2781,$D$2:$D$3001,0)=ROW()-1,1,0))</f>
        <v/>
      </c>
    </row>
    <row r="2782">
      <c r="Y2782" s="5">
        <f>IF(D2782="","",X2782*IF(AND(ISNUMBER(AC2782),AC2782&gt;0,AC2782&lt;1),AC2782*100,AC2782)/100)</f>
        <v/>
      </c>
      <c r="Z2782" s="5">
        <f>IF(D2782="","",AB2782*AA2782/100)</f>
        <v/>
      </c>
      <c r="AA2782" s="5">
        <f>IF(D2782="","",X2782-Y2782)</f>
        <v/>
      </c>
      <c r="AD2782" s="5">
        <f>IF(D2782="","",AA2782-Z2782)</f>
        <v/>
      </c>
      <c r="AG2782">
        <f>IF(D2782="","",N(AG2781)+IF(MATCH(D2782,$D$2:$D$3001,0)=ROW()-1,1,0))</f>
        <v/>
      </c>
    </row>
    <row r="2783">
      <c r="Y2783" s="5">
        <f>IF(D2783="","",X2783*IF(AND(ISNUMBER(AC2783),AC2783&gt;0,AC2783&lt;1),AC2783*100,AC2783)/100)</f>
        <v/>
      </c>
      <c r="Z2783" s="5">
        <f>IF(D2783="","",AB2783*AA2783/100)</f>
        <v/>
      </c>
      <c r="AA2783" s="5">
        <f>IF(D2783="","",X2783-Y2783)</f>
        <v/>
      </c>
      <c r="AD2783" s="5">
        <f>IF(D2783="","",AA2783-Z2783)</f>
        <v/>
      </c>
      <c r="AG2783">
        <f>IF(D2783="","",N(AG2782)+IF(MATCH(D2783,$D$2:$D$3001,0)=ROW()-1,1,0))</f>
        <v/>
      </c>
    </row>
    <row r="2784">
      <c r="Y2784" s="5">
        <f>IF(D2784="","",X2784*IF(AND(ISNUMBER(AC2784),AC2784&gt;0,AC2784&lt;1),AC2784*100,AC2784)/100)</f>
        <v/>
      </c>
      <c r="Z2784" s="5">
        <f>IF(D2784="","",AB2784*AA2784/100)</f>
        <v/>
      </c>
      <c r="AA2784" s="5">
        <f>IF(D2784="","",X2784-Y2784)</f>
        <v/>
      </c>
      <c r="AD2784" s="5">
        <f>IF(D2784="","",AA2784-Z2784)</f>
        <v/>
      </c>
      <c r="AG2784">
        <f>IF(D2784="","",N(AG2783)+IF(MATCH(D2784,$D$2:$D$3001,0)=ROW()-1,1,0))</f>
        <v/>
      </c>
    </row>
    <row r="2785">
      <c r="Y2785" s="5">
        <f>IF(D2785="","",X2785*IF(AND(ISNUMBER(AC2785),AC2785&gt;0,AC2785&lt;1),AC2785*100,AC2785)/100)</f>
        <v/>
      </c>
      <c r="Z2785" s="5">
        <f>IF(D2785="","",AB2785*AA2785/100)</f>
        <v/>
      </c>
      <c r="AA2785" s="5">
        <f>IF(D2785="","",X2785-Y2785)</f>
        <v/>
      </c>
      <c r="AD2785" s="5">
        <f>IF(D2785="","",AA2785-Z2785)</f>
        <v/>
      </c>
      <c r="AG2785">
        <f>IF(D2785="","",N(AG2784)+IF(MATCH(D2785,$D$2:$D$3001,0)=ROW()-1,1,0))</f>
        <v/>
      </c>
    </row>
    <row r="2786">
      <c r="Y2786" s="5">
        <f>IF(D2786="","",X2786*IF(AND(ISNUMBER(AC2786),AC2786&gt;0,AC2786&lt;1),AC2786*100,AC2786)/100)</f>
        <v/>
      </c>
      <c r="Z2786" s="5">
        <f>IF(D2786="","",AB2786*AA2786/100)</f>
        <v/>
      </c>
      <c r="AA2786" s="5">
        <f>IF(D2786="","",X2786-Y2786)</f>
        <v/>
      </c>
      <c r="AD2786" s="5">
        <f>IF(D2786="","",AA2786-Z2786)</f>
        <v/>
      </c>
      <c r="AG2786">
        <f>IF(D2786="","",N(AG2785)+IF(MATCH(D2786,$D$2:$D$3001,0)=ROW()-1,1,0))</f>
        <v/>
      </c>
    </row>
    <row r="2787">
      <c r="Y2787" s="5">
        <f>IF(D2787="","",X2787*IF(AND(ISNUMBER(AC2787),AC2787&gt;0,AC2787&lt;1),AC2787*100,AC2787)/100)</f>
        <v/>
      </c>
      <c r="Z2787" s="5">
        <f>IF(D2787="","",AB2787*AA2787/100)</f>
        <v/>
      </c>
      <c r="AA2787" s="5">
        <f>IF(D2787="","",X2787-Y2787)</f>
        <v/>
      </c>
      <c r="AD2787" s="5">
        <f>IF(D2787="","",AA2787-Z2787)</f>
        <v/>
      </c>
      <c r="AG2787">
        <f>IF(D2787="","",N(AG2786)+IF(MATCH(D2787,$D$2:$D$3001,0)=ROW()-1,1,0))</f>
        <v/>
      </c>
    </row>
    <row r="2788">
      <c r="Y2788" s="5">
        <f>IF(D2788="","",X2788*IF(AND(ISNUMBER(AC2788),AC2788&gt;0,AC2788&lt;1),AC2788*100,AC2788)/100)</f>
        <v/>
      </c>
      <c r="Z2788" s="5">
        <f>IF(D2788="","",AB2788*AA2788/100)</f>
        <v/>
      </c>
      <c r="AA2788" s="5">
        <f>IF(D2788="","",X2788-Y2788)</f>
        <v/>
      </c>
      <c r="AD2788" s="5">
        <f>IF(D2788="","",AA2788-Z2788)</f>
        <v/>
      </c>
      <c r="AG2788">
        <f>IF(D2788="","",N(AG2787)+IF(MATCH(D2788,$D$2:$D$3001,0)=ROW()-1,1,0))</f>
        <v/>
      </c>
    </row>
    <row r="2789">
      <c r="Y2789" s="5">
        <f>IF(D2789="","",X2789*IF(AND(ISNUMBER(AC2789),AC2789&gt;0,AC2789&lt;1),AC2789*100,AC2789)/100)</f>
        <v/>
      </c>
      <c r="Z2789" s="5">
        <f>IF(D2789="","",AB2789*AA2789/100)</f>
        <v/>
      </c>
      <c r="AA2789" s="5">
        <f>IF(D2789="","",X2789-Y2789)</f>
        <v/>
      </c>
      <c r="AD2789" s="5">
        <f>IF(D2789="","",AA2789-Z2789)</f>
        <v/>
      </c>
      <c r="AG2789">
        <f>IF(D2789="","",N(AG2788)+IF(MATCH(D2789,$D$2:$D$3001,0)=ROW()-1,1,0))</f>
        <v/>
      </c>
    </row>
    <row r="2790">
      <c r="Y2790" s="5">
        <f>IF(D2790="","",X2790*IF(AND(ISNUMBER(AC2790),AC2790&gt;0,AC2790&lt;1),AC2790*100,AC2790)/100)</f>
        <v/>
      </c>
      <c r="Z2790" s="5">
        <f>IF(D2790="","",AB2790*AA2790/100)</f>
        <v/>
      </c>
      <c r="AA2790" s="5">
        <f>IF(D2790="","",X2790-Y2790)</f>
        <v/>
      </c>
      <c r="AD2790" s="5">
        <f>IF(D2790="","",AA2790-Z2790)</f>
        <v/>
      </c>
      <c r="AG2790">
        <f>IF(D2790="","",N(AG2789)+IF(MATCH(D2790,$D$2:$D$3001,0)=ROW()-1,1,0))</f>
        <v/>
      </c>
    </row>
    <row r="2791">
      <c r="Y2791" s="5">
        <f>IF(D2791="","",X2791*IF(AND(ISNUMBER(AC2791),AC2791&gt;0,AC2791&lt;1),AC2791*100,AC2791)/100)</f>
        <v/>
      </c>
      <c r="Z2791" s="5">
        <f>IF(D2791="","",AB2791*AA2791/100)</f>
        <v/>
      </c>
      <c r="AA2791" s="5">
        <f>IF(D2791="","",X2791-Y2791)</f>
        <v/>
      </c>
      <c r="AD2791" s="5">
        <f>IF(D2791="","",AA2791-Z2791)</f>
        <v/>
      </c>
      <c r="AG2791">
        <f>IF(D2791="","",N(AG2790)+IF(MATCH(D2791,$D$2:$D$3001,0)=ROW()-1,1,0))</f>
        <v/>
      </c>
    </row>
    <row r="2792">
      <c r="Y2792" s="5">
        <f>IF(D2792="","",X2792*IF(AND(ISNUMBER(AC2792),AC2792&gt;0,AC2792&lt;1),AC2792*100,AC2792)/100)</f>
        <v/>
      </c>
      <c r="Z2792" s="5">
        <f>IF(D2792="","",AB2792*AA2792/100)</f>
        <v/>
      </c>
      <c r="AA2792" s="5">
        <f>IF(D2792="","",X2792-Y2792)</f>
        <v/>
      </c>
      <c r="AD2792" s="5">
        <f>IF(D2792="","",AA2792-Z2792)</f>
        <v/>
      </c>
      <c r="AG2792">
        <f>IF(D2792="","",N(AG2791)+IF(MATCH(D2792,$D$2:$D$3001,0)=ROW()-1,1,0))</f>
        <v/>
      </c>
    </row>
    <row r="2793">
      <c r="Y2793" s="5">
        <f>IF(D2793="","",X2793*IF(AND(ISNUMBER(AC2793),AC2793&gt;0,AC2793&lt;1),AC2793*100,AC2793)/100)</f>
        <v/>
      </c>
      <c r="Z2793" s="5">
        <f>IF(D2793="","",AB2793*AA2793/100)</f>
        <v/>
      </c>
      <c r="AA2793" s="5">
        <f>IF(D2793="","",X2793-Y2793)</f>
        <v/>
      </c>
      <c r="AD2793" s="5">
        <f>IF(D2793="","",AA2793-Z2793)</f>
        <v/>
      </c>
      <c r="AG2793">
        <f>IF(D2793="","",N(AG2792)+IF(MATCH(D2793,$D$2:$D$3001,0)=ROW()-1,1,0))</f>
        <v/>
      </c>
    </row>
    <row r="2794">
      <c r="Y2794" s="5">
        <f>IF(D2794="","",X2794*IF(AND(ISNUMBER(AC2794),AC2794&gt;0,AC2794&lt;1),AC2794*100,AC2794)/100)</f>
        <v/>
      </c>
      <c r="Z2794" s="5">
        <f>IF(D2794="","",AB2794*AA2794/100)</f>
        <v/>
      </c>
      <c r="AA2794" s="5">
        <f>IF(D2794="","",X2794-Y2794)</f>
        <v/>
      </c>
      <c r="AD2794" s="5">
        <f>IF(D2794="","",AA2794-Z2794)</f>
        <v/>
      </c>
      <c r="AG2794">
        <f>IF(D2794="","",N(AG2793)+IF(MATCH(D2794,$D$2:$D$3001,0)=ROW()-1,1,0))</f>
        <v/>
      </c>
    </row>
    <row r="2795">
      <c r="Y2795" s="5">
        <f>IF(D2795="","",X2795*IF(AND(ISNUMBER(AC2795),AC2795&gt;0,AC2795&lt;1),AC2795*100,AC2795)/100)</f>
        <v/>
      </c>
      <c r="Z2795" s="5">
        <f>IF(D2795="","",AB2795*AA2795/100)</f>
        <v/>
      </c>
      <c r="AA2795" s="5">
        <f>IF(D2795="","",X2795-Y2795)</f>
        <v/>
      </c>
      <c r="AD2795" s="5">
        <f>IF(D2795="","",AA2795-Z2795)</f>
        <v/>
      </c>
      <c r="AG2795">
        <f>IF(D2795="","",N(AG2794)+IF(MATCH(D2795,$D$2:$D$3001,0)=ROW()-1,1,0))</f>
        <v/>
      </c>
    </row>
    <row r="2796">
      <c r="Y2796" s="5">
        <f>IF(D2796="","",X2796*IF(AND(ISNUMBER(AC2796),AC2796&gt;0,AC2796&lt;1),AC2796*100,AC2796)/100)</f>
        <v/>
      </c>
      <c r="Z2796" s="5">
        <f>IF(D2796="","",AB2796*AA2796/100)</f>
        <v/>
      </c>
      <c r="AA2796" s="5">
        <f>IF(D2796="","",X2796-Y2796)</f>
        <v/>
      </c>
      <c r="AD2796" s="5">
        <f>IF(D2796="","",AA2796-Z2796)</f>
        <v/>
      </c>
      <c r="AG2796">
        <f>IF(D2796="","",N(AG2795)+IF(MATCH(D2796,$D$2:$D$3001,0)=ROW()-1,1,0))</f>
        <v/>
      </c>
    </row>
    <row r="2797">
      <c r="Y2797" s="5">
        <f>IF(D2797="","",X2797*IF(AND(ISNUMBER(AC2797),AC2797&gt;0,AC2797&lt;1),AC2797*100,AC2797)/100)</f>
        <v/>
      </c>
      <c r="Z2797" s="5">
        <f>IF(D2797="","",AB2797*AA2797/100)</f>
        <v/>
      </c>
      <c r="AA2797" s="5">
        <f>IF(D2797="","",X2797-Y2797)</f>
        <v/>
      </c>
      <c r="AD2797" s="5">
        <f>IF(D2797="","",AA2797-Z2797)</f>
        <v/>
      </c>
      <c r="AG2797">
        <f>IF(D2797="","",N(AG2796)+IF(MATCH(D2797,$D$2:$D$3001,0)=ROW()-1,1,0))</f>
        <v/>
      </c>
    </row>
    <row r="2798">
      <c r="Y2798" s="5">
        <f>IF(D2798="","",X2798*IF(AND(ISNUMBER(AC2798),AC2798&gt;0,AC2798&lt;1),AC2798*100,AC2798)/100)</f>
        <v/>
      </c>
      <c r="Z2798" s="5">
        <f>IF(D2798="","",AB2798*AA2798/100)</f>
        <v/>
      </c>
      <c r="AA2798" s="5">
        <f>IF(D2798="","",X2798-Y2798)</f>
        <v/>
      </c>
      <c r="AD2798" s="5">
        <f>IF(D2798="","",AA2798-Z2798)</f>
        <v/>
      </c>
      <c r="AG2798">
        <f>IF(D2798="","",N(AG2797)+IF(MATCH(D2798,$D$2:$D$3001,0)=ROW()-1,1,0))</f>
        <v/>
      </c>
    </row>
    <row r="2799">
      <c r="Y2799" s="5">
        <f>IF(D2799="","",X2799*IF(AND(ISNUMBER(AC2799),AC2799&gt;0,AC2799&lt;1),AC2799*100,AC2799)/100)</f>
        <v/>
      </c>
      <c r="Z2799" s="5">
        <f>IF(D2799="","",AB2799*AA2799/100)</f>
        <v/>
      </c>
      <c r="AA2799" s="5">
        <f>IF(D2799="","",X2799-Y2799)</f>
        <v/>
      </c>
      <c r="AD2799" s="5">
        <f>IF(D2799="","",AA2799-Z2799)</f>
        <v/>
      </c>
      <c r="AG2799">
        <f>IF(D2799="","",N(AG2798)+IF(MATCH(D2799,$D$2:$D$3001,0)=ROW()-1,1,0))</f>
        <v/>
      </c>
    </row>
    <row r="2800">
      <c r="Y2800" s="5">
        <f>IF(D2800="","",X2800*IF(AND(ISNUMBER(AC2800),AC2800&gt;0,AC2800&lt;1),AC2800*100,AC2800)/100)</f>
        <v/>
      </c>
      <c r="Z2800" s="5">
        <f>IF(D2800="","",AB2800*AA2800/100)</f>
        <v/>
      </c>
      <c r="AA2800" s="5">
        <f>IF(D2800="","",X2800-Y2800)</f>
        <v/>
      </c>
      <c r="AD2800" s="5">
        <f>IF(D2800="","",AA2800-Z2800)</f>
        <v/>
      </c>
      <c r="AG2800">
        <f>IF(D2800="","",N(AG2799)+IF(MATCH(D2800,$D$2:$D$3001,0)=ROW()-1,1,0))</f>
        <v/>
      </c>
    </row>
    <row r="2801">
      <c r="Y2801" s="5">
        <f>IF(D2801="","",X2801*IF(AND(ISNUMBER(AC2801),AC2801&gt;0,AC2801&lt;1),AC2801*100,AC2801)/100)</f>
        <v/>
      </c>
      <c r="Z2801" s="5">
        <f>IF(D2801="","",AB2801*AA2801/100)</f>
        <v/>
      </c>
      <c r="AA2801" s="5">
        <f>IF(D2801="","",X2801-Y2801)</f>
        <v/>
      </c>
      <c r="AD2801" s="5">
        <f>IF(D2801="","",AA2801-Z2801)</f>
        <v/>
      </c>
      <c r="AG2801">
        <f>IF(D2801="","",N(AG2800)+IF(MATCH(D2801,$D$2:$D$3001,0)=ROW()-1,1,0))</f>
        <v/>
      </c>
    </row>
    <row r="2802">
      <c r="Y2802" s="5">
        <f>IF(D2802="","",X2802*IF(AND(ISNUMBER(AC2802),AC2802&gt;0,AC2802&lt;1),AC2802*100,AC2802)/100)</f>
        <v/>
      </c>
      <c r="Z2802" s="5">
        <f>IF(D2802="","",AB2802*AA2802/100)</f>
        <v/>
      </c>
      <c r="AA2802" s="5">
        <f>IF(D2802="","",X2802-Y2802)</f>
        <v/>
      </c>
      <c r="AD2802" s="5">
        <f>IF(D2802="","",AA2802-Z2802)</f>
        <v/>
      </c>
      <c r="AG2802">
        <f>IF(D2802="","",N(AG2801)+IF(MATCH(D2802,$D$2:$D$3001,0)=ROW()-1,1,0))</f>
        <v/>
      </c>
    </row>
    <row r="2803">
      <c r="Y2803" s="5">
        <f>IF(D2803="","",X2803*IF(AND(ISNUMBER(AC2803),AC2803&gt;0,AC2803&lt;1),AC2803*100,AC2803)/100)</f>
        <v/>
      </c>
      <c r="Z2803" s="5">
        <f>IF(D2803="","",AB2803*AA2803/100)</f>
        <v/>
      </c>
      <c r="AA2803" s="5">
        <f>IF(D2803="","",X2803-Y2803)</f>
        <v/>
      </c>
      <c r="AD2803" s="5">
        <f>IF(D2803="","",AA2803-Z2803)</f>
        <v/>
      </c>
      <c r="AG2803">
        <f>IF(D2803="","",N(AG2802)+IF(MATCH(D2803,$D$2:$D$3001,0)=ROW()-1,1,0))</f>
        <v/>
      </c>
    </row>
    <row r="2804">
      <c r="Y2804" s="5">
        <f>IF(D2804="","",X2804*IF(AND(ISNUMBER(AC2804),AC2804&gt;0,AC2804&lt;1),AC2804*100,AC2804)/100)</f>
        <v/>
      </c>
      <c r="Z2804" s="5">
        <f>IF(D2804="","",AB2804*AA2804/100)</f>
        <v/>
      </c>
      <c r="AA2804" s="5">
        <f>IF(D2804="","",X2804-Y2804)</f>
        <v/>
      </c>
      <c r="AD2804" s="5">
        <f>IF(D2804="","",AA2804-Z2804)</f>
        <v/>
      </c>
      <c r="AG2804">
        <f>IF(D2804="","",N(AG2803)+IF(MATCH(D2804,$D$2:$D$3001,0)=ROW()-1,1,0))</f>
        <v/>
      </c>
    </row>
    <row r="2805">
      <c r="Y2805" s="5">
        <f>IF(D2805="","",X2805*IF(AND(ISNUMBER(AC2805),AC2805&gt;0,AC2805&lt;1),AC2805*100,AC2805)/100)</f>
        <v/>
      </c>
      <c r="Z2805" s="5">
        <f>IF(D2805="","",AB2805*AA2805/100)</f>
        <v/>
      </c>
      <c r="AA2805" s="5">
        <f>IF(D2805="","",X2805-Y2805)</f>
        <v/>
      </c>
      <c r="AD2805" s="5">
        <f>IF(D2805="","",AA2805-Z2805)</f>
        <v/>
      </c>
      <c r="AG2805">
        <f>IF(D2805="","",N(AG2804)+IF(MATCH(D2805,$D$2:$D$3001,0)=ROW()-1,1,0))</f>
        <v/>
      </c>
    </row>
    <row r="2806">
      <c r="Y2806" s="5">
        <f>IF(D2806="","",X2806*IF(AND(ISNUMBER(AC2806),AC2806&gt;0,AC2806&lt;1),AC2806*100,AC2806)/100)</f>
        <v/>
      </c>
      <c r="Z2806" s="5">
        <f>IF(D2806="","",AB2806*AA2806/100)</f>
        <v/>
      </c>
      <c r="AA2806" s="5">
        <f>IF(D2806="","",X2806-Y2806)</f>
        <v/>
      </c>
      <c r="AD2806" s="5">
        <f>IF(D2806="","",AA2806-Z2806)</f>
        <v/>
      </c>
      <c r="AG2806">
        <f>IF(D2806="","",N(AG2805)+IF(MATCH(D2806,$D$2:$D$3001,0)=ROW()-1,1,0))</f>
        <v/>
      </c>
    </row>
    <row r="2807">
      <c r="Y2807" s="5">
        <f>IF(D2807="","",X2807*IF(AND(ISNUMBER(AC2807),AC2807&gt;0,AC2807&lt;1),AC2807*100,AC2807)/100)</f>
        <v/>
      </c>
      <c r="Z2807" s="5">
        <f>IF(D2807="","",AB2807*AA2807/100)</f>
        <v/>
      </c>
      <c r="AA2807" s="5">
        <f>IF(D2807="","",X2807-Y2807)</f>
        <v/>
      </c>
      <c r="AD2807" s="5">
        <f>IF(D2807="","",AA2807-Z2807)</f>
        <v/>
      </c>
      <c r="AG2807">
        <f>IF(D2807="","",N(AG2806)+IF(MATCH(D2807,$D$2:$D$3001,0)=ROW()-1,1,0))</f>
        <v/>
      </c>
    </row>
    <row r="2808">
      <c r="Y2808" s="5">
        <f>IF(D2808="","",X2808*IF(AND(ISNUMBER(AC2808),AC2808&gt;0,AC2808&lt;1),AC2808*100,AC2808)/100)</f>
        <v/>
      </c>
      <c r="Z2808" s="5">
        <f>IF(D2808="","",AB2808*AA2808/100)</f>
        <v/>
      </c>
      <c r="AA2808" s="5">
        <f>IF(D2808="","",X2808-Y2808)</f>
        <v/>
      </c>
      <c r="AD2808" s="5">
        <f>IF(D2808="","",AA2808-Z2808)</f>
        <v/>
      </c>
      <c r="AG2808">
        <f>IF(D2808="","",N(AG2807)+IF(MATCH(D2808,$D$2:$D$3001,0)=ROW()-1,1,0))</f>
        <v/>
      </c>
    </row>
    <row r="2809">
      <c r="Y2809" s="5">
        <f>IF(D2809="","",X2809*IF(AND(ISNUMBER(AC2809),AC2809&gt;0,AC2809&lt;1),AC2809*100,AC2809)/100)</f>
        <v/>
      </c>
      <c r="Z2809" s="5">
        <f>IF(D2809="","",AB2809*AA2809/100)</f>
        <v/>
      </c>
      <c r="AA2809" s="5">
        <f>IF(D2809="","",X2809-Y2809)</f>
        <v/>
      </c>
      <c r="AD2809" s="5">
        <f>IF(D2809="","",AA2809-Z2809)</f>
        <v/>
      </c>
      <c r="AG2809">
        <f>IF(D2809="","",N(AG2808)+IF(MATCH(D2809,$D$2:$D$3001,0)=ROW()-1,1,0))</f>
        <v/>
      </c>
    </row>
    <row r="2810">
      <c r="Y2810" s="5">
        <f>IF(D2810="","",X2810*IF(AND(ISNUMBER(AC2810),AC2810&gt;0,AC2810&lt;1),AC2810*100,AC2810)/100)</f>
        <v/>
      </c>
      <c r="Z2810" s="5">
        <f>IF(D2810="","",AB2810*AA2810/100)</f>
        <v/>
      </c>
      <c r="AA2810" s="5">
        <f>IF(D2810="","",X2810-Y2810)</f>
        <v/>
      </c>
      <c r="AD2810" s="5">
        <f>IF(D2810="","",AA2810-Z2810)</f>
        <v/>
      </c>
      <c r="AG2810">
        <f>IF(D2810="","",N(AG2809)+IF(MATCH(D2810,$D$2:$D$3001,0)=ROW()-1,1,0))</f>
        <v/>
      </c>
    </row>
    <row r="2811">
      <c r="Y2811" s="5">
        <f>IF(D2811="","",X2811*IF(AND(ISNUMBER(AC2811),AC2811&gt;0,AC2811&lt;1),AC2811*100,AC2811)/100)</f>
        <v/>
      </c>
      <c r="Z2811" s="5">
        <f>IF(D2811="","",AB2811*AA2811/100)</f>
        <v/>
      </c>
      <c r="AA2811" s="5">
        <f>IF(D2811="","",X2811-Y2811)</f>
        <v/>
      </c>
      <c r="AD2811" s="5">
        <f>IF(D2811="","",AA2811-Z2811)</f>
        <v/>
      </c>
      <c r="AG2811">
        <f>IF(D2811="","",N(AG2810)+IF(MATCH(D2811,$D$2:$D$3001,0)=ROW()-1,1,0))</f>
        <v/>
      </c>
    </row>
    <row r="2812">
      <c r="Y2812" s="5">
        <f>IF(D2812="","",X2812*IF(AND(ISNUMBER(AC2812),AC2812&gt;0,AC2812&lt;1),AC2812*100,AC2812)/100)</f>
        <v/>
      </c>
      <c r="Z2812" s="5">
        <f>IF(D2812="","",AB2812*AA2812/100)</f>
        <v/>
      </c>
      <c r="AA2812" s="5">
        <f>IF(D2812="","",X2812-Y2812)</f>
        <v/>
      </c>
      <c r="AD2812" s="5">
        <f>IF(D2812="","",AA2812-Z2812)</f>
        <v/>
      </c>
      <c r="AG2812">
        <f>IF(D2812="","",N(AG2811)+IF(MATCH(D2812,$D$2:$D$3001,0)=ROW()-1,1,0))</f>
        <v/>
      </c>
    </row>
    <row r="2813">
      <c r="Y2813" s="5">
        <f>IF(D2813="","",X2813*IF(AND(ISNUMBER(AC2813),AC2813&gt;0,AC2813&lt;1),AC2813*100,AC2813)/100)</f>
        <v/>
      </c>
      <c r="Z2813" s="5">
        <f>IF(D2813="","",AB2813*AA2813/100)</f>
        <v/>
      </c>
      <c r="AA2813" s="5">
        <f>IF(D2813="","",X2813-Y2813)</f>
        <v/>
      </c>
      <c r="AD2813" s="5">
        <f>IF(D2813="","",AA2813-Z2813)</f>
        <v/>
      </c>
      <c r="AG2813">
        <f>IF(D2813="","",N(AG2812)+IF(MATCH(D2813,$D$2:$D$3001,0)=ROW()-1,1,0))</f>
        <v/>
      </c>
    </row>
    <row r="2814">
      <c r="Y2814" s="5">
        <f>IF(D2814="","",X2814*IF(AND(ISNUMBER(AC2814),AC2814&gt;0,AC2814&lt;1),AC2814*100,AC2814)/100)</f>
        <v/>
      </c>
      <c r="Z2814" s="5">
        <f>IF(D2814="","",AB2814*AA2814/100)</f>
        <v/>
      </c>
      <c r="AA2814" s="5">
        <f>IF(D2814="","",X2814-Y2814)</f>
        <v/>
      </c>
      <c r="AD2814" s="5">
        <f>IF(D2814="","",AA2814-Z2814)</f>
        <v/>
      </c>
      <c r="AG2814">
        <f>IF(D2814="","",N(AG2813)+IF(MATCH(D2814,$D$2:$D$3001,0)=ROW()-1,1,0))</f>
        <v/>
      </c>
    </row>
    <row r="2815">
      <c r="Y2815" s="5">
        <f>IF(D2815="","",X2815*IF(AND(ISNUMBER(AC2815),AC2815&gt;0,AC2815&lt;1),AC2815*100,AC2815)/100)</f>
        <v/>
      </c>
      <c r="Z2815" s="5">
        <f>IF(D2815="","",AB2815*AA2815/100)</f>
        <v/>
      </c>
      <c r="AA2815" s="5">
        <f>IF(D2815="","",X2815-Y2815)</f>
        <v/>
      </c>
      <c r="AD2815" s="5">
        <f>IF(D2815="","",AA2815-Z2815)</f>
        <v/>
      </c>
      <c r="AG2815">
        <f>IF(D2815="","",N(AG2814)+IF(MATCH(D2815,$D$2:$D$3001,0)=ROW()-1,1,0))</f>
        <v/>
      </c>
    </row>
    <row r="2816">
      <c r="Y2816" s="5">
        <f>IF(D2816="","",X2816*IF(AND(ISNUMBER(AC2816),AC2816&gt;0,AC2816&lt;1),AC2816*100,AC2816)/100)</f>
        <v/>
      </c>
      <c r="Z2816" s="5">
        <f>IF(D2816="","",AB2816*AA2816/100)</f>
        <v/>
      </c>
      <c r="AA2816" s="5">
        <f>IF(D2816="","",X2816-Y2816)</f>
        <v/>
      </c>
      <c r="AD2816" s="5">
        <f>IF(D2816="","",AA2816-Z2816)</f>
        <v/>
      </c>
      <c r="AG2816">
        <f>IF(D2816="","",N(AG2815)+IF(MATCH(D2816,$D$2:$D$3001,0)=ROW()-1,1,0))</f>
        <v/>
      </c>
    </row>
    <row r="2817">
      <c r="Y2817" s="5">
        <f>IF(D2817="","",X2817*IF(AND(ISNUMBER(AC2817),AC2817&gt;0,AC2817&lt;1),AC2817*100,AC2817)/100)</f>
        <v/>
      </c>
      <c r="Z2817" s="5">
        <f>IF(D2817="","",AB2817*AA2817/100)</f>
        <v/>
      </c>
      <c r="AA2817" s="5">
        <f>IF(D2817="","",X2817-Y2817)</f>
        <v/>
      </c>
      <c r="AD2817" s="5">
        <f>IF(D2817="","",AA2817-Z2817)</f>
        <v/>
      </c>
      <c r="AG2817">
        <f>IF(D2817="","",N(AG2816)+IF(MATCH(D2817,$D$2:$D$3001,0)=ROW()-1,1,0))</f>
        <v/>
      </c>
    </row>
    <row r="2818">
      <c r="Y2818" s="5">
        <f>IF(D2818="","",X2818*IF(AND(ISNUMBER(AC2818),AC2818&gt;0,AC2818&lt;1),AC2818*100,AC2818)/100)</f>
        <v/>
      </c>
      <c r="Z2818" s="5">
        <f>IF(D2818="","",AB2818*AA2818/100)</f>
        <v/>
      </c>
      <c r="AA2818" s="5">
        <f>IF(D2818="","",X2818-Y2818)</f>
        <v/>
      </c>
      <c r="AD2818" s="5">
        <f>IF(D2818="","",AA2818-Z2818)</f>
        <v/>
      </c>
      <c r="AG2818">
        <f>IF(D2818="","",N(AG2817)+IF(MATCH(D2818,$D$2:$D$3001,0)=ROW()-1,1,0))</f>
        <v/>
      </c>
    </row>
    <row r="2819">
      <c r="Y2819" s="5">
        <f>IF(D2819="","",X2819*IF(AND(ISNUMBER(AC2819),AC2819&gt;0,AC2819&lt;1),AC2819*100,AC2819)/100)</f>
        <v/>
      </c>
      <c r="Z2819" s="5">
        <f>IF(D2819="","",AB2819*AA2819/100)</f>
        <v/>
      </c>
      <c r="AA2819" s="5">
        <f>IF(D2819="","",X2819-Y2819)</f>
        <v/>
      </c>
      <c r="AD2819" s="5">
        <f>IF(D2819="","",AA2819-Z2819)</f>
        <v/>
      </c>
      <c r="AG2819">
        <f>IF(D2819="","",N(AG2818)+IF(MATCH(D2819,$D$2:$D$3001,0)=ROW()-1,1,0))</f>
        <v/>
      </c>
    </row>
    <row r="2820">
      <c r="Y2820" s="5">
        <f>IF(D2820="","",X2820*IF(AND(ISNUMBER(AC2820),AC2820&gt;0,AC2820&lt;1),AC2820*100,AC2820)/100)</f>
        <v/>
      </c>
      <c r="Z2820" s="5">
        <f>IF(D2820="","",AB2820*AA2820/100)</f>
        <v/>
      </c>
      <c r="AA2820" s="5">
        <f>IF(D2820="","",X2820-Y2820)</f>
        <v/>
      </c>
      <c r="AD2820" s="5">
        <f>IF(D2820="","",AA2820-Z2820)</f>
        <v/>
      </c>
      <c r="AG2820">
        <f>IF(D2820="","",N(AG2819)+IF(MATCH(D2820,$D$2:$D$3001,0)=ROW()-1,1,0))</f>
        <v/>
      </c>
    </row>
    <row r="2821">
      <c r="Y2821" s="5">
        <f>IF(D2821="","",X2821*IF(AND(ISNUMBER(AC2821),AC2821&gt;0,AC2821&lt;1),AC2821*100,AC2821)/100)</f>
        <v/>
      </c>
      <c r="Z2821" s="5">
        <f>IF(D2821="","",AB2821*AA2821/100)</f>
        <v/>
      </c>
      <c r="AA2821" s="5">
        <f>IF(D2821="","",X2821-Y2821)</f>
        <v/>
      </c>
      <c r="AD2821" s="5">
        <f>IF(D2821="","",AA2821-Z2821)</f>
        <v/>
      </c>
      <c r="AG2821">
        <f>IF(D2821="","",N(AG2820)+IF(MATCH(D2821,$D$2:$D$3001,0)=ROW()-1,1,0))</f>
        <v/>
      </c>
    </row>
    <row r="2822">
      <c r="Y2822" s="5">
        <f>IF(D2822="","",X2822*IF(AND(ISNUMBER(AC2822),AC2822&gt;0,AC2822&lt;1),AC2822*100,AC2822)/100)</f>
        <v/>
      </c>
      <c r="Z2822" s="5">
        <f>IF(D2822="","",AB2822*AA2822/100)</f>
        <v/>
      </c>
      <c r="AA2822" s="5">
        <f>IF(D2822="","",X2822-Y2822)</f>
        <v/>
      </c>
      <c r="AD2822" s="5">
        <f>IF(D2822="","",AA2822-Z2822)</f>
        <v/>
      </c>
      <c r="AG2822">
        <f>IF(D2822="","",N(AG2821)+IF(MATCH(D2822,$D$2:$D$3001,0)=ROW()-1,1,0))</f>
        <v/>
      </c>
    </row>
    <row r="2823">
      <c r="Y2823" s="5">
        <f>IF(D2823="","",X2823*IF(AND(ISNUMBER(AC2823),AC2823&gt;0,AC2823&lt;1),AC2823*100,AC2823)/100)</f>
        <v/>
      </c>
      <c r="Z2823" s="5">
        <f>IF(D2823="","",AB2823*AA2823/100)</f>
        <v/>
      </c>
      <c r="AA2823" s="5">
        <f>IF(D2823="","",X2823-Y2823)</f>
        <v/>
      </c>
      <c r="AD2823" s="5">
        <f>IF(D2823="","",AA2823-Z2823)</f>
        <v/>
      </c>
      <c r="AG2823">
        <f>IF(D2823="","",N(AG2822)+IF(MATCH(D2823,$D$2:$D$3001,0)=ROW()-1,1,0))</f>
        <v/>
      </c>
    </row>
    <row r="2824">
      <c r="Y2824" s="5">
        <f>IF(D2824="","",X2824*IF(AND(ISNUMBER(AC2824),AC2824&gt;0,AC2824&lt;1),AC2824*100,AC2824)/100)</f>
        <v/>
      </c>
      <c r="Z2824" s="5">
        <f>IF(D2824="","",AB2824*AA2824/100)</f>
        <v/>
      </c>
      <c r="AA2824" s="5">
        <f>IF(D2824="","",X2824-Y2824)</f>
        <v/>
      </c>
      <c r="AD2824" s="5">
        <f>IF(D2824="","",AA2824-Z2824)</f>
        <v/>
      </c>
      <c r="AG2824">
        <f>IF(D2824="","",N(AG2823)+IF(MATCH(D2824,$D$2:$D$3001,0)=ROW()-1,1,0))</f>
        <v/>
      </c>
    </row>
    <row r="2825">
      <c r="Y2825" s="5">
        <f>IF(D2825="","",X2825*IF(AND(ISNUMBER(AC2825),AC2825&gt;0,AC2825&lt;1),AC2825*100,AC2825)/100)</f>
        <v/>
      </c>
      <c r="Z2825" s="5">
        <f>IF(D2825="","",AB2825*AA2825/100)</f>
        <v/>
      </c>
      <c r="AA2825" s="5">
        <f>IF(D2825="","",X2825-Y2825)</f>
        <v/>
      </c>
      <c r="AD2825" s="5">
        <f>IF(D2825="","",AA2825-Z2825)</f>
        <v/>
      </c>
      <c r="AG2825">
        <f>IF(D2825="","",N(AG2824)+IF(MATCH(D2825,$D$2:$D$3001,0)=ROW()-1,1,0))</f>
        <v/>
      </c>
    </row>
    <row r="2826">
      <c r="Y2826" s="5">
        <f>IF(D2826="","",X2826*IF(AND(ISNUMBER(AC2826),AC2826&gt;0,AC2826&lt;1),AC2826*100,AC2826)/100)</f>
        <v/>
      </c>
      <c r="Z2826" s="5">
        <f>IF(D2826="","",AB2826*AA2826/100)</f>
        <v/>
      </c>
      <c r="AA2826" s="5">
        <f>IF(D2826="","",X2826-Y2826)</f>
        <v/>
      </c>
      <c r="AD2826" s="5">
        <f>IF(D2826="","",AA2826-Z2826)</f>
        <v/>
      </c>
      <c r="AG2826">
        <f>IF(D2826="","",N(AG2825)+IF(MATCH(D2826,$D$2:$D$3001,0)=ROW()-1,1,0))</f>
        <v/>
      </c>
    </row>
    <row r="2827">
      <c r="Y2827" s="5">
        <f>IF(D2827="","",X2827*IF(AND(ISNUMBER(AC2827),AC2827&gt;0,AC2827&lt;1),AC2827*100,AC2827)/100)</f>
        <v/>
      </c>
      <c r="Z2827" s="5">
        <f>IF(D2827="","",AB2827*AA2827/100)</f>
        <v/>
      </c>
      <c r="AA2827" s="5">
        <f>IF(D2827="","",X2827-Y2827)</f>
        <v/>
      </c>
      <c r="AD2827" s="5">
        <f>IF(D2827="","",AA2827-Z2827)</f>
        <v/>
      </c>
      <c r="AG2827">
        <f>IF(D2827="","",N(AG2826)+IF(MATCH(D2827,$D$2:$D$3001,0)=ROW()-1,1,0))</f>
        <v/>
      </c>
    </row>
    <row r="2828">
      <c r="Y2828" s="5">
        <f>IF(D2828="","",X2828*IF(AND(ISNUMBER(AC2828),AC2828&gt;0,AC2828&lt;1),AC2828*100,AC2828)/100)</f>
        <v/>
      </c>
      <c r="Z2828" s="5">
        <f>IF(D2828="","",AB2828*AA2828/100)</f>
        <v/>
      </c>
      <c r="AA2828" s="5">
        <f>IF(D2828="","",X2828-Y2828)</f>
        <v/>
      </c>
      <c r="AD2828" s="5">
        <f>IF(D2828="","",AA2828-Z2828)</f>
        <v/>
      </c>
      <c r="AG2828">
        <f>IF(D2828="","",N(AG2827)+IF(MATCH(D2828,$D$2:$D$3001,0)=ROW()-1,1,0))</f>
        <v/>
      </c>
    </row>
    <row r="2829">
      <c r="Y2829" s="5">
        <f>IF(D2829="","",X2829*IF(AND(ISNUMBER(AC2829),AC2829&gt;0,AC2829&lt;1),AC2829*100,AC2829)/100)</f>
        <v/>
      </c>
      <c r="Z2829" s="5">
        <f>IF(D2829="","",AB2829*AA2829/100)</f>
        <v/>
      </c>
      <c r="AA2829" s="5">
        <f>IF(D2829="","",X2829-Y2829)</f>
        <v/>
      </c>
      <c r="AD2829" s="5">
        <f>IF(D2829="","",AA2829-Z2829)</f>
        <v/>
      </c>
      <c r="AG2829">
        <f>IF(D2829="","",N(AG2828)+IF(MATCH(D2829,$D$2:$D$3001,0)=ROW()-1,1,0))</f>
        <v/>
      </c>
    </row>
    <row r="2830">
      <c r="Y2830" s="5">
        <f>IF(D2830="","",X2830*IF(AND(ISNUMBER(AC2830),AC2830&gt;0,AC2830&lt;1),AC2830*100,AC2830)/100)</f>
        <v/>
      </c>
      <c r="Z2830" s="5">
        <f>IF(D2830="","",AB2830*AA2830/100)</f>
        <v/>
      </c>
      <c r="AA2830" s="5">
        <f>IF(D2830="","",X2830-Y2830)</f>
        <v/>
      </c>
      <c r="AD2830" s="5">
        <f>IF(D2830="","",AA2830-Z2830)</f>
        <v/>
      </c>
      <c r="AG2830">
        <f>IF(D2830="","",N(AG2829)+IF(MATCH(D2830,$D$2:$D$3001,0)=ROW()-1,1,0))</f>
        <v/>
      </c>
    </row>
    <row r="2831">
      <c r="Y2831" s="5">
        <f>IF(D2831="","",X2831*IF(AND(ISNUMBER(AC2831),AC2831&gt;0,AC2831&lt;1),AC2831*100,AC2831)/100)</f>
        <v/>
      </c>
      <c r="Z2831" s="5">
        <f>IF(D2831="","",AB2831*AA2831/100)</f>
        <v/>
      </c>
      <c r="AA2831" s="5">
        <f>IF(D2831="","",X2831-Y2831)</f>
        <v/>
      </c>
      <c r="AD2831" s="5">
        <f>IF(D2831="","",AA2831-Z2831)</f>
        <v/>
      </c>
      <c r="AG2831">
        <f>IF(D2831="","",N(AG2830)+IF(MATCH(D2831,$D$2:$D$3001,0)=ROW()-1,1,0))</f>
        <v/>
      </c>
    </row>
    <row r="2832">
      <c r="Y2832" s="5">
        <f>IF(D2832="","",X2832*IF(AND(ISNUMBER(AC2832),AC2832&gt;0,AC2832&lt;1),AC2832*100,AC2832)/100)</f>
        <v/>
      </c>
      <c r="Z2832" s="5">
        <f>IF(D2832="","",AB2832*AA2832/100)</f>
        <v/>
      </c>
      <c r="AA2832" s="5">
        <f>IF(D2832="","",X2832-Y2832)</f>
        <v/>
      </c>
      <c r="AD2832" s="5">
        <f>IF(D2832="","",AA2832-Z2832)</f>
        <v/>
      </c>
      <c r="AG2832">
        <f>IF(D2832="","",N(AG2831)+IF(MATCH(D2832,$D$2:$D$3001,0)=ROW()-1,1,0))</f>
        <v/>
      </c>
    </row>
    <row r="2833">
      <c r="Y2833" s="5">
        <f>IF(D2833="","",X2833*IF(AND(ISNUMBER(AC2833),AC2833&gt;0,AC2833&lt;1),AC2833*100,AC2833)/100)</f>
        <v/>
      </c>
      <c r="Z2833" s="5">
        <f>IF(D2833="","",AB2833*AA2833/100)</f>
        <v/>
      </c>
      <c r="AA2833" s="5">
        <f>IF(D2833="","",X2833-Y2833)</f>
        <v/>
      </c>
      <c r="AD2833" s="5">
        <f>IF(D2833="","",AA2833-Z2833)</f>
        <v/>
      </c>
      <c r="AG2833">
        <f>IF(D2833="","",N(AG2832)+IF(MATCH(D2833,$D$2:$D$3001,0)=ROW()-1,1,0))</f>
        <v/>
      </c>
    </row>
    <row r="2834">
      <c r="Y2834" s="5">
        <f>IF(D2834="","",X2834*IF(AND(ISNUMBER(AC2834),AC2834&gt;0,AC2834&lt;1),AC2834*100,AC2834)/100)</f>
        <v/>
      </c>
      <c r="Z2834" s="5">
        <f>IF(D2834="","",AB2834*AA2834/100)</f>
        <v/>
      </c>
      <c r="AA2834" s="5">
        <f>IF(D2834="","",X2834-Y2834)</f>
        <v/>
      </c>
      <c r="AD2834" s="5">
        <f>IF(D2834="","",AA2834-Z2834)</f>
        <v/>
      </c>
      <c r="AG2834">
        <f>IF(D2834="","",N(AG2833)+IF(MATCH(D2834,$D$2:$D$3001,0)=ROW()-1,1,0))</f>
        <v/>
      </c>
    </row>
    <row r="2835">
      <c r="Y2835" s="5">
        <f>IF(D2835="","",X2835*IF(AND(ISNUMBER(AC2835),AC2835&gt;0,AC2835&lt;1),AC2835*100,AC2835)/100)</f>
        <v/>
      </c>
      <c r="Z2835" s="5">
        <f>IF(D2835="","",AB2835*AA2835/100)</f>
        <v/>
      </c>
      <c r="AA2835" s="5">
        <f>IF(D2835="","",X2835-Y2835)</f>
        <v/>
      </c>
      <c r="AD2835" s="5">
        <f>IF(D2835="","",AA2835-Z2835)</f>
        <v/>
      </c>
      <c r="AG2835">
        <f>IF(D2835="","",N(AG2834)+IF(MATCH(D2835,$D$2:$D$3001,0)=ROW()-1,1,0))</f>
        <v/>
      </c>
    </row>
    <row r="2836">
      <c r="Y2836" s="5">
        <f>IF(D2836="","",X2836*IF(AND(ISNUMBER(AC2836),AC2836&gt;0,AC2836&lt;1),AC2836*100,AC2836)/100)</f>
        <v/>
      </c>
      <c r="Z2836" s="5">
        <f>IF(D2836="","",AB2836*AA2836/100)</f>
        <v/>
      </c>
      <c r="AA2836" s="5">
        <f>IF(D2836="","",X2836-Y2836)</f>
        <v/>
      </c>
      <c r="AD2836" s="5">
        <f>IF(D2836="","",AA2836-Z2836)</f>
        <v/>
      </c>
      <c r="AG2836">
        <f>IF(D2836="","",N(AG2835)+IF(MATCH(D2836,$D$2:$D$3001,0)=ROW()-1,1,0))</f>
        <v/>
      </c>
    </row>
    <row r="2837">
      <c r="Y2837" s="5">
        <f>IF(D2837="","",X2837*IF(AND(ISNUMBER(AC2837),AC2837&gt;0,AC2837&lt;1),AC2837*100,AC2837)/100)</f>
        <v/>
      </c>
      <c r="Z2837" s="5">
        <f>IF(D2837="","",AB2837*AA2837/100)</f>
        <v/>
      </c>
      <c r="AA2837" s="5">
        <f>IF(D2837="","",X2837-Y2837)</f>
        <v/>
      </c>
      <c r="AD2837" s="5">
        <f>IF(D2837="","",AA2837-Z2837)</f>
        <v/>
      </c>
      <c r="AG2837">
        <f>IF(D2837="","",N(AG2836)+IF(MATCH(D2837,$D$2:$D$3001,0)=ROW()-1,1,0))</f>
        <v/>
      </c>
    </row>
    <row r="2838">
      <c r="Y2838" s="5">
        <f>IF(D2838="","",X2838*IF(AND(ISNUMBER(AC2838),AC2838&gt;0,AC2838&lt;1),AC2838*100,AC2838)/100)</f>
        <v/>
      </c>
      <c r="Z2838" s="5">
        <f>IF(D2838="","",AB2838*AA2838/100)</f>
        <v/>
      </c>
      <c r="AA2838" s="5">
        <f>IF(D2838="","",X2838-Y2838)</f>
        <v/>
      </c>
      <c r="AD2838" s="5">
        <f>IF(D2838="","",AA2838-Z2838)</f>
        <v/>
      </c>
      <c r="AG2838">
        <f>IF(D2838="","",N(AG2837)+IF(MATCH(D2838,$D$2:$D$3001,0)=ROW()-1,1,0))</f>
        <v/>
      </c>
    </row>
    <row r="2839">
      <c r="Y2839" s="5">
        <f>IF(D2839="","",X2839*IF(AND(ISNUMBER(AC2839),AC2839&gt;0,AC2839&lt;1),AC2839*100,AC2839)/100)</f>
        <v/>
      </c>
      <c r="Z2839" s="5">
        <f>IF(D2839="","",AB2839*AA2839/100)</f>
        <v/>
      </c>
      <c r="AA2839" s="5">
        <f>IF(D2839="","",X2839-Y2839)</f>
        <v/>
      </c>
      <c r="AD2839" s="5">
        <f>IF(D2839="","",AA2839-Z2839)</f>
        <v/>
      </c>
      <c r="AG2839">
        <f>IF(D2839="","",N(AG2838)+IF(MATCH(D2839,$D$2:$D$3001,0)=ROW()-1,1,0))</f>
        <v/>
      </c>
    </row>
    <row r="2840">
      <c r="Y2840" s="5">
        <f>IF(D2840="","",X2840*IF(AND(ISNUMBER(AC2840),AC2840&gt;0,AC2840&lt;1),AC2840*100,AC2840)/100)</f>
        <v/>
      </c>
      <c r="Z2840" s="5">
        <f>IF(D2840="","",AB2840*AA2840/100)</f>
        <v/>
      </c>
      <c r="AA2840" s="5">
        <f>IF(D2840="","",X2840-Y2840)</f>
        <v/>
      </c>
      <c r="AD2840" s="5">
        <f>IF(D2840="","",AA2840-Z2840)</f>
        <v/>
      </c>
      <c r="AG2840">
        <f>IF(D2840="","",N(AG2839)+IF(MATCH(D2840,$D$2:$D$3001,0)=ROW()-1,1,0))</f>
        <v/>
      </c>
    </row>
    <row r="2841">
      <c r="Y2841" s="5">
        <f>IF(D2841="","",X2841*IF(AND(ISNUMBER(AC2841),AC2841&gt;0,AC2841&lt;1),AC2841*100,AC2841)/100)</f>
        <v/>
      </c>
      <c r="Z2841" s="5">
        <f>IF(D2841="","",AB2841*AA2841/100)</f>
        <v/>
      </c>
      <c r="AA2841" s="5">
        <f>IF(D2841="","",X2841-Y2841)</f>
        <v/>
      </c>
      <c r="AD2841" s="5">
        <f>IF(D2841="","",AA2841-Z2841)</f>
        <v/>
      </c>
      <c r="AG2841">
        <f>IF(D2841="","",N(AG2840)+IF(MATCH(D2841,$D$2:$D$3001,0)=ROW()-1,1,0))</f>
        <v/>
      </c>
    </row>
    <row r="2842">
      <c r="Y2842" s="5">
        <f>IF(D2842="","",X2842*IF(AND(ISNUMBER(AC2842),AC2842&gt;0,AC2842&lt;1),AC2842*100,AC2842)/100)</f>
        <v/>
      </c>
      <c r="Z2842" s="5">
        <f>IF(D2842="","",AB2842*AA2842/100)</f>
        <v/>
      </c>
      <c r="AA2842" s="5">
        <f>IF(D2842="","",X2842-Y2842)</f>
        <v/>
      </c>
      <c r="AD2842" s="5">
        <f>IF(D2842="","",AA2842-Z2842)</f>
        <v/>
      </c>
      <c r="AG2842">
        <f>IF(D2842="","",N(AG2841)+IF(MATCH(D2842,$D$2:$D$3001,0)=ROW()-1,1,0))</f>
        <v/>
      </c>
    </row>
    <row r="2843">
      <c r="Y2843" s="5">
        <f>IF(D2843="","",X2843*IF(AND(ISNUMBER(AC2843),AC2843&gt;0,AC2843&lt;1),AC2843*100,AC2843)/100)</f>
        <v/>
      </c>
      <c r="Z2843" s="5">
        <f>IF(D2843="","",AB2843*AA2843/100)</f>
        <v/>
      </c>
      <c r="AA2843" s="5">
        <f>IF(D2843="","",X2843-Y2843)</f>
        <v/>
      </c>
      <c r="AD2843" s="5">
        <f>IF(D2843="","",AA2843-Z2843)</f>
        <v/>
      </c>
      <c r="AG2843">
        <f>IF(D2843="","",N(AG2842)+IF(MATCH(D2843,$D$2:$D$3001,0)=ROW()-1,1,0))</f>
        <v/>
      </c>
    </row>
    <row r="2844">
      <c r="Y2844" s="5">
        <f>IF(D2844="","",X2844*IF(AND(ISNUMBER(AC2844),AC2844&gt;0,AC2844&lt;1),AC2844*100,AC2844)/100)</f>
        <v/>
      </c>
      <c r="Z2844" s="5">
        <f>IF(D2844="","",AB2844*AA2844/100)</f>
        <v/>
      </c>
      <c r="AA2844" s="5">
        <f>IF(D2844="","",X2844-Y2844)</f>
        <v/>
      </c>
      <c r="AD2844" s="5">
        <f>IF(D2844="","",AA2844-Z2844)</f>
        <v/>
      </c>
      <c r="AG2844">
        <f>IF(D2844="","",N(AG2843)+IF(MATCH(D2844,$D$2:$D$3001,0)=ROW()-1,1,0))</f>
        <v/>
      </c>
    </row>
    <row r="2845">
      <c r="Y2845" s="5">
        <f>IF(D2845="","",X2845*IF(AND(ISNUMBER(AC2845),AC2845&gt;0,AC2845&lt;1),AC2845*100,AC2845)/100)</f>
        <v/>
      </c>
      <c r="Z2845" s="5">
        <f>IF(D2845="","",AB2845*AA2845/100)</f>
        <v/>
      </c>
      <c r="AA2845" s="5">
        <f>IF(D2845="","",X2845-Y2845)</f>
        <v/>
      </c>
      <c r="AD2845" s="5">
        <f>IF(D2845="","",AA2845-Z2845)</f>
        <v/>
      </c>
      <c r="AG2845">
        <f>IF(D2845="","",N(AG2844)+IF(MATCH(D2845,$D$2:$D$3001,0)=ROW()-1,1,0))</f>
        <v/>
      </c>
    </row>
    <row r="2846">
      <c r="Y2846" s="5">
        <f>IF(D2846="","",X2846*IF(AND(ISNUMBER(AC2846),AC2846&gt;0,AC2846&lt;1),AC2846*100,AC2846)/100)</f>
        <v/>
      </c>
      <c r="Z2846" s="5">
        <f>IF(D2846="","",AB2846*AA2846/100)</f>
        <v/>
      </c>
      <c r="AA2846" s="5">
        <f>IF(D2846="","",X2846-Y2846)</f>
        <v/>
      </c>
      <c r="AD2846" s="5">
        <f>IF(D2846="","",AA2846-Z2846)</f>
        <v/>
      </c>
      <c r="AG2846">
        <f>IF(D2846="","",N(AG2845)+IF(MATCH(D2846,$D$2:$D$3001,0)=ROW()-1,1,0))</f>
        <v/>
      </c>
    </row>
    <row r="2847">
      <c r="Y2847" s="5">
        <f>IF(D2847="","",X2847*IF(AND(ISNUMBER(AC2847),AC2847&gt;0,AC2847&lt;1),AC2847*100,AC2847)/100)</f>
        <v/>
      </c>
      <c r="Z2847" s="5">
        <f>IF(D2847="","",AB2847*AA2847/100)</f>
        <v/>
      </c>
      <c r="AA2847" s="5">
        <f>IF(D2847="","",X2847-Y2847)</f>
        <v/>
      </c>
      <c r="AD2847" s="5">
        <f>IF(D2847="","",AA2847-Z2847)</f>
        <v/>
      </c>
      <c r="AG2847">
        <f>IF(D2847="","",N(AG2846)+IF(MATCH(D2847,$D$2:$D$3001,0)=ROW()-1,1,0))</f>
        <v/>
      </c>
    </row>
    <row r="2848">
      <c r="Y2848" s="5">
        <f>IF(D2848="","",X2848*IF(AND(ISNUMBER(AC2848),AC2848&gt;0,AC2848&lt;1),AC2848*100,AC2848)/100)</f>
        <v/>
      </c>
      <c r="Z2848" s="5">
        <f>IF(D2848="","",AB2848*AA2848/100)</f>
        <v/>
      </c>
      <c r="AA2848" s="5">
        <f>IF(D2848="","",X2848-Y2848)</f>
        <v/>
      </c>
      <c r="AD2848" s="5">
        <f>IF(D2848="","",AA2848-Z2848)</f>
        <v/>
      </c>
      <c r="AG2848">
        <f>IF(D2848="","",N(AG2847)+IF(MATCH(D2848,$D$2:$D$3001,0)=ROW()-1,1,0))</f>
        <v/>
      </c>
    </row>
    <row r="2849">
      <c r="Y2849" s="5">
        <f>IF(D2849="","",X2849*IF(AND(ISNUMBER(AC2849),AC2849&gt;0,AC2849&lt;1),AC2849*100,AC2849)/100)</f>
        <v/>
      </c>
      <c r="Z2849" s="5">
        <f>IF(D2849="","",AB2849*AA2849/100)</f>
        <v/>
      </c>
      <c r="AA2849" s="5">
        <f>IF(D2849="","",X2849-Y2849)</f>
        <v/>
      </c>
      <c r="AD2849" s="5">
        <f>IF(D2849="","",AA2849-Z2849)</f>
        <v/>
      </c>
      <c r="AG2849">
        <f>IF(D2849="","",N(AG2848)+IF(MATCH(D2849,$D$2:$D$3001,0)=ROW()-1,1,0))</f>
        <v/>
      </c>
    </row>
    <row r="2850">
      <c r="Y2850" s="5">
        <f>IF(D2850="","",X2850*IF(AND(ISNUMBER(AC2850),AC2850&gt;0,AC2850&lt;1),AC2850*100,AC2850)/100)</f>
        <v/>
      </c>
      <c r="Z2850" s="5">
        <f>IF(D2850="","",AB2850*AA2850/100)</f>
        <v/>
      </c>
      <c r="AA2850" s="5">
        <f>IF(D2850="","",X2850-Y2850)</f>
        <v/>
      </c>
      <c r="AD2850" s="5">
        <f>IF(D2850="","",AA2850-Z2850)</f>
        <v/>
      </c>
      <c r="AG2850">
        <f>IF(D2850="","",N(AG2849)+IF(MATCH(D2850,$D$2:$D$3001,0)=ROW()-1,1,0))</f>
        <v/>
      </c>
    </row>
    <row r="2851">
      <c r="Y2851" s="5">
        <f>IF(D2851="","",X2851*IF(AND(ISNUMBER(AC2851),AC2851&gt;0,AC2851&lt;1),AC2851*100,AC2851)/100)</f>
        <v/>
      </c>
      <c r="Z2851" s="5">
        <f>IF(D2851="","",AB2851*AA2851/100)</f>
        <v/>
      </c>
      <c r="AA2851" s="5">
        <f>IF(D2851="","",X2851-Y2851)</f>
        <v/>
      </c>
      <c r="AD2851" s="5">
        <f>IF(D2851="","",AA2851-Z2851)</f>
        <v/>
      </c>
      <c r="AG2851">
        <f>IF(D2851="","",N(AG2850)+IF(MATCH(D2851,$D$2:$D$3001,0)=ROW()-1,1,0))</f>
        <v/>
      </c>
    </row>
    <row r="2852">
      <c r="Y2852" s="5">
        <f>IF(D2852="","",X2852*IF(AND(ISNUMBER(AC2852),AC2852&gt;0,AC2852&lt;1),AC2852*100,AC2852)/100)</f>
        <v/>
      </c>
      <c r="Z2852" s="5">
        <f>IF(D2852="","",AB2852*AA2852/100)</f>
        <v/>
      </c>
      <c r="AA2852" s="5">
        <f>IF(D2852="","",X2852-Y2852)</f>
        <v/>
      </c>
      <c r="AD2852" s="5">
        <f>IF(D2852="","",AA2852-Z2852)</f>
        <v/>
      </c>
      <c r="AG2852">
        <f>IF(D2852="","",N(AG2851)+IF(MATCH(D2852,$D$2:$D$3001,0)=ROW()-1,1,0))</f>
        <v/>
      </c>
    </row>
    <row r="2853">
      <c r="Y2853" s="5">
        <f>IF(D2853="","",X2853*IF(AND(ISNUMBER(AC2853),AC2853&gt;0,AC2853&lt;1),AC2853*100,AC2853)/100)</f>
        <v/>
      </c>
      <c r="Z2853" s="5">
        <f>IF(D2853="","",AB2853*AA2853/100)</f>
        <v/>
      </c>
      <c r="AA2853" s="5">
        <f>IF(D2853="","",X2853-Y2853)</f>
        <v/>
      </c>
      <c r="AD2853" s="5">
        <f>IF(D2853="","",AA2853-Z2853)</f>
        <v/>
      </c>
      <c r="AG2853">
        <f>IF(D2853="","",N(AG2852)+IF(MATCH(D2853,$D$2:$D$3001,0)=ROW()-1,1,0))</f>
        <v/>
      </c>
    </row>
    <row r="2854">
      <c r="Y2854" s="5">
        <f>IF(D2854="","",X2854*IF(AND(ISNUMBER(AC2854),AC2854&gt;0,AC2854&lt;1),AC2854*100,AC2854)/100)</f>
        <v/>
      </c>
      <c r="Z2854" s="5">
        <f>IF(D2854="","",AB2854*AA2854/100)</f>
        <v/>
      </c>
      <c r="AA2854" s="5">
        <f>IF(D2854="","",X2854-Y2854)</f>
        <v/>
      </c>
      <c r="AD2854" s="5">
        <f>IF(D2854="","",AA2854-Z2854)</f>
        <v/>
      </c>
      <c r="AG2854">
        <f>IF(D2854="","",N(AG2853)+IF(MATCH(D2854,$D$2:$D$3001,0)=ROW()-1,1,0))</f>
        <v/>
      </c>
    </row>
    <row r="2855">
      <c r="Y2855" s="5">
        <f>IF(D2855="","",X2855*IF(AND(ISNUMBER(AC2855),AC2855&gt;0,AC2855&lt;1),AC2855*100,AC2855)/100)</f>
        <v/>
      </c>
      <c r="Z2855" s="5">
        <f>IF(D2855="","",AB2855*AA2855/100)</f>
        <v/>
      </c>
      <c r="AA2855" s="5">
        <f>IF(D2855="","",X2855-Y2855)</f>
        <v/>
      </c>
      <c r="AD2855" s="5">
        <f>IF(D2855="","",AA2855-Z2855)</f>
        <v/>
      </c>
      <c r="AG2855">
        <f>IF(D2855="","",N(AG2854)+IF(MATCH(D2855,$D$2:$D$3001,0)=ROW()-1,1,0))</f>
        <v/>
      </c>
    </row>
    <row r="2856">
      <c r="Y2856" s="5">
        <f>IF(D2856="","",X2856*IF(AND(ISNUMBER(AC2856),AC2856&gt;0,AC2856&lt;1),AC2856*100,AC2856)/100)</f>
        <v/>
      </c>
      <c r="Z2856" s="5">
        <f>IF(D2856="","",AB2856*AA2856/100)</f>
        <v/>
      </c>
      <c r="AA2856" s="5">
        <f>IF(D2856="","",X2856-Y2856)</f>
        <v/>
      </c>
      <c r="AD2856" s="5">
        <f>IF(D2856="","",AA2856-Z2856)</f>
        <v/>
      </c>
      <c r="AG2856">
        <f>IF(D2856="","",N(AG2855)+IF(MATCH(D2856,$D$2:$D$3001,0)=ROW()-1,1,0))</f>
        <v/>
      </c>
    </row>
    <row r="2857">
      <c r="Y2857" s="5">
        <f>IF(D2857="","",X2857*IF(AND(ISNUMBER(AC2857),AC2857&gt;0,AC2857&lt;1),AC2857*100,AC2857)/100)</f>
        <v/>
      </c>
      <c r="Z2857" s="5">
        <f>IF(D2857="","",AB2857*AA2857/100)</f>
        <v/>
      </c>
      <c r="AA2857" s="5">
        <f>IF(D2857="","",X2857-Y2857)</f>
        <v/>
      </c>
      <c r="AD2857" s="5">
        <f>IF(D2857="","",AA2857-Z2857)</f>
        <v/>
      </c>
      <c r="AG2857">
        <f>IF(D2857="","",N(AG2856)+IF(MATCH(D2857,$D$2:$D$3001,0)=ROW()-1,1,0))</f>
        <v/>
      </c>
    </row>
    <row r="2858">
      <c r="Y2858" s="5">
        <f>IF(D2858="","",X2858*IF(AND(ISNUMBER(AC2858),AC2858&gt;0,AC2858&lt;1),AC2858*100,AC2858)/100)</f>
        <v/>
      </c>
      <c r="Z2858" s="5">
        <f>IF(D2858="","",AB2858*AA2858/100)</f>
        <v/>
      </c>
      <c r="AA2858" s="5">
        <f>IF(D2858="","",X2858-Y2858)</f>
        <v/>
      </c>
      <c r="AD2858" s="5">
        <f>IF(D2858="","",AA2858-Z2858)</f>
        <v/>
      </c>
      <c r="AG2858">
        <f>IF(D2858="","",N(AG2857)+IF(MATCH(D2858,$D$2:$D$3001,0)=ROW()-1,1,0))</f>
        <v/>
      </c>
    </row>
    <row r="2859">
      <c r="Y2859" s="5">
        <f>IF(D2859="","",X2859*IF(AND(ISNUMBER(AC2859),AC2859&gt;0,AC2859&lt;1),AC2859*100,AC2859)/100)</f>
        <v/>
      </c>
      <c r="Z2859" s="5">
        <f>IF(D2859="","",AB2859*AA2859/100)</f>
        <v/>
      </c>
      <c r="AA2859" s="5">
        <f>IF(D2859="","",X2859-Y2859)</f>
        <v/>
      </c>
      <c r="AD2859" s="5">
        <f>IF(D2859="","",AA2859-Z2859)</f>
        <v/>
      </c>
      <c r="AG2859">
        <f>IF(D2859="","",N(AG2858)+IF(MATCH(D2859,$D$2:$D$3001,0)=ROW()-1,1,0))</f>
        <v/>
      </c>
    </row>
    <row r="2860">
      <c r="Y2860" s="5">
        <f>IF(D2860="","",X2860*IF(AND(ISNUMBER(AC2860),AC2860&gt;0,AC2860&lt;1),AC2860*100,AC2860)/100)</f>
        <v/>
      </c>
      <c r="Z2860" s="5">
        <f>IF(D2860="","",AB2860*AA2860/100)</f>
        <v/>
      </c>
      <c r="AA2860" s="5">
        <f>IF(D2860="","",X2860-Y2860)</f>
        <v/>
      </c>
      <c r="AD2860" s="5">
        <f>IF(D2860="","",AA2860-Z2860)</f>
        <v/>
      </c>
      <c r="AG2860">
        <f>IF(D2860="","",N(AG2859)+IF(MATCH(D2860,$D$2:$D$3001,0)=ROW()-1,1,0))</f>
        <v/>
      </c>
    </row>
    <row r="2861">
      <c r="Y2861" s="5">
        <f>IF(D2861="","",X2861*IF(AND(ISNUMBER(AC2861),AC2861&gt;0,AC2861&lt;1),AC2861*100,AC2861)/100)</f>
        <v/>
      </c>
      <c r="Z2861" s="5">
        <f>IF(D2861="","",AB2861*AA2861/100)</f>
        <v/>
      </c>
      <c r="AA2861" s="5">
        <f>IF(D2861="","",X2861-Y2861)</f>
        <v/>
      </c>
      <c r="AD2861" s="5">
        <f>IF(D2861="","",AA2861-Z2861)</f>
        <v/>
      </c>
      <c r="AG2861">
        <f>IF(D2861="","",N(AG2860)+IF(MATCH(D2861,$D$2:$D$3001,0)=ROW()-1,1,0))</f>
        <v/>
      </c>
    </row>
    <row r="2862">
      <c r="Y2862" s="5">
        <f>IF(D2862="","",X2862*IF(AND(ISNUMBER(AC2862),AC2862&gt;0,AC2862&lt;1),AC2862*100,AC2862)/100)</f>
        <v/>
      </c>
      <c r="Z2862" s="5">
        <f>IF(D2862="","",AB2862*AA2862/100)</f>
        <v/>
      </c>
      <c r="AA2862" s="5">
        <f>IF(D2862="","",X2862-Y2862)</f>
        <v/>
      </c>
      <c r="AD2862" s="5">
        <f>IF(D2862="","",AA2862-Z2862)</f>
        <v/>
      </c>
      <c r="AG2862">
        <f>IF(D2862="","",N(AG2861)+IF(MATCH(D2862,$D$2:$D$3001,0)=ROW()-1,1,0))</f>
        <v/>
      </c>
    </row>
    <row r="2863">
      <c r="Y2863" s="5">
        <f>IF(D2863="","",X2863*IF(AND(ISNUMBER(AC2863),AC2863&gt;0,AC2863&lt;1),AC2863*100,AC2863)/100)</f>
        <v/>
      </c>
      <c r="Z2863" s="5">
        <f>IF(D2863="","",AB2863*AA2863/100)</f>
        <v/>
      </c>
      <c r="AA2863" s="5">
        <f>IF(D2863="","",X2863-Y2863)</f>
        <v/>
      </c>
      <c r="AD2863" s="5">
        <f>IF(D2863="","",AA2863-Z2863)</f>
        <v/>
      </c>
      <c r="AG2863">
        <f>IF(D2863="","",N(AG2862)+IF(MATCH(D2863,$D$2:$D$3001,0)=ROW()-1,1,0))</f>
        <v/>
      </c>
    </row>
    <row r="2864">
      <c r="Y2864" s="5">
        <f>IF(D2864="","",X2864*IF(AND(ISNUMBER(AC2864),AC2864&gt;0,AC2864&lt;1),AC2864*100,AC2864)/100)</f>
        <v/>
      </c>
      <c r="Z2864" s="5">
        <f>IF(D2864="","",AB2864*AA2864/100)</f>
        <v/>
      </c>
      <c r="AA2864" s="5">
        <f>IF(D2864="","",X2864-Y2864)</f>
        <v/>
      </c>
      <c r="AD2864" s="5">
        <f>IF(D2864="","",AA2864-Z2864)</f>
        <v/>
      </c>
      <c r="AG2864">
        <f>IF(D2864="","",N(AG2863)+IF(MATCH(D2864,$D$2:$D$3001,0)=ROW()-1,1,0))</f>
        <v/>
      </c>
    </row>
    <row r="2865">
      <c r="Y2865" s="5">
        <f>IF(D2865="","",X2865*IF(AND(ISNUMBER(AC2865),AC2865&gt;0,AC2865&lt;1),AC2865*100,AC2865)/100)</f>
        <v/>
      </c>
      <c r="Z2865" s="5">
        <f>IF(D2865="","",AB2865*AA2865/100)</f>
        <v/>
      </c>
      <c r="AA2865" s="5">
        <f>IF(D2865="","",X2865-Y2865)</f>
        <v/>
      </c>
      <c r="AD2865" s="5">
        <f>IF(D2865="","",AA2865-Z2865)</f>
        <v/>
      </c>
      <c r="AG2865">
        <f>IF(D2865="","",N(AG2864)+IF(MATCH(D2865,$D$2:$D$3001,0)=ROW()-1,1,0))</f>
        <v/>
      </c>
    </row>
    <row r="2866">
      <c r="Y2866" s="5">
        <f>IF(D2866="","",X2866*IF(AND(ISNUMBER(AC2866),AC2866&gt;0,AC2866&lt;1),AC2866*100,AC2866)/100)</f>
        <v/>
      </c>
      <c r="Z2866" s="5">
        <f>IF(D2866="","",AB2866*AA2866/100)</f>
        <v/>
      </c>
      <c r="AA2866" s="5">
        <f>IF(D2866="","",X2866-Y2866)</f>
        <v/>
      </c>
      <c r="AD2866" s="5">
        <f>IF(D2866="","",AA2866-Z2866)</f>
        <v/>
      </c>
      <c r="AG2866">
        <f>IF(D2866="","",N(AG2865)+IF(MATCH(D2866,$D$2:$D$3001,0)=ROW()-1,1,0))</f>
        <v/>
      </c>
    </row>
    <row r="2867">
      <c r="Y2867" s="5">
        <f>IF(D2867="","",X2867*IF(AND(ISNUMBER(AC2867),AC2867&gt;0,AC2867&lt;1),AC2867*100,AC2867)/100)</f>
        <v/>
      </c>
      <c r="Z2867" s="5">
        <f>IF(D2867="","",AB2867*AA2867/100)</f>
        <v/>
      </c>
      <c r="AA2867" s="5">
        <f>IF(D2867="","",X2867-Y2867)</f>
        <v/>
      </c>
      <c r="AD2867" s="5">
        <f>IF(D2867="","",AA2867-Z2867)</f>
        <v/>
      </c>
      <c r="AG2867">
        <f>IF(D2867="","",N(AG2866)+IF(MATCH(D2867,$D$2:$D$3001,0)=ROW()-1,1,0))</f>
        <v/>
      </c>
    </row>
    <row r="2868">
      <c r="Y2868" s="5">
        <f>IF(D2868="","",X2868*IF(AND(ISNUMBER(AC2868),AC2868&gt;0,AC2868&lt;1),AC2868*100,AC2868)/100)</f>
        <v/>
      </c>
      <c r="Z2868" s="5">
        <f>IF(D2868="","",AB2868*AA2868/100)</f>
        <v/>
      </c>
      <c r="AA2868" s="5">
        <f>IF(D2868="","",X2868-Y2868)</f>
        <v/>
      </c>
      <c r="AD2868" s="5">
        <f>IF(D2868="","",AA2868-Z2868)</f>
        <v/>
      </c>
      <c r="AG2868">
        <f>IF(D2868="","",N(AG2867)+IF(MATCH(D2868,$D$2:$D$3001,0)=ROW()-1,1,0))</f>
        <v/>
      </c>
    </row>
    <row r="2869">
      <c r="Y2869" s="5">
        <f>IF(D2869="","",X2869*IF(AND(ISNUMBER(AC2869),AC2869&gt;0,AC2869&lt;1),AC2869*100,AC2869)/100)</f>
        <v/>
      </c>
      <c r="Z2869" s="5">
        <f>IF(D2869="","",AB2869*AA2869/100)</f>
        <v/>
      </c>
      <c r="AA2869" s="5">
        <f>IF(D2869="","",X2869-Y2869)</f>
        <v/>
      </c>
      <c r="AD2869" s="5">
        <f>IF(D2869="","",AA2869-Z2869)</f>
        <v/>
      </c>
      <c r="AG2869">
        <f>IF(D2869="","",N(AG2868)+IF(MATCH(D2869,$D$2:$D$3001,0)=ROW()-1,1,0))</f>
        <v/>
      </c>
    </row>
    <row r="2870">
      <c r="Y2870" s="5">
        <f>IF(D2870="","",X2870*IF(AND(ISNUMBER(AC2870),AC2870&gt;0,AC2870&lt;1),AC2870*100,AC2870)/100)</f>
        <v/>
      </c>
      <c r="Z2870" s="5">
        <f>IF(D2870="","",AB2870*AA2870/100)</f>
        <v/>
      </c>
      <c r="AA2870" s="5">
        <f>IF(D2870="","",X2870-Y2870)</f>
        <v/>
      </c>
      <c r="AD2870" s="5">
        <f>IF(D2870="","",AA2870-Z2870)</f>
        <v/>
      </c>
      <c r="AG2870">
        <f>IF(D2870="","",N(AG2869)+IF(MATCH(D2870,$D$2:$D$3001,0)=ROW()-1,1,0))</f>
        <v/>
      </c>
    </row>
    <row r="2871">
      <c r="Y2871" s="5">
        <f>IF(D2871="","",X2871*IF(AND(ISNUMBER(AC2871),AC2871&gt;0,AC2871&lt;1),AC2871*100,AC2871)/100)</f>
        <v/>
      </c>
      <c r="Z2871" s="5">
        <f>IF(D2871="","",AB2871*AA2871/100)</f>
        <v/>
      </c>
      <c r="AA2871" s="5">
        <f>IF(D2871="","",X2871-Y2871)</f>
        <v/>
      </c>
      <c r="AD2871" s="5">
        <f>IF(D2871="","",AA2871-Z2871)</f>
        <v/>
      </c>
      <c r="AG2871">
        <f>IF(D2871="","",N(AG2870)+IF(MATCH(D2871,$D$2:$D$3001,0)=ROW()-1,1,0))</f>
        <v/>
      </c>
    </row>
    <row r="2872">
      <c r="Y2872" s="5">
        <f>IF(D2872="","",X2872*IF(AND(ISNUMBER(AC2872),AC2872&gt;0,AC2872&lt;1),AC2872*100,AC2872)/100)</f>
        <v/>
      </c>
      <c r="Z2872" s="5">
        <f>IF(D2872="","",AB2872*AA2872/100)</f>
        <v/>
      </c>
      <c r="AA2872" s="5">
        <f>IF(D2872="","",X2872-Y2872)</f>
        <v/>
      </c>
      <c r="AD2872" s="5">
        <f>IF(D2872="","",AA2872-Z2872)</f>
        <v/>
      </c>
      <c r="AG2872">
        <f>IF(D2872="","",N(AG2871)+IF(MATCH(D2872,$D$2:$D$3001,0)=ROW()-1,1,0))</f>
        <v/>
      </c>
    </row>
    <row r="2873">
      <c r="Y2873" s="5">
        <f>IF(D2873="","",X2873*IF(AND(ISNUMBER(AC2873),AC2873&gt;0,AC2873&lt;1),AC2873*100,AC2873)/100)</f>
        <v/>
      </c>
      <c r="Z2873" s="5">
        <f>IF(D2873="","",AB2873*AA2873/100)</f>
        <v/>
      </c>
      <c r="AA2873" s="5">
        <f>IF(D2873="","",X2873-Y2873)</f>
        <v/>
      </c>
      <c r="AD2873" s="5">
        <f>IF(D2873="","",AA2873-Z2873)</f>
        <v/>
      </c>
      <c r="AG2873">
        <f>IF(D2873="","",N(AG2872)+IF(MATCH(D2873,$D$2:$D$3001,0)=ROW()-1,1,0))</f>
        <v/>
      </c>
    </row>
    <row r="2874">
      <c r="Y2874" s="5">
        <f>IF(D2874="","",X2874*IF(AND(ISNUMBER(AC2874),AC2874&gt;0,AC2874&lt;1),AC2874*100,AC2874)/100)</f>
        <v/>
      </c>
      <c r="Z2874" s="5">
        <f>IF(D2874="","",AB2874*AA2874/100)</f>
        <v/>
      </c>
      <c r="AA2874" s="5">
        <f>IF(D2874="","",X2874-Y2874)</f>
        <v/>
      </c>
      <c r="AD2874" s="5">
        <f>IF(D2874="","",AA2874-Z2874)</f>
        <v/>
      </c>
      <c r="AG2874">
        <f>IF(D2874="","",N(AG2873)+IF(MATCH(D2874,$D$2:$D$3001,0)=ROW()-1,1,0))</f>
        <v/>
      </c>
    </row>
    <row r="2875">
      <c r="Y2875" s="5">
        <f>IF(D2875="","",X2875*IF(AND(ISNUMBER(AC2875),AC2875&gt;0,AC2875&lt;1),AC2875*100,AC2875)/100)</f>
        <v/>
      </c>
      <c r="Z2875" s="5">
        <f>IF(D2875="","",AB2875*AA2875/100)</f>
        <v/>
      </c>
      <c r="AA2875" s="5">
        <f>IF(D2875="","",X2875-Y2875)</f>
        <v/>
      </c>
      <c r="AD2875" s="5">
        <f>IF(D2875="","",AA2875-Z2875)</f>
        <v/>
      </c>
      <c r="AG2875">
        <f>IF(D2875="","",N(AG2874)+IF(MATCH(D2875,$D$2:$D$3001,0)=ROW()-1,1,0))</f>
        <v/>
      </c>
    </row>
    <row r="2876">
      <c r="Y2876" s="5">
        <f>IF(D2876="","",X2876*IF(AND(ISNUMBER(AC2876),AC2876&gt;0,AC2876&lt;1),AC2876*100,AC2876)/100)</f>
        <v/>
      </c>
      <c r="Z2876" s="5">
        <f>IF(D2876="","",AB2876*AA2876/100)</f>
        <v/>
      </c>
      <c r="AA2876" s="5">
        <f>IF(D2876="","",X2876-Y2876)</f>
        <v/>
      </c>
      <c r="AD2876" s="5">
        <f>IF(D2876="","",AA2876-Z2876)</f>
        <v/>
      </c>
      <c r="AG2876">
        <f>IF(D2876="","",N(AG2875)+IF(MATCH(D2876,$D$2:$D$3001,0)=ROW()-1,1,0))</f>
        <v/>
      </c>
    </row>
    <row r="2877">
      <c r="Y2877" s="5">
        <f>IF(D2877="","",X2877*IF(AND(ISNUMBER(AC2877),AC2877&gt;0,AC2877&lt;1),AC2877*100,AC2877)/100)</f>
        <v/>
      </c>
      <c r="Z2877" s="5">
        <f>IF(D2877="","",AB2877*AA2877/100)</f>
        <v/>
      </c>
      <c r="AA2877" s="5">
        <f>IF(D2877="","",X2877-Y2877)</f>
        <v/>
      </c>
      <c r="AD2877" s="5">
        <f>IF(D2877="","",AA2877-Z2877)</f>
        <v/>
      </c>
      <c r="AG2877">
        <f>IF(D2877="","",N(AG2876)+IF(MATCH(D2877,$D$2:$D$3001,0)=ROW()-1,1,0))</f>
        <v/>
      </c>
    </row>
    <row r="2878">
      <c r="Y2878" s="5">
        <f>IF(D2878="","",X2878*IF(AND(ISNUMBER(AC2878),AC2878&gt;0,AC2878&lt;1),AC2878*100,AC2878)/100)</f>
        <v/>
      </c>
      <c r="Z2878" s="5">
        <f>IF(D2878="","",AB2878*AA2878/100)</f>
        <v/>
      </c>
      <c r="AA2878" s="5">
        <f>IF(D2878="","",X2878-Y2878)</f>
        <v/>
      </c>
      <c r="AD2878" s="5">
        <f>IF(D2878="","",AA2878-Z2878)</f>
        <v/>
      </c>
      <c r="AG2878">
        <f>IF(D2878="","",N(AG2877)+IF(MATCH(D2878,$D$2:$D$3001,0)=ROW()-1,1,0))</f>
        <v/>
      </c>
    </row>
    <row r="2879">
      <c r="Y2879" s="5">
        <f>IF(D2879="","",X2879*IF(AND(ISNUMBER(AC2879),AC2879&gt;0,AC2879&lt;1),AC2879*100,AC2879)/100)</f>
        <v/>
      </c>
      <c r="Z2879" s="5">
        <f>IF(D2879="","",AB2879*AA2879/100)</f>
        <v/>
      </c>
      <c r="AA2879" s="5">
        <f>IF(D2879="","",X2879-Y2879)</f>
        <v/>
      </c>
      <c r="AD2879" s="5">
        <f>IF(D2879="","",AA2879-Z2879)</f>
        <v/>
      </c>
      <c r="AG2879">
        <f>IF(D2879="","",N(AG2878)+IF(MATCH(D2879,$D$2:$D$3001,0)=ROW()-1,1,0))</f>
        <v/>
      </c>
    </row>
    <row r="2880">
      <c r="Y2880" s="5">
        <f>IF(D2880="","",X2880*IF(AND(ISNUMBER(AC2880),AC2880&gt;0,AC2880&lt;1),AC2880*100,AC2880)/100)</f>
        <v/>
      </c>
      <c r="Z2880" s="5">
        <f>IF(D2880="","",AB2880*AA2880/100)</f>
        <v/>
      </c>
      <c r="AA2880" s="5">
        <f>IF(D2880="","",X2880-Y2880)</f>
        <v/>
      </c>
      <c r="AD2880" s="5">
        <f>IF(D2880="","",AA2880-Z2880)</f>
        <v/>
      </c>
      <c r="AG2880">
        <f>IF(D2880="","",N(AG2879)+IF(MATCH(D2880,$D$2:$D$3001,0)=ROW()-1,1,0))</f>
        <v/>
      </c>
    </row>
    <row r="2881">
      <c r="Y2881" s="5">
        <f>IF(D2881="","",X2881*IF(AND(ISNUMBER(AC2881),AC2881&gt;0,AC2881&lt;1),AC2881*100,AC2881)/100)</f>
        <v/>
      </c>
      <c r="Z2881" s="5">
        <f>IF(D2881="","",AB2881*AA2881/100)</f>
        <v/>
      </c>
      <c r="AA2881" s="5">
        <f>IF(D2881="","",X2881-Y2881)</f>
        <v/>
      </c>
      <c r="AD2881" s="5">
        <f>IF(D2881="","",AA2881-Z2881)</f>
        <v/>
      </c>
      <c r="AG2881">
        <f>IF(D2881="","",N(AG2880)+IF(MATCH(D2881,$D$2:$D$3001,0)=ROW()-1,1,0))</f>
        <v/>
      </c>
    </row>
    <row r="2882">
      <c r="Y2882" s="5">
        <f>IF(D2882="","",X2882*IF(AND(ISNUMBER(AC2882),AC2882&gt;0,AC2882&lt;1),AC2882*100,AC2882)/100)</f>
        <v/>
      </c>
      <c r="Z2882" s="5">
        <f>IF(D2882="","",AB2882*AA2882/100)</f>
        <v/>
      </c>
      <c r="AA2882" s="5">
        <f>IF(D2882="","",X2882-Y2882)</f>
        <v/>
      </c>
      <c r="AD2882" s="5">
        <f>IF(D2882="","",AA2882-Z2882)</f>
        <v/>
      </c>
      <c r="AG2882">
        <f>IF(D2882="","",N(AG2881)+IF(MATCH(D2882,$D$2:$D$3001,0)=ROW()-1,1,0))</f>
        <v/>
      </c>
    </row>
    <row r="2883">
      <c r="Y2883" s="5">
        <f>IF(D2883="","",X2883*IF(AND(ISNUMBER(AC2883),AC2883&gt;0,AC2883&lt;1),AC2883*100,AC2883)/100)</f>
        <v/>
      </c>
      <c r="Z2883" s="5">
        <f>IF(D2883="","",AB2883*AA2883/100)</f>
        <v/>
      </c>
      <c r="AA2883" s="5">
        <f>IF(D2883="","",X2883-Y2883)</f>
        <v/>
      </c>
      <c r="AD2883" s="5">
        <f>IF(D2883="","",AA2883-Z2883)</f>
        <v/>
      </c>
      <c r="AG2883">
        <f>IF(D2883="","",N(AG2882)+IF(MATCH(D2883,$D$2:$D$3001,0)=ROW()-1,1,0))</f>
        <v/>
      </c>
    </row>
    <row r="2884">
      <c r="Y2884" s="5">
        <f>IF(D2884="","",X2884*IF(AND(ISNUMBER(AC2884),AC2884&gt;0,AC2884&lt;1),AC2884*100,AC2884)/100)</f>
        <v/>
      </c>
      <c r="Z2884" s="5">
        <f>IF(D2884="","",AB2884*AA2884/100)</f>
        <v/>
      </c>
      <c r="AA2884" s="5">
        <f>IF(D2884="","",X2884-Y2884)</f>
        <v/>
      </c>
      <c r="AD2884" s="5">
        <f>IF(D2884="","",AA2884-Z2884)</f>
        <v/>
      </c>
      <c r="AG2884">
        <f>IF(D2884="","",N(AG2883)+IF(MATCH(D2884,$D$2:$D$3001,0)=ROW()-1,1,0))</f>
        <v/>
      </c>
    </row>
    <row r="2885">
      <c r="Y2885" s="5">
        <f>IF(D2885="","",X2885*IF(AND(ISNUMBER(AC2885),AC2885&gt;0,AC2885&lt;1),AC2885*100,AC2885)/100)</f>
        <v/>
      </c>
      <c r="Z2885" s="5">
        <f>IF(D2885="","",AB2885*AA2885/100)</f>
        <v/>
      </c>
      <c r="AA2885" s="5">
        <f>IF(D2885="","",X2885-Y2885)</f>
        <v/>
      </c>
      <c r="AD2885" s="5">
        <f>IF(D2885="","",AA2885-Z2885)</f>
        <v/>
      </c>
      <c r="AG2885">
        <f>IF(D2885="","",N(AG2884)+IF(MATCH(D2885,$D$2:$D$3001,0)=ROW()-1,1,0))</f>
        <v/>
      </c>
    </row>
    <row r="2886">
      <c r="Y2886" s="5">
        <f>IF(D2886="","",X2886*IF(AND(ISNUMBER(AC2886),AC2886&gt;0,AC2886&lt;1),AC2886*100,AC2886)/100)</f>
        <v/>
      </c>
      <c r="Z2886" s="5">
        <f>IF(D2886="","",AB2886*AA2886/100)</f>
        <v/>
      </c>
      <c r="AA2886" s="5">
        <f>IF(D2886="","",X2886-Y2886)</f>
        <v/>
      </c>
      <c r="AD2886" s="5">
        <f>IF(D2886="","",AA2886-Z2886)</f>
        <v/>
      </c>
      <c r="AG2886">
        <f>IF(D2886="","",N(AG2885)+IF(MATCH(D2886,$D$2:$D$3001,0)=ROW()-1,1,0))</f>
        <v/>
      </c>
    </row>
    <row r="2887">
      <c r="Y2887" s="5">
        <f>IF(D2887="","",X2887*IF(AND(ISNUMBER(AC2887),AC2887&gt;0,AC2887&lt;1),AC2887*100,AC2887)/100)</f>
        <v/>
      </c>
      <c r="Z2887" s="5">
        <f>IF(D2887="","",AB2887*AA2887/100)</f>
        <v/>
      </c>
      <c r="AA2887" s="5">
        <f>IF(D2887="","",X2887-Y2887)</f>
        <v/>
      </c>
      <c r="AD2887" s="5">
        <f>IF(D2887="","",AA2887-Z2887)</f>
        <v/>
      </c>
      <c r="AG2887">
        <f>IF(D2887="","",N(AG2886)+IF(MATCH(D2887,$D$2:$D$3001,0)=ROW()-1,1,0))</f>
        <v/>
      </c>
    </row>
    <row r="2888">
      <c r="Y2888" s="5">
        <f>IF(D2888="","",X2888*IF(AND(ISNUMBER(AC2888),AC2888&gt;0,AC2888&lt;1),AC2888*100,AC2888)/100)</f>
        <v/>
      </c>
      <c r="Z2888" s="5">
        <f>IF(D2888="","",AB2888*AA2888/100)</f>
        <v/>
      </c>
      <c r="AA2888" s="5">
        <f>IF(D2888="","",X2888-Y2888)</f>
        <v/>
      </c>
      <c r="AD2888" s="5">
        <f>IF(D2888="","",AA2888-Z2888)</f>
        <v/>
      </c>
      <c r="AG2888">
        <f>IF(D2888="","",N(AG2887)+IF(MATCH(D2888,$D$2:$D$3001,0)=ROW()-1,1,0))</f>
        <v/>
      </c>
    </row>
    <row r="2889">
      <c r="Y2889" s="5">
        <f>IF(D2889="","",X2889*IF(AND(ISNUMBER(AC2889),AC2889&gt;0,AC2889&lt;1),AC2889*100,AC2889)/100)</f>
        <v/>
      </c>
      <c r="Z2889" s="5">
        <f>IF(D2889="","",AB2889*AA2889/100)</f>
        <v/>
      </c>
      <c r="AA2889" s="5">
        <f>IF(D2889="","",X2889-Y2889)</f>
        <v/>
      </c>
      <c r="AD2889" s="5">
        <f>IF(D2889="","",AA2889-Z2889)</f>
        <v/>
      </c>
      <c r="AG2889">
        <f>IF(D2889="","",N(AG2888)+IF(MATCH(D2889,$D$2:$D$3001,0)=ROW()-1,1,0))</f>
        <v/>
      </c>
    </row>
    <row r="2890">
      <c r="Y2890" s="5">
        <f>IF(D2890="","",X2890*IF(AND(ISNUMBER(AC2890),AC2890&gt;0,AC2890&lt;1),AC2890*100,AC2890)/100)</f>
        <v/>
      </c>
      <c r="Z2890" s="5">
        <f>IF(D2890="","",AB2890*AA2890/100)</f>
        <v/>
      </c>
      <c r="AA2890" s="5">
        <f>IF(D2890="","",X2890-Y2890)</f>
        <v/>
      </c>
      <c r="AD2890" s="5">
        <f>IF(D2890="","",AA2890-Z2890)</f>
        <v/>
      </c>
      <c r="AG2890">
        <f>IF(D2890="","",N(AG2889)+IF(MATCH(D2890,$D$2:$D$3001,0)=ROW()-1,1,0))</f>
        <v/>
      </c>
    </row>
    <row r="2891">
      <c r="Y2891" s="5">
        <f>IF(D2891="","",X2891*IF(AND(ISNUMBER(AC2891),AC2891&gt;0,AC2891&lt;1),AC2891*100,AC2891)/100)</f>
        <v/>
      </c>
      <c r="Z2891" s="5">
        <f>IF(D2891="","",AB2891*AA2891/100)</f>
        <v/>
      </c>
      <c r="AA2891" s="5">
        <f>IF(D2891="","",X2891-Y2891)</f>
        <v/>
      </c>
      <c r="AD2891" s="5">
        <f>IF(D2891="","",AA2891-Z2891)</f>
        <v/>
      </c>
      <c r="AG2891">
        <f>IF(D2891="","",N(AG2890)+IF(MATCH(D2891,$D$2:$D$3001,0)=ROW()-1,1,0))</f>
        <v/>
      </c>
    </row>
    <row r="2892">
      <c r="Y2892" s="5">
        <f>IF(D2892="","",X2892*IF(AND(ISNUMBER(AC2892),AC2892&gt;0,AC2892&lt;1),AC2892*100,AC2892)/100)</f>
        <v/>
      </c>
      <c r="Z2892" s="5">
        <f>IF(D2892="","",AB2892*AA2892/100)</f>
        <v/>
      </c>
      <c r="AA2892" s="5">
        <f>IF(D2892="","",X2892-Y2892)</f>
        <v/>
      </c>
      <c r="AD2892" s="5">
        <f>IF(D2892="","",AA2892-Z2892)</f>
        <v/>
      </c>
      <c r="AG2892">
        <f>IF(D2892="","",N(AG2891)+IF(MATCH(D2892,$D$2:$D$3001,0)=ROW()-1,1,0))</f>
        <v/>
      </c>
    </row>
    <row r="2893">
      <c r="Y2893" s="5">
        <f>IF(D2893="","",X2893*IF(AND(ISNUMBER(AC2893),AC2893&gt;0,AC2893&lt;1),AC2893*100,AC2893)/100)</f>
        <v/>
      </c>
      <c r="Z2893" s="5">
        <f>IF(D2893="","",AB2893*AA2893/100)</f>
        <v/>
      </c>
      <c r="AA2893" s="5">
        <f>IF(D2893="","",X2893-Y2893)</f>
        <v/>
      </c>
      <c r="AD2893" s="5">
        <f>IF(D2893="","",AA2893-Z2893)</f>
        <v/>
      </c>
      <c r="AG2893">
        <f>IF(D2893="","",N(AG2892)+IF(MATCH(D2893,$D$2:$D$3001,0)=ROW()-1,1,0))</f>
        <v/>
      </c>
    </row>
    <row r="2894">
      <c r="Y2894" s="5">
        <f>IF(D2894="","",X2894*IF(AND(ISNUMBER(AC2894),AC2894&gt;0,AC2894&lt;1),AC2894*100,AC2894)/100)</f>
        <v/>
      </c>
      <c r="Z2894" s="5">
        <f>IF(D2894="","",AB2894*AA2894/100)</f>
        <v/>
      </c>
      <c r="AA2894" s="5">
        <f>IF(D2894="","",X2894-Y2894)</f>
        <v/>
      </c>
      <c r="AD2894" s="5">
        <f>IF(D2894="","",AA2894-Z2894)</f>
        <v/>
      </c>
      <c r="AG2894">
        <f>IF(D2894="","",N(AG2893)+IF(MATCH(D2894,$D$2:$D$3001,0)=ROW()-1,1,0))</f>
        <v/>
      </c>
    </row>
    <row r="2895">
      <c r="Y2895" s="5">
        <f>IF(D2895="","",X2895*IF(AND(ISNUMBER(AC2895),AC2895&gt;0,AC2895&lt;1),AC2895*100,AC2895)/100)</f>
        <v/>
      </c>
      <c r="Z2895" s="5">
        <f>IF(D2895="","",AB2895*AA2895/100)</f>
        <v/>
      </c>
      <c r="AA2895" s="5">
        <f>IF(D2895="","",X2895-Y2895)</f>
        <v/>
      </c>
      <c r="AD2895" s="5">
        <f>IF(D2895="","",AA2895-Z2895)</f>
        <v/>
      </c>
      <c r="AG2895">
        <f>IF(D2895="","",N(AG2894)+IF(MATCH(D2895,$D$2:$D$3001,0)=ROW()-1,1,0))</f>
        <v/>
      </c>
    </row>
    <row r="2896">
      <c r="Y2896" s="5">
        <f>IF(D2896="","",X2896*IF(AND(ISNUMBER(AC2896),AC2896&gt;0,AC2896&lt;1),AC2896*100,AC2896)/100)</f>
        <v/>
      </c>
      <c r="Z2896" s="5">
        <f>IF(D2896="","",AB2896*AA2896/100)</f>
        <v/>
      </c>
      <c r="AA2896" s="5">
        <f>IF(D2896="","",X2896-Y2896)</f>
        <v/>
      </c>
      <c r="AD2896" s="5">
        <f>IF(D2896="","",AA2896-Z2896)</f>
        <v/>
      </c>
      <c r="AG2896">
        <f>IF(D2896="","",N(AG2895)+IF(MATCH(D2896,$D$2:$D$3001,0)=ROW()-1,1,0))</f>
        <v/>
      </c>
    </row>
    <row r="2897">
      <c r="Y2897" s="5">
        <f>IF(D2897="","",X2897*IF(AND(ISNUMBER(AC2897),AC2897&gt;0,AC2897&lt;1),AC2897*100,AC2897)/100)</f>
        <v/>
      </c>
      <c r="Z2897" s="5">
        <f>IF(D2897="","",AB2897*AA2897/100)</f>
        <v/>
      </c>
      <c r="AA2897" s="5">
        <f>IF(D2897="","",X2897-Y2897)</f>
        <v/>
      </c>
      <c r="AD2897" s="5">
        <f>IF(D2897="","",AA2897-Z2897)</f>
        <v/>
      </c>
      <c r="AG2897">
        <f>IF(D2897="","",N(AG2896)+IF(MATCH(D2897,$D$2:$D$3001,0)=ROW()-1,1,0))</f>
        <v/>
      </c>
    </row>
    <row r="2898">
      <c r="Y2898" s="5">
        <f>IF(D2898="","",X2898*IF(AND(ISNUMBER(AC2898),AC2898&gt;0,AC2898&lt;1),AC2898*100,AC2898)/100)</f>
        <v/>
      </c>
      <c r="Z2898" s="5">
        <f>IF(D2898="","",AB2898*AA2898/100)</f>
        <v/>
      </c>
      <c r="AA2898" s="5">
        <f>IF(D2898="","",X2898-Y2898)</f>
        <v/>
      </c>
      <c r="AD2898" s="5">
        <f>IF(D2898="","",AA2898-Z2898)</f>
        <v/>
      </c>
      <c r="AG2898">
        <f>IF(D2898="","",N(AG2897)+IF(MATCH(D2898,$D$2:$D$3001,0)=ROW()-1,1,0))</f>
        <v/>
      </c>
    </row>
    <row r="2899">
      <c r="Y2899" s="5">
        <f>IF(D2899="","",X2899*IF(AND(ISNUMBER(AC2899),AC2899&gt;0,AC2899&lt;1),AC2899*100,AC2899)/100)</f>
        <v/>
      </c>
      <c r="Z2899" s="5">
        <f>IF(D2899="","",AB2899*AA2899/100)</f>
        <v/>
      </c>
      <c r="AA2899" s="5">
        <f>IF(D2899="","",X2899-Y2899)</f>
        <v/>
      </c>
      <c r="AD2899" s="5">
        <f>IF(D2899="","",AA2899-Z2899)</f>
        <v/>
      </c>
      <c r="AG2899">
        <f>IF(D2899="","",N(AG2898)+IF(MATCH(D2899,$D$2:$D$3001,0)=ROW()-1,1,0))</f>
        <v/>
      </c>
    </row>
    <row r="2900">
      <c r="Y2900" s="5">
        <f>IF(D2900="","",X2900*IF(AND(ISNUMBER(AC2900),AC2900&gt;0,AC2900&lt;1),AC2900*100,AC2900)/100)</f>
        <v/>
      </c>
      <c r="Z2900" s="5">
        <f>IF(D2900="","",AB2900*AA2900/100)</f>
        <v/>
      </c>
      <c r="AA2900" s="5">
        <f>IF(D2900="","",X2900-Y2900)</f>
        <v/>
      </c>
      <c r="AD2900" s="5">
        <f>IF(D2900="","",AA2900-Z2900)</f>
        <v/>
      </c>
      <c r="AG2900">
        <f>IF(D2900="","",N(AG2899)+IF(MATCH(D2900,$D$2:$D$3001,0)=ROW()-1,1,0))</f>
        <v/>
      </c>
    </row>
    <row r="2901">
      <c r="Y2901" s="5">
        <f>IF(D2901="","",X2901*IF(AND(ISNUMBER(AC2901),AC2901&gt;0,AC2901&lt;1),AC2901*100,AC2901)/100)</f>
        <v/>
      </c>
      <c r="Z2901" s="5">
        <f>IF(D2901="","",AB2901*AA2901/100)</f>
        <v/>
      </c>
      <c r="AA2901" s="5">
        <f>IF(D2901="","",X2901-Y2901)</f>
        <v/>
      </c>
      <c r="AD2901" s="5">
        <f>IF(D2901="","",AA2901-Z2901)</f>
        <v/>
      </c>
      <c r="AG2901">
        <f>IF(D2901="","",N(AG2900)+IF(MATCH(D2901,$D$2:$D$3001,0)=ROW()-1,1,0))</f>
        <v/>
      </c>
    </row>
    <row r="2902">
      <c r="Y2902" s="5">
        <f>IF(D2902="","",X2902*IF(AND(ISNUMBER(AC2902),AC2902&gt;0,AC2902&lt;1),AC2902*100,AC2902)/100)</f>
        <v/>
      </c>
      <c r="Z2902" s="5">
        <f>IF(D2902="","",AB2902*AA2902/100)</f>
        <v/>
      </c>
      <c r="AA2902" s="5">
        <f>IF(D2902="","",X2902-Y2902)</f>
        <v/>
      </c>
      <c r="AD2902" s="5">
        <f>IF(D2902="","",AA2902-Z2902)</f>
        <v/>
      </c>
      <c r="AG2902">
        <f>IF(D2902="","",N(AG2901)+IF(MATCH(D2902,$D$2:$D$3001,0)=ROW()-1,1,0))</f>
        <v/>
      </c>
    </row>
    <row r="2903">
      <c r="Y2903" s="5">
        <f>IF(D2903="","",X2903*IF(AND(ISNUMBER(AC2903),AC2903&gt;0,AC2903&lt;1),AC2903*100,AC2903)/100)</f>
        <v/>
      </c>
      <c r="Z2903" s="5">
        <f>IF(D2903="","",AB2903*AA2903/100)</f>
        <v/>
      </c>
      <c r="AA2903" s="5">
        <f>IF(D2903="","",X2903-Y2903)</f>
        <v/>
      </c>
      <c r="AD2903" s="5">
        <f>IF(D2903="","",AA2903-Z2903)</f>
        <v/>
      </c>
      <c r="AG2903">
        <f>IF(D2903="","",N(AG2902)+IF(MATCH(D2903,$D$2:$D$3001,0)=ROW()-1,1,0))</f>
        <v/>
      </c>
    </row>
    <row r="2904">
      <c r="Y2904" s="5">
        <f>IF(D2904="","",X2904*IF(AND(ISNUMBER(AC2904),AC2904&gt;0,AC2904&lt;1),AC2904*100,AC2904)/100)</f>
        <v/>
      </c>
      <c r="Z2904" s="5">
        <f>IF(D2904="","",AB2904*AA2904/100)</f>
        <v/>
      </c>
      <c r="AA2904" s="5">
        <f>IF(D2904="","",X2904-Y2904)</f>
        <v/>
      </c>
      <c r="AD2904" s="5">
        <f>IF(D2904="","",AA2904-Z2904)</f>
        <v/>
      </c>
      <c r="AG2904">
        <f>IF(D2904="","",N(AG2903)+IF(MATCH(D2904,$D$2:$D$3001,0)=ROW()-1,1,0))</f>
        <v/>
      </c>
    </row>
    <row r="2905">
      <c r="Y2905" s="5">
        <f>IF(D2905="","",X2905*IF(AND(ISNUMBER(AC2905),AC2905&gt;0,AC2905&lt;1),AC2905*100,AC2905)/100)</f>
        <v/>
      </c>
      <c r="Z2905" s="5">
        <f>IF(D2905="","",AB2905*AA2905/100)</f>
        <v/>
      </c>
      <c r="AA2905" s="5">
        <f>IF(D2905="","",X2905-Y2905)</f>
        <v/>
      </c>
      <c r="AD2905" s="5">
        <f>IF(D2905="","",AA2905-Z2905)</f>
        <v/>
      </c>
      <c r="AG2905">
        <f>IF(D2905="","",N(AG2904)+IF(MATCH(D2905,$D$2:$D$3001,0)=ROW()-1,1,0))</f>
        <v/>
      </c>
    </row>
    <row r="2906">
      <c r="Y2906" s="5">
        <f>IF(D2906="","",X2906*IF(AND(ISNUMBER(AC2906),AC2906&gt;0,AC2906&lt;1),AC2906*100,AC2906)/100)</f>
        <v/>
      </c>
      <c r="Z2906" s="5">
        <f>IF(D2906="","",AB2906*AA2906/100)</f>
        <v/>
      </c>
      <c r="AA2906" s="5">
        <f>IF(D2906="","",X2906-Y2906)</f>
        <v/>
      </c>
      <c r="AD2906" s="5">
        <f>IF(D2906="","",AA2906-Z2906)</f>
        <v/>
      </c>
      <c r="AG2906">
        <f>IF(D2906="","",N(AG2905)+IF(MATCH(D2906,$D$2:$D$3001,0)=ROW()-1,1,0))</f>
        <v/>
      </c>
    </row>
    <row r="2907">
      <c r="Y2907" s="5">
        <f>IF(D2907="","",X2907*IF(AND(ISNUMBER(AC2907),AC2907&gt;0,AC2907&lt;1),AC2907*100,AC2907)/100)</f>
        <v/>
      </c>
      <c r="Z2907" s="5">
        <f>IF(D2907="","",AB2907*AA2907/100)</f>
        <v/>
      </c>
      <c r="AA2907" s="5">
        <f>IF(D2907="","",X2907-Y2907)</f>
        <v/>
      </c>
      <c r="AD2907" s="5">
        <f>IF(D2907="","",AA2907-Z2907)</f>
        <v/>
      </c>
      <c r="AG2907">
        <f>IF(D2907="","",N(AG2906)+IF(MATCH(D2907,$D$2:$D$3001,0)=ROW()-1,1,0))</f>
        <v/>
      </c>
    </row>
    <row r="2908">
      <c r="Y2908" s="5">
        <f>IF(D2908="","",X2908*IF(AND(ISNUMBER(AC2908),AC2908&gt;0,AC2908&lt;1),AC2908*100,AC2908)/100)</f>
        <v/>
      </c>
      <c r="Z2908" s="5">
        <f>IF(D2908="","",AB2908*AA2908/100)</f>
        <v/>
      </c>
      <c r="AA2908" s="5">
        <f>IF(D2908="","",X2908-Y2908)</f>
        <v/>
      </c>
      <c r="AD2908" s="5">
        <f>IF(D2908="","",AA2908-Z2908)</f>
        <v/>
      </c>
      <c r="AG2908">
        <f>IF(D2908="","",N(AG2907)+IF(MATCH(D2908,$D$2:$D$3001,0)=ROW()-1,1,0))</f>
        <v/>
      </c>
    </row>
    <row r="2909">
      <c r="Y2909" s="5">
        <f>IF(D2909="","",X2909*IF(AND(ISNUMBER(AC2909),AC2909&gt;0,AC2909&lt;1),AC2909*100,AC2909)/100)</f>
        <v/>
      </c>
      <c r="Z2909" s="5">
        <f>IF(D2909="","",AB2909*AA2909/100)</f>
        <v/>
      </c>
      <c r="AA2909" s="5">
        <f>IF(D2909="","",X2909-Y2909)</f>
        <v/>
      </c>
      <c r="AD2909" s="5">
        <f>IF(D2909="","",AA2909-Z2909)</f>
        <v/>
      </c>
      <c r="AG2909">
        <f>IF(D2909="","",N(AG2908)+IF(MATCH(D2909,$D$2:$D$3001,0)=ROW()-1,1,0))</f>
        <v/>
      </c>
    </row>
    <row r="2910">
      <c r="Y2910" s="5">
        <f>IF(D2910="","",X2910*IF(AND(ISNUMBER(AC2910),AC2910&gt;0,AC2910&lt;1),AC2910*100,AC2910)/100)</f>
        <v/>
      </c>
      <c r="Z2910" s="5">
        <f>IF(D2910="","",AB2910*AA2910/100)</f>
        <v/>
      </c>
      <c r="AA2910" s="5">
        <f>IF(D2910="","",X2910-Y2910)</f>
        <v/>
      </c>
      <c r="AD2910" s="5">
        <f>IF(D2910="","",AA2910-Z2910)</f>
        <v/>
      </c>
      <c r="AG2910">
        <f>IF(D2910="","",N(AG2909)+IF(MATCH(D2910,$D$2:$D$3001,0)=ROW()-1,1,0))</f>
        <v/>
      </c>
    </row>
    <row r="2911">
      <c r="Y2911" s="5">
        <f>IF(D2911="","",X2911*IF(AND(ISNUMBER(AC2911),AC2911&gt;0,AC2911&lt;1),AC2911*100,AC2911)/100)</f>
        <v/>
      </c>
      <c r="Z2911" s="5">
        <f>IF(D2911="","",AB2911*AA2911/100)</f>
        <v/>
      </c>
      <c r="AA2911" s="5">
        <f>IF(D2911="","",X2911-Y2911)</f>
        <v/>
      </c>
      <c r="AD2911" s="5">
        <f>IF(D2911="","",AA2911-Z2911)</f>
        <v/>
      </c>
      <c r="AG2911">
        <f>IF(D2911="","",N(AG2910)+IF(MATCH(D2911,$D$2:$D$3001,0)=ROW()-1,1,0))</f>
        <v/>
      </c>
    </row>
    <row r="2912">
      <c r="Y2912" s="5">
        <f>IF(D2912="","",X2912*IF(AND(ISNUMBER(AC2912),AC2912&gt;0,AC2912&lt;1),AC2912*100,AC2912)/100)</f>
        <v/>
      </c>
      <c r="Z2912" s="5">
        <f>IF(D2912="","",AB2912*AA2912/100)</f>
        <v/>
      </c>
      <c r="AA2912" s="5">
        <f>IF(D2912="","",X2912-Y2912)</f>
        <v/>
      </c>
      <c r="AD2912" s="5">
        <f>IF(D2912="","",AA2912-Z2912)</f>
        <v/>
      </c>
      <c r="AG2912">
        <f>IF(D2912="","",N(AG2911)+IF(MATCH(D2912,$D$2:$D$3001,0)=ROW()-1,1,0))</f>
        <v/>
      </c>
    </row>
    <row r="2913">
      <c r="Y2913" s="5">
        <f>IF(D2913="","",X2913*IF(AND(ISNUMBER(AC2913),AC2913&gt;0,AC2913&lt;1),AC2913*100,AC2913)/100)</f>
        <v/>
      </c>
      <c r="Z2913" s="5">
        <f>IF(D2913="","",AB2913*AA2913/100)</f>
        <v/>
      </c>
      <c r="AA2913" s="5">
        <f>IF(D2913="","",X2913-Y2913)</f>
        <v/>
      </c>
      <c r="AD2913" s="5">
        <f>IF(D2913="","",AA2913-Z2913)</f>
        <v/>
      </c>
      <c r="AG2913">
        <f>IF(D2913="","",N(AG2912)+IF(MATCH(D2913,$D$2:$D$3001,0)=ROW()-1,1,0))</f>
        <v/>
      </c>
    </row>
    <row r="2914">
      <c r="Y2914" s="5">
        <f>IF(D2914="","",X2914*IF(AND(ISNUMBER(AC2914),AC2914&gt;0,AC2914&lt;1),AC2914*100,AC2914)/100)</f>
        <v/>
      </c>
      <c r="Z2914" s="5">
        <f>IF(D2914="","",AB2914*AA2914/100)</f>
        <v/>
      </c>
      <c r="AA2914" s="5">
        <f>IF(D2914="","",X2914-Y2914)</f>
        <v/>
      </c>
      <c r="AD2914" s="5">
        <f>IF(D2914="","",AA2914-Z2914)</f>
        <v/>
      </c>
      <c r="AG2914">
        <f>IF(D2914="","",N(AG2913)+IF(MATCH(D2914,$D$2:$D$3001,0)=ROW()-1,1,0))</f>
        <v/>
      </c>
    </row>
    <row r="2915">
      <c r="Y2915" s="5">
        <f>IF(D2915="","",X2915*IF(AND(ISNUMBER(AC2915),AC2915&gt;0,AC2915&lt;1),AC2915*100,AC2915)/100)</f>
        <v/>
      </c>
      <c r="Z2915" s="5">
        <f>IF(D2915="","",AB2915*AA2915/100)</f>
        <v/>
      </c>
      <c r="AA2915" s="5">
        <f>IF(D2915="","",X2915-Y2915)</f>
        <v/>
      </c>
      <c r="AD2915" s="5">
        <f>IF(D2915="","",AA2915-Z2915)</f>
        <v/>
      </c>
      <c r="AG2915">
        <f>IF(D2915="","",N(AG2914)+IF(MATCH(D2915,$D$2:$D$3001,0)=ROW()-1,1,0))</f>
        <v/>
      </c>
    </row>
    <row r="2916">
      <c r="Y2916" s="5">
        <f>IF(D2916="","",X2916*IF(AND(ISNUMBER(AC2916),AC2916&gt;0,AC2916&lt;1),AC2916*100,AC2916)/100)</f>
        <v/>
      </c>
      <c r="Z2916" s="5">
        <f>IF(D2916="","",AB2916*AA2916/100)</f>
        <v/>
      </c>
      <c r="AA2916" s="5">
        <f>IF(D2916="","",X2916-Y2916)</f>
        <v/>
      </c>
      <c r="AD2916" s="5">
        <f>IF(D2916="","",AA2916-Z2916)</f>
        <v/>
      </c>
      <c r="AG2916">
        <f>IF(D2916="","",N(AG2915)+IF(MATCH(D2916,$D$2:$D$3001,0)=ROW()-1,1,0))</f>
        <v/>
      </c>
    </row>
    <row r="2917">
      <c r="Y2917" s="5">
        <f>IF(D2917="","",X2917*IF(AND(ISNUMBER(AC2917),AC2917&gt;0,AC2917&lt;1),AC2917*100,AC2917)/100)</f>
        <v/>
      </c>
      <c r="Z2917" s="5">
        <f>IF(D2917="","",AB2917*AA2917/100)</f>
        <v/>
      </c>
      <c r="AA2917" s="5">
        <f>IF(D2917="","",X2917-Y2917)</f>
        <v/>
      </c>
      <c r="AD2917" s="5">
        <f>IF(D2917="","",AA2917-Z2917)</f>
        <v/>
      </c>
      <c r="AG2917">
        <f>IF(D2917="","",N(AG2916)+IF(MATCH(D2917,$D$2:$D$3001,0)=ROW()-1,1,0))</f>
        <v/>
      </c>
    </row>
    <row r="2918">
      <c r="Y2918" s="5">
        <f>IF(D2918="","",X2918*IF(AND(ISNUMBER(AC2918),AC2918&gt;0,AC2918&lt;1),AC2918*100,AC2918)/100)</f>
        <v/>
      </c>
      <c r="Z2918" s="5">
        <f>IF(D2918="","",AB2918*AA2918/100)</f>
        <v/>
      </c>
      <c r="AA2918" s="5">
        <f>IF(D2918="","",X2918-Y2918)</f>
        <v/>
      </c>
      <c r="AD2918" s="5">
        <f>IF(D2918="","",AA2918-Z2918)</f>
        <v/>
      </c>
      <c r="AG2918">
        <f>IF(D2918="","",N(AG2917)+IF(MATCH(D2918,$D$2:$D$3001,0)=ROW()-1,1,0))</f>
        <v/>
      </c>
    </row>
    <row r="2919">
      <c r="Y2919" s="5">
        <f>IF(D2919="","",X2919*IF(AND(ISNUMBER(AC2919),AC2919&gt;0,AC2919&lt;1),AC2919*100,AC2919)/100)</f>
        <v/>
      </c>
      <c r="Z2919" s="5">
        <f>IF(D2919="","",AB2919*AA2919/100)</f>
        <v/>
      </c>
      <c r="AA2919" s="5">
        <f>IF(D2919="","",X2919-Y2919)</f>
        <v/>
      </c>
      <c r="AD2919" s="5">
        <f>IF(D2919="","",AA2919-Z2919)</f>
        <v/>
      </c>
      <c r="AG2919">
        <f>IF(D2919="","",N(AG2918)+IF(MATCH(D2919,$D$2:$D$3001,0)=ROW()-1,1,0))</f>
        <v/>
      </c>
    </row>
    <row r="2920">
      <c r="Y2920" s="5">
        <f>IF(D2920="","",X2920*IF(AND(ISNUMBER(AC2920),AC2920&gt;0,AC2920&lt;1),AC2920*100,AC2920)/100)</f>
        <v/>
      </c>
      <c r="Z2920" s="5">
        <f>IF(D2920="","",AB2920*AA2920/100)</f>
        <v/>
      </c>
      <c r="AA2920" s="5">
        <f>IF(D2920="","",X2920-Y2920)</f>
        <v/>
      </c>
      <c r="AD2920" s="5">
        <f>IF(D2920="","",AA2920-Z2920)</f>
        <v/>
      </c>
      <c r="AG2920">
        <f>IF(D2920="","",N(AG2919)+IF(MATCH(D2920,$D$2:$D$3001,0)=ROW()-1,1,0))</f>
        <v/>
      </c>
    </row>
    <row r="2921">
      <c r="Y2921" s="5">
        <f>IF(D2921="","",X2921*IF(AND(ISNUMBER(AC2921),AC2921&gt;0,AC2921&lt;1),AC2921*100,AC2921)/100)</f>
        <v/>
      </c>
      <c r="Z2921" s="5">
        <f>IF(D2921="","",AB2921*AA2921/100)</f>
        <v/>
      </c>
      <c r="AA2921" s="5">
        <f>IF(D2921="","",X2921-Y2921)</f>
        <v/>
      </c>
      <c r="AD2921" s="5">
        <f>IF(D2921="","",AA2921-Z2921)</f>
        <v/>
      </c>
      <c r="AG2921">
        <f>IF(D2921="","",N(AG2920)+IF(MATCH(D2921,$D$2:$D$3001,0)=ROW()-1,1,0))</f>
        <v/>
      </c>
    </row>
    <row r="2922">
      <c r="Y2922" s="5">
        <f>IF(D2922="","",X2922*IF(AND(ISNUMBER(AC2922),AC2922&gt;0,AC2922&lt;1),AC2922*100,AC2922)/100)</f>
        <v/>
      </c>
      <c r="Z2922" s="5">
        <f>IF(D2922="","",AB2922*AA2922/100)</f>
        <v/>
      </c>
      <c r="AA2922" s="5">
        <f>IF(D2922="","",X2922-Y2922)</f>
        <v/>
      </c>
      <c r="AD2922" s="5">
        <f>IF(D2922="","",AA2922-Z2922)</f>
        <v/>
      </c>
      <c r="AG2922">
        <f>IF(D2922="","",N(AG2921)+IF(MATCH(D2922,$D$2:$D$3001,0)=ROW()-1,1,0))</f>
        <v/>
      </c>
    </row>
    <row r="2923">
      <c r="Y2923" s="5">
        <f>IF(D2923="","",X2923*IF(AND(ISNUMBER(AC2923),AC2923&gt;0,AC2923&lt;1),AC2923*100,AC2923)/100)</f>
        <v/>
      </c>
      <c r="Z2923" s="5">
        <f>IF(D2923="","",AB2923*AA2923/100)</f>
        <v/>
      </c>
      <c r="AA2923" s="5">
        <f>IF(D2923="","",X2923-Y2923)</f>
        <v/>
      </c>
      <c r="AD2923" s="5">
        <f>IF(D2923="","",AA2923-Z2923)</f>
        <v/>
      </c>
      <c r="AG2923">
        <f>IF(D2923="","",N(AG2922)+IF(MATCH(D2923,$D$2:$D$3001,0)=ROW()-1,1,0))</f>
        <v/>
      </c>
    </row>
    <row r="2924">
      <c r="Y2924" s="5">
        <f>IF(D2924="","",X2924*IF(AND(ISNUMBER(AC2924),AC2924&gt;0,AC2924&lt;1),AC2924*100,AC2924)/100)</f>
        <v/>
      </c>
      <c r="Z2924" s="5">
        <f>IF(D2924="","",AB2924*AA2924/100)</f>
        <v/>
      </c>
      <c r="AA2924" s="5">
        <f>IF(D2924="","",X2924-Y2924)</f>
        <v/>
      </c>
      <c r="AD2924" s="5">
        <f>IF(D2924="","",AA2924-Z2924)</f>
        <v/>
      </c>
      <c r="AG2924">
        <f>IF(D2924="","",N(AG2923)+IF(MATCH(D2924,$D$2:$D$3001,0)=ROW()-1,1,0))</f>
        <v/>
      </c>
    </row>
    <row r="2925">
      <c r="Y2925" s="5">
        <f>IF(D2925="","",X2925*IF(AND(ISNUMBER(AC2925),AC2925&gt;0,AC2925&lt;1),AC2925*100,AC2925)/100)</f>
        <v/>
      </c>
      <c r="Z2925" s="5">
        <f>IF(D2925="","",AB2925*AA2925/100)</f>
        <v/>
      </c>
      <c r="AA2925" s="5">
        <f>IF(D2925="","",X2925-Y2925)</f>
        <v/>
      </c>
      <c r="AD2925" s="5">
        <f>IF(D2925="","",AA2925-Z2925)</f>
        <v/>
      </c>
      <c r="AG2925">
        <f>IF(D2925="","",N(AG2924)+IF(MATCH(D2925,$D$2:$D$3001,0)=ROW()-1,1,0))</f>
        <v/>
      </c>
    </row>
    <row r="2926">
      <c r="Y2926" s="5">
        <f>IF(D2926="","",X2926*IF(AND(ISNUMBER(AC2926),AC2926&gt;0,AC2926&lt;1),AC2926*100,AC2926)/100)</f>
        <v/>
      </c>
      <c r="Z2926" s="5">
        <f>IF(D2926="","",AB2926*AA2926/100)</f>
        <v/>
      </c>
      <c r="AA2926" s="5">
        <f>IF(D2926="","",X2926-Y2926)</f>
        <v/>
      </c>
      <c r="AD2926" s="5">
        <f>IF(D2926="","",AA2926-Z2926)</f>
        <v/>
      </c>
      <c r="AG2926">
        <f>IF(D2926="","",N(AG2925)+IF(MATCH(D2926,$D$2:$D$3001,0)=ROW()-1,1,0))</f>
        <v/>
      </c>
    </row>
    <row r="2927">
      <c r="Y2927" s="5">
        <f>IF(D2927="","",X2927*IF(AND(ISNUMBER(AC2927),AC2927&gt;0,AC2927&lt;1),AC2927*100,AC2927)/100)</f>
        <v/>
      </c>
      <c r="Z2927" s="5">
        <f>IF(D2927="","",AB2927*AA2927/100)</f>
        <v/>
      </c>
      <c r="AA2927" s="5">
        <f>IF(D2927="","",X2927-Y2927)</f>
        <v/>
      </c>
      <c r="AD2927" s="5">
        <f>IF(D2927="","",AA2927-Z2927)</f>
        <v/>
      </c>
      <c r="AG2927">
        <f>IF(D2927="","",N(AG2926)+IF(MATCH(D2927,$D$2:$D$3001,0)=ROW()-1,1,0))</f>
        <v/>
      </c>
    </row>
    <row r="2928">
      <c r="Y2928" s="5">
        <f>IF(D2928="","",X2928*IF(AND(ISNUMBER(AC2928),AC2928&gt;0,AC2928&lt;1),AC2928*100,AC2928)/100)</f>
        <v/>
      </c>
      <c r="Z2928" s="5">
        <f>IF(D2928="","",AB2928*AA2928/100)</f>
        <v/>
      </c>
      <c r="AA2928" s="5">
        <f>IF(D2928="","",X2928-Y2928)</f>
        <v/>
      </c>
      <c r="AD2928" s="5">
        <f>IF(D2928="","",AA2928-Z2928)</f>
        <v/>
      </c>
      <c r="AG2928">
        <f>IF(D2928="","",N(AG2927)+IF(MATCH(D2928,$D$2:$D$3001,0)=ROW()-1,1,0))</f>
        <v/>
      </c>
    </row>
    <row r="2929">
      <c r="Y2929" s="5">
        <f>IF(D2929="","",X2929*IF(AND(ISNUMBER(AC2929),AC2929&gt;0,AC2929&lt;1),AC2929*100,AC2929)/100)</f>
        <v/>
      </c>
      <c r="Z2929" s="5">
        <f>IF(D2929="","",AB2929*AA2929/100)</f>
        <v/>
      </c>
      <c r="AA2929" s="5">
        <f>IF(D2929="","",X2929-Y2929)</f>
        <v/>
      </c>
      <c r="AD2929" s="5">
        <f>IF(D2929="","",AA2929-Z2929)</f>
        <v/>
      </c>
      <c r="AG2929">
        <f>IF(D2929="","",N(AG2928)+IF(MATCH(D2929,$D$2:$D$3001,0)=ROW()-1,1,0))</f>
        <v/>
      </c>
    </row>
    <row r="2930">
      <c r="Y2930" s="5">
        <f>IF(D2930="","",X2930*IF(AND(ISNUMBER(AC2930),AC2930&gt;0,AC2930&lt;1),AC2930*100,AC2930)/100)</f>
        <v/>
      </c>
      <c r="Z2930" s="5">
        <f>IF(D2930="","",AB2930*AA2930/100)</f>
        <v/>
      </c>
      <c r="AA2930" s="5">
        <f>IF(D2930="","",X2930-Y2930)</f>
        <v/>
      </c>
      <c r="AD2930" s="5">
        <f>IF(D2930="","",AA2930-Z2930)</f>
        <v/>
      </c>
      <c r="AG2930">
        <f>IF(D2930="","",N(AG2929)+IF(MATCH(D2930,$D$2:$D$3001,0)=ROW()-1,1,0))</f>
        <v/>
      </c>
    </row>
    <row r="2931">
      <c r="Y2931" s="5">
        <f>IF(D2931="","",X2931*IF(AND(ISNUMBER(AC2931),AC2931&gt;0,AC2931&lt;1),AC2931*100,AC2931)/100)</f>
        <v/>
      </c>
      <c r="Z2931" s="5">
        <f>IF(D2931="","",AB2931*AA2931/100)</f>
        <v/>
      </c>
      <c r="AA2931" s="5">
        <f>IF(D2931="","",X2931-Y2931)</f>
        <v/>
      </c>
      <c r="AD2931" s="5">
        <f>IF(D2931="","",AA2931-Z2931)</f>
        <v/>
      </c>
      <c r="AG2931">
        <f>IF(D2931="","",N(AG2930)+IF(MATCH(D2931,$D$2:$D$3001,0)=ROW()-1,1,0))</f>
        <v/>
      </c>
    </row>
    <row r="2932">
      <c r="Y2932" s="5">
        <f>IF(D2932="","",X2932*IF(AND(ISNUMBER(AC2932),AC2932&gt;0,AC2932&lt;1),AC2932*100,AC2932)/100)</f>
        <v/>
      </c>
      <c r="Z2932" s="5">
        <f>IF(D2932="","",AB2932*AA2932/100)</f>
        <v/>
      </c>
      <c r="AA2932" s="5">
        <f>IF(D2932="","",X2932-Y2932)</f>
        <v/>
      </c>
      <c r="AD2932" s="5">
        <f>IF(D2932="","",AA2932-Z2932)</f>
        <v/>
      </c>
      <c r="AG2932">
        <f>IF(D2932="","",N(AG2931)+IF(MATCH(D2932,$D$2:$D$3001,0)=ROW()-1,1,0))</f>
        <v/>
      </c>
    </row>
    <row r="2933">
      <c r="Y2933" s="5">
        <f>IF(D2933="","",X2933*IF(AND(ISNUMBER(AC2933),AC2933&gt;0,AC2933&lt;1),AC2933*100,AC2933)/100)</f>
        <v/>
      </c>
      <c r="Z2933" s="5">
        <f>IF(D2933="","",AB2933*AA2933/100)</f>
        <v/>
      </c>
      <c r="AA2933" s="5">
        <f>IF(D2933="","",X2933-Y2933)</f>
        <v/>
      </c>
      <c r="AD2933" s="5">
        <f>IF(D2933="","",AA2933-Z2933)</f>
        <v/>
      </c>
      <c r="AG2933">
        <f>IF(D2933="","",N(AG2932)+IF(MATCH(D2933,$D$2:$D$3001,0)=ROW()-1,1,0))</f>
        <v/>
      </c>
    </row>
    <row r="2934">
      <c r="Y2934" s="5">
        <f>IF(D2934="","",X2934*IF(AND(ISNUMBER(AC2934),AC2934&gt;0,AC2934&lt;1),AC2934*100,AC2934)/100)</f>
        <v/>
      </c>
      <c r="Z2934" s="5">
        <f>IF(D2934="","",AB2934*AA2934/100)</f>
        <v/>
      </c>
      <c r="AA2934" s="5">
        <f>IF(D2934="","",X2934-Y2934)</f>
        <v/>
      </c>
      <c r="AD2934" s="5">
        <f>IF(D2934="","",AA2934-Z2934)</f>
        <v/>
      </c>
      <c r="AG2934">
        <f>IF(D2934="","",N(AG2933)+IF(MATCH(D2934,$D$2:$D$3001,0)=ROW()-1,1,0))</f>
        <v/>
      </c>
    </row>
    <row r="2935">
      <c r="Y2935" s="5">
        <f>IF(D2935="","",X2935*IF(AND(ISNUMBER(AC2935),AC2935&gt;0,AC2935&lt;1),AC2935*100,AC2935)/100)</f>
        <v/>
      </c>
      <c r="Z2935" s="5">
        <f>IF(D2935="","",AB2935*AA2935/100)</f>
        <v/>
      </c>
      <c r="AA2935" s="5">
        <f>IF(D2935="","",X2935-Y2935)</f>
        <v/>
      </c>
      <c r="AD2935" s="5">
        <f>IF(D2935="","",AA2935-Z2935)</f>
        <v/>
      </c>
      <c r="AG2935">
        <f>IF(D2935="","",N(AG2934)+IF(MATCH(D2935,$D$2:$D$3001,0)=ROW()-1,1,0))</f>
        <v/>
      </c>
    </row>
    <row r="2936">
      <c r="Y2936" s="5">
        <f>IF(D2936="","",X2936*IF(AND(ISNUMBER(AC2936),AC2936&gt;0,AC2936&lt;1),AC2936*100,AC2936)/100)</f>
        <v/>
      </c>
      <c r="Z2936" s="5">
        <f>IF(D2936="","",AB2936*AA2936/100)</f>
        <v/>
      </c>
      <c r="AA2936" s="5">
        <f>IF(D2936="","",X2936-Y2936)</f>
        <v/>
      </c>
      <c r="AD2936" s="5">
        <f>IF(D2936="","",AA2936-Z2936)</f>
        <v/>
      </c>
      <c r="AG2936">
        <f>IF(D2936="","",N(AG2935)+IF(MATCH(D2936,$D$2:$D$3001,0)=ROW()-1,1,0))</f>
        <v/>
      </c>
    </row>
    <row r="2937">
      <c r="Y2937" s="5">
        <f>IF(D2937="","",X2937*IF(AND(ISNUMBER(AC2937),AC2937&gt;0,AC2937&lt;1),AC2937*100,AC2937)/100)</f>
        <v/>
      </c>
      <c r="Z2937" s="5">
        <f>IF(D2937="","",AB2937*AA2937/100)</f>
        <v/>
      </c>
      <c r="AA2937" s="5">
        <f>IF(D2937="","",X2937-Y2937)</f>
        <v/>
      </c>
      <c r="AD2937" s="5">
        <f>IF(D2937="","",AA2937-Z2937)</f>
        <v/>
      </c>
      <c r="AG2937">
        <f>IF(D2937="","",N(AG2936)+IF(MATCH(D2937,$D$2:$D$3001,0)=ROW()-1,1,0))</f>
        <v/>
      </c>
    </row>
    <row r="2938">
      <c r="Y2938" s="5">
        <f>IF(D2938="","",X2938*IF(AND(ISNUMBER(AC2938),AC2938&gt;0,AC2938&lt;1),AC2938*100,AC2938)/100)</f>
        <v/>
      </c>
      <c r="Z2938" s="5">
        <f>IF(D2938="","",AB2938*AA2938/100)</f>
        <v/>
      </c>
      <c r="AA2938" s="5">
        <f>IF(D2938="","",X2938-Y2938)</f>
        <v/>
      </c>
      <c r="AD2938" s="5">
        <f>IF(D2938="","",AA2938-Z2938)</f>
        <v/>
      </c>
      <c r="AG2938">
        <f>IF(D2938="","",N(AG2937)+IF(MATCH(D2938,$D$2:$D$3001,0)=ROW()-1,1,0))</f>
        <v/>
      </c>
    </row>
    <row r="2939">
      <c r="Y2939" s="5">
        <f>IF(D2939="","",X2939*IF(AND(ISNUMBER(AC2939),AC2939&gt;0,AC2939&lt;1),AC2939*100,AC2939)/100)</f>
        <v/>
      </c>
      <c r="Z2939" s="5">
        <f>IF(D2939="","",AB2939*AA2939/100)</f>
        <v/>
      </c>
      <c r="AA2939" s="5">
        <f>IF(D2939="","",X2939-Y2939)</f>
        <v/>
      </c>
      <c r="AD2939" s="5">
        <f>IF(D2939="","",AA2939-Z2939)</f>
        <v/>
      </c>
      <c r="AG2939">
        <f>IF(D2939="","",N(AG2938)+IF(MATCH(D2939,$D$2:$D$3001,0)=ROW()-1,1,0))</f>
        <v/>
      </c>
    </row>
    <row r="2940">
      <c r="Y2940" s="5">
        <f>IF(D2940="","",X2940*IF(AND(ISNUMBER(AC2940),AC2940&gt;0,AC2940&lt;1),AC2940*100,AC2940)/100)</f>
        <v/>
      </c>
      <c r="Z2940" s="5">
        <f>IF(D2940="","",AB2940*AA2940/100)</f>
        <v/>
      </c>
      <c r="AA2940" s="5">
        <f>IF(D2940="","",X2940-Y2940)</f>
        <v/>
      </c>
      <c r="AD2940" s="5">
        <f>IF(D2940="","",AA2940-Z2940)</f>
        <v/>
      </c>
      <c r="AG2940">
        <f>IF(D2940="","",N(AG2939)+IF(MATCH(D2940,$D$2:$D$3001,0)=ROW()-1,1,0))</f>
        <v/>
      </c>
    </row>
    <row r="2941">
      <c r="Y2941" s="5">
        <f>IF(D2941="","",X2941*IF(AND(ISNUMBER(AC2941),AC2941&gt;0,AC2941&lt;1),AC2941*100,AC2941)/100)</f>
        <v/>
      </c>
      <c r="Z2941" s="5">
        <f>IF(D2941="","",AB2941*AA2941/100)</f>
        <v/>
      </c>
      <c r="AA2941" s="5">
        <f>IF(D2941="","",X2941-Y2941)</f>
        <v/>
      </c>
      <c r="AD2941" s="5">
        <f>IF(D2941="","",AA2941-Z2941)</f>
        <v/>
      </c>
      <c r="AG2941">
        <f>IF(D2941="","",N(AG2940)+IF(MATCH(D2941,$D$2:$D$3001,0)=ROW()-1,1,0))</f>
        <v/>
      </c>
    </row>
    <row r="2942">
      <c r="Y2942" s="5">
        <f>IF(D2942="","",X2942*IF(AND(ISNUMBER(AC2942),AC2942&gt;0,AC2942&lt;1),AC2942*100,AC2942)/100)</f>
        <v/>
      </c>
      <c r="Z2942" s="5">
        <f>IF(D2942="","",AB2942*AA2942/100)</f>
        <v/>
      </c>
      <c r="AA2942" s="5">
        <f>IF(D2942="","",X2942-Y2942)</f>
        <v/>
      </c>
      <c r="AD2942" s="5">
        <f>IF(D2942="","",AA2942-Z2942)</f>
        <v/>
      </c>
      <c r="AG2942">
        <f>IF(D2942="","",N(AG2941)+IF(MATCH(D2942,$D$2:$D$3001,0)=ROW()-1,1,0))</f>
        <v/>
      </c>
    </row>
    <row r="2943">
      <c r="Y2943" s="5">
        <f>IF(D2943="","",X2943*IF(AND(ISNUMBER(AC2943),AC2943&gt;0,AC2943&lt;1),AC2943*100,AC2943)/100)</f>
        <v/>
      </c>
      <c r="Z2943" s="5">
        <f>IF(D2943="","",AB2943*AA2943/100)</f>
        <v/>
      </c>
      <c r="AA2943" s="5">
        <f>IF(D2943="","",X2943-Y2943)</f>
        <v/>
      </c>
      <c r="AD2943" s="5">
        <f>IF(D2943="","",AA2943-Z2943)</f>
        <v/>
      </c>
      <c r="AG2943">
        <f>IF(D2943="","",N(AG2942)+IF(MATCH(D2943,$D$2:$D$3001,0)=ROW()-1,1,0))</f>
        <v/>
      </c>
    </row>
    <row r="2944">
      <c r="Y2944" s="5">
        <f>IF(D2944="","",X2944*IF(AND(ISNUMBER(AC2944),AC2944&gt;0,AC2944&lt;1),AC2944*100,AC2944)/100)</f>
        <v/>
      </c>
      <c r="Z2944" s="5">
        <f>IF(D2944="","",AB2944*AA2944/100)</f>
        <v/>
      </c>
      <c r="AA2944" s="5">
        <f>IF(D2944="","",X2944-Y2944)</f>
        <v/>
      </c>
      <c r="AD2944" s="5">
        <f>IF(D2944="","",AA2944-Z2944)</f>
        <v/>
      </c>
      <c r="AG2944">
        <f>IF(D2944="","",N(AG2943)+IF(MATCH(D2944,$D$2:$D$3001,0)=ROW()-1,1,0))</f>
        <v/>
      </c>
    </row>
    <row r="2945">
      <c r="Y2945" s="5">
        <f>IF(D2945="","",X2945*IF(AND(ISNUMBER(AC2945),AC2945&gt;0,AC2945&lt;1),AC2945*100,AC2945)/100)</f>
        <v/>
      </c>
      <c r="Z2945" s="5">
        <f>IF(D2945="","",AB2945*AA2945/100)</f>
        <v/>
      </c>
      <c r="AA2945" s="5">
        <f>IF(D2945="","",X2945-Y2945)</f>
        <v/>
      </c>
      <c r="AD2945" s="5">
        <f>IF(D2945="","",AA2945-Z2945)</f>
        <v/>
      </c>
      <c r="AG2945">
        <f>IF(D2945="","",N(AG2944)+IF(MATCH(D2945,$D$2:$D$3001,0)=ROW()-1,1,0))</f>
        <v/>
      </c>
    </row>
    <row r="2946">
      <c r="Y2946" s="5">
        <f>IF(D2946="","",X2946*IF(AND(ISNUMBER(AC2946),AC2946&gt;0,AC2946&lt;1),AC2946*100,AC2946)/100)</f>
        <v/>
      </c>
      <c r="Z2946" s="5">
        <f>IF(D2946="","",AB2946*AA2946/100)</f>
        <v/>
      </c>
      <c r="AA2946" s="5">
        <f>IF(D2946="","",X2946-Y2946)</f>
        <v/>
      </c>
      <c r="AD2946" s="5">
        <f>IF(D2946="","",AA2946-Z2946)</f>
        <v/>
      </c>
      <c r="AG2946">
        <f>IF(D2946="","",N(AG2945)+IF(MATCH(D2946,$D$2:$D$3001,0)=ROW()-1,1,0))</f>
        <v/>
      </c>
    </row>
    <row r="2947">
      <c r="Y2947" s="5">
        <f>IF(D2947="","",X2947*IF(AND(ISNUMBER(AC2947),AC2947&gt;0,AC2947&lt;1),AC2947*100,AC2947)/100)</f>
        <v/>
      </c>
      <c r="Z2947" s="5">
        <f>IF(D2947="","",AB2947*AA2947/100)</f>
        <v/>
      </c>
      <c r="AA2947" s="5">
        <f>IF(D2947="","",X2947-Y2947)</f>
        <v/>
      </c>
      <c r="AD2947" s="5">
        <f>IF(D2947="","",AA2947-Z2947)</f>
        <v/>
      </c>
      <c r="AG2947">
        <f>IF(D2947="","",N(AG2946)+IF(MATCH(D2947,$D$2:$D$3001,0)=ROW()-1,1,0))</f>
        <v/>
      </c>
    </row>
    <row r="2948">
      <c r="Y2948" s="5">
        <f>IF(D2948="","",X2948*IF(AND(ISNUMBER(AC2948),AC2948&gt;0,AC2948&lt;1),AC2948*100,AC2948)/100)</f>
        <v/>
      </c>
      <c r="Z2948" s="5">
        <f>IF(D2948="","",AB2948*AA2948/100)</f>
        <v/>
      </c>
      <c r="AA2948" s="5">
        <f>IF(D2948="","",X2948-Y2948)</f>
        <v/>
      </c>
      <c r="AD2948" s="5">
        <f>IF(D2948="","",AA2948-Z2948)</f>
        <v/>
      </c>
      <c r="AG2948">
        <f>IF(D2948="","",N(AG2947)+IF(MATCH(D2948,$D$2:$D$3001,0)=ROW()-1,1,0))</f>
        <v/>
      </c>
    </row>
    <row r="2949">
      <c r="Y2949" s="5">
        <f>IF(D2949="","",X2949*IF(AND(ISNUMBER(AC2949),AC2949&gt;0,AC2949&lt;1),AC2949*100,AC2949)/100)</f>
        <v/>
      </c>
      <c r="Z2949" s="5">
        <f>IF(D2949="","",AB2949*AA2949/100)</f>
        <v/>
      </c>
      <c r="AA2949" s="5">
        <f>IF(D2949="","",X2949-Y2949)</f>
        <v/>
      </c>
      <c r="AD2949" s="5">
        <f>IF(D2949="","",AA2949-Z2949)</f>
        <v/>
      </c>
      <c r="AG2949">
        <f>IF(D2949="","",N(AG2948)+IF(MATCH(D2949,$D$2:$D$3001,0)=ROW()-1,1,0))</f>
        <v/>
      </c>
    </row>
    <row r="2950">
      <c r="Y2950" s="5">
        <f>IF(D2950="","",X2950*IF(AND(ISNUMBER(AC2950),AC2950&gt;0,AC2950&lt;1),AC2950*100,AC2950)/100)</f>
        <v/>
      </c>
      <c r="Z2950" s="5">
        <f>IF(D2950="","",AB2950*AA2950/100)</f>
        <v/>
      </c>
      <c r="AA2950" s="5">
        <f>IF(D2950="","",X2950-Y2950)</f>
        <v/>
      </c>
      <c r="AD2950" s="5">
        <f>IF(D2950="","",AA2950-Z2950)</f>
        <v/>
      </c>
      <c r="AG2950">
        <f>IF(D2950="","",N(AG2949)+IF(MATCH(D2950,$D$2:$D$3001,0)=ROW()-1,1,0))</f>
        <v/>
      </c>
    </row>
    <row r="2951">
      <c r="Y2951" s="5">
        <f>IF(D2951="","",X2951*IF(AND(ISNUMBER(AC2951),AC2951&gt;0,AC2951&lt;1),AC2951*100,AC2951)/100)</f>
        <v/>
      </c>
      <c r="Z2951" s="5">
        <f>IF(D2951="","",AB2951*AA2951/100)</f>
        <v/>
      </c>
      <c r="AA2951" s="5">
        <f>IF(D2951="","",X2951-Y2951)</f>
        <v/>
      </c>
      <c r="AD2951" s="5">
        <f>IF(D2951="","",AA2951-Z2951)</f>
        <v/>
      </c>
      <c r="AG2951">
        <f>IF(D2951="","",N(AG2950)+IF(MATCH(D2951,$D$2:$D$3001,0)=ROW()-1,1,0))</f>
        <v/>
      </c>
    </row>
    <row r="2952">
      <c r="Y2952" s="5">
        <f>IF(D2952="","",X2952*IF(AND(ISNUMBER(AC2952),AC2952&gt;0,AC2952&lt;1),AC2952*100,AC2952)/100)</f>
        <v/>
      </c>
      <c r="Z2952" s="5">
        <f>IF(D2952="","",AB2952*AA2952/100)</f>
        <v/>
      </c>
      <c r="AA2952" s="5">
        <f>IF(D2952="","",X2952-Y2952)</f>
        <v/>
      </c>
      <c r="AD2952" s="5">
        <f>IF(D2952="","",AA2952-Z2952)</f>
        <v/>
      </c>
      <c r="AG2952">
        <f>IF(D2952="","",N(AG2951)+IF(MATCH(D2952,$D$2:$D$3001,0)=ROW()-1,1,0))</f>
        <v/>
      </c>
    </row>
    <row r="2953">
      <c r="Y2953" s="5">
        <f>IF(D2953="","",X2953*IF(AND(ISNUMBER(AC2953),AC2953&gt;0,AC2953&lt;1),AC2953*100,AC2953)/100)</f>
        <v/>
      </c>
      <c r="Z2953" s="5">
        <f>IF(D2953="","",AB2953*AA2953/100)</f>
        <v/>
      </c>
      <c r="AA2953" s="5">
        <f>IF(D2953="","",X2953-Y2953)</f>
        <v/>
      </c>
      <c r="AD2953" s="5">
        <f>IF(D2953="","",AA2953-Z2953)</f>
        <v/>
      </c>
      <c r="AG2953">
        <f>IF(D2953="","",N(AG2952)+IF(MATCH(D2953,$D$2:$D$3001,0)=ROW()-1,1,0))</f>
        <v/>
      </c>
    </row>
    <row r="2954">
      <c r="Y2954" s="5">
        <f>IF(D2954="","",X2954*IF(AND(ISNUMBER(AC2954),AC2954&gt;0,AC2954&lt;1),AC2954*100,AC2954)/100)</f>
        <v/>
      </c>
      <c r="Z2954" s="5">
        <f>IF(D2954="","",AB2954*AA2954/100)</f>
        <v/>
      </c>
      <c r="AA2954" s="5">
        <f>IF(D2954="","",X2954-Y2954)</f>
        <v/>
      </c>
      <c r="AD2954" s="5">
        <f>IF(D2954="","",AA2954-Z2954)</f>
        <v/>
      </c>
      <c r="AG2954">
        <f>IF(D2954="","",N(AG2953)+IF(MATCH(D2954,$D$2:$D$3001,0)=ROW()-1,1,0))</f>
        <v/>
      </c>
    </row>
    <row r="2955">
      <c r="Y2955" s="5">
        <f>IF(D2955="","",X2955*IF(AND(ISNUMBER(AC2955),AC2955&gt;0,AC2955&lt;1),AC2955*100,AC2955)/100)</f>
        <v/>
      </c>
      <c r="Z2955" s="5">
        <f>IF(D2955="","",AB2955*AA2955/100)</f>
        <v/>
      </c>
      <c r="AA2955" s="5">
        <f>IF(D2955="","",X2955-Y2955)</f>
        <v/>
      </c>
      <c r="AD2955" s="5">
        <f>IF(D2955="","",AA2955-Z2955)</f>
        <v/>
      </c>
      <c r="AG2955">
        <f>IF(D2955="","",N(AG2954)+IF(MATCH(D2955,$D$2:$D$3001,0)=ROW()-1,1,0))</f>
        <v/>
      </c>
    </row>
    <row r="2956">
      <c r="Y2956" s="5">
        <f>IF(D2956="","",X2956*IF(AND(ISNUMBER(AC2956),AC2956&gt;0,AC2956&lt;1),AC2956*100,AC2956)/100)</f>
        <v/>
      </c>
      <c r="Z2956" s="5">
        <f>IF(D2956="","",AB2956*AA2956/100)</f>
        <v/>
      </c>
      <c r="AA2956" s="5">
        <f>IF(D2956="","",X2956-Y2956)</f>
        <v/>
      </c>
      <c r="AD2956" s="5">
        <f>IF(D2956="","",AA2956-Z2956)</f>
        <v/>
      </c>
      <c r="AG2956">
        <f>IF(D2956="","",N(AG2955)+IF(MATCH(D2956,$D$2:$D$3001,0)=ROW()-1,1,0))</f>
        <v/>
      </c>
    </row>
    <row r="2957">
      <c r="Y2957" s="5">
        <f>IF(D2957="","",X2957*IF(AND(ISNUMBER(AC2957),AC2957&gt;0,AC2957&lt;1),AC2957*100,AC2957)/100)</f>
        <v/>
      </c>
      <c r="Z2957" s="5">
        <f>IF(D2957="","",AB2957*AA2957/100)</f>
        <v/>
      </c>
      <c r="AA2957" s="5">
        <f>IF(D2957="","",X2957-Y2957)</f>
        <v/>
      </c>
      <c r="AD2957" s="5">
        <f>IF(D2957="","",AA2957-Z2957)</f>
        <v/>
      </c>
      <c r="AG2957">
        <f>IF(D2957="","",N(AG2956)+IF(MATCH(D2957,$D$2:$D$3001,0)=ROW()-1,1,0))</f>
        <v/>
      </c>
    </row>
    <row r="2958">
      <c r="Y2958" s="5">
        <f>IF(D2958="","",X2958*IF(AND(ISNUMBER(AC2958),AC2958&gt;0,AC2958&lt;1),AC2958*100,AC2958)/100)</f>
        <v/>
      </c>
      <c r="Z2958" s="5">
        <f>IF(D2958="","",AB2958*AA2958/100)</f>
        <v/>
      </c>
      <c r="AA2958" s="5">
        <f>IF(D2958="","",X2958-Y2958)</f>
        <v/>
      </c>
      <c r="AD2958" s="5">
        <f>IF(D2958="","",AA2958-Z2958)</f>
        <v/>
      </c>
      <c r="AG2958">
        <f>IF(D2958="","",N(AG2957)+IF(MATCH(D2958,$D$2:$D$3001,0)=ROW()-1,1,0))</f>
        <v/>
      </c>
    </row>
    <row r="2959">
      <c r="Y2959" s="5">
        <f>IF(D2959="","",X2959*IF(AND(ISNUMBER(AC2959),AC2959&gt;0,AC2959&lt;1),AC2959*100,AC2959)/100)</f>
        <v/>
      </c>
      <c r="Z2959" s="5">
        <f>IF(D2959="","",AB2959*AA2959/100)</f>
        <v/>
      </c>
      <c r="AA2959" s="5">
        <f>IF(D2959="","",X2959-Y2959)</f>
        <v/>
      </c>
      <c r="AD2959" s="5">
        <f>IF(D2959="","",AA2959-Z2959)</f>
        <v/>
      </c>
      <c r="AG2959">
        <f>IF(D2959="","",N(AG2958)+IF(MATCH(D2959,$D$2:$D$3001,0)=ROW()-1,1,0))</f>
        <v/>
      </c>
    </row>
    <row r="2960">
      <c r="Y2960" s="5">
        <f>IF(D2960="","",X2960*IF(AND(ISNUMBER(AC2960),AC2960&gt;0,AC2960&lt;1),AC2960*100,AC2960)/100)</f>
        <v/>
      </c>
      <c r="Z2960" s="5">
        <f>IF(D2960="","",AB2960*AA2960/100)</f>
        <v/>
      </c>
      <c r="AA2960" s="5">
        <f>IF(D2960="","",X2960-Y2960)</f>
        <v/>
      </c>
      <c r="AD2960" s="5">
        <f>IF(D2960="","",AA2960-Z2960)</f>
        <v/>
      </c>
      <c r="AG2960">
        <f>IF(D2960="","",N(AG2959)+IF(MATCH(D2960,$D$2:$D$3001,0)=ROW()-1,1,0))</f>
        <v/>
      </c>
    </row>
    <row r="2961">
      <c r="Y2961" s="5">
        <f>IF(D2961="","",X2961*IF(AND(ISNUMBER(AC2961),AC2961&gt;0,AC2961&lt;1),AC2961*100,AC2961)/100)</f>
        <v/>
      </c>
      <c r="Z2961" s="5">
        <f>IF(D2961="","",AB2961*AA2961/100)</f>
        <v/>
      </c>
      <c r="AA2961" s="5">
        <f>IF(D2961="","",X2961-Y2961)</f>
        <v/>
      </c>
      <c r="AD2961" s="5">
        <f>IF(D2961="","",AA2961-Z2961)</f>
        <v/>
      </c>
      <c r="AG2961">
        <f>IF(D2961="","",N(AG2960)+IF(MATCH(D2961,$D$2:$D$3001,0)=ROW()-1,1,0))</f>
        <v/>
      </c>
    </row>
    <row r="2962">
      <c r="Y2962" s="5">
        <f>IF(D2962="","",X2962*IF(AND(ISNUMBER(AC2962),AC2962&gt;0,AC2962&lt;1),AC2962*100,AC2962)/100)</f>
        <v/>
      </c>
      <c r="Z2962" s="5">
        <f>IF(D2962="","",AB2962*AA2962/100)</f>
        <v/>
      </c>
      <c r="AA2962" s="5">
        <f>IF(D2962="","",X2962-Y2962)</f>
        <v/>
      </c>
      <c r="AD2962" s="5">
        <f>IF(D2962="","",AA2962-Z2962)</f>
        <v/>
      </c>
      <c r="AG2962">
        <f>IF(D2962="","",N(AG2961)+IF(MATCH(D2962,$D$2:$D$3001,0)=ROW()-1,1,0))</f>
        <v/>
      </c>
    </row>
    <row r="2963">
      <c r="Y2963" s="5">
        <f>IF(D2963="","",X2963*IF(AND(ISNUMBER(AC2963),AC2963&gt;0,AC2963&lt;1),AC2963*100,AC2963)/100)</f>
        <v/>
      </c>
      <c r="Z2963" s="5">
        <f>IF(D2963="","",AB2963*AA2963/100)</f>
        <v/>
      </c>
      <c r="AA2963" s="5">
        <f>IF(D2963="","",X2963-Y2963)</f>
        <v/>
      </c>
      <c r="AD2963" s="5">
        <f>IF(D2963="","",AA2963-Z2963)</f>
        <v/>
      </c>
      <c r="AG2963">
        <f>IF(D2963="","",N(AG2962)+IF(MATCH(D2963,$D$2:$D$3001,0)=ROW()-1,1,0))</f>
        <v/>
      </c>
    </row>
    <row r="2964">
      <c r="Y2964" s="5">
        <f>IF(D2964="","",X2964*IF(AND(ISNUMBER(AC2964),AC2964&gt;0,AC2964&lt;1),AC2964*100,AC2964)/100)</f>
        <v/>
      </c>
      <c r="Z2964" s="5">
        <f>IF(D2964="","",AB2964*AA2964/100)</f>
        <v/>
      </c>
      <c r="AA2964" s="5">
        <f>IF(D2964="","",X2964-Y2964)</f>
        <v/>
      </c>
      <c r="AD2964" s="5">
        <f>IF(D2964="","",AA2964-Z2964)</f>
        <v/>
      </c>
      <c r="AG2964">
        <f>IF(D2964="","",N(AG2963)+IF(MATCH(D2964,$D$2:$D$3001,0)=ROW()-1,1,0))</f>
        <v/>
      </c>
    </row>
    <row r="2965">
      <c r="Y2965" s="5">
        <f>IF(D2965="","",X2965*IF(AND(ISNUMBER(AC2965),AC2965&gt;0,AC2965&lt;1),AC2965*100,AC2965)/100)</f>
        <v/>
      </c>
      <c r="Z2965" s="5">
        <f>IF(D2965="","",AB2965*AA2965/100)</f>
        <v/>
      </c>
      <c r="AA2965" s="5">
        <f>IF(D2965="","",X2965-Y2965)</f>
        <v/>
      </c>
      <c r="AD2965" s="5">
        <f>IF(D2965="","",AA2965-Z2965)</f>
        <v/>
      </c>
      <c r="AG2965">
        <f>IF(D2965="","",N(AG2964)+IF(MATCH(D2965,$D$2:$D$3001,0)=ROW()-1,1,0))</f>
        <v/>
      </c>
    </row>
    <row r="2966">
      <c r="Y2966" s="5">
        <f>IF(D2966="","",X2966*IF(AND(ISNUMBER(AC2966),AC2966&gt;0,AC2966&lt;1),AC2966*100,AC2966)/100)</f>
        <v/>
      </c>
      <c r="Z2966" s="5">
        <f>IF(D2966="","",AB2966*AA2966/100)</f>
        <v/>
      </c>
      <c r="AA2966" s="5">
        <f>IF(D2966="","",X2966-Y2966)</f>
        <v/>
      </c>
      <c r="AD2966" s="5">
        <f>IF(D2966="","",AA2966-Z2966)</f>
        <v/>
      </c>
      <c r="AG2966">
        <f>IF(D2966="","",N(AG2965)+IF(MATCH(D2966,$D$2:$D$3001,0)=ROW()-1,1,0))</f>
        <v/>
      </c>
    </row>
    <row r="2967">
      <c r="Y2967" s="5">
        <f>IF(D2967="","",X2967*IF(AND(ISNUMBER(AC2967),AC2967&gt;0,AC2967&lt;1),AC2967*100,AC2967)/100)</f>
        <v/>
      </c>
      <c r="Z2967" s="5">
        <f>IF(D2967="","",AB2967*AA2967/100)</f>
        <v/>
      </c>
      <c r="AA2967" s="5">
        <f>IF(D2967="","",X2967-Y2967)</f>
        <v/>
      </c>
      <c r="AD2967" s="5">
        <f>IF(D2967="","",AA2967-Z2967)</f>
        <v/>
      </c>
      <c r="AG2967">
        <f>IF(D2967="","",N(AG2966)+IF(MATCH(D2967,$D$2:$D$3001,0)=ROW()-1,1,0))</f>
        <v/>
      </c>
    </row>
    <row r="2968">
      <c r="Y2968" s="5">
        <f>IF(D2968="","",X2968*IF(AND(ISNUMBER(AC2968),AC2968&gt;0,AC2968&lt;1),AC2968*100,AC2968)/100)</f>
        <v/>
      </c>
      <c r="Z2968" s="5">
        <f>IF(D2968="","",AB2968*AA2968/100)</f>
        <v/>
      </c>
      <c r="AA2968" s="5">
        <f>IF(D2968="","",X2968-Y2968)</f>
        <v/>
      </c>
      <c r="AD2968" s="5">
        <f>IF(D2968="","",AA2968-Z2968)</f>
        <v/>
      </c>
      <c r="AG2968">
        <f>IF(D2968="","",N(AG2967)+IF(MATCH(D2968,$D$2:$D$3001,0)=ROW()-1,1,0))</f>
        <v/>
      </c>
    </row>
    <row r="2969">
      <c r="Y2969" s="5">
        <f>IF(D2969="","",X2969*IF(AND(ISNUMBER(AC2969),AC2969&gt;0,AC2969&lt;1),AC2969*100,AC2969)/100)</f>
        <v/>
      </c>
      <c r="Z2969" s="5">
        <f>IF(D2969="","",AB2969*AA2969/100)</f>
        <v/>
      </c>
      <c r="AA2969" s="5">
        <f>IF(D2969="","",X2969-Y2969)</f>
        <v/>
      </c>
      <c r="AD2969" s="5">
        <f>IF(D2969="","",AA2969-Z2969)</f>
        <v/>
      </c>
      <c r="AG2969">
        <f>IF(D2969="","",N(AG2968)+IF(MATCH(D2969,$D$2:$D$3001,0)=ROW()-1,1,0))</f>
        <v/>
      </c>
    </row>
    <row r="2970">
      <c r="Y2970" s="5">
        <f>IF(D2970="","",X2970*IF(AND(ISNUMBER(AC2970),AC2970&gt;0,AC2970&lt;1),AC2970*100,AC2970)/100)</f>
        <v/>
      </c>
      <c r="Z2970" s="5">
        <f>IF(D2970="","",AB2970*AA2970/100)</f>
        <v/>
      </c>
      <c r="AA2970" s="5">
        <f>IF(D2970="","",X2970-Y2970)</f>
        <v/>
      </c>
      <c r="AD2970" s="5">
        <f>IF(D2970="","",AA2970-Z2970)</f>
        <v/>
      </c>
      <c r="AG2970">
        <f>IF(D2970="","",N(AG2969)+IF(MATCH(D2970,$D$2:$D$3001,0)=ROW()-1,1,0))</f>
        <v/>
      </c>
    </row>
    <row r="2971">
      <c r="Y2971" s="5">
        <f>IF(D2971="","",X2971*IF(AND(ISNUMBER(AC2971),AC2971&gt;0,AC2971&lt;1),AC2971*100,AC2971)/100)</f>
        <v/>
      </c>
      <c r="Z2971" s="5">
        <f>IF(D2971="","",AB2971*AA2971/100)</f>
        <v/>
      </c>
      <c r="AA2971" s="5">
        <f>IF(D2971="","",X2971-Y2971)</f>
        <v/>
      </c>
      <c r="AD2971" s="5">
        <f>IF(D2971="","",AA2971-Z2971)</f>
        <v/>
      </c>
      <c r="AG2971">
        <f>IF(D2971="","",N(AG2970)+IF(MATCH(D2971,$D$2:$D$3001,0)=ROW()-1,1,0))</f>
        <v/>
      </c>
    </row>
    <row r="2972">
      <c r="Y2972" s="5">
        <f>IF(D2972="","",X2972*IF(AND(ISNUMBER(AC2972),AC2972&gt;0,AC2972&lt;1),AC2972*100,AC2972)/100)</f>
        <v/>
      </c>
      <c r="Z2972" s="5">
        <f>IF(D2972="","",AB2972*AA2972/100)</f>
        <v/>
      </c>
      <c r="AA2972" s="5">
        <f>IF(D2972="","",X2972-Y2972)</f>
        <v/>
      </c>
      <c r="AD2972" s="5">
        <f>IF(D2972="","",AA2972-Z2972)</f>
        <v/>
      </c>
      <c r="AG2972">
        <f>IF(D2972="","",N(AG2971)+IF(MATCH(D2972,$D$2:$D$3001,0)=ROW()-1,1,0))</f>
        <v/>
      </c>
    </row>
    <row r="2973">
      <c r="Y2973" s="5">
        <f>IF(D2973="","",X2973*IF(AND(ISNUMBER(AC2973),AC2973&gt;0,AC2973&lt;1),AC2973*100,AC2973)/100)</f>
        <v/>
      </c>
      <c r="Z2973" s="5">
        <f>IF(D2973="","",AB2973*AA2973/100)</f>
        <v/>
      </c>
      <c r="AA2973" s="5">
        <f>IF(D2973="","",X2973-Y2973)</f>
        <v/>
      </c>
      <c r="AD2973" s="5">
        <f>IF(D2973="","",AA2973-Z2973)</f>
        <v/>
      </c>
      <c r="AG2973">
        <f>IF(D2973="","",N(AG2972)+IF(MATCH(D2973,$D$2:$D$3001,0)=ROW()-1,1,0))</f>
        <v/>
      </c>
    </row>
    <row r="2974">
      <c r="Y2974" s="5">
        <f>IF(D2974="","",X2974*IF(AND(ISNUMBER(AC2974),AC2974&gt;0,AC2974&lt;1),AC2974*100,AC2974)/100)</f>
        <v/>
      </c>
      <c r="Z2974" s="5">
        <f>IF(D2974="","",AB2974*AA2974/100)</f>
        <v/>
      </c>
      <c r="AA2974" s="5">
        <f>IF(D2974="","",X2974-Y2974)</f>
        <v/>
      </c>
      <c r="AD2974" s="5">
        <f>IF(D2974="","",AA2974-Z2974)</f>
        <v/>
      </c>
      <c r="AG2974">
        <f>IF(D2974="","",N(AG2973)+IF(MATCH(D2974,$D$2:$D$3001,0)=ROW()-1,1,0))</f>
        <v/>
      </c>
    </row>
    <row r="2975">
      <c r="Y2975" s="5">
        <f>IF(D2975="","",X2975*IF(AND(ISNUMBER(AC2975),AC2975&gt;0,AC2975&lt;1),AC2975*100,AC2975)/100)</f>
        <v/>
      </c>
      <c r="Z2975" s="5">
        <f>IF(D2975="","",AB2975*AA2975/100)</f>
        <v/>
      </c>
      <c r="AA2975" s="5">
        <f>IF(D2975="","",X2975-Y2975)</f>
        <v/>
      </c>
      <c r="AD2975" s="5">
        <f>IF(D2975="","",AA2975-Z2975)</f>
        <v/>
      </c>
      <c r="AG2975">
        <f>IF(D2975="","",N(AG2974)+IF(MATCH(D2975,$D$2:$D$3001,0)=ROW()-1,1,0))</f>
        <v/>
      </c>
    </row>
    <row r="2976">
      <c r="Y2976" s="5">
        <f>IF(D2976="","",X2976*IF(AND(ISNUMBER(AC2976),AC2976&gt;0,AC2976&lt;1),AC2976*100,AC2976)/100)</f>
        <v/>
      </c>
      <c r="Z2976" s="5">
        <f>IF(D2976="","",AB2976*AA2976/100)</f>
        <v/>
      </c>
      <c r="AA2976" s="5">
        <f>IF(D2976="","",X2976-Y2976)</f>
        <v/>
      </c>
      <c r="AD2976" s="5">
        <f>IF(D2976="","",AA2976-Z2976)</f>
        <v/>
      </c>
      <c r="AG2976">
        <f>IF(D2976="","",N(AG2975)+IF(MATCH(D2976,$D$2:$D$3001,0)=ROW()-1,1,0))</f>
        <v/>
      </c>
    </row>
    <row r="2977">
      <c r="Y2977" s="5">
        <f>IF(D2977="","",X2977*IF(AND(ISNUMBER(AC2977),AC2977&gt;0,AC2977&lt;1),AC2977*100,AC2977)/100)</f>
        <v/>
      </c>
      <c r="Z2977" s="5">
        <f>IF(D2977="","",AB2977*AA2977/100)</f>
        <v/>
      </c>
      <c r="AA2977" s="5">
        <f>IF(D2977="","",X2977-Y2977)</f>
        <v/>
      </c>
      <c r="AD2977" s="5">
        <f>IF(D2977="","",AA2977-Z2977)</f>
        <v/>
      </c>
      <c r="AG2977">
        <f>IF(D2977="","",N(AG2976)+IF(MATCH(D2977,$D$2:$D$3001,0)=ROW()-1,1,0))</f>
        <v/>
      </c>
    </row>
    <row r="2978">
      <c r="Y2978" s="5">
        <f>IF(D2978="","",X2978*IF(AND(ISNUMBER(AC2978),AC2978&gt;0,AC2978&lt;1),AC2978*100,AC2978)/100)</f>
        <v/>
      </c>
      <c r="Z2978" s="5">
        <f>IF(D2978="","",AB2978*AA2978/100)</f>
        <v/>
      </c>
      <c r="AA2978" s="5">
        <f>IF(D2978="","",X2978-Y2978)</f>
        <v/>
      </c>
      <c r="AD2978" s="5">
        <f>IF(D2978="","",AA2978-Z2978)</f>
        <v/>
      </c>
      <c r="AG2978">
        <f>IF(D2978="","",N(AG2977)+IF(MATCH(D2978,$D$2:$D$3001,0)=ROW()-1,1,0))</f>
        <v/>
      </c>
    </row>
    <row r="2979">
      <c r="Y2979" s="5">
        <f>IF(D2979="","",X2979*IF(AND(ISNUMBER(AC2979),AC2979&gt;0,AC2979&lt;1),AC2979*100,AC2979)/100)</f>
        <v/>
      </c>
      <c r="Z2979" s="5">
        <f>IF(D2979="","",AB2979*AA2979/100)</f>
        <v/>
      </c>
      <c r="AA2979" s="5">
        <f>IF(D2979="","",X2979-Y2979)</f>
        <v/>
      </c>
      <c r="AD2979" s="5">
        <f>IF(D2979="","",AA2979-Z2979)</f>
        <v/>
      </c>
      <c r="AG2979">
        <f>IF(D2979="","",N(AG2978)+IF(MATCH(D2979,$D$2:$D$3001,0)=ROW()-1,1,0))</f>
        <v/>
      </c>
    </row>
    <row r="2980">
      <c r="Y2980" s="5">
        <f>IF(D2980="","",X2980*IF(AND(ISNUMBER(AC2980),AC2980&gt;0,AC2980&lt;1),AC2980*100,AC2980)/100)</f>
        <v/>
      </c>
      <c r="Z2980" s="5">
        <f>IF(D2980="","",AB2980*AA2980/100)</f>
        <v/>
      </c>
      <c r="AA2980" s="5">
        <f>IF(D2980="","",X2980-Y2980)</f>
        <v/>
      </c>
      <c r="AD2980" s="5">
        <f>IF(D2980="","",AA2980-Z2980)</f>
        <v/>
      </c>
      <c r="AG2980">
        <f>IF(D2980="","",N(AG2979)+IF(MATCH(D2980,$D$2:$D$3001,0)=ROW()-1,1,0))</f>
        <v/>
      </c>
    </row>
    <row r="2981">
      <c r="Y2981" s="5">
        <f>IF(D2981="","",X2981*IF(AND(ISNUMBER(AC2981),AC2981&gt;0,AC2981&lt;1),AC2981*100,AC2981)/100)</f>
        <v/>
      </c>
      <c r="Z2981" s="5">
        <f>IF(D2981="","",AB2981*AA2981/100)</f>
        <v/>
      </c>
      <c r="AA2981" s="5">
        <f>IF(D2981="","",X2981-Y2981)</f>
        <v/>
      </c>
      <c r="AD2981" s="5">
        <f>IF(D2981="","",AA2981-Z2981)</f>
        <v/>
      </c>
      <c r="AG2981">
        <f>IF(D2981="","",N(AG2980)+IF(MATCH(D2981,$D$2:$D$3001,0)=ROW()-1,1,0))</f>
        <v/>
      </c>
    </row>
    <row r="2982">
      <c r="Y2982" s="5">
        <f>IF(D2982="","",X2982*IF(AND(ISNUMBER(AC2982),AC2982&gt;0,AC2982&lt;1),AC2982*100,AC2982)/100)</f>
        <v/>
      </c>
      <c r="Z2982" s="5">
        <f>IF(D2982="","",AB2982*AA2982/100)</f>
        <v/>
      </c>
      <c r="AA2982" s="5">
        <f>IF(D2982="","",X2982-Y2982)</f>
        <v/>
      </c>
      <c r="AD2982" s="5">
        <f>IF(D2982="","",AA2982-Z2982)</f>
        <v/>
      </c>
      <c r="AG2982">
        <f>IF(D2982="","",N(AG2981)+IF(MATCH(D2982,$D$2:$D$3001,0)=ROW()-1,1,0))</f>
        <v/>
      </c>
    </row>
    <row r="2983">
      <c r="Y2983" s="5">
        <f>IF(D2983="","",X2983*IF(AND(ISNUMBER(AC2983),AC2983&gt;0,AC2983&lt;1),AC2983*100,AC2983)/100)</f>
        <v/>
      </c>
      <c r="Z2983" s="5">
        <f>IF(D2983="","",AB2983*AA2983/100)</f>
        <v/>
      </c>
      <c r="AA2983" s="5">
        <f>IF(D2983="","",X2983-Y2983)</f>
        <v/>
      </c>
      <c r="AD2983" s="5">
        <f>IF(D2983="","",AA2983-Z2983)</f>
        <v/>
      </c>
      <c r="AG2983">
        <f>IF(D2983="","",N(AG2982)+IF(MATCH(D2983,$D$2:$D$3001,0)=ROW()-1,1,0))</f>
        <v/>
      </c>
    </row>
    <row r="2984">
      <c r="Y2984" s="5">
        <f>IF(D2984="","",X2984*IF(AND(ISNUMBER(AC2984),AC2984&gt;0,AC2984&lt;1),AC2984*100,AC2984)/100)</f>
        <v/>
      </c>
      <c r="Z2984" s="5">
        <f>IF(D2984="","",AB2984*AA2984/100)</f>
        <v/>
      </c>
      <c r="AA2984" s="5">
        <f>IF(D2984="","",X2984-Y2984)</f>
        <v/>
      </c>
      <c r="AD2984" s="5">
        <f>IF(D2984="","",AA2984-Z2984)</f>
        <v/>
      </c>
      <c r="AG2984">
        <f>IF(D2984="","",N(AG2983)+IF(MATCH(D2984,$D$2:$D$3001,0)=ROW()-1,1,0))</f>
        <v/>
      </c>
    </row>
    <row r="2985">
      <c r="Y2985" s="5">
        <f>IF(D2985="","",X2985*IF(AND(ISNUMBER(AC2985),AC2985&gt;0,AC2985&lt;1),AC2985*100,AC2985)/100)</f>
        <v/>
      </c>
      <c r="Z2985" s="5">
        <f>IF(D2985="","",AB2985*AA2985/100)</f>
        <v/>
      </c>
      <c r="AA2985" s="5">
        <f>IF(D2985="","",X2985-Y2985)</f>
        <v/>
      </c>
      <c r="AD2985" s="5">
        <f>IF(D2985="","",AA2985-Z2985)</f>
        <v/>
      </c>
      <c r="AG2985">
        <f>IF(D2985="","",N(AG2984)+IF(MATCH(D2985,$D$2:$D$3001,0)=ROW()-1,1,0))</f>
        <v/>
      </c>
    </row>
    <row r="2986">
      <c r="Y2986" s="5">
        <f>IF(D2986="","",X2986*IF(AND(ISNUMBER(AC2986),AC2986&gt;0,AC2986&lt;1),AC2986*100,AC2986)/100)</f>
        <v/>
      </c>
      <c r="Z2986" s="5">
        <f>IF(D2986="","",AB2986*AA2986/100)</f>
        <v/>
      </c>
      <c r="AA2986" s="5">
        <f>IF(D2986="","",X2986-Y2986)</f>
        <v/>
      </c>
      <c r="AD2986" s="5">
        <f>IF(D2986="","",AA2986-Z2986)</f>
        <v/>
      </c>
      <c r="AG2986">
        <f>IF(D2986="","",N(AG2985)+IF(MATCH(D2986,$D$2:$D$3001,0)=ROW()-1,1,0))</f>
        <v/>
      </c>
    </row>
    <row r="2987">
      <c r="Y2987" s="5">
        <f>IF(D2987="","",X2987*IF(AND(ISNUMBER(AC2987),AC2987&gt;0,AC2987&lt;1),AC2987*100,AC2987)/100)</f>
        <v/>
      </c>
      <c r="Z2987" s="5">
        <f>IF(D2987="","",AB2987*AA2987/100)</f>
        <v/>
      </c>
      <c r="AA2987" s="5">
        <f>IF(D2987="","",X2987-Y2987)</f>
        <v/>
      </c>
      <c r="AD2987" s="5">
        <f>IF(D2987="","",AA2987-Z2987)</f>
        <v/>
      </c>
      <c r="AG2987">
        <f>IF(D2987="","",N(AG2986)+IF(MATCH(D2987,$D$2:$D$3001,0)=ROW()-1,1,0))</f>
        <v/>
      </c>
    </row>
    <row r="2988">
      <c r="Y2988" s="5">
        <f>IF(D2988="","",X2988*IF(AND(ISNUMBER(AC2988),AC2988&gt;0,AC2988&lt;1),AC2988*100,AC2988)/100)</f>
        <v/>
      </c>
      <c r="Z2988" s="5">
        <f>IF(D2988="","",AB2988*AA2988/100)</f>
        <v/>
      </c>
      <c r="AA2988" s="5">
        <f>IF(D2988="","",X2988-Y2988)</f>
        <v/>
      </c>
      <c r="AD2988" s="5">
        <f>IF(D2988="","",AA2988-Z2988)</f>
        <v/>
      </c>
      <c r="AG2988">
        <f>IF(D2988="","",N(AG2987)+IF(MATCH(D2988,$D$2:$D$3001,0)=ROW()-1,1,0))</f>
        <v/>
      </c>
    </row>
    <row r="2989">
      <c r="Y2989" s="5">
        <f>IF(D2989="","",X2989*IF(AND(ISNUMBER(AC2989),AC2989&gt;0,AC2989&lt;1),AC2989*100,AC2989)/100)</f>
        <v/>
      </c>
      <c r="Z2989" s="5">
        <f>IF(D2989="","",AB2989*AA2989/100)</f>
        <v/>
      </c>
      <c r="AA2989" s="5">
        <f>IF(D2989="","",X2989-Y2989)</f>
        <v/>
      </c>
      <c r="AD2989" s="5">
        <f>IF(D2989="","",AA2989-Z2989)</f>
        <v/>
      </c>
      <c r="AG2989">
        <f>IF(D2989="","",N(AG2988)+IF(MATCH(D2989,$D$2:$D$3001,0)=ROW()-1,1,0))</f>
        <v/>
      </c>
    </row>
    <row r="2990">
      <c r="Y2990" s="5">
        <f>IF(D2990="","",X2990*IF(AND(ISNUMBER(AC2990),AC2990&gt;0,AC2990&lt;1),AC2990*100,AC2990)/100)</f>
        <v/>
      </c>
      <c r="Z2990" s="5">
        <f>IF(D2990="","",AB2990*AA2990/100)</f>
        <v/>
      </c>
      <c r="AA2990" s="5">
        <f>IF(D2990="","",X2990-Y2990)</f>
        <v/>
      </c>
      <c r="AD2990" s="5">
        <f>IF(D2990="","",AA2990-Z2990)</f>
        <v/>
      </c>
      <c r="AG2990">
        <f>IF(D2990="","",N(AG2989)+IF(MATCH(D2990,$D$2:$D$3001,0)=ROW()-1,1,0))</f>
        <v/>
      </c>
    </row>
    <row r="2991">
      <c r="Y2991" s="5">
        <f>IF(D2991="","",X2991*IF(AND(ISNUMBER(AC2991),AC2991&gt;0,AC2991&lt;1),AC2991*100,AC2991)/100)</f>
        <v/>
      </c>
      <c r="Z2991" s="5">
        <f>IF(D2991="","",AB2991*AA2991/100)</f>
        <v/>
      </c>
      <c r="AA2991" s="5">
        <f>IF(D2991="","",X2991-Y2991)</f>
        <v/>
      </c>
      <c r="AD2991" s="5">
        <f>IF(D2991="","",AA2991-Z2991)</f>
        <v/>
      </c>
      <c r="AG2991">
        <f>IF(D2991="","",N(AG2990)+IF(MATCH(D2991,$D$2:$D$3001,0)=ROW()-1,1,0))</f>
        <v/>
      </c>
    </row>
    <row r="2992">
      <c r="Y2992" s="5">
        <f>IF(D2992="","",X2992*IF(AND(ISNUMBER(AC2992),AC2992&gt;0,AC2992&lt;1),AC2992*100,AC2992)/100)</f>
        <v/>
      </c>
      <c r="Z2992" s="5">
        <f>IF(D2992="","",AB2992*AA2992/100)</f>
        <v/>
      </c>
      <c r="AA2992" s="5">
        <f>IF(D2992="","",X2992-Y2992)</f>
        <v/>
      </c>
      <c r="AD2992" s="5">
        <f>IF(D2992="","",AA2992-Z2992)</f>
        <v/>
      </c>
      <c r="AG2992">
        <f>IF(D2992="","",N(AG2991)+IF(MATCH(D2992,$D$2:$D$3001,0)=ROW()-1,1,0))</f>
        <v/>
      </c>
    </row>
    <row r="2993">
      <c r="Y2993" s="5">
        <f>IF(D2993="","",X2993*IF(AND(ISNUMBER(AC2993),AC2993&gt;0,AC2993&lt;1),AC2993*100,AC2993)/100)</f>
        <v/>
      </c>
      <c r="Z2993" s="5">
        <f>IF(D2993="","",AB2993*AA2993/100)</f>
        <v/>
      </c>
      <c r="AA2993" s="5">
        <f>IF(D2993="","",X2993-Y2993)</f>
        <v/>
      </c>
      <c r="AD2993" s="5">
        <f>IF(D2993="","",AA2993-Z2993)</f>
        <v/>
      </c>
      <c r="AG2993">
        <f>IF(D2993="","",N(AG2992)+IF(MATCH(D2993,$D$2:$D$3001,0)=ROW()-1,1,0))</f>
        <v/>
      </c>
    </row>
    <row r="2994">
      <c r="Y2994" s="5">
        <f>IF(D2994="","",X2994*IF(AND(ISNUMBER(AC2994),AC2994&gt;0,AC2994&lt;1),AC2994*100,AC2994)/100)</f>
        <v/>
      </c>
      <c r="Z2994" s="5">
        <f>IF(D2994="","",AB2994*AA2994/100)</f>
        <v/>
      </c>
      <c r="AA2994" s="5">
        <f>IF(D2994="","",X2994-Y2994)</f>
        <v/>
      </c>
      <c r="AD2994" s="5">
        <f>IF(D2994="","",AA2994-Z2994)</f>
        <v/>
      </c>
      <c r="AG2994">
        <f>IF(D2994="","",N(AG2993)+IF(MATCH(D2994,$D$2:$D$3001,0)=ROW()-1,1,0))</f>
        <v/>
      </c>
    </row>
    <row r="2995">
      <c r="Y2995" s="5">
        <f>IF(D2995="","",X2995*IF(AND(ISNUMBER(AC2995),AC2995&gt;0,AC2995&lt;1),AC2995*100,AC2995)/100)</f>
        <v/>
      </c>
      <c r="Z2995" s="5">
        <f>IF(D2995="","",AB2995*AA2995/100)</f>
        <v/>
      </c>
      <c r="AA2995" s="5">
        <f>IF(D2995="","",X2995-Y2995)</f>
        <v/>
      </c>
      <c r="AD2995" s="5">
        <f>IF(D2995="","",AA2995-Z2995)</f>
        <v/>
      </c>
      <c r="AG2995">
        <f>IF(D2995="","",N(AG2994)+IF(MATCH(D2995,$D$2:$D$3001,0)=ROW()-1,1,0))</f>
        <v/>
      </c>
    </row>
    <row r="2996">
      <c r="Y2996" s="5">
        <f>IF(D2996="","",X2996*IF(AND(ISNUMBER(AC2996),AC2996&gt;0,AC2996&lt;1),AC2996*100,AC2996)/100)</f>
        <v/>
      </c>
      <c r="Z2996" s="5">
        <f>IF(D2996="","",AB2996*AA2996/100)</f>
        <v/>
      </c>
      <c r="AA2996" s="5">
        <f>IF(D2996="","",X2996-Y2996)</f>
        <v/>
      </c>
      <c r="AD2996" s="5">
        <f>IF(D2996="","",AA2996-Z2996)</f>
        <v/>
      </c>
      <c r="AG2996">
        <f>IF(D2996="","",N(AG2995)+IF(MATCH(D2996,$D$2:$D$3001,0)=ROW()-1,1,0))</f>
        <v/>
      </c>
    </row>
    <row r="2997">
      <c r="Y2997" s="5">
        <f>IF(D2997="","",X2997*IF(AND(ISNUMBER(AC2997),AC2997&gt;0,AC2997&lt;1),AC2997*100,AC2997)/100)</f>
        <v/>
      </c>
      <c r="Z2997" s="5">
        <f>IF(D2997="","",AB2997*AA2997/100)</f>
        <v/>
      </c>
      <c r="AA2997" s="5">
        <f>IF(D2997="","",X2997-Y2997)</f>
        <v/>
      </c>
      <c r="AD2997" s="5">
        <f>IF(D2997="","",AA2997-Z2997)</f>
        <v/>
      </c>
      <c r="AG2997">
        <f>IF(D2997="","",N(AG2996)+IF(MATCH(D2997,$D$2:$D$3001,0)=ROW()-1,1,0))</f>
        <v/>
      </c>
    </row>
    <row r="2998">
      <c r="Y2998" s="5">
        <f>IF(D2998="","",X2998*IF(AND(ISNUMBER(AC2998),AC2998&gt;0,AC2998&lt;1),AC2998*100,AC2998)/100)</f>
        <v/>
      </c>
      <c r="Z2998" s="5">
        <f>IF(D2998="","",AB2998*AA2998/100)</f>
        <v/>
      </c>
      <c r="AA2998" s="5">
        <f>IF(D2998="","",X2998-Y2998)</f>
        <v/>
      </c>
      <c r="AD2998" s="5">
        <f>IF(D2998="","",AA2998-Z2998)</f>
        <v/>
      </c>
      <c r="AG2998">
        <f>IF(D2998="","",N(AG2997)+IF(MATCH(D2998,$D$2:$D$3001,0)=ROW()-1,1,0))</f>
        <v/>
      </c>
    </row>
    <row r="2999">
      <c r="Y2999" s="5">
        <f>IF(D2999="","",X2999*IF(AND(ISNUMBER(AC2999),AC2999&gt;0,AC2999&lt;1),AC2999*100,AC2999)/100)</f>
        <v/>
      </c>
      <c r="Z2999" s="5">
        <f>IF(D2999="","",AB2999*AA2999/100)</f>
        <v/>
      </c>
      <c r="AA2999" s="5">
        <f>IF(D2999="","",X2999-Y2999)</f>
        <v/>
      </c>
      <c r="AD2999" s="5">
        <f>IF(D2999="","",AA2999-Z2999)</f>
        <v/>
      </c>
      <c r="AG2999">
        <f>IF(D2999="","",N(AG2998)+IF(MATCH(D2999,$D$2:$D$3001,0)=ROW()-1,1,0))</f>
        <v/>
      </c>
    </row>
    <row r="3000">
      <c r="Y3000" s="5">
        <f>IF(D3000="","",X3000*IF(AND(ISNUMBER(AC3000),AC3000&gt;0,AC3000&lt;1),AC3000*100,AC3000)/100)</f>
        <v/>
      </c>
      <c r="Z3000" s="5">
        <f>IF(D3000="","",AB3000*AA3000/100)</f>
        <v/>
      </c>
      <c r="AA3000" s="5">
        <f>IF(D3000="","",X3000-Y3000)</f>
        <v/>
      </c>
      <c r="AD3000" s="5">
        <f>IF(D3000="","",AA3000-Z3000)</f>
        <v/>
      </c>
      <c r="AG3000">
        <f>IF(D3000="","",N(AG2999)+IF(MATCH(D3000,$D$2:$D$3001,0)=ROW()-1,1,0))</f>
        <v/>
      </c>
    </row>
    <row r="3001">
      <c r="Y3001" s="5">
        <f>IF(D3001="","",X3001*IF(AND(ISNUMBER(AC3001),AC3001&gt;0,AC3001&lt;1),AC3001*100,AC3001)/100)</f>
        <v/>
      </c>
      <c r="Z3001" s="5">
        <f>IF(D3001="","",AB3001*AA3001/100)</f>
        <v/>
      </c>
      <c r="AA3001" s="5">
        <f>IF(D3001="","",X3001-Y3001)</f>
        <v/>
      </c>
      <c r="AD3001" s="5">
        <f>IF(D3001="","",AA3001-Z3001)</f>
        <v/>
      </c>
      <c r="AG3001">
        <f>IF(D3001="","",N(AG3000)+IF(MATCH(D3001,$D$2:$D$3001,0)=ROW()-1,1,0))</f>
        <v/>
      </c>
    </row>
  </sheetData>
  <autoFilter ref="A1:AG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P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22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4" customWidth="1" min="15" max="15"/>
    <col width="14" customWidth="1" min="16" max="16"/>
  </cols>
  <sheetData>
    <row r="1" ht="32" customHeight="1">
      <c r="A1" s="9" t="inlineStr">
        <is>
          <t>Invoice</t>
        </is>
      </c>
      <c r="B1" s="7" t="inlineStr">
        <is>
          <t>Seg</t>
        </is>
      </c>
      <c r="C1" s="7" t="inlineStr">
        <is>
          <t>So</t>
        </is>
      </c>
      <c r="D1" s="7" t="inlineStr">
        <is>
          <t>SSNBR</t>
        </is>
      </c>
      <c r="E1" s="7" t="inlineStr">
        <is>
          <t>Lot</t>
        </is>
      </c>
      <c r="F1" s="9" t="inlineStr">
        <is>
          <t>ERX</t>
        </is>
      </c>
      <c r="G1" s="9" t="inlineStr">
        <is>
          <t>Card</t>
        </is>
      </c>
      <c r="H1" s="7" t="inlineStr">
        <is>
          <t>Svc Date</t>
        </is>
      </c>
      <c r="I1" s="7" t="inlineStr">
        <is>
          <t>Sum of Total Approved</t>
        </is>
      </c>
      <c r="J1" s="7" t="inlineStr">
        <is>
          <t>Sum of dis</t>
        </is>
      </c>
      <c r="K1" s="7" t="inlineStr">
        <is>
          <t>Sum of Paid Amount</t>
        </is>
      </c>
      <c r="L1" s="7" t="inlineStr">
        <is>
          <t>Sum of Subtotal</t>
        </is>
      </c>
      <c r="M1" s="7" t="inlineStr">
        <is>
          <t>Sum of Net Amt</t>
        </is>
      </c>
      <c r="N1" s="10" t="inlineStr">
        <is>
          <t>Src Row (helper)</t>
        </is>
      </c>
      <c r="O1" s="10" t="inlineStr">
        <is>
          <t>Above Claim Form Seq (helper)</t>
        </is>
      </c>
      <c r="P1" s="10" t="inlineStr">
        <is>
          <t>Below Claim Form Seq (helper)</t>
        </is>
      </c>
    </row>
    <row r="2">
      <c r="B2">
        <f>IF($N2="","",IFERROR(INDEX(Settings!$C$27:$C$36,MATCH(E2,Settings!$B$27:$B$36,0)),"Unassigned"))</f>
        <v/>
      </c>
      <c r="C2">
        <f>IF($N2="","",INDEX('Per Line'!$D$2:$D$3001,$N2))</f>
        <v/>
      </c>
      <c r="D2">
        <f>IF($N2="","",INDEX('Per Line'!$C$2:$C$3001,$N2))</f>
        <v/>
      </c>
      <c r="E2">
        <f>IF($N2="","",INDEX('Per Line'!$A$2:$A$3001,$N2))</f>
        <v/>
      </c>
      <c r="H2">
        <f>IF($N2="","",INDEX('Per Line'!$V$2:$V$3001,$N2))</f>
        <v/>
      </c>
      <c r="I2" s="5">
        <f>IF($N2="","",SUMIFS('Per Line'!$X$2:$X$3001,'Per Line'!$D$2:$D$3001,$C2))</f>
        <v/>
      </c>
      <c r="J2" s="5">
        <f>IF($N2="","",SUMIFS('Per Line'!$Y$2:$Y$3001,'Per Line'!$D$2:$D$3001,$C2))</f>
        <v/>
      </c>
      <c r="K2" s="5">
        <f>IF($N2="","",SUMIFS('Per Line'!$Z$2:$Z$3001,'Per Line'!$D$2:$D$3001,$C2))</f>
        <v/>
      </c>
      <c r="L2" s="5">
        <f>IF($N2="","",I2-J2)</f>
        <v/>
      </c>
      <c r="M2" s="5">
        <f>IF($N2="","",L2-K2)</f>
        <v/>
      </c>
      <c r="N2">
        <f>IF(ROWS($N$2:$N2)&lt;=MAX('Per Line'!$AG$2:$AG$3001),MATCH(ROWS($N$2:$N2),'Per Line'!$AG$2:$AG$3001,0),"")</f>
        <v/>
      </c>
      <c r="O2">
        <f>IF(B2="Above Claim Form",COUNTIF($B$2:B2,"Above Claim Form"),"")</f>
        <v/>
      </c>
      <c r="P2">
        <f>IF(B2="Below Claim Form",COUNTIF($B$2:B2,"Below Claim Form"),"")</f>
        <v/>
      </c>
    </row>
    <row r="3">
      <c r="B3">
        <f>IF($N3="","",IFERROR(INDEX(Settings!$C$27:$C$36,MATCH(E3,Settings!$B$27:$B$36,0)),"Unassigned"))</f>
        <v/>
      </c>
      <c r="C3">
        <f>IF($N3="","",INDEX('Per Line'!$D$2:$D$3001,$N3))</f>
        <v/>
      </c>
      <c r="D3">
        <f>IF($N3="","",INDEX('Per Line'!$C$2:$C$3001,$N3))</f>
        <v/>
      </c>
      <c r="E3">
        <f>IF($N3="","",INDEX('Per Line'!$A$2:$A$3001,$N3))</f>
        <v/>
      </c>
      <c r="H3">
        <f>IF($N3="","",INDEX('Per Line'!$V$2:$V$3001,$N3))</f>
        <v/>
      </c>
      <c r="I3" s="5">
        <f>IF($N3="","",SUMIFS('Per Line'!$X$2:$X$3001,'Per Line'!$D$2:$D$3001,$C3))</f>
        <v/>
      </c>
      <c r="J3" s="5">
        <f>IF($N3="","",SUMIFS('Per Line'!$Y$2:$Y$3001,'Per Line'!$D$2:$D$3001,$C3))</f>
        <v/>
      </c>
      <c r="K3" s="5">
        <f>IF($N3="","",SUMIFS('Per Line'!$Z$2:$Z$3001,'Per Line'!$D$2:$D$3001,$C3))</f>
        <v/>
      </c>
      <c r="L3" s="5">
        <f>IF($N3="","",I3-J3)</f>
        <v/>
      </c>
      <c r="M3" s="5">
        <f>IF($N3="","",L3-K3)</f>
        <v/>
      </c>
      <c r="N3">
        <f>IF(ROWS($N$2:$N3)&lt;=MAX('Per Line'!$AG$2:$AG$3001),MATCH(ROWS($N$2:$N3),'Per Line'!$AG$2:$AG$3001,0),"")</f>
        <v/>
      </c>
      <c r="O3">
        <f>IF(B3="Above Claim Form",COUNTIF($B$2:B3,"Above Claim Form"),"")</f>
        <v/>
      </c>
      <c r="P3">
        <f>IF(B3="Below Claim Form",COUNTIF($B$2:B3,"Below Claim Form"),"")</f>
        <v/>
      </c>
    </row>
    <row r="4">
      <c r="B4">
        <f>IF($N4="","",IFERROR(INDEX(Settings!$C$27:$C$36,MATCH(E4,Settings!$B$27:$B$36,0)),"Unassigned"))</f>
        <v/>
      </c>
      <c r="C4">
        <f>IF($N4="","",INDEX('Per Line'!$D$2:$D$3001,$N4))</f>
        <v/>
      </c>
      <c r="D4">
        <f>IF($N4="","",INDEX('Per Line'!$C$2:$C$3001,$N4))</f>
        <v/>
      </c>
      <c r="E4">
        <f>IF($N4="","",INDEX('Per Line'!$A$2:$A$3001,$N4))</f>
        <v/>
      </c>
      <c r="H4">
        <f>IF($N4="","",INDEX('Per Line'!$V$2:$V$3001,$N4))</f>
        <v/>
      </c>
      <c r="I4" s="5">
        <f>IF($N4="","",SUMIFS('Per Line'!$X$2:$X$3001,'Per Line'!$D$2:$D$3001,$C4))</f>
        <v/>
      </c>
      <c r="J4" s="5">
        <f>IF($N4="","",SUMIFS('Per Line'!$Y$2:$Y$3001,'Per Line'!$D$2:$D$3001,$C4))</f>
        <v/>
      </c>
      <c r="K4" s="5">
        <f>IF($N4="","",SUMIFS('Per Line'!$Z$2:$Z$3001,'Per Line'!$D$2:$D$3001,$C4))</f>
        <v/>
      </c>
      <c r="L4" s="5">
        <f>IF($N4="","",I4-J4)</f>
        <v/>
      </c>
      <c r="M4" s="5">
        <f>IF($N4="","",L4-K4)</f>
        <v/>
      </c>
      <c r="N4">
        <f>IF(ROWS($N$2:$N4)&lt;=MAX('Per Line'!$AG$2:$AG$3001),MATCH(ROWS($N$2:$N4),'Per Line'!$AG$2:$AG$3001,0),"")</f>
        <v/>
      </c>
      <c r="O4">
        <f>IF(B4="Above Claim Form",COUNTIF($B$2:B4,"Above Claim Form"),"")</f>
        <v/>
      </c>
      <c r="P4">
        <f>IF(B4="Below Claim Form",COUNTIF($B$2:B4,"Below Claim Form"),"")</f>
        <v/>
      </c>
    </row>
    <row r="5">
      <c r="B5">
        <f>IF($N5="","",IFERROR(INDEX(Settings!$C$27:$C$36,MATCH(E5,Settings!$B$27:$B$36,0)),"Unassigned"))</f>
        <v/>
      </c>
      <c r="C5">
        <f>IF($N5="","",INDEX('Per Line'!$D$2:$D$3001,$N5))</f>
        <v/>
      </c>
      <c r="D5">
        <f>IF($N5="","",INDEX('Per Line'!$C$2:$C$3001,$N5))</f>
        <v/>
      </c>
      <c r="E5">
        <f>IF($N5="","",INDEX('Per Line'!$A$2:$A$3001,$N5))</f>
        <v/>
      </c>
      <c r="H5">
        <f>IF($N5="","",INDEX('Per Line'!$V$2:$V$3001,$N5))</f>
        <v/>
      </c>
      <c r="I5" s="5">
        <f>IF($N5="","",SUMIFS('Per Line'!$X$2:$X$3001,'Per Line'!$D$2:$D$3001,$C5))</f>
        <v/>
      </c>
      <c r="J5" s="5">
        <f>IF($N5="","",SUMIFS('Per Line'!$Y$2:$Y$3001,'Per Line'!$D$2:$D$3001,$C5))</f>
        <v/>
      </c>
      <c r="K5" s="5">
        <f>IF($N5="","",SUMIFS('Per Line'!$Z$2:$Z$3001,'Per Line'!$D$2:$D$3001,$C5))</f>
        <v/>
      </c>
      <c r="L5" s="5">
        <f>IF($N5="","",I5-J5)</f>
        <v/>
      </c>
      <c r="M5" s="5">
        <f>IF($N5="","",L5-K5)</f>
        <v/>
      </c>
      <c r="N5">
        <f>IF(ROWS($N$2:$N5)&lt;=MAX('Per Line'!$AG$2:$AG$3001),MATCH(ROWS($N$2:$N5),'Per Line'!$AG$2:$AG$3001,0),"")</f>
        <v/>
      </c>
      <c r="O5">
        <f>IF(B5="Above Claim Form",COUNTIF($B$2:B5,"Above Claim Form"),"")</f>
        <v/>
      </c>
      <c r="P5">
        <f>IF(B5="Below Claim Form",COUNTIF($B$2:B5,"Below Claim Form"),"")</f>
        <v/>
      </c>
    </row>
    <row r="6">
      <c r="B6">
        <f>IF($N6="","",IFERROR(INDEX(Settings!$C$27:$C$36,MATCH(E6,Settings!$B$27:$B$36,0)),"Unassigned"))</f>
        <v/>
      </c>
      <c r="C6">
        <f>IF($N6="","",INDEX('Per Line'!$D$2:$D$3001,$N6))</f>
        <v/>
      </c>
      <c r="D6">
        <f>IF($N6="","",INDEX('Per Line'!$C$2:$C$3001,$N6))</f>
        <v/>
      </c>
      <c r="E6">
        <f>IF($N6="","",INDEX('Per Line'!$A$2:$A$3001,$N6))</f>
        <v/>
      </c>
      <c r="H6">
        <f>IF($N6="","",INDEX('Per Line'!$V$2:$V$3001,$N6))</f>
        <v/>
      </c>
      <c r="I6" s="5">
        <f>IF($N6="","",SUMIFS('Per Line'!$X$2:$X$3001,'Per Line'!$D$2:$D$3001,$C6))</f>
        <v/>
      </c>
      <c r="J6" s="5">
        <f>IF($N6="","",SUMIFS('Per Line'!$Y$2:$Y$3001,'Per Line'!$D$2:$D$3001,$C6))</f>
        <v/>
      </c>
      <c r="K6" s="5">
        <f>IF($N6="","",SUMIFS('Per Line'!$Z$2:$Z$3001,'Per Line'!$D$2:$D$3001,$C6))</f>
        <v/>
      </c>
      <c r="L6" s="5">
        <f>IF($N6="","",I6-J6)</f>
        <v/>
      </c>
      <c r="M6" s="5">
        <f>IF($N6="","",L6-K6)</f>
        <v/>
      </c>
      <c r="N6">
        <f>IF(ROWS($N$2:$N6)&lt;=MAX('Per Line'!$AG$2:$AG$3001),MATCH(ROWS($N$2:$N6),'Per Line'!$AG$2:$AG$3001,0),"")</f>
        <v/>
      </c>
      <c r="O6">
        <f>IF(B6="Above Claim Form",COUNTIF($B$2:B6,"Above Claim Form"),"")</f>
        <v/>
      </c>
      <c r="P6">
        <f>IF(B6="Below Claim Form",COUNTIF($B$2:B6,"Below Claim Form"),"")</f>
        <v/>
      </c>
    </row>
    <row r="7">
      <c r="B7">
        <f>IF($N7="","",IFERROR(INDEX(Settings!$C$27:$C$36,MATCH(E7,Settings!$B$27:$B$36,0)),"Unassigned"))</f>
        <v/>
      </c>
      <c r="C7">
        <f>IF($N7="","",INDEX('Per Line'!$D$2:$D$3001,$N7))</f>
        <v/>
      </c>
      <c r="D7">
        <f>IF($N7="","",INDEX('Per Line'!$C$2:$C$3001,$N7))</f>
        <v/>
      </c>
      <c r="E7">
        <f>IF($N7="","",INDEX('Per Line'!$A$2:$A$3001,$N7))</f>
        <v/>
      </c>
      <c r="H7">
        <f>IF($N7="","",INDEX('Per Line'!$V$2:$V$3001,$N7))</f>
        <v/>
      </c>
      <c r="I7" s="5">
        <f>IF($N7="","",SUMIFS('Per Line'!$X$2:$X$3001,'Per Line'!$D$2:$D$3001,$C7))</f>
        <v/>
      </c>
      <c r="J7" s="5">
        <f>IF($N7="","",SUMIFS('Per Line'!$Y$2:$Y$3001,'Per Line'!$D$2:$D$3001,$C7))</f>
        <v/>
      </c>
      <c r="K7" s="5">
        <f>IF($N7="","",SUMIFS('Per Line'!$Z$2:$Z$3001,'Per Line'!$D$2:$D$3001,$C7))</f>
        <v/>
      </c>
      <c r="L7" s="5">
        <f>IF($N7="","",I7-J7)</f>
        <v/>
      </c>
      <c r="M7" s="5">
        <f>IF($N7="","",L7-K7)</f>
        <v/>
      </c>
      <c r="N7">
        <f>IF(ROWS($N$2:$N7)&lt;=MAX('Per Line'!$AG$2:$AG$3001),MATCH(ROWS($N$2:$N7),'Per Line'!$AG$2:$AG$3001,0),"")</f>
        <v/>
      </c>
      <c r="O7">
        <f>IF(B7="Above Claim Form",COUNTIF($B$2:B7,"Above Claim Form"),"")</f>
        <v/>
      </c>
      <c r="P7">
        <f>IF(B7="Below Claim Form",COUNTIF($B$2:B7,"Below Claim Form"),"")</f>
        <v/>
      </c>
    </row>
    <row r="8">
      <c r="B8">
        <f>IF($N8="","",IFERROR(INDEX(Settings!$C$27:$C$36,MATCH(E8,Settings!$B$27:$B$36,0)),"Unassigned"))</f>
        <v/>
      </c>
      <c r="C8">
        <f>IF($N8="","",INDEX('Per Line'!$D$2:$D$3001,$N8))</f>
        <v/>
      </c>
      <c r="D8">
        <f>IF($N8="","",INDEX('Per Line'!$C$2:$C$3001,$N8))</f>
        <v/>
      </c>
      <c r="E8">
        <f>IF($N8="","",INDEX('Per Line'!$A$2:$A$3001,$N8))</f>
        <v/>
      </c>
      <c r="H8">
        <f>IF($N8="","",INDEX('Per Line'!$V$2:$V$3001,$N8))</f>
        <v/>
      </c>
      <c r="I8" s="5">
        <f>IF($N8="","",SUMIFS('Per Line'!$X$2:$X$3001,'Per Line'!$D$2:$D$3001,$C8))</f>
        <v/>
      </c>
      <c r="J8" s="5">
        <f>IF($N8="","",SUMIFS('Per Line'!$Y$2:$Y$3001,'Per Line'!$D$2:$D$3001,$C8))</f>
        <v/>
      </c>
      <c r="K8" s="5">
        <f>IF($N8="","",SUMIFS('Per Line'!$Z$2:$Z$3001,'Per Line'!$D$2:$D$3001,$C8))</f>
        <v/>
      </c>
      <c r="L8" s="5">
        <f>IF($N8="","",I8-J8)</f>
        <v/>
      </c>
      <c r="M8" s="5">
        <f>IF($N8="","",L8-K8)</f>
        <v/>
      </c>
      <c r="N8">
        <f>IF(ROWS($N$2:$N8)&lt;=MAX('Per Line'!$AG$2:$AG$3001),MATCH(ROWS($N$2:$N8),'Per Line'!$AG$2:$AG$3001,0),"")</f>
        <v/>
      </c>
      <c r="O8">
        <f>IF(B8="Above Claim Form",COUNTIF($B$2:B8,"Above Claim Form"),"")</f>
        <v/>
      </c>
      <c r="P8">
        <f>IF(B8="Below Claim Form",COUNTIF($B$2:B8,"Below Claim Form"),"")</f>
        <v/>
      </c>
    </row>
    <row r="9">
      <c r="B9">
        <f>IF($N9="","",IFERROR(INDEX(Settings!$C$27:$C$36,MATCH(E9,Settings!$B$27:$B$36,0)),"Unassigned"))</f>
        <v/>
      </c>
      <c r="C9">
        <f>IF($N9="","",INDEX('Per Line'!$D$2:$D$3001,$N9))</f>
        <v/>
      </c>
      <c r="D9">
        <f>IF($N9="","",INDEX('Per Line'!$C$2:$C$3001,$N9))</f>
        <v/>
      </c>
      <c r="E9">
        <f>IF($N9="","",INDEX('Per Line'!$A$2:$A$3001,$N9))</f>
        <v/>
      </c>
      <c r="H9">
        <f>IF($N9="","",INDEX('Per Line'!$V$2:$V$3001,$N9))</f>
        <v/>
      </c>
      <c r="I9" s="5">
        <f>IF($N9="","",SUMIFS('Per Line'!$X$2:$X$3001,'Per Line'!$D$2:$D$3001,$C9))</f>
        <v/>
      </c>
      <c r="J9" s="5">
        <f>IF($N9="","",SUMIFS('Per Line'!$Y$2:$Y$3001,'Per Line'!$D$2:$D$3001,$C9))</f>
        <v/>
      </c>
      <c r="K9" s="5">
        <f>IF($N9="","",SUMIFS('Per Line'!$Z$2:$Z$3001,'Per Line'!$D$2:$D$3001,$C9))</f>
        <v/>
      </c>
      <c r="L9" s="5">
        <f>IF($N9="","",I9-J9)</f>
        <v/>
      </c>
      <c r="M9" s="5">
        <f>IF($N9="","",L9-K9)</f>
        <v/>
      </c>
      <c r="N9">
        <f>IF(ROWS($N$2:$N9)&lt;=MAX('Per Line'!$AG$2:$AG$3001),MATCH(ROWS($N$2:$N9),'Per Line'!$AG$2:$AG$3001,0),"")</f>
        <v/>
      </c>
      <c r="O9">
        <f>IF(B9="Above Claim Form",COUNTIF($B$2:B9,"Above Claim Form"),"")</f>
        <v/>
      </c>
      <c r="P9">
        <f>IF(B9="Below Claim Form",COUNTIF($B$2:B9,"Below Claim Form"),"")</f>
        <v/>
      </c>
    </row>
    <row r="10">
      <c r="B10">
        <f>IF($N10="","",IFERROR(INDEX(Settings!$C$27:$C$36,MATCH(E10,Settings!$B$27:$B$36,0)),"Unassigned"))</f>
        <v/>
      </c>
      <c r="C10">
        <f>IF($N10="","",INDEX('Per Line'!$D$2:$D$3001,$N10))</f>
        <v/>
      </c>
      <c r="D10">
        <f>IF($N10="","",INDEX('Per Line'!$C$2:$C$3001,$N10))</f>
        <v/>
      </c>
      <c r="E10">
        <f>IF($N10="","",INDEX('Per Line'!$A$2:$A$3001,$N10))</f>
        <v/>
      </c>
      <c r="H10">
        <f>IF($N10="","",INDEX('Per Line'!$V$2:$V$3001,$N10))</f>
        <v/>
      </c>
      <c r="I10" s="5">
        <f>IF($N10="","",SUMIFS('Per Line'!$X$2:$X$3001,'Per Line'!$D$2:$D$3001,$C10))</f>
        <v/>
      </c>
      <c r="J10" s="5">
        <f>IF($N10="","",SUMIFS('Per Line'!$Y$2:$Y$3001,'Per Line'!$D$2:$D$3001,$C10))</f>
        <v/>
      </c>
      <c r="K10" s="5">
        <f>IF($N10="","",SUMIFS('Per Line'!$Z$2:$Z$3001,'Per Line'!$D$2:$D$3001,$C10))</f>
        <v/>
      </c>
      <c r="L10" s="5">
        <f>IF($N10="","",I10-J10)</f>
        <v/>
      </c>
      <c r="M10" s="5">
        <f>IF($N10="","",L10-K10)</f>
        <v/>
      </c>
      <c r="N10">
        <f>IF(ROWS($N$2:$N10)&lt;=MAX('Per Line'!$AG$2:$AG$3001),MATCH(ROWS($N$2:$N10),'Per Line'!$AG$2:$AG$3001,0),"")</f>
        <v/>
      </c>
      <c r="O10">
        <f>IF(B10="Above Claim Form",COUNTIF($B$2:B10,"Above Claim Form"),"")</f>
        <v/>
      </c>
      <c r="P10">
        <f>IF(B10="Below Claim Form",COUNTIF($B$2:B10,"Below Claim Form"),"")</f>
        <v/>
      </c>
    </row>
    <row r="11">
      <c r="B11">
        <f>IF($N11="","",IFERROR(INDEX(Settings!$C$27:$C$36,MATCH(E11,Settings!$B$27:$B$36,0)),"Unassigned"))</f>
        <v/>
      </c>
      <c r="C11">
        <f>IF($N11="","",INDEX('Per Line'!$D$2:$D$3001,$N11))</f>
        <v/>
      </c>
      <c r="D11">
        <f>IF($N11="","",INDEX('Per Line'!$C$2:$C$3001,$N11))</f>
        <v/>
      </c>
      <c r="E11">
        <f>IF($N11="","",INDEX('Per Line'!$A$2:$A$3001,$N11))</f>
        <v/>
      </c>
      <c r="H11">
        <f>IF($N11="","",INDEX('Per Line'!$V$2:$V$3001,$N11))</f>
        <v/>
      </c>
      <c r="I11" s="5">
        <f>IF($N11="","",SUMIFS('Per Line'!$X$2:$X$3001,'Per Line'!$D$2:$D$3001,$C11))</f>
        <v/>
      </c>
      <c r="J11" s="5">
        <f>IF($N11="","",SUMIFS('Per Line'!$Y$2:$Y$3001,'Per Line'!$D$2:$D$3001,$C11))</f>
        <v/>
      </c>
      <c r="K11" s="5">
        <f>IF($N11="","",SUMIFS('Per Line'!$Z$2:$Z$3001,'Per Line'!$D$2:$D$3001,$C11))</f>
        <v/>
      </c>
      <c r="L11" s="5">
        <f>IF($N11="","",I11-J11)</f>
        <v/>
      </c>
      <c r="M11" s="5">
        <f>IF($N11="","",L11-K11)</f>
        <v/>
      </c>
      <c r="N11">
        <f>IF(ROWS($N$2:$N11)&lt;=MAX('Per Line'!$AG$2:$AG$3001),MATCH(ROWS($N$2:$N11),'Per Line'!$AG$2:$AG$3001,0),"")</f>
        <v/>
      </c>
      <c r="O11">
        <f>IF(B11="Above Claim Form",COUNTIF($B$2:B11,"Above Claim Form"),"")</f>
        <v/>
      </c>
      <c r="P11">
        <f>IF(B11="Below Claim Form",COUNTIF($B$2:B11,"Below Claim Form"),"")</f>
        <v/>
      </c>
    </row>
    <row r="12">
      <c r="B12">
        <f>IF($N12="","",IFERROR(INDEX(Settings!$C$27:$C$36,MATCH(E12,Settings!$B$27:$B$36,0)),"Unassigned"))</f>
        <v/>
      </c>
      <c r="C12">
        <f>IF($N12="","",INDEX('Per Line'!$D$2:$D$3001,$N12))</f>
        <v/>
      </c>
      <c r="D12">
        <f>IF($N12="","",INDEX('Per Line'!$C$2:$C$3001,$N12))</f>
        <v/>
      </c>
      <c r="E12">
        <f>IF($N12="","",INDEX('Per Line'!$A$2:$A$3001,$N12))</f>
        <v/>
      </c>
      <c r="H12">
        <f>IF($N12="","",INDEX('Per Line'!$V$2:$V$3001,$N12))</f>
        <v/>
      </c>
      <c r="I12" s="5">
        <f>IF($N12="","",SUMIFS('Per Line'!$X$2:$X$3001,'Per Line'!$D$2:$D$3001,$C12))</f>
        <v/>
      </c>
      <c r="J12" s="5">
        <f>IF($N12="","",SUMIFS('Per Line'!$Y$2:$Y$3001,'Per Line'!$D$2:$D$3001,$C12))</f>
        <v/>
      </c>
      <c r="K12" s="5">
        <f>IF($N12="","",SUMIFS('Per Line'!$Z$2:$Z$3001,'Per Line'!$D$2:$D$3001,$C12))</f>
        <v/>
      </c>
      <c r="L12" s="5">
        <f>IF($N12="","",I12-J12)</f>
        <v/>
      </c>
      <c r="M12" s="5">
        <f>IF($N12="","",L12-K12)</f>
        <v/>
      </c>
      <c r="N12">
        <f>IF(ROWS($N$2:$N12)&lt;=MAX('Per Line'!$AG$2:$AG$3001),MATCH(ROWS($N$2:$N12),'Per Line'!$AG$2:$AG$3001,0),"")</f>
        <v/>
      </c>
      <c r="O12">
        <f>IF(B12="Above Claim Form",COUNTIF($B$2:B12,"Above Claim Form"),"")</f>
        <v/>
      </c>
      <c r="P12">
        <f>IF(B12="Below Claim Form",COUNTIF($B$2:B12,"Below Claim Form"),"")</f>
        <v/>
      </c>
    </row>
    <row r="13">
      <c r="B13">
        <f>IF($N13="","",IFERROR(INDEX(Settings!$C$27:$C$36,MATCH(E13,Settings!$B$27:$B$36,0)),"Unassigned"))</f>
        <v/>
      </c>
      <c r="C13">
        <f>IF($N13="","",INDEX('Per Line'!$D$2:$D$3001,$N13))</f>
        <v/>
      </c>
      <c r="D13">
        <f>IF($N13="","",INDEX('Per Line'!$C$2:$C$3001,$N13))</f>
        <v/>
      </c>
      <c r="E13">
        <f>IF($N13="","",INDEX('Per Line'!$A$2:$A$3001,$N13))</f>
        <v/>
      </c>
      <c r="H13">
        <f>IF($N13="","",INDEX('Per Line'!$V$2:$V$3001,$N13))</f>
        <v/>
      </c>
      <c r="I13" s="5">
        <f>IF($N13="","",SUMIFS('Per Line'!$X$2:$X$3001,'Per Line'!$D$2:$D$3001,$C13))</f>
        <v/>
      </c>
      <c r="J13" s="5">
        <f>IF($N13="","",SUMIFS('Per Line'!$Y$2:$Y$3001,'Per Line'!$D$2:$D$3001,$C13))</f>
        <v/>
      </c>
      <c r="K13" s="5">
        <f>IF($N13="","",SUMIFS('Per Line'!$Z$2:$Z$3001,'Per Line'!$D$2:$D$3001,$C13))</f>
        <v/>
      </c>
      <c r="L13" s="5">
        <f>IF($N13="","",I13-J13)</f>
        <v/>
      </c>
      <c r="M13" s="5">
        <f>IF($N13="","",L13-K13)</f>
        <v/>
      </c>
      <c r="N13">
        <f>IF(ROWS($N$2:$N13)&lt;=MAX('Per Line'!$AG$2:$AG$3001),MATCH(ROWS($N$2:$N13),'Per Line'!$AG$2:$AG$3001,0),"")</f>
        <v/>
      </c>
      <c r="O13">
        <f>IF(B13="Above Claim Form",COUNTIF($B$2:B13,"Above Claim Form"),"")</f>
        <v/>
      </c>
      <c r="P13">
        <f>IF(B13="Below Claim Form",COUNTIF($B$2:B13,"Below Claim Form"),"")</f>
        <v/>
      </c>
    </row>
    <row r="14">
      <c r="B14">
        <f>IF($N14="","",IFERROR(INDEX(Settings!$C$27:$C$36,MATCH(E14,Settings!$B$27:$B$36,0)),"Unassigned"))</f>
        <v/>
      </c>
      <c r="C14">
        <f>IF($N14="","",INDEX('Per Line'!$D$2:$D$3001,$N14))</f>
        <v/>
      </c>
      <c r="D14">
        <f>IF($N14="","",INDEX('Per Line'!$C$2:$C$3001,$N14))</f>
        <v/>
      </c>
      <c r="E14">
        <f>IF($N14="","",INDEX('Per Line'!$A$2:$A$3001,$N14))</f>
        <v/>
      </c>
      <c r="H14">
        <f>IF($N14="","",INDEX('Per Line'!$V$2:$V$3001,$N14))</f>
        <v/>
      </c>
      <c r="I14" s="5">
        <f>IF($N14="","",SUMIFS('Per Line'!$X$2:$X$3001,'Per Line'!$D$2:$D$3001,$C14))</f>
        <v/>
      </c>
      <c r="J14" s="5">
        <f>IF($N14="","",SUMIFS('Per Line'!$Y$2:$Y$3001,'Per Line'!$D$2:$D$3001,$C14))</f>
        <v/>
      </c>
      <c r="K14" s="5">
        <f>IF($N14="","",SUMIFS('Per Line'!$Z$2:$Z$3001,'Per Line'!$D$2:$D$3001,$C14))</f>
        <v/>
      </c>
      <c r="L14" s="5">
        <f>IF($N14="","",I14-J14)</f>
        <v/>
      </c>
      <c r="M14" s="5">
        <f>IF($N14="","",L14-K14)</f>
        <v/>
      </c>
      <c r="N14">
        <f>IF(ROWS($N$2:$N14)&lt;=MAX('Per Line'!$AG$2:$AG$3001),MATCH(ROWS($N$2:$N14),'Per Line'!$AG$2:$AG$3001,0),"")</f>
        <v/>
      </c>
      <c r="O14">
        <f>IF(B14="Above Claim Form",COUNTIF($B$2:B14,"Above Claim Form"),"")</f>
        <v/>
      </c>
      <c r="P14">
        <f>IF(B14="Below Claim Form",COUNTIF($B$2:B14,"Below Claim Form"),"")</f>
        <v/>
      </c>
    </row>
    <row r="15">
      <c r="B15">
        <f>IF($N15="","",IFERROR(INDEX(Settings!$C$27:$C$36,MATCH(E15,Settings!$B$27:$B$36,0)),"Unassigned"))</f>
        <v/>
      </c>
      <c r="C15">
        <f>IF($N15="","",INDEX('Per Line'!$D$2:$D$3001,$N15))</f>
        <v/>
      </c>
      <c r="D15">
        <f>IF($N15="","",INDEX('Per Line'!$C$2:$C$3001,$N15))</f>
        <v/>
      </c>
      <c r="E15">
        <f>IF($N15="","",INDEX('Per Line'!$A$2:$A$3001,$N15))</f>
        <v/>
      </c>
      <c r="H15">
        <f>IF($N15="","",INDEX('Per Line'!$V$2:$V$3001,$N15))</f>
        <v/>
      </c>
      <c r="I15" s="5">
        <f>IF($N15="","",SUMIFS('Per Line'!$X$2:$X$3001,'Per Line'!$D$2:$D$3001,$C15))</f>
        <v/>
      </c>
      <c r="J15" s="5">
        <f>IF($N15="","",SUMIFS('Per Line'!$Y$2:$Y$3001,'Per Line'!$D$2:$D$3001,$C15))</f>
        <v/>
      </c>
      <c r="K15" s="5">
        <f>IF($N15="","",SUMIFS('Per Line'!$Z$2:$Z$3001,'Per Line'!$D$2:$D$3001,$C15))</f>
        <v/>
      </c>
      <c r="L15" s="5">
        <f>IF($N15="","",I15-J15)</f>
        <v/>
      </c>
      <c r="M15" s="5">
        <f>IF($N15="","",L15-K15)</f>
        <v/>
      </c>
      <c r="N15">
        <f>IF(ROWS($N$2:$N15)&lt;=MAX('Per Line'!$AG$2:$AG$3001),MATCH(ROWS($N$2:$N15),'Per Line'!$AG$2:$AG$3001,0),"")</f>
        <v/>
      </c>
      <c r="O15">
        <f>IF(B15="Above Claim Form",COUNTIF($B$2:B15,"Above Claim Form"),"")</f>
        <v/>
      </c>
      <c r="P15">
        <f>IF(B15="Below Claim Form",COUNTIF($B$2:B15,"Below Claim Form"),"")</f>
        <v/>
      </c>
    </row>
    <row r="16">
      <c r="B16">
        <f>IF($N16="","",IFERROR(INDEX(Settings!$C$27:$C$36,MATCH(E16,Settings!$B$27:$B$36,0)),"Unassigned"))</f>
        <v/>
      </c>
      <c r="C16">
        <f>IF($N16="","",INDEX('Per Line'!$D$2:$D$3001,$N16))</f>
        <v/>
      </c>
      <c r="D16">
        <f>IF($N16="","",INDEX('Per Line'!$C$2:$C$3001,$N16))</f>
        <v/>
      </c>
      <c r="E16">
        <f>IF($N16="","",INDEX('Per Line'!$A$2:$A$3001,$N16))</f>
        <v/>
      </c>
      <c r="H16">
        <f>IF($N16="","",INDEX('Per Line'!$V$2:$V$3001,$N16))</f>
        <v/>
      </c>
      <c r="I16" s="5">
        <f>IF($N16="","",SUMIFS('Per Line'!$X$2:$X$3001,'Per Line'!$D$2:$D$3001,$C16))</f>
        <v/>
      </c>
      <c r="J16" s="5">
        <f>IF($N16="","",SUMIFS('Per Line'!$Y$2:$Y$3001,'Per Line'!$D$2:$D$3001,$C16))</f>
        <v/>
      </c>
      <c r="K16" s="5">
        <f>IF($N16="","",SUMIFS('Per Line'!$Z$2:$Z$3001,'Per Line'!$D$2:$D$3001,$C16))</f>
        <v/>
      </c>
      <c r="L16" s="5">
        <f>IF($N16="","",I16-J16)</f>
        <v/>
      </c>
      <c r="M16" s="5">
        <f>IF($N16="","",L16-K16)</f>
        <v/>
      </c>
      <c r="N16">
        <f>IF(ROWS($N$2:$N16)&lt;=MAX('Per Line'!$AG$2:$AG$3001),MATCH(ROWS($N$2:$N16),'Per Line'!$AG$2:$AG$3001,0),"")</f>
        <v/>
      </c>
      <c r="O16">
        <f>IF(B16="Above Claim Form",COUNTIF($B$2:B16,"Above Claim Form"),"")</f>
        <v/>
      </c>
      <c r="P16">
        <f>IF(B16="Below Claim Form",COUNTIF($B$2:B16,"Below Claim Form"),"")</f>
        <v/>
      </c>
    </row>
    <row r="17">
      <c r="B17">
        <f>IF($N17="","",IFERROR(INDEX(Settings!$C$27:$C$36,MATCH(E17,Settings!$B$27:$B$36,0)),"Unassigned"))</f>
        <v/>
      </c>
      <c r="C17">
        <f>IF($N17="","",INDEX('Per Line'!$D$2:$D$3001,$N17))</f>
        <v/>
      </c>
      <c r="D17">
        <f>IF($N17="","",INDEX('Per Line'!$C$2:$C$3001,$N17))</f>
        <v/>
      </c>
      <c r="E17">
        <f>IF($N17="","",INDEX('Per Line'!$A$2:$A$3001,$N17))</f>
        <v/>
      </c>
      <c r="H17">
        <f>IF($N17="","",INDEX('Per Line'!$V$2:$V$3001,$N17))</f>
        <v/>
      </c>
      <c r="I17" s="5">
        <f>IF($N17="","",SUMIFS('Per Line'!$X$2:$X$3001,'Per Line'!$D$2:$D$3001,$C17))</f>
        <v/>
      </c>
      <c r="J17" s="5">
        <f>IF($N17="","",SUMIFS('Per Line'!$Y$2:$Y$3001,'Per Line'!$D$2:$D$3001,$C17))</f>
        <v/>
      </c>
      <c r="K17" s="5">
        <f>IF($N17="","",SUMIFS('Per Line'!$Z$2:$Z$3001,'Per Line'!$D$2:$D$3001,$C17))</f>
        <v/>
      </c>
      <c r="L17" s="5">
        <f>IF($N17="","",I17-J17)</f>
        <v/>
      </c>
      <c r="M17" s="5">
        <f>IF($N17="","",L17-K17)</f>
        <v/>
      </c>
      <c r="N17">
        <f>IF(ROWS($N$2:$N17)&lt;=MAX('Per Line'!$AG$2:$AG$3001),MATCH(ROWS($N$2:$N17),'Per Line'!$AG$2:$AG$3001,0),"")</f>
        <v/>
      </c>
      <c r="O17">
        <f>IF(B17="Above Claim Form",COUNTIF($B$2:B17,"Above Claim Form"),"")</f>
        <v/>
      </c>
      <c r="P17">
        <f>IF(B17="Below Claim Form",COUNTIF($B$2:B17,"Below Claim Form"),"")</f>
        <v/>
      </c>
    </row>
    <row r="18">
      <c r="B18">
        <f>IF($N18="","",IFERROR(INDEX(Settings!$C$27:$C$36,MATCH(E18,Settings!$B$27:$B$36,0)),"Unassigned"))</f>
        <v/>
      </c>
      <c r="C18">
        <f>IF($N18="","",INDEX('Per Line'!$D$2:$D$3001,$N18))</f>
        <v/>
      </c>
      <c r="D18">
        <f>IF($N18="","",INDEX('Per Line'!$C$2:$C$3001,$N18))</f>
        <v/>
      </c>
      <c r="E18">
        <f>IF($N18="","",INDEX('Per Line'!$A$2:$A$3001,$N18))</f>
        <v/>
      </c>
      <c r="H18">
        <f>IF($N18="","",INDEX('Per Line'!$V$2:$V$3001,$N18))</f>
        <v/>
      </c>
      <c r="I18" s="5">
        <f>IF($N18="","",SUMIFS('Per Line'!$X$2:$X$3001,'Per Line'!$D$2:$D$3001,$C18))</f>
        <v/>
      </c>
      <c r="J18" s="5">
        <f>IF($N18="","",SUMIFS('Per Line'!$Y$2:$Y$3001,'Per Line'!$D$2:$D$3001,$C18))</f>
        <v/>
      </c>
      <c r="K18" s="5">
        <f>IF($N18="","",SUMIFS('Per Line'!$Z$2:$Z$3001,'Per Line'!$D$2:$D$3001,$C18))</f>
        <v/>
      </c>
      <c r="L18" s="5">
        <f>IF($N18="","",I18-J18)</f>
        <v/>
      </c>
      <c r="M18" s="5">
        <f>IF($N18="","",L18-K18)</f>
        <v/>
      </c>
      <c r="N18">
        <f>IF(ROWS($N$2:$N18)&lt;=MAX('Per Line'!$AG$2:$AG$3001),MATCH(ROWS($N$2:$N18),'Per Line'!$AG$2:$AG$3001,0),"")</f>
        <v/>
      </c>
      <c r="O18">
        <f>IF(B18="Above Claim Form",COUNTIF($B$2:B18,"Above Claim Form"),"")</f>
        <v/>
      </c>
      <c r="P18">
        <f>IF(B18="Below Claim Form",COUNTIF($B$2:B18,"Below Claim Form"),"")</f>
        <v/>
      </c>
    </row>
    <row r="19">
      <c r="B19">
        <f>IF($N19="","",IFERROR(INDEX(Settings!$C$27:$C$36,MATCH(E19,Settings!$B$27:$B$36,0)),"Unassigned"))</f>
        <v/>
      </c>
      <c r="C19">
        <f>IF($N19="","",INDEX('Per Line'!$D$2:$D$3001,$N19))</f>
        <v/>
      </c>
      <c r="D19">
        <f>IF($N19="","",INDEX('Per Line'!$C$2:$C$3001,$N19))</f>
        <v/>
      </c>
      <c r="E19">
        <f>IF($N19="","",INDEX('Per Line'!$A$2:$A$3001,$N19))</f>
        <v/>
      </c>
      <c r="H19">
        <f>IF($N19="","",INDEX('Per Line'!$V$2:$V$3001,$N19))</f>
        <v/>
      </c>
      <c r="I19" s="5">
        <f>IF($N19="","",SUMIFS('Per Line'!$X$2:$X$3001,'Per Line'!$D$2:$D$3001,$C19))</f>
        <v/>
      </c>
      <c r="J19" s="5">
        <f>IF($N19="","",SUMIFS('Per Line'!$Y$2:$Y$3001,'Per Line'!$D$2:$D$3001,$C19))</f>
        <v/>
      </c>
      <c r="K19" s="5">
        <f>IF($N19="","",SUMIFS('Per Line'!$Z$2:$Z$3001,'Per Line'!$D$2:$D$3001,$C19))</f>
        <v/>
      </c>
      <c r="L19" s="5">
        <f>IF($N19="","",I19-J19)</f>
        <v/>
      </c>
      <c r="M19" s="5">
        <f>IF($N19="","",L19-K19)</f>
        <v/>
      </c>
      <c r="N19">
        <f>IF(ROWS($N$2:$N19)&lt;=MAX('Per Line'!$AG$2:$AG$3001),MATCH(ROWS($N$2:$N19),'Per Line'!$AG$2:$AG$3001,0),"")</f>
        <v/>
      </c>
      <c r="O19">
        <f>IF(B19="Above Claim Form",COUNTIF($B$2:B19,"Above Claim Form"),"")</f>
        <v/>
      </c>
      <c r="P19">
        <f>IF(B19="Below Claim Form",COUNTIF($B$2:B19,"Below Claim Form"),"")</f>
        <v/>
      </c>
    </row>
    <row r="20">
      <c r="B20">
        <f>IF($N20="","",IFERROR(INDEX(Settings!$C$27:$C$36,MATCH(E20,Settings!$B$27:$B$36,0)),"Unassigned"))</f>
        <v/>
      </c>
      <c r="C20">
        <f>IF($N20="","",INDEX('Per Line'!$D$2:$D$3001,$N20))</f>
        <v/>
      </c>
      <c r="D20">
        <f>IF($N20="","",INDEX('Per Line'!$C$2:$C$3001,$N20))</f>
        <v/>
      </c>
      <c r="E20">
        <f>IF($N20="","",INDEX('Per Line'!$A$2:$A$3001,$N20))</f>
        <v/>
      </c>
      <c r="H20">
        <f>IF($N20="","",INDEX('Per Line'!$V$2:$V$3001,$N20))</f>
        <v/>
      </c>
      <c r="I20" s="5">
        <f>IF($N20="","",SUMIFS('Per Line'!$X$2:$X$3001,'Per Line'!$D$2:$D$3001,$C20))</f>
        <v/>
      </c>
      <c r="J20" s="5">
        <f>IF($N20="","",SUMIFS('Per Line'!$Y$2:$Y$3001,'Per Line'!$D$2:$D$3001,$C20))</f>
        <v/>
      </c>
      <c r="K20" s="5">
        <f>IF($N20="","",SUMIFS('Per Line'!$Z$2:$Z$3001,'Per Line'!$D$2:$D$3001,$C20))</f>
        <v/>
      </c>
      <c r="L20" s="5">
        <f>IF($N20="","",I20-J20)</f>
        <v/>
      </c>
      <c r="M20" s="5">
        <f>IF($N20="","",L20-K20)</f>
        <v/>
      </c>
      <c r="N20">
        <f>IF(ROWS($N$2:$N20)&lt;=MAX('Per Line'!$AG$2:$AG$3001),MATCH(ROWS($N$2:$N20),'Per Line'!$AG$2:$AG$3001,0),"")</f>
        <v/>
      </c>
      <c r="O20">
        <f>IF(B20="Above Claim Form",COUNTIF($B$2:B20,"Above Claim Form"),"")</f>
        <v/>
      </c>
      <c r="P20">
        <f>IF(B20="Below Claim Form",COUNTIF($B$2:B20,"Below Claim Form"),"")</f>
        <v/>
      </c>
    </row>
    <row r="21">
      <c r="B21">
        <f>IF($N21="","",IFERROR(INDEX(Settings!$C$27:$C$36,MATCH(E21,Settings!$B$27:$B$36,0)),"Unassigned"))</f>
        <v/>
      </c>
      <c r="C21">
        <f>IF($N21="","",INDEX('Per Line'!$D$2:$D$3001,$N21))</f>
        <v/>
      </c>
      <c r="D21">
        <f>IF($N21="","",INDEX('Per Line'!$C$2:$C$3001,$N21))</f>
        <v/>
      </c>
      <c r="E21">
        <f>IF($N21="","",INDEX('Per Line'!$A$2:$A$3001,$N21))</f>
        <v/>
      </c>
      <c r="H21">
        <f>IF($N21="","",INDEX('Per Line'!$V$2:$V$3001,$N21))</f>
        <v/>
      </c>
      <c r="I21" s="5">
        <f>IF($N21="","",SUMIFS('Per Line'!$X$2:$X$3001,'Per Line'!$D$2:$D$3001,$C21))</f>
        <v/>
      </c>
      <c r="J21" s="5">
        <f>IF($N21="","",SUMIFS('Per Line'!$Y$2:$Y$3001,'Per Line'!$D$2:$D$3001,$C21))</f>
        <v/>
      </c>
      <c r="K21" s="5">
        <f>IF($N21="","",SUMIFS('Per Line'!$Z$2:$Z$3001,'Per Line'!$D$2:$D$3001,$C21))</f>
        <v/>
      </c>
      <c r="L21" s="5">
        <f>IF($N21="","",I21-J21)</f>
        <v/>
      </c>
      <c r="M21" s="5">
        <f>IF($N21="","",L21-K21)</f>
        <v/>
      </c>
      <c r="N21">
        <f>IF(ROWS($N$2:$N21)&lt;=MAX('Per Line'!$AG$2:$AG$3001),MATCH(ROWS($N$2:$N21),'Per Line'!$AG$2:$AG$3001,0),"")</f>
        <v/>
      </c>
      <c r="O21">
        <f>IF(B21="Above Claim Form",COUNTIF($B$2:B21,"Above Claim Form"),"")</f>
        <v/>
      </c>
      <c r="P21">
        <f>IF(B21="Below Claim Form",COUNTIF($B$2:B21,"Below Claim Form"),"")</f>
        <v/>
      </c>
    </row>
    <row r="22">
      <c r="B22">
        <f>IF($N22="","",IFERROR(INDEX(Settings!$C$27:$C$36,MATCH(E22,Settings!$B$27:$B$36,0)),"Unassigned"))</f>
        <v/>
      </c>
      <c r="C22">
        <f>IF($N22="","",INDEX('Per Line'!$D$2:$D$3001,$N22))</f>
        <v/>
      </c>
      <c r="D22">
        <f>IF($N22="","",INDEX('Per Line'!$C$2:$C$3001,$N22))</f>
        <v/>
      </c>
      <c r="E22">
        <f>IF($N22="","",INDEX('Per Line'!$A$2:$A$3001,$N22))</f>
        <v/>
      </c>
      <c r="H22">
        <f>IF($N22="","",INDEX('Per Line'!$V$2:$V$3001,$N22))</f>
        <v/>
      </c>
      <c r="I22" s="5">
        <f>IF($N22="","",SUMIFS('Per Line'!$X$2:$X$3001,'Per Line'!$D$2:$D$3001,$C22))</f>
        <v/>
      </c>
      <c r="J22" s="5">
        <f>IF($N22="","",SUMIFS('Per Line'!$Y$2:$Y$3001,'Per Line'!$D$2:$D$3001,$C22))</f>
        <v/>
      </c>
      <c r="K22" s="5">
        <f>IF($N22="","",SUMIFS('Per Line'!$Z$2:$Z$3001,'Per Line'!$D$2:$D$3001,$C22))</f>
        <v/>
      </c>
      <c r="L22" s="5">
        <f>IF($N22="","",I22-J22)</f>
        <v/>
      </c>
      <c r="M22" s="5">
        <f>IF($N22="","",L22-K22)</f>
        <v/>
      </c>
      <c r="N22">
        <f>IF(ROWS($N$2:$N22)&lt;=MAX('Per Line'!$AG$2:$AG$3001),MATCH(ROWS($N$2:$N22),'Per Line'!$AG$2:$AG$3001,0),"")</f>
        <v/>
      </c>
      <c r="O22">
        <f>IF(B22="Above Claim Form",COUNTIF($B$2:B22,"Above Claim Form"),"")</f>
        <v/>
      </c>
      <c r="P22">
        <f>IF(B22="Below Claim Form",COUNTIF($B$2:B22,"Below Claim Form"),"")</f>
        <v/>
      </c>
    </row>
    <row r="23">
      <c r="B23">
        <f>IF($N23="","",IFERROR(INDEX(Settings!$C$27:$C$36,MATCH(E23,Settings!$B$27:$B$36,0)),"Unassigned"))</f>
        <v/>
      </c>
      <c r="C23">
        <f>IF($N23="","",INDEX('Per Line'!$D$2:$D$3001,$N23))</f>
        <v/>
      </c>
      <c r="D23">
        <f>IF($N23="","",INDEX('Per Line'!$C$2:$C$3001,$N23))</f>
        <v/>
      </c>
      <c r="E23">
        <f>IF($N23="","",INDEX('Per Line'!$A$2:$A$3001,$N23))</f>
        <v/>
      </c>
      <c r="H23">
        <f>IF($N23="","",INDEX('Per Line'!$V$2:$V$3001,$N23))</f>
        <v/>
      </c>
      <c r="I23" s="5">
        <f>IF($N23="","",SUMIFS('Per Line'!$X$2:$X$3001,'Per Line'!$D$2:$D$3001,$C23))</f>
        <v/>
      </c>
      <c r="J23" s="5">
        <f>IF($N23="","",SUMIFS('Per Line'!$Y$2:$Y$3001,'Per Line'!$D$2:$D$3001,$C23))</f>
        <v/>
      </c>
      <c r="K23" s="5">
        <f>IF($N23="","",SUMIFS('Per Line'!$Z$2:$Z$3001,'Per Line'!$D$2:$D$3001,$C23))</f>
        <v/>
      </c>
      <c r="L23" s="5">
        <f>IF($N23="","",I23-J23)</f>
        <v/>
      </c>
      <c r="M23" s="5">
        <f>IF($N23="","",L23-K23)</f>
        <v/>
      </c>
      <c r="N23">
        <f>IF(ROWS($N$2:$N23)&lt;=MAX('Per Line'!$AG$2:$AG$3001),MATCH(ROWS($N$2:$N23),'Per Line'!$AG$2:$AG$3001,0),"")</f>
        <v/>
      </c>
      <c r="O23">
        <f>IF(B23="Above Claim Form",COUNTIF($B$2:B23,"Above Claim Form"),"")</f>
        <v/>
      </c>
      <c r="P23">
        <f>IF(B23="Below Claim Form",COUNTIF($B$2:B23,"Below Claim Form"),"")</f>
        <v/>
      </c>
    </row>
    <row r="24">
      <c r="B24">
        <f>IF($N24="","",IFERROR(INDEX(Settings!$C$27:$C$36,MATCH(E24,Settings!$B$27:$B$36,0)),"Unassigned"))</f>
        <v/>
      </c>
      <c r="C24">
        <f>IF($N24="","",INDEX('Per Line'!$D$2:$D$3001,$N24))</f>
        <v/>
      </c>
      <c r="D24">
        <f>IF($N24="","",INDEX('Per Line'!$C$2:$C$3001,$N24))</f>
        <v/>
      </c>
      <c r="E24">
        <f>IF($N24="","",INDEX('Per Line'!$A$2:$A$3001,$N24))</f>
        <v/>
      </c>
      <c r="H24">
        <f>IF($N24="","",INDEX('Per Line'!$V$2:$V$3001,$N24))</f>
        <v/>
      </c>
      <c r="I24" s="5">
        <f>IF($N24="","",SUMIFS('Per Line'!$X$2:$X$3001,'Per Line'!$D$2:$D$3001,$C24))</f>
        <v/>
      </c>
      <c r="J24" s="5">
        <f>IF($N24="","",SUMIFS('Per Line'!$Y$2:$Y$3001,'Per Line'!$D$2:$D$3001,$C24))</f>
        <v/>
      </c>
      <c r="K24" s="5">
        <f>IF($N24="","",SUMIFS('Per Line'!$Z$2:$Z$3001,'Per Line'!$D$2:$D$3001,$C24))</f>
        <v/>
      </c>
      <c r="L24" s="5">
        <f>IF($N24="","",I24-J24)</f>
        <v/>
      </c>
      <c r="M24" s="5">
        <f>IF($N24="","",L24-K24)</f>
        <v/>
      </c>
      <c r="N24">
        <f>IF(ROWS($N$2:$N24)&lt;=MAX('Per Line'!$AG$2:$AG$3001),MATCH(ROWS($N$2:$N24),'Per Line'!$AG$2:$AG$3001,0),"")</f>
        <v/>
      </c>
      <c r="O24">
        <f>IF(B24="Above Claim Form",COUNTIF($B$2:B24,"Above Claim Form"),"")</f>
        <v/>
      </c>
      <c r="P24">
        <f>IF(B24="Below Claim Form",COUNTIF($B$2:B24,"Below Claim Form"),"")</f>
        <v/>
      </c>
    </row>
    <row r="25">
      <c r="B25">
        <f>IF($N25="","",IFERROR(INDEX(Settings!$C$27:$C$36,MATCH(E25,Settings!$B$27:$B$36,0)),"Unassigned"))</f>
        <v/>
      </c>
      <c r="C25">
        <f>IF($N25="","",INDEX('Per Line'!$D$2:$D$3001,$N25))</f>
        <v/>
      </c>
      <c r="D25">
        <f>IF($N25="","",INDEX('Per Line'!$C$2:$C$3001,$N25))</f>
        <v/>
      </c>
      <c r="E25">
        <f>IF($N25="","",INDEX('Per Line'!$A$2:$A$3001,$N25))</f>
        <v/>
      </c>
      <c r="H25">
        <f>IF($N25="","",INDEX('Per Line'!$V$2:$V$3001,$N25))</f>
        <v/>
      </c>
      <c r="I25" s="5">
        <f>IF($N25="","",SUMIFS('Per Line'!$X$2:$X$3001,'Per Line'!$D$2:$D$3001,$C25))</f>
        <v/>
      </c>
      <c r="J25" s="5">
        <f>IF($N25="","",SUMIFS('Per Line'!$Y$2:$Y$3001,'Per Line'!$D$2:$D$3001,$C25))</f>
        <v/>
      </c>
      <c r="K25" s="5">
        <f>IF($N25="","",SUMIFS('Per Line'!$Z$2:$Z$3001,'Per Line'!$D$2:$D$3001,$C25))</f>
        <v/>
      </c>
      <c r="L25" s="5">
        <f>IF($N25="","",I25-J25)</f>
        <v/>
      </c>
      <c r="M25" s="5">
        <f>IF($N25="","",L25-K25)</f>
        <v/>
      </c>
      <c r="N25">
        <f>IF(ROWS($N$2:$N25)&lt;=MAX('Per Line'!$AG$2:$AG$3001),MATCH(ROWS($N$2:$N25),'Per Line'!$AG$2:$AG$3001,0),"")</f>
        <v/>
      </c>
      <c r="O25">
        <f>IF(B25="Above Claim Form",COUNTIF($B$2:B25,"Above Claim Form"),"")</f>
        <v/>
      </c>
      <c r="P25">
        <f>IF(B25="Below Claim Form",COUNTIF($B$2:B25,"Below Claim Form"),"")</f>
        <v/>
      </c>
    </row>
    <row r="26">
      <c r="B26">
        <f>IF($N26="","",IFERROR(INDEX(Settings!$C$27:$C$36,MATCH(E26,Settings!$B$27:$B$36,0)),"Unassigned"))</f>
        <v/>
      </c>
      <c r="C26">
        <f>IF($N26="","",INDEX('Per Line'!$D$2:$D$3001,$N26))</f>
        <v/>
      </c>
      <c r="D26">
        <f>IF($N26="","",INDEX('Per Line'!$C$2:$C$3001,$N26))</f>
        <v/>
      </c>
      <c r="E26">
        <f>IF($N26="","",INDEX('Per Line'!$A$2:$A$3001,$N26))</f>
        <v/>
      </c>
      <c r="H26">
        <f>IF($N26="","",INDEX('Per Line'!$V$2:$V$3001,$N26))</f>
        <v/>
      </c>
      <c r="I26" s="5">
        <f>IF($N26="","",SUMIFS('Per Line'!$X$2:$X$3001,'Per Line'!$D$2:$D$3001,$C26))</f>
        <v/>
      </c>
      <c r="J26" s="5">
        <f>IF($N26="","",SUMIFS('Per Line'!$Y$2:$Y$3001,'Per Line'!$D$2:$D$3001,$C26))</f>
        <v/>
      </c>
      <c r="K26" s="5">
        <f>IF($N26="","",SUMIFS('Per Line'!$Z$2:$Z$3001,'Per Line'!$D$2:$D$3001,$C26))</f>
        <v/>
      </c>
      <c r="L26" s="5">
        <f>IF($N26="","",I26-J26)</f>
        <v/>
      </c>
      <c r="M26" s="5">
        <f>IF($N26="","",L26-K26)</f>
        <v/>
      </c>
      <c r="N26">
        <f>IF(ROWS($N$2:$N26)&lt;=MAX('Per Line'!$AG$2:$AG$3001),MATCH(ROWS($N$2:$N26),'Per Line'!$AG$2:$AG$3001,0),"")</f>
        <v/>
      </c>
      <c r="O26">
        <f>IF(B26="Above Claim Form",COUNTIF($B$2:B26,"Above Claim Form"),"")</f>
        <v/>
      </c>
      <c r="P26">
        <f>IF(B26="Below Claim Form",COUNTIF($B$2:B26,"Below Claim Form"),"")</f>
        <v/>
      </c>
    </row>
    <row r="27">
      <c r="B27">
        <f>IF($N27="","",IFERROR(INDEX(Settings!$C$27:$C$36,MATCH(E27,Settings!$B$27:$B$36,0)),"Unassigned"))</f>
        <v/>
      </c>
      <c r="C27">
        <f>IF($N27="","",INDEX('Per Line'!$D$2:$D$3001,$N27))</f>
        <v/>
      </c>
      <c r="D27">
        <f>IF($N27="","",INDEX('Per Line'!$C$2:$C$3001,$N27))</f>
        <v/>
      </c>
      <c r="E27">
        <f>IF($N27="","",INDEX('Per Line'!$A$2:$A$3001,$N27))</f>
        <v/>
      </c>
      <c r="H27">
        <f>IF($N27="","",INDEX('Per Line'!$V$2:$V$3001,$N27))</f>
        <v/>
      </c>
      <c r="I27" s="5">
        <f>IF($N27="","",SUMIFS('Per Line'!$X$2:$X$3001,'Per Line'!$D$2:$D$3001,$C27))</f>
        <v/>
      </c>
      <c r="J27" s="5">
        <f>IF($N27="","",SUMIFS('Per Line'!$Y$2:$Y$3001,'Per Line'!$D$2:$D$3001,$C27))</f>
        <v/>
      </c>
      <c r="K27" s="5">
        <f>IF($N27="","",SUMIFS('Per Line'!$Z$2:$Z$3001,'Per Line'!$D$2:$D$3001,$C27))</f>
        <v/>
      </c>
      <c r="L27" s="5">
        <f>IF($N27="","",I27-J27)</f>
        <v/>
      </c>
      <c r="M27" s="5">
        <f>IF($N27="","",L27-K27)</f>
        <v/>
      </c>
      <c r="N27">
        <f>IF(ROWS($N$2:$N27)&lt;=MAX('Per Line'!$AG$2:$AG$3001),MATCH(ROWS($N$2:$N27),'Per Line'!$AG$2:$AG$3001,0),"")</f>
        <v/>
      </c>
      <c r="O27">
        <f>IF(B27="Above Claim Form",COUNTIF($B$2:B27,"Above Claim Form"),"")</f>
        <v/>
      </c>
      <c r="P27">
        <f>IF(B27="Below Claim Form",COUNTIF($B$2:B27,"Below Claim Form"),"")</f>
        <v/>
      </c>
    </row>
    <row r="28">
      <c r="B28">
        <f>IF($N28="","",IFERROR(INDEX(Settings!$C$27:$C$36,MATCH(E28,Settings!$B$27:$B$36,0)),"Unassigned"))</f>
        <v/>
      </c>
      <c r="C28">
        <f>IF($N28="","",INDEX('Per Line'!$D$2:$D$3001,$N28))</f>
        <v/>
      </c>
      <c r="D28">
        <f>IF($N28="","",INDEX('Per Line'!$C$2:$C$3001,$N28))</f>
        <v/>
      </c>
      <c r="E28">
        <f>IF($N28="","",INDEX('Per Line'!$A$2:$A$3001,$N28))</f>
        <v/>
      </c>
      <c r="H28">
        <f>IF($N28="","",INDEX('Per Line'!$V$2:$V$3001,$N28))</f>
        <v/>
      </c>
      <c r="I28" s="5">
        <f>IF($N28="","",SUMIFS('Per Line'!$X$2:$X$3001,'Per Line'!$D$2:$D$3001,$C28))</f>
        <v/>
      </c>
      <c r="J28" s="5">
        <f>IF($N28="","",SUMIFS('Per Line'!$Y$2:$Y$3001,'Per Line'!$D$2:$D$3001,$C28))</f>
        <v/>
      </c>
      <c r="K28" s="5">
        <f>IF($N28="","",SUMIFS('Per Line'!$Z$2:$Z$3001,'Per Line'!$D$2:$D$3001,$C28))</f>
        <v/>
      </c>
      <c r="L28" s="5">
        <f>IF($N28="","",I28-J28)</f>
        <v/>
      </c>
      <c r="M28" s="5">
        <f>IF($N28="","",L28-K28)</f>
        <v/>
      </c>
      <c r="N28">
        <f>IF(ROWS($N$2:$N28)&lt;=MAX('Per Line'!$AG$2:$AG$3001),MATCH(ROWS($N$2:$N28),'Per Line'!$AG$2:$AG$3001,0),"")</f>
        <v/>
      </c>
      <c r="O28">
        <f>IF(B28="Above Claim Form",COUNTIF($B$2:B28,"Above Claim Form"),"")</f>
        <v/>
      </c>
      <c r="P28">
        <f>IF(B28="Below Claim Form",COUNTIF($B$2:B28,"Below Claim Form"),"")</f>
        <v/>
      </c>
    </row>
    <row r="29">
      <c r="B29">
        <f>IF($N29="","",IFERROR(INDEX(Settings!$C$27:$C$36,MATCH(E29,Settings!$B$27:$B$36,0)),"Unassigned"))</f>
        <v/>
      </c>
      <c r="C29">
        <f>IF($N29="","",INDEX('Per Line'!$D$2:$D$3001,$N29))</f>
        <v/>
      </c>
      <c r="D29">
        <f>IF($N29="","",INDEX('Per Line'!$C$2:$C$3001,$N29))</f>
        <v/>
      </c>
      <c r="E29">
        <f>IF($N29="","",INDEX('Per Line'!$A$2:$A$3001,$N29))</f>
        <v/>
      </c>
      <c r="H29">
        <f>IF($N29="","",INDEX('Per Line'!$V$2:$V$3001,$N29))</f>
        <v/>
      </c>
      <c r="I29" s="5">
        <f>IF($N29="","",SUMIFS('Per Line'!$X$2:$X$3001,'Per Line'!$D$2:$D$3001,$C29))</f>
        <v/>
      </c>
      <c r="J29" s="5">
        <f>IF($N29="","",SUMIFS('Per Line'!$Y$2:$Y$3001,'Per Line'!$D$2:$D$3001,$C29))</f>
        <v/>
      </c>
      <c r="K29" s="5">
        <f>IF($N29="","",SUMIFS('Per Line'!$Z$2:$Z$3001,'Per Line'!$D$2:$D$3001,$C29))</f>
        <v/>
      </c>
      <c r="L29" s="5">
        <f>IF($N29="","",I29-J29)</f>
        <v/>
      </c>
      <c r="M29" s="5">
        <f>IF($N29="","",L29-K29)</f>
        <v/>
      </c>
      <c r="N29">
        <f>IF(ROWS($N$2:$N29)&lt;=MAX('Per Line'!$AG$2:$AG$3001),MATCH(ROWS($N$2:$N29),'Per Line'!$AG$2:$AG$3001,0),"")</f>
        <v/>
      </c>
      <c r="O29">
        <f>IF(B29="Above Claim Form",COUNTIF($B$2:B29,"Above Claim Form"),"")</f>
        <v/>
      </c>
      <c r="P29">
        <f>IF(B29="Below Claim Form",COUNTIF($B$2:B29,"Below Claim Form"),"")</f>
        <v/>
      </c>
    </row>
    <row r="30">
      <c r="B30">
        <f>IF($N30="","",IFERROR(INDEX(Settings!$C$27:$C$36,MATCH(E30,Settings!$B$27:$B$36,0)),"Unassigned"))</f>
        <v/>
      </c>
      <c r="C30">
        <f>IF($N30="","",INDEX('Per Line'!$D$2:$D$3001,$N30))</f>
        <v/>
      </c>
      <c r="D30">
        <f>IF($N30="","",INDEX('Per Line'!$C$2:$C$3001,$N30))</f>
        <v/>
      </c>
      <c r="E30">
        <f>IF($N30="","",INDEX('Per Line'!$A$2:$A$3001,$N30))</f>
        <v/>
      </c>
      <c r="H30">
        <f>IF($N30="","",INDEX('Per Line'!$V$2:$V$3001,$N30))</f>
        <v/>
      </c>
      <c r="I30" s="5">
        <f>IF($N30="","",SUMIFS('Per Line'!$X$2:$X$3001,'Per Line'!$D$2:$D$3001,$C30))</f>
        <v/>
      </c>
      <c r="J30" s="5">
        <f>IF($N30="","",SUMIFS('Per Line'!$Y$2:$Y$3001,'Per Line'!$D$2:$D$3001,$C30))</f>
        <v/>
      </c>
      <c r="K30" s="5">
        <f>IF($N30="","",SUMIFS('Per Line'!$Z$2:$Z$3001,'Per Line'!$D$2:$D$3001,$C30))</f>
        <v/>
      </c>
      <c r="L30" s="5">
        <f>IF($N30="","",I30-J30)</f>
        <v/>
      </c>
      <c r="M30" s="5">
        <f>IF($N30="","",L30-K30)</f>
        <v/>
      </c>
      <c r="N30">
        <f>IF(ROWS($N$2:$N30)&lt;=MAX('Per Line'!$AG$2:$AG$3001),MATCH(ROWS($N$2:$N30),'Per Line'!$AG$2:$AG$3001,0),"")</f>
        <v/>
      </c>
      <c r="O30">
        <f>IF(B30="Above Claim Form",COUNTIF($B$2:B30,"Above Claim Form"),"")</f>
        <v/>
      </c>
      <c r="P30">
        <f>IF(B30="Below Claim Form",COUNTIF($B$2:B30,"Below Claim Form"),"")</f>
        <v/>
      </c>
    </row>
    <row r="31">
      <c r="B31">
        <f>IF($N31="","",IFERROR(INDEX(Settings!$C$27:$C$36,MATCH(E31,Settings!$B$27:$B$36,0)),"Unassigned"))</f>
        <v/>
      </c>
      <c r="C31">
        <f>IF($N31="","",INDEX('Per Line'!$D$2:$D$3001,$N31))</f>
        <v/>
      </c>
      <c r="D31">
        <f>IF($N31="","",INDEX('Per Line'!$C$2:$C$3001,$N31))</f>
        <v/>
      </c>
      <c r="E31">
        <f>IF($N31="","",INDEX('Per Line'!$A$2:$A$3001,$N31))</f>
        <v/>
      </c>
      <c r="H31">
        <f>IF($N31="","",INDEX('Per Line'!$V$2:$V$3001,$N31))</f>
        <v/>
      </c>
      <c r="I31" s="5">
        <f>IF($N31="","",SUMIFS('Per Line'!$X$2:$X$3001,'Per Line'!$D$2:$D$3001,$C31))</f>
        <v/>
      </c>
      <c r="J31" s="5">
        <f>IF($N31="","",SUMIFS('Per Line'!$Y$2:$Y$3001,'Per Line'!$D$2:$D$3001,$C31))</f>
        <v/>
      </c>
      <c r="K31" s="5">
        <f>IF($N31="","",SUMIFS('Per Line'!$Z$2:$Z$3001,'Per Line'!$D$2:$D$3001,$C31))</f>
        <v/>
      </c>
      <c r="L31" s="5">
        <f>IF($N31="","",I31-J31)</f>
        <v/>
      </c>
      <c r="M31" s="5">
        <f>IF($N31="","",L31-K31)</f>
        <v/>
      </c>
      <c r="N31">
        <f>IF(ROWS($N$2:$N31)&lt;=MAX('Per Line'!$AG$2:$AG$3001),MATCH(ROWS($N$2:$N31),'Per Line'!$AG$2:$AG$3001,0),"")</f>
        <v/>
      </c>
      <c r="O31">
        <f>IF(B31="Above Claim Form",COUNTIF($B$2:B31,"Above Claim Form"),"")</f>
        <v/>
      </c>
      <c r="P31">
        <f>IF(B31="Below Claim Form",COUNTIF($B$2:B31,"Below Claim Form"),"")</f>
        <v/>
      </c>
    </row>
    <row r="32">
      <c r="B32">
        <f>IF($N32="","",IFERROR(INDEX(Settings!$C$27:$C$36,MATCH(E32,Settings!$B$27:$B$36,0)),"Unassigned"))</f>
        <v/>
      </c>
      <c r="C32">
        <f>IF($N32="","",INDEX('Per Line'!$D$2:$D$3001,$N32))</f>
        <v/>
      </c>
      <c r="D32">
        <f>IF($N32="","",INDEX('Per Line'!$C$2:$C$3001,$N32))</f>
        <v/>
      </c>
      <c r="E32">
        <f>IF($N32="","",INDEX('Per Line'!$A$2:$A$3001,$N32))</f>
        <v/>
      </c>
      <c r="H32">
        <f>IF($N32="","",INDEX('Per Line'!$V$2:$V$3001,$N32))</f>
        <v/>
      </c>
      <c r="I32" s="5">
        <f>IF($N32="","",SUMIFS('Per Line'!$X$2:$X$3001,'Per Line'!$D$2:$D$3001,$C32))</f>
        <v/>
      </c>
      <c r="J32" s="5">
        <f>IF($N32="","",SUMIFS('Per Line'!$Y$2:$Y$3001,'Per Line'!$D$2:$D$3001,$C32))</f>
        <v/>
      </c>
      <c r="K32" s="5">
        <f>IF($N32="","",SUMIFS('Per Line'!$Z$2:$Z$3001,'Per Line'!$D$2:$D$3001,$C32))</f>
        <v/>
      </c>
      <c r="L32" s="5">
        <f>IF($N32="","",I32-J32)</f>
        <v/>
      </c>
      <c r="M32" s="5">
        <f>IF($N32="","",L32-K32)</f>
        <v/>
      </c>
      <c r="N32">
        <f>IF(ROWS($N$2:$N32)&lt;=MAX('Per Line'!$AG$2:$AG$3001),MATCH(ROWS($N$2:$N32),'Per Line'!$AG$2:$AG$3001,0),"")</f>
        <v/>
      </c>
      <c r="O32">
        <f>IF(B32="Above Claim Form",COUNTIF($B$2:B32,"Above Claim Form"),"")</f>
        <v/>
      </c>
      <c r="P32">
        <f>IF(B32="Below Claim Form",COUNTIF($B$2:B32,"Below Claim Form"),"")</f>
        <v/>
      </c>
    </row>
    <row r="33">
      <c r="B33">
        <f>IF($N33="","",IFERROR(INDEX(Settings!$C$27:$C$36,MATCH(E33,Settings!$B$27:$B$36,0)),"Unassigned"))</f>
        <v/>
      </c>
      <c r="C33">
        <f>IF($N33="","",INDEX('Per Line'!$D$2:$D$3001,$N33))</f>
        <v/>
      </c>
      <c r="D33">
        <f>IF($N33="","",INDEX('Per Line'!$C$2:$C$3001,$N33))</f>
        <v/>
      </c>
      <c r="E33">
        <f>IF($N33="","",INDEX('Per Line'!$A$2:$A$3001,$N33))</f>
        <v/>
      </c>
      <c r="H33">
        <f>IF($N33="","",INDEX('Per Line'!$V$2:$V$3001,$N33))</f>
        <v/>
      </c>
      <c r="I33" s="5">
        <f>IF($N33="","",SUMIFS('Per Line'!$X$2:$X$3001,'Per Line'!$D$2:$D$3001,$C33))</f>
        <v/>
      </c>
      <c r="J33" s="5">
        <f>IF($N33="","",SUMIFS('Per Line'!$Y$2:$Y$3001,'Per Line'!$D$2:$D$3001,$C33))</f>
        <v/>
      </c>
      <c r="K33" s="5">
        <f>IF($N33="","",SUMIFS('Per Line'!$Z$2:$Z$3001,'Per Line'!$D$2:$D$3001,$C33))</f>
        <v/>
      </c>
      <c r="L33" s="5">
        <f>IF($N33="","",I33-J33)</f>
        <v/>
      </c>
      <c r="M33" s="5">
        <f>IF($N33="","",L33-K33)</f>
        <v/>
      </c>
      <c r="N33">
        <f>IF(ROWS($N$2:$N33)&lt;=MAX('Per Line'!$AG$2:$AG$3001),MATCH(ROWS($N$2:$N33),'Per Line'!$AG$2:$AG$3001,0),"")</f>
        <v/>
      </c>
      <c r="O33">
        <f>IF(B33="Above Claim Form",COUNTIF($B$2:B33,"Above Claim Form"),"")</f>
        <v/>
      </c>
      <c r="P33">
        <f>IF(B33="Below Claim Form",COUNTIF($B$2:B33,"Below Claim Form"),"")</f>
        <v/>
      </c>
    </row>
    <row r="34">
      <c r="B34">
        <f>IF($N34="","",IFERROR(INDEX(Settings!$C$27:$C$36,MATCH(E34,Settings!$B$27:$B$36,0)),"Unassigned"))</f>
        <v/>
      </c>
      <c r="C34">
        <f>IF($N34="","",INDEX('Per Line'!$D$2:$D$3001,$N34))</f>
        <v/>
      </c>
      <c r="D34">
        <f>IF($N34="","",INDEX('Per Line'!$C$2:$C$3001,$N34))</f>
        <v/>
      </c>
      <c r="E34">
        <f>IF($N34="","",INDEX('Per Line'!$A$2:$A$3001,$N34))</f>
        <v/>
      </c>
      <c r="H34">
        <f>IF($N34="","",INDEX('Per Line'!$V$2:$V$3001,$N34))</f>
        <v/>
      </c>
      <c r="I34" s="5">
        <f>IF($N34="","",SUMIFS('Per Line'!$X$2:$X$3001,'Per Line'!$D$2:$D$3001,$C34))</f>
        <v/>
      </c>
      <c r="J34" s="5">
        <f>IF($N34="","",SUMIFS('Per Line'!$Y$2:$Y$3001,'Per Line'!$D$2:$D$3001,$C34))</f>
        <v/>
      </c>
      <c r="K34" s="5">
        <f>IF($N34="","",SUMIFS('Per Line'!$Z$2:$Z$3001,'Per Line'!$D$2:$D$3001,$C34))</f>
        <v/>
      </c>
      <c r="L34" s="5">
        <f>IF($N34="","",I34-J34)</f>
        <v/>
      </c>
      <c r="M34" s="5">
        <f>IF($N34="","",L34-K34)</f>
        <v/>
      </c>
      <c r="N34">
        <f>IF(ROWS($N$2:$N34)&lt;=MAX('Per Line'!$AG$2:$AG$3001),MATCH(ROWS($N$2:$N34),'Per Line'!$AG$2:$AG$3001,0),"")</f>
        <v/>
      </c>
      <c r="O34">
        <f>IF(B34="Above Claim Form",COUNTIF($B$2:B34,"Above Claim Form"),"")</f>
        <v/>
      </c>
      <c r="P34">
        <f>IF(B34="Below Claim Form",COUNTIF($B$2:B34,"Below Claim Form"),"")</f>
        <v/>
      </c>
    </row>
    <row r="35">
      <c r="B35">
        <f>IF($N35="","",IFERROR(INDEX(Settings!$C$27:$C$36,MATCH(E35,Settings!$B$27:$B$36,0)),"Unassigned"))</f>
        <v/>
      </c>
      <c r="C35">
        <f>IF($N35="","",INDEX('Per Line'!$D$2:$D$3001,$N35))</f>
        <v/>
      </c>
      <c r="D35">
        <f>IF($N35="","",INDEX('Per Line'!$C$2:$C$3001,$N35))</f>
        <v/>
      </c>
      <c r="E35">
        <f>IF($N35="","",INDEX('Per Line'!$A$2:$A$3001,$N35))</f>
        <v/>
      </c>
      <c r="H35">
        <f>IF($N35="","",INDEX('Per Line'!$V$2:$V$3001,$N35))</f>
        <v/>
      </c>
      <c r="I35" s="5">
        <f>IF($N35="","",SUMIFS('Per Line'!$X$2:$X$3001,'Per Line'!$D$2:$D$3001,$C35))</f>
        <v/>
      </c>
      <c r="J35" s="5">
        <f>IF($N35="","",SUMIFS('Per Line'!$Y$2:$Y$3001,'Per Line'!$D$2:$D$3001,$C35))</f>
        <v/>
      </c>
      <c r="K35" s="5">
        <f>IF($N35="","",SUMIFS('Per Line'!$Z$2:$Z$3001,'Per Line'!$D$2:$D$3001,$C35))</f>
        <v/>
      </c>
      <c r="L35" s="5">
        <f>IF($N35="","",I35-J35)</f>
        <v/>
      </c>
      <c r="M35" s="5">
        <f>IF($N35="","",L35-K35)</f>
        <v/>
      </c>
      <c r="N35">
        <f>IF(ROWS($N$2:$N35)&lt;=MAX('Per Line'!$AG$2:$AG$3001),MATCH(ROWS($N$2:$N35),'Per Line'!$AG$2:$AG$3001,0),"")</f>
        <v/>
      </c>
      <c r="O35">
        <f>IF(B35="Above Claim Form",COUNTIF($B$2:B35,"Above Claim Form"),"")</f>
        <v/>
      </c>
      <c r="P35">
        <f>IF(B35="Below Claim Form",COUNTIF($B$2:B35,"Below Claim Form"),"")</f>
        <v/>
      </c>
    </row>
    <row r="36">
      <c r="B36">
        <f>IF($N36="","",IFERROR(INDEX(Settings!$C$27:$C$36,MATCH(E36,Settings!$B$27:$B$36,0)),"Unassigned"))</f>
        <v/>
      </c>
      <c r="C36">
        <f>IF($N36="","",INDEX('Per Line'!$D$2:$D$3001,$N36))</f>
        <v/>
      </c>
      <c r="D36">
        <f>IF($N36="","",INDEX('Per Line'!$C$2:$C$3001,$N36))</f>
        <v/>
      </c>
      <c r="E36">
        <f>IF($N36="","",INDEX('Per Line'!$A$2:$A$3001,$N36))</f>
        <v/>
      </c>
      <c r="H36">
        <f>IF($N36="","",INDEX('Per Line'!$V$2:$V$3001,$N36))</f>
        <v/>
      </c>
      <c r="I36" s="5">
        <f>IF($N36="","",SUMIFS('Per Line'!$X$2:$X$3001,'Per Line'!$D$2:$D$3001,$C36))</f>
        <v/>
      </c>
      <c r="J36" s="5">
        <f>IF($N36="","",SUMIFS('Per Line'!$Y$2:$Y$3001,'Per Line'!$D$2:$D$3001,$C36))</f>
        <v/>
      </c>
      <c r="K36" s="5">
        <f>IF($N36="","",SUMIFS('Per Line'!$Z$2:$Z$3001,'Per Line'!$D$2:$D$3001,$C36))</f>
        <v/>
      </c>
      <c r="L36" s="5">
        <f>IF($N36="","",I36-J36)</f>
        <v/>
      </c>
      <c r="M36" s="5">
        <f>IF($N36="","",L36-K36)</f>
        <v/>
      </c>
      <c r="N36">
        <f>IF(ROWS($N$2:$N36)&lt;=MAX('Per Line'!$AG$2:$AG$3001),MATCH(ROWS($N$2:$N36),'Per Line'!$AG$2:$AG$3001,0),"")</f>
        <v/>
      </c>
      <c r="O36">
        <f>IF(B36="Above Claim Form",COUNTIF($B$2:B36,"Above Claim Form"),"")</f>
        <v/>
      </c>
      <c r="P36">
        <f>IF(B36="Below Claim Form",COUNTIF($B$2:B36,"Below Claim Form"),"")</f>
        <v/>
      </c>
    </row>
    <row r="37">
      <c r="B37">
        <f>IF($N37="","",IFERROR(INDEX(Settings!$C$27:$C$36,MATCH(E37,Settings!$B$27:$B$36,0)),"Unassigned"))</f>
        <v/>
      </c>
      <c r="C37">
        <f>IF($N37="","",INDEX('Per Line'!$D$2:$D$3001,$N37))</f>
        <v/>
      </c>
      <c r="D37">
        <f>IF($N37="","",INDEX('Per Line'!$C$2:$C$3001,$N37))</f>
        <v/>
      </c>
      <c r="E37">
        <f>IF($N37="","",INDEX('Per Line'!$A$2:$A$3001,$N37))</f>
        <v/>
      </c>
      <c r="H37">
        <f>IF($N37="","",INDEX('Per Line'!$V$2:$V$3001,$N37))</f>
        <v/>
      </c>
      <c r="I37" s="5">
        <f>IF($N37="","",SUMIFS('Per Line'!$X$2:$X$3001,'Per Line'!$D$2:$D$3001,$C37))</f>
        <v/>
      </c>
      <c r="J37" s="5">
        <f>IF($N37="","",SUMIFS('Per Line'!$Y$2:$Y$3001,'Per Line'!$D$2:$D$3001,$C37))</f>
        <v/>
      </c>
      <c r="K37" s="5">
        <f>IF($N37="","",SUMIFS('Per Line'!$Z$2:$Z$3001,'Per Line'!$D$2:$D$3001,$C37))</f>
        <v/>
      </c>
      <c r="L37" s="5">
        <f>IF($N37="","",I37-J37)</f>
        <v/>
      </c>
      <c r="M37" s="5">
        <f>IF($N37="","",L37-K37)</f>
        <v/>
      </c>
      <c r="N37">
        <f>IF(ROWS($N$2:$N37)&lt;=MAX('Per Line'!$AG$2:$AG$3001),MATCH(ROWS($N$2:$N37),'Per Line'!$AG$2:$AG$3001,0),"")</f>
        <v/>
      </c>
      <c r="O37">
        <f>IF(B37="Above Claim Form",COUNTIF($B$2:B37,"Above Claim Form"),"")</f>
        <v/>
      </c>
      <c r="P37">
        <f>IF(B37="Below Claim Form",COUNTIF($B$2:B37,"Below Claim Form"),"")</f>
        <v/>
      </c>
    </row>
    <row r="38">
      <c r="B38">
        <f>IF($N38="","",IFERROR(INDEX(Settings!$C$27:$C$36,MATCH(E38,Settings!$B$27:$B$36,0)),"Unassigned"))</f>
        <v/>
      </c>
      <c r="C38">
        <f>IF($N38="","",INDEX('Per Line'!$D$2:$D$3001,$N38))</f>
        <v/>
      </c>
      <c r="D38">
        <f>IF($N38="","",INDEX('Per Line'!$C$2:$C$3001,$N38))</f>
        <v/>
      </c>
      <c r="E38">
        <f>IF($N38="","",INDEX('Per Line'!$A$2:$A$3001,$N38))</f>
        <v/>
      </c>
      <c r="H38">
        <f>IF($N38="","",INDEX('Per Line'!$V$2:$V$3001,$N38))</f>
        <v/>
      </c>
      <c r="I38" s="5">
        <f>IF($N38="","",SUMIFS('Per Line'!$X$2:$X$3001,'Per Line'!$D$2:$D$3001,$C38))</f>
        <v/>
      </c>
      <c r="J38" s="5">
        <f>IF($N38="","",SUMIFS('Per Line'!$Y$2:$Y$3001,'Per Line'!$D$2:$D$3001,$C38))</f>
        <v/>
      </c>
      <c r="K38" s="5">
        <f>IF($N38="","",SUMIFS('Per Line'!$Z$2:$Z$3001,'Per Line'!$D$2:$D$3001,$C38))</f>
        <v/>
      </c>
      <c r="L38" s="5">
        <f>IF($N38="","",I38-J38)</f>
        <v/>
      </c>
      <c r="M38" s="5">
        <f>IF($N38="","",L38-K38)</f>
        <v/>
      </c>
      <c r="N38">
        <f>IF(ROWS($N$2:$N38)&lt;=MAX('Per Line'!$AG$2:$AG$3001),MATCH(ROWS($N$2:$N38),'Per Line'!$AG$2:$AG$3001,0),"")</f>
        <v/>
      </c>
      <c r="O38">
        <f>IF(B38="Above Claim Form",COUNTIF($B$2:B38,"Above Claim Form"),"")</f>
        <v/>
      </c>
      <c r="P38">
        <f>IF(B38="Below Claim Form",COUNTIF($B$2:B38,"Below Claim Form"),"")</f>
        <v/>
      </c>
    </row>
    <row r="39">
      <c r="B39">
        <f>IF($N39="","",IFERROR(INDEX(Settings!$C$27:$C$36,MATCH(E39,Settings!$B$27:$B$36,0)),"Unassigned"))</f>
        <v/>
      </c>
      <c r="C39">
        <f>IF($N39="","",INDEX('Per Line'!$D$2:$D$3001,$N39))</f>
        <v/>
      </c>
      <c r="D39">
        <f>IF($N39="","",INDEX('Per Line'!$C$2:$C$3001,$N39))</f>
        <v/>
      </c>
      <c r="E39">
        <f>IF($N39="","",INDEX('Per Line'!$A$2:$A$3001,$N39))</f>
        <v/>
      </c>
      <c r="H39">
        <f>IF($N39="","",INDEX('Per Line'!$V$2:$V$3001,$N39))</f>
        <v/>
      </c>
      <c r="I39" s="5">
        <f>IF($N39="","",SUMIFS('Per Line'!$X$2:$X$3001,'Per Line'!$D$2:$D$3001,$C39))</f>
        <v/>
      </c>
      <c r="J39" s="5">
        <f>IF($N39="","",SUMIFS('Per Line'!$Y$2:$Y$3001,'Per Line'!$D$2:$D$3001,$C39))</f>
        <v/>
      </c>
      <c r="K39" s="5">
        <f>IF($N39="","",SUMIFS('Per Line'!$Z$2:$Z$3001,'Per Line'!$D$2:$D$3001,$C39))</f>
        <v/>
      </c>
      <c r="L39" s="5">
        <f>IF($N39="","",I39-J39)</f>
        <v/>
      </c>
      <c r="M39" s="5">
        <f>IF($N39="","",L39-K39)</f>
        <v/>
      </c>
      <c r="N39">
        <f>IF(ROWS($N$2:$N39)&lt;=MAX('Per Line'!$AG$2:$AG$3001),MATCH(ROWS($N$2:$N39),'Per Line'!$AG$2:$AG$3001,0),"")</f>
        <v/>
      </c>
      <c r="O39">
        <f>IF(B39="Above Claim Form",COUNTIF($B$2:B39,"Above Claim Form"),"")</f>
        <v/>
      </c>
      <c r="P39">
        <f>IF(B39="Below Claim Form",COUNTIF($B$2:B39,"Below Claim Form"),"")</f>
        <v/>
      </c>
    </row>
    <row r="40">
      <c r="B40">
        <f>IF($N40="","",IFERROR(INDEX(Settings!$C$27:$C$36,MATCH(E40,Settings!$B$27:$B$36,0)),"Unassigned"))</f>
        <v/>
      </c>
      <c r="C40">
        <f>IF($N40="","",INDEX('Per Line'!$D$2:$D$3001,$N40))</f>
        <v/>
      </c>
      <c r="D40">
        <f>IF($N40="","",INDEX('Per Line'!$C$2:$C$3001,$N40))</f>
        <v/>
      </c>
      <c r="E40">
        <f>IF($N40="","",INDEX('Per Line'!$A$2:$A$3001,$N40))</f>
        <v/>
      </c>
      <c r="H40">
        <f>IF($N40="","",INDEX('Per Line'!$V$2:$V$3001,$N40))</f>
        <v/>
      </c>
      <c r="I40" s="5">
        <f>IF($N40="","",SUMIFS('Per Line'!$X$2:$X$3001,'Per Line'!$D$2:$D$3001,$C40))</f>
        <v/>
      </c>
      <c r="J40" s="5">
        <f>IF($N40="","",SUMIFS('Per Line'!$Y$2:$Y$3001,'Per Line'!$D$2:$D$3001,$C40))</f>
        <v/>
      </c>
      <c r="K40" s="5">
        <f>IF($N40="","",SUMIFS('Per Line'!$Z$2:$Z$3001,'Per Line'!$D$2:$D$3001,$C40))</f>
        <v/>
      </c>
      <c r="L40" s="5">
        <f>IF($N40="","",I40-J40)</f>
        <v/>
      </c>
      <c r="M40" s="5">
        <f>IF($N40="","",L40-K40)</f>
        <v/>
      </c>
      <c r="N40">
        <f>IF(ROWS($N$2:$N40)&lt;=MAX('Per Line'!$AG$2:$AG$3001),MATCH(ROWS($N$2:$N40),'Per Line'!$AG$2:$AG$3001,0),"")</f>
        <v/>
      </c>
      <c r="O40">
        <f>IF(B40="Above Claim Form",COUNTIF($B$2:B40,"Above Claim Form"),"")</f>
        <v/>
      </c>
      <c r="P40">
        <f>IF(B40="Below Claim Form",COUNTIF($B$2:B40,"Below Claim Form"),"")</f>
        <v/>
      </c>
    </row>
    <row r="41">
      <c r="B41">
        <f>IF($N41="","",IFERROR(INDEX(Settings!$C$27:$C$36,MATCH(E41,Settings!$B$27:$B$36,0)),"Unassigned"))</f>
        <v/>
      </c>
      <c r="C41">
        <f>IF($N41="","",INDEX('Per Line'!$D$2:$D$3001,$N41))</f>
        <v/>
      </c>
      <c r="D41">
        <f>IF($N41="","",INDEX('Per Line'!$C$2:$C$3001,$N41))</f>
        <v/>
      </c>
      <c r="E41">
        <f>IF($N41="","",INDEX('Per Line'!$A$2:$A$3001,$N41))</f>
        <v/>
      </c>
      <c r="H41">
        <f>IF($N41="","",INDEX('Per Line'!$V$2:$V$3001,$N41))</f>
        <v/>
      </c>
      <c r="I41" s="5">
        <f>IF($N41="","",SUMIFS('Per Line'!$X$2:$X$3001,'Per Line'!$D$2:$D$3001,$C41))</f>
        <v/>
      </c>
      <c r="J41" s="5">
        <f>IF($N41="","",SUMIFS('Per Line'!$Y$2:$Y$3001,'Per Line'!$D$2:$D$3001,$C41))</f>
        <v/>
      </c>
      <c r="K41" s="5">
        <f>IF($N41="","",SUMIFS('Per Line'!$Z$2:$Z$3001,'Per Line'!$D$2:$D$3001,$C41))</f>
        <v/>
      </c>
      <c r="L41" s="5">
        <f>IF($N41="","",I41-J41)</f>
        <v/>
      </c>
      <c r="M41" s="5">
        <f>IF($N41="","",L41-K41)</f>
        <v/>
      </c>
      <c r="N41">
        <f>IF(ROWS($N$2:$N41)&lt;=MAX('Per Line'!$AG$2:$AG$3001),MATCH(ROWS($N$2:$N41),'Per Line'!$AG$2:$AG$3001,0),"")</f>
        <v/>
      </c>
      <c r="O41">
        <f>IF(B41="Above Claim Form",COUNTIF($B$2:B41,"Above Claim Form"),"")</f>
        <v/>
      </c>
      <c r="P41">
        <f>IF(B41="Below Claim Form",COUNTIF($B$2:B41,"Below Claim Form"),"")</f>
        <v/>
      </c>
    </row>
    <row r="42">
      <c r="B42">
        <f>IF($N42="","",IFERROR(INDEX(Settings!$C$27:$C$36,MATCH(E42,Settings!$B$27:$B$36,0)),"Unassigned"))</f>
        <v/>
      </c>
      <c r="C42">
        <f>IF($N42="","",INDEX('Per Line'!$D$2:$D$3001,$N42))</f>
        <v/>
      </c>
      <c r="D42">
        <f>IF($N42="","",INDEX('Per Line'!$C$2:$C$3001,$N42))</f>
        <v/>
      </c>
      <c r="E42">
        <f>IF($N42="","",INDEX('Per Line'!$A$2:$A$3001,$N42))</f>
        <v/>
      </c>
      <c r="H42">
        <f>IF($N42="","",INDEX('Per Line'!$V$2:$V$3001,$N42))</f>
        <v/>
      </c>
      <c r="I42" s="5">
        <f>IF($N42="","",SUMIFS('Per Line'!$X$2:$X$3001,'Per Line'!$D$2:$D$3001,$C42))</f>
        <v/>
      </c>
      <c r="J42" s="5">
        <f>IF($N42="","",SUMIFS('Per Line'!$Y$2:$Y$3001,'Per Line'!$D$2:$D$3001,$C42))</f>
        <v/>
      </c>
      <c r="K42" s="5">
        <f>IF($N42="","",SUMIFS('Per Line'!$Z$2:$Z$3001,'Per Line'!$D$2:$D$3001,$C42))</f>
        <v/>
      </c>
      <c r="L42" s="5">
        <f>IF($N42="","",I42-J42)</f>
        <v/>
      </c>
      <c r="M42" s="5">
        <f>IF($N42="","",L42-K42)</f>
        <v/>
      </c>
      <c r="N42">
        <f>IF(ROWS($N$2:$N42)&lt;=MAX('Per Line'!$AG$2:$AG$3001),MATCH(ROWS($N$2:$N42),'Per Line'!$AG$2:$AG$3001,0),"")</f>
        <v/>
      </c>
      <c r="O42">
        <f>IF(B42="Above Claim Form",COUNTIF($B$2:B42,"Above Claim Form"),"")</f>
        <v/>
      </c>
      <c r="P42">
        <f>IF(B42="Below Claim Form",COUNTIF($B$2:B42,"Below Claim Form"),"")</f>
        <v/>
      </c>
    </row>
    <row r="43">
      <c r="B43">
        <f>IF($N43="","",IFERROR(INDEX(Settings!$C$27:$C$36,MATCH(E43,Settings!$B$27:$B$36,0)),"Unassigned"))</f>
        <v/>
      </c>
      <c r="C43">
        <f>IF($N43="","",INDEX('Per Line'!$D$2:$D$3001,$N43))</f>
        <v/>
      </c>
      <c r="D43">
        <f>IF($N43="","",INDEX('Per Line'!$C$2:$C$3001,$N43))</f>
        <v/>
      </c>
      <c r="E43">
        <f>IF($N43="","",INDEX('Per Line'!$A$2:$A$3001,$N43))</f>
        <v/>
      </c>
      <c r="H43">
        <f>IF($N43="","",INDEX('Per Line'!$V$2:$V$3001,$N43))</f>
        <v/>
      </c>
      <c r="I43" s="5">
        <f>IF($N43="","",SUMIFS('Per Line'!$X$2:$X$3001,'Per Line'!$D$2:$D$3001,$C43))</f>
        <v/>
      </c>
      <c r="J43" s="5">
        <f>IF($N43="","",SUMIFS('Per Line'!$Y$2:$Y$3001,'Per Line'!$D$2:$D$3001,$C43))</f>
        <v/>
      </c>
      <c r="K43" s="5">
        <f>IF($N43="","",SUMIFS('Per Line'!$Z$2:$Z$3001,'Per Line'!$D$2:$D$3001,$C43))</f>
        <v/>
      </c>
      <c r="L43" s="5">
        <f>IF($N43="","",I43-J43)</f>
        <v/>
      </c>
      <c r="M43" s="5">
        <f>IF($N43="","",L43-K43)</f>
        <v/>
      </c>
      <c r="N43">
        <f>IF(ROWS($N$2:$N43)&lt;=MAX('Per Line'!$AG$2:$AG$3001),MATCH(ROWS($N$2:$N43),'Per Line'!$AG$2:$AG$3001,0),"")</f>
        <v/>
      </c>
      <c r="O43">
        <f>IF(B43="Above Claim Form",COUNTIF($B$2:B43,"Above Claim Form"),"")</f>
        <v/>
      </c>
      <c r="P43">
        <f>IF(B43="Below Claim Form",COUNTIF($B$2:B43,"Below Claim Form"),"")</f>
        <v/>
      </c>
    </row>
    <row r="44">
      <c r="B44">
        <f>IF($N44="","",IFERROR(INDEX(Settings!$C$27:$C$36,MATCH(E44,Settings!$B$27:$B$36,0)),"Unassigned"))</f>
        <v/>
      </c>
      <c r="C44">
        <f>IF($N44="","",INDEX('Per Line'!$D$2:$D$3001,$N44))</f>
        <v/>
      </c>
      <c r="D44">
        <f>IF($N44="","",INDEX('Per Line'!$C$2:$C$3001,$N44))</f>
        <v/>
      </c>
      <c r="E44">
        <f>IF($N44="","",INDEX('Per Line'!$A$2:$A$3001,$N44))</f>
        <v/>
      </c>
      <c r="H44">
        <f>IF($N44="","",INDEX('Per Line'!$V$2:$V$3001,$N44))</f>
        <v/>
      </c>
      <c r="I44" s="5">
        <f>IF($N44="","",SUMIFS('Per Line'!$X$2:$X$3001,'Per Line'!$D$2:$D$3001,$C44))</f>
        <v/>
      </c>
      <c r="J44" s="5">
        <f>IF($N44="","",SUMIFS('Per Line'!$Y$2:$Y$3001,'Per Line'!$D$2:$D$3001,$C44))</f>
        <v/>
      </c>
      <c r="K44" s="5">
        <f>IF($N44="","",SUMIFS('Per Line'!$Z$2:$Z$3001,'Per Line'!$D$2:$D$3001,$C44))</f>
        <v/>
      </c>
      <c r="L44" s="5">
        <f>IF($N44="","",I44-J44)</f>
        <v/>
      </c>
      <c r="M44" s="5">
        <f>IF($N44="","",L44-K44)</f>
        <v/>
      </c>
      <c r="N44">
        <f>IF(ROWS($N$2:$N44)&lt;=MAX('Per Line'!$AG$2:$AG$3001),MATCH(ROWS($N$2:$N44),'Per Line'!$AG$2:$AG$3001,0),"")</f>
        <v/>
      </c>
      <c r="O44">
        <f>IF(B44="Above Claim Form",COUNTIF($B$2:B44,"Above Claim Form"),"")</f>
        <v/>
      </c>
      <c r="P44">
        <f>IF(B44="Below Claim Form",COUNTIF($B$2:B44,"Below Claim Form"),"")</f>
        <v/>
      </c>
    </row>
    <row r="45">
      <c r="B45">
        <f>IF($N45="","",IFERROR(INDEX(Settings!$C$27:$C$36,MATCH(E45,Settings!$B$27:$B$36,0)),"Unassigned"))</f>
        <v/>
      </c>
      <c r="C45">
        <f>IF($N45="","",INDEX('Per Line'!$D$2:$D$3001,$N45))</f>
        <v/>
      </c>
      <c r="D45">
        <f>IF($N45="","",INDEX('Per Line'!$C$2:$C$3001,$N45))</f>
        <v/>
      </c>
      <c r="E45">
        <f>IF($N45="","",INDEX('Per Line'!$A$2:$A$3001,$N45))</f>
        <v/>
      </c>
      <c r="H45">
        <f>IF($N45="","",INDEX('Per Line'!$V$2:$V$3001,$N45))</f>
        <v/>
      </c>
      <c r="I45" s="5">
        <f>IF($N45="","",SUMIFS('Per Line'!$X$2:$X$3001,'Per Line'!$D$2:$D$3001,$C45))</f>
        <v/>
      </c>
      <c r="J45" s="5">
        <f>IF($N45="","",SUMIFS('Per Line'!$Y$2:$Y$3001,'Per Line'!$D$2:$D$3001,$C45))</f>
        <v/>
      </c>
      <c r="K45" s="5">
        <f>IF($N45="","",SUMIFS('Per Line'!$Z$2:$Z$3001,'Per Line'!$D$2:$D$3001,$C45))</f>
        <v/>
      </c>
      <c r="L45" s="5">
        <f>IF($N45="","",I45-J45)</f>
        <v/>
      </c>
      <c r="M45" s="5">
        <f>IF($N45="","",L45-K45)</f>
        <v/>
      </c>
      <c r="N45">
        <f>IF(ROWS($N$2:$N45)&lt;=MAX('Per Line'!$AG$2:$AG$3001),MATCH(ROWS($N$2:$N45),'Per Line'!$AG$2:$AG$3001,0),"")</f>
        <v/>
      </c>
      <c r="O45">
        <f>IF(B45="Above Claim Form",COUNTIF($B$2:B45,"Above Claim Form"),"")</f>
        <v/>
      </c>
      <c r="P45">
        <f>IF(B45="Below Claim Form",COUNTIF($B$2:B45,"Below Claim Form"),"")</f>
        <v/>
      </c>
    </row>
    <row r="46">
      <c r="B46">
        <f>IF($N46="","",IFERROR(INDEX(Settings!$C$27:$C$36,MATCH(E46,Settings!$B$27:$B$36,0)),"Unassigned"))</f>
        <v/>
      </c>
      <c r="C46">
        <f>IF($N46="","",INDEX('Per Line'!$D$2:$D$3001,$N46))</f>
        <v/>
      </c>
      <c r="D46">
        <f>IF($N46="","",INDEX('Per Line'!$C$2:$C$3001,$N46))</f>
        <v/>
      </c>
      <c r="E46">
        <f>IF($N46="","",INDEX('Per Line'!$A$2:$A$3001,$N46))</f>
        <v/>
      </c>
      <c r="H46">
        <f>IF($N46="","",INDEX('Per Line'!$V$2:$V$3001,$N46))</f>
        <v/>
      </c>
      <c r="I46" s="5">
        <f>IF($N46="","",SUMIFS('Per Line'!$X$2:$X$3001,'Per Line'!$D$2:$D$3001,$C46))</f>
        <v/>
      </c>
      <c r="J46" s="5">
        <f>IF($N46="","",SUMIFS('Per Line'!$Y$2:$Y$3001,'Per Line'!$D$2:$D$3001,$C46))</f>
        <v/>
      </c>
      <c r="K46" s="5">
        <f>IF($N46="","",SUMIFS('Per Line'!$Z$2:$Z$3001,'Per Line'!$D$2:$D$3001,$C46))</f>
        <v/>
      </c>
      <c r="L46" s="5">
        <f>IF($N46="","",I46-J46)</f>
        <v/>
      </c>
      <c r="M46" s="5">
        <f>IF($N46="","",L46-K46)</f>
        <v/>
      </c>
      <c r="N46">
        <f>IF(ROWS($N$2:$N46)&lt;=MAX('Per Line'!$AG$2:$AG$3001),MATCH(ROWS($N$2:$N46),'Per Line'!$AG$2:$AG$3001,0),"")</f>
        <v/>
      </c>
      <c r="O46">
        <f>IF(B46="Above Claim Form",COUNTIF($B$2:B46,"Above Claim Form"),"")</f>
        <v/>
      </c>
      <c r="P46">
        <f>IF(B46="Below Claim Form",COUNTIF($B$2:B46,"Below Claim Form"),"")</f>
        <v/>
      </c>
    </row>
    <row r="47">
      <c r="B47">
        <f>IF($N47="","",IFERROR(INDEX(Settings!$C$27:$C$36,MATCH(E47,Settings!$B$27:$B$36,0)),"Unassigned"))</f>
        <v/>
      </c>
      <c r="C47">
        <f>IF($N47="","",INDEX('Per Line'!$D$2:$D$3001,$N47))</f>
        <v/>
      </c>
      <c r="D47">
        <f>IF($N47="","",INDEX('Per Line'!$C$2:$C$3001,$N47))</f>
        <v/>
      </c>
      <c r="E47">
        <f>IF($N47="","",INDEX('Per Line'!$A$2:$A$3001,$N47))</f>
        <v/>
      </c>
      <c r="H47">
        <f>IF($N47="","",INDEX('Per Line'!$V$2:$V$3001,$N47))</f>
        <v/>
      </c>
      <c r="I47" s="5">
        <f>IF($N47="","",SUMIFS('Per Line'!$X$2:$X$3001,'Per Line'!$D$2:$D$3001,$C47))</f>
        <v/>
      </c>
      <c r="J47" s="5">
        <f>IF($N47="","",SUMIFS('Per Line'!$Y$2:$Y$3001,'Per Line'!$D$2:$D$3001,$C47))</f>
        <v/>
      </c>
      <c r="K47" s="5">
        <f>IF($N47="","",SUMIFS('Per Line'!$Z$2:$Z$3001,'Per Line'!$D$2:$D$3001,$C47))</f>
        <v/>
      </c>
      <c r="L47" s="5">
        <f>IF($N47="","",I47-J47)</f>
        <v/>
      </c>
      <c r="M47" s="5">
        <f>IF($N47="","",L47-K47)</f>
        <v/>
      </c>
      <c r="N47">
        <f>IF(ROWS($N$2:$N47)&lt;=MAX('Per Line'!$AG$2:$AG$3001),MATCH(ROWS($N$2:$N47),'Per Line'!$AG$2:$AG$3001,0),"")</f>
        <v/>
      </c>
      <c r="O47">
        <f>IF(B47="Above Claim Form",COUNTIF($B$2:B47,"Above Claim Form"),"")</f>
        <v/>
      </c>
      <c r="P47">
        <f>IF(B47="Below Claim Form",COUNTIF($B$2:B47,"Below Claim Form"),"")</f>
        <v/>
      </c>
    </row>
    <row r="48">
      <c r="B48">
        <f>IF($N48="","",IFERROR(INDEX(Settings!$C$27:$C$36,MATCH(E48,Settings!$B$27:$B$36,0)),"Unassigned"))</f>
        <v/>
      </c>
      <c r="C48">
        <f>IF($N48="","",INDEX('Per Line'!$D$2:$D$3001,$N48))</f>
        <v/>
      </c>
      <c r="D48">
        <f>IF($N48="","",INDEX('Per Line'!$C$2:$C$3001,$N48))</f>
        <v/>
      </c>
      <c r="E48">
        <f>IF($N48="","",INDEX('Per Line'!$A$2:$A$3001,$N48))</f>
        <v/>
      </c>
      <c r="H48">
        <f>IF($N48="","",INDEX('Per Line'!$V$2:$V$3001,$N48))</f>
        <v/>
      </c>
      <c r="I48" s="5">
        <f>IF($N48="","",SUMIFS('Per Line'!$X$2:$X$3001,'Per Line'!$D$2:$D$3001,$C48))</f>
        <v/>
      </c>
      <c r="J48" s="5">
        <f>IF($N48="","",SUMIFS('Per Line'!$Y$2:$Y$3001,'Per Line'!$D$2:$D$3001,$C48))</f>
        <v/>
      </c>
      <c r="K48" s="5">
        <f>IF($N48="","",SUMIFS('Per Line'!$Z$2:$Z$3001,'Per Line'!$D$2:$D$3001,$C48))</f>
        <v/>
      </c>
      <c r="L48" s="5">
        <f>IF($N48="","",I48-J48)</f>
        <v/>
      </c>
      <c r="M48" s="5">
        <f>IF($N48="","",L48-K48)</f>
        <v/>
      </c>
      <c r="N48">
        <f>IF(ROWS($N$2:$N48)&lt;=MAX('Per Line'!$AG$2:$AG$3001),MATCH(ROWS($N$2:$N48),'Per Line'!$AG$2:$AG$3001,0),"")</f>
        <v/>
      </c>
      <c r="O48">
        <f>IF(B48="Above Claim Form",COUNTIF($B$2:B48,"Above Claim Form"),"")</f>
        <v/>
      </c>
      <c r="P48">
        <f>IF(B48="Below Claim Form",COUNTIF($B$2:B48,"Below Claim Form"),"")</f>
        <v/>
      </c>
    </row>
    <row r="49">
      <c r="B49">
        <f>IF($N49="","",IFERROR(INDEX(Settings!$C$27:$C$36,MATCH(E49,Settings!$B$27:$B$36,0)),"Unassigned"))</f>
        <v/>
      </c>
      <c r="C49">
        <f>IF($N49="","",INDEX('Per Line'!$D$2:$D$3001,$N49))</f>
        <v/>
      </c>
      <c r="D49">
        <f>IF($N49="","",INDEX('Per Line'!$C$2:$C$3001,$N49))</f>
        <v/>
      </c>
      <c r="E49">
        <f>IF($N49="","",INDEX('Per Line'!$A$2:$A$3001,$N49))</f>
        <v/>
      </c>
      <c r="H49">
        <f>IF($N49="","",INDEX('Per Line'!$V$2:$V$3001,$N49))</f>
        <v/>
      </c>
      <c r="I49" s="5">
        <f>IF($N49="","",SUMIFS('Per Line'!$X$2:$X$3001,'Per Line'!$D$2:$D$3001,$C49))</f>
        <v/>
      </c>
      <c r="J49" s="5">
        <f>IF($N49="","",SUMIFS('Per Line'!$Y$2:$Y$3001,'Per Line'!$D$2:$D$3001,$C49))</f>
        <v/>
      </c>
      <c r="K49" s="5">
        <f>IF($N49="","",SUMIFS('Per Line'!$Z$2:$Z$3001,'Per Line'!$D$2:$D$3001,$C49))</f>
        <v/>
      </c>
      <c r="L49" s="5">
        <f>IF($N49="","",I49-J49)</f>
        <v/>
      </c>
      <c r="M49" s="5">
        <f>IF($N49="","",L49-K49)</f>
        <v/>
      </c>
      <c r="N49">
        <f>IF(ROWS($N$2:$N49)&lt;=MAX('Per Line'!$AG$2:$AG$3001),MATCH(ROWS($N$2:$N49),'Per Line'!$AG$2:$AG$3001,0),"")</f>
        <v/>
      </c>
      <c r="O49">
        <f>IF(B49="Above Claim Form",COUNTIF($B$2:B49,"Above Claim Form"),"")</f>
        <v/>
      </c>
      <c r="P49">
        <f>IF(B49="Below Claim Form",COUNTIF($B$2:B49,"Below Claim Form"),"")</f>
        <v/>
      </c>
    </row>
    <row r="50">
      <c r="B50">
        <f>IF($N50="","",IFERROR(INDEX(Settings!$C$27:$C$36,MATCH(E50,Settings!$B$27:$B$36,0)),"Unassigned"))</f>
        <v/>
      </c>
      <c r="C50">
        <f>IF($N50="","",INDEX('Per Line'!$D$2:$D$3001,$N50))</f>
        <v/>
      </c>
      <c r="D50">
        <f>IF($N50="","",INDEX('Per Line'!$C$2:$C$3001,$N50))</f>
        <v/>
      </c>
      <c r="E50">
        <f>IF($N50="","",INDEX('Per Line'!$A$2:$A$3001,$N50))</f>
        <v/>
      </c>
      <c r="H50">
        <f>IF($N50="","",INDEX('Per Line'!$V$2:$V$3001,$N50))</f>
        <v/>
      </c>
      <c r="I50" s="5">
        <f>IF($N50="","",SUMIFS('Per Line'!$X$2:$X$3001,'Per Line'!$D$2:$D$3001,$C50))</f>
        <v/>
      </c>
      <c r="J50" s="5">
        <f>IF($N50="","",SUMIFS('Per Line'!$Y$2:$Y$3001,'Per Line'!$D$2:$D$3001,$C50))</f>
        <v/>
      </c>
      <c r="K50" s="5">
        <f>IF($N50="","",SUMIFS('Per Line'!$Z$2:$Z$3001,'Per Line'!$D$2:$D$3001,$C50))</f>
        <v/>
      </c>
      <c r="L50" s="5">
        <f>IF($N50="","",I50-J50)</f>
        <v/>
      </c>
      <c r="M50" s="5">
        <f>IF($N50="","",L50-K50)</f>
        <v/>
      </c>
      <c r="N50">
        <f>IF(ROWS($N$2:$N50)&lt;=MAX('Per Line'!$AG$2:$AG$3001),MATCH(ROWS($N$2:$N50),'Per Line'!$AG$2:$AG$3001,0),"")</f>
        <v/>
      </c>
      <c r="O50">
        <f>IF(B50="Above Claim Form",COUNTIF($B$2:B50,"Above Claim Form"),"")</f>
        <v/>
      </c>
      <c r="P50">
        <f>IF(B50="Below Claim Form",COUNTIF($B$2:B50,"Below Claim Form"),"")</f>
        <v/>
      </c>
    </row>
    <row r="51">
      <c r="B51">
        <f>IF($N51="","",IFERROR(INDEX(Settings!$C$27:$C$36,MATCH(E51,Settings!$B$27:$B$36,0)),"Unassigned"))</f>
        <v/>
      </c>
      <c r="C51">
        <f>IF($N51="","",INDEX('Per Line'!$D$2:$D$3001,$N51))</f>
        <v/>
      </c>
      <c r="D51">
        <f>IF($N51="","",INDEX('Per Line'!$C$2:$C$3001,$N51))</f>
        <v/>
      </c>
      <c r="E51">
        <f>IF($N51="","",INDEX('Per Line'!$A$2:$A$3001,$N51))</f>
        <v/>
      </c>
      <c r="H51">
        <f>IF($N51="","",INDEX('Per Line'!$V$2:$V$3001,$N51))</f>
        <v/>
      </c>
      <c r="I51" s="5">
        <f>IF($N51="","",SUMIFS('Per Line'!$X$2:$X$3001,'Per Line'!$D$2:$D$3001,$C51))</f>
        <v/>
      </c>
      <c r="J51" s="5">
        <f>IF($N51="","",SUMIFS('Per Line'!$Y$2:$Y$3001,'Per Line'!$D$2:$D$3001,$C51))</f>
        <v/>
      </c>
      <c r="K51" s="5">
        <f>IF($N51="","",SUMIFS('Per Line'!$Z$2:$Z$3001,'Per Line'!$D$2:$D$3001,$C51))</f>
        <v/>
      </c>
      <c r="L51" s="5">
        <f>IF($N51="","",I51-J51)</f>
        <v/>
      </c>
      <c r="M51" s="5">
        <f>IF($N51="","",L51-K51)</f>
        <v/>
      </c>
      <c r="N51">
        <f>IF(ROWS($N$2:$N51)&lt;=MAX('Per Line'!$AG$2:$AG$3001),MATCH(ROWS($N$2:$N51),'Per Line'!$AG$2:$AG$3001,0),"")</f>
        <v/>
      </c>
      <c r="O51">
        <f>IF(B51="Above Claim Form",COUNTIF($B$2:B51,"Above Claim Form"),"")</f>
        <v/>
      </c>
      <c r="P51">
        <f>IF(B51="Below Claim Form",COUNTIF($B$2:B51,"Below Claim Form"),"")</f>
        <v/>
      </c>
    </row>
    <row r="52">
      <c r="B52">
        <f>IF($N52="","",IFERROR(INDEX(Settings!$C$27:$C$36,MATCH(E52,Settings!$B$27:$B$36,0)),"Unassigned"))</f>
        <v/>
      </c>
      <c r="C52">
        <f>IF($N52="","",INDEX('Per Line'!$D$2:$D$3001,$N52))</f>
        <v/>
      </c>
      <c r="D52">
        <f>IF($N52="","",INDEX('Per Line'!$C$2:$C$3001,$N52))</f>
        <v/>
      </c>
      <c r="E52">
        <f>IF($N52="","",INDEX('Per Line'!$A$2:$A$3001,$N52))</f>
        <v/>
      </c>
      <c r="H52">
        <f>IF($N52="","",INDEX('Per Line'!$V$2:$V$3001,$N52))</f>
        <v/>
      </c>
      <c r="I52" s="5">
        <f>IF($N52="","",SUMIFS('Per Line'!$X$2:$X$3001,'Per Line'!$D$2:$D$3001,$C52))</f>
        <v/>
      </c>
      <c r="J52" s="5">
        <f>IF($N52="","",SUMIFS('Per Line'!$Y$2:$Y$3001,'Per Line'!$D$2:$D$3001,$C52))</f>
        <v/>
      </c>
      <c r="K52" s="5">
        <f>IF($N52="","",SUMIFS('Per Line'!$Z$2:$Z$3001,'Per Line'!$D$2:$D$3001,$C52))</f>
        <v/>
      </c>
      <c r="L52" s="5">
        <f>IF($N52="","",I52-J52)</f>
        <v/>
      </c>
      <c r="M52" s="5">
        <f>IF($N52="","",L52-K52)</f>
        <v/>
      </c>
      <c r="N52">
        <f>IF(ROWS($N$2:$N52)&lt;=MAX('Per Line'!$AG$2:$AG$3001),MATCH(ROWS($N$2:$N52),'Per Line'!$AG$2:$AG$3001,0),"")</f>
        <v/>
      </c>
      <c r="O52">
        <f>IF(B52="Above Claim Form",COUNTIF($B$2:B52,"Above Claim Form"),"")</f>
        <v/>
      </c>
      <c r="P52">
        <f>IF(B52="Below Claim Form",COUNTIF($B$2:B52,"Below Claim Form"),"")</f>
        <v/>
      </c>
    </row>
    <row r="53">
      <c r="B53">
        <f>IF($N53="","",IFERROR(INDEX(Settings!$C$27:$C$36,MATCH(E53,Settings!$B$27:$B$36,0)),"Unassigned"))</f>
        <v/>
      </c>
      <c r="C53">
        <f>IF($N53="","",INDEX('Per Line'!$D$2:$D$3001,$N53))</f>
        <v/>
      </c>
      <c r="D53">
        <f>IF($N53="","",INDEX('Per Line'!$C$2:$C$3001,$N53))</f>
        <v/>
      </c>
      <c r="E53">
        <f>IF($N53="","",INDEX('Per Line'!$A$2:$A$3001,$N53))</f>
        <v/>
      </c>
      <c r="H53">
        <f>IF($N53="","",INDEX('Per Line'!$V$2:$V$3001,$N53))</f>
        <v/>
      </c>
      <c r="I53" s="5">
        <f>IF($N53="","",SUMIFS('Per Line'!$X$2:$X$3001,'Per Line'!$D$2:$D$3001,$C53))</f>
        <v/>
      </c>
      <c r="J53" s="5">
        <f>IF($N53="","",SUMIFS('Per Line'!$Y$2:$Y$3001,'Per Line'!$D$2:$D$3001,$C53))</f>
        <v/>
      </c>
      <c r="K53" s="5">
        <f>IF($N53="","",SUMIFS('Per Line'!$Z$2:$Z$3001,'Per Line'!$D$2:$D$3001,$C53))</f>
        <v/>
      </c>
      <c r="L53" s="5">
        <f>IF($N53="","",I53-J53)</f>
        <v/>
      </c>
      <c r="M53" s="5">
        <f>IF($N53="","",L53-K53)</f>
        <v/>
      </c>
      <c r="N53">
        <f>IF(ROWS($N$2:$N53)&lt;=MAX('Per Line'!$AG$2:$AG$3001),MATCH(ROWS($N$2:$N53),'Per Line'!$AG$2:$AG$3001,0),"")</f>
        <v/>
      </c>
      <c r="O53">
        <f>IF(B53="Above Claim Form",COUNTIF($B$2:B53,"Above Claim Form"),"")</f>
        <v/>
      </c>
      <c r="P53">
        <f>IF(B53="Below Claim Form",COUNTIF($B$2:B53,"Below Claim Form"),"")</f>
        <v/>
      </c>
    </row>
    <row r="54">
      <c r="B54">
        <f>IF($N54="","",IFERROR(INDEX(Settings!$C$27:$C$36,MATCH(E54,Settings!$B$27:$B$36,0)),"Unassigned"))</f>
        <v/>
      </c>
      <c r="C54">
        <f>IF($N54="","",INDEX('Per Line'!$D$2:$D$3001,$N54))</f>
        <v/>
      </c>
      <c r="D54">
        <f>IF($N54="","",INDEX('Per Line'!$C$2:$C$3001,$N54))</f>
        <v/>
      </c>
      <c r="E54">
        <f>IF($N54="","",INDEX('Per Line'!$A$2:$A$3001,$N54))</f>
        <v/>
      </c>
      <c r="H54">
        <f>IF($N54="","",INDEX('Per Line'!$V$2:$V$3001,$N54))</f>
        <v/>
      </c>
      <c r="I54" s="5">
        <f>IF($N54="","",SUMIFS('Per Line'!$X$2:$X$3001,'Per Line'!$D$2:$D$3001,$C54))</f>
        <v/>
      </c>
      <c r="J54" s="5">
        <f>IF($N54="","",SUMIFS('Per Line'!$Y$2:$Y$3001,'Per Line'!$D$2:$D$3001,$C54))</f>
        <v/>
      </c>
      <c r="K54" s="5">
        <f>IF($N54="","",SUMIFS('Per Line'!$Z$2:$Z$3001,'Per Line'!$D$2:$D$3001,$C54))</f>
        <v/>
      </c>
      <c r="L54" s="5">
        <f>IF($N54="","",I54-J54)</f>
        <v/>
      </c>
      <c r="M54" s="5">
        <f>IF($N54="","",L54-K54)</f>
        <v/>
      </c>
      <c r="N54">
        <f>IF(ROWS($N$2:$N54)&lt;=MAX('Per Line'!$AG$2:$AG$3001),MATCH(ROWS($N$2:$N54),'Per Line'!$AG$2:$AG$3001,0),"")</f>
        <v/>
      </c>
      <c r="O54">
        <f>IF(B54="Above Claim Form",COUNTIF($B$2:B54,"Above Claim Form"),"")</f>
        <v/>
      </c>
      <c r="P54">
        <f>IF(B54="Below Claim Form",COUNTIF($B$2:B54,"Below Claim Form"),"")</f>
        <v/>
      </c>
    </row>
    <row r="55">
      <c r="B55">
        <f>IF($N55="","",IFERROR(INDEX(Settings!$C$27:$C$36,MATCH(E55,Settings!$B$27:$B$36,0)),"Unassigned"))</f>
        <v/>
      </c>
      <c r="C55">
        <f>IF($N55="","",INDEX('Per Line'!$D$2:$D$3001,$N55))</f>
        <v/>
      </c>
      <c r="D55">
        <f>IF($N55="","",INDEX('Per Line'!$C$2:$C$3001,$N55))</f>
        <v/>
      </c>
      <c r="E55">
        <f>IF($N55="","",INDEX('Per Line'!$A$2:$A$3001,$N55))</f>
        <v/>
      </c>
      <c r="H55">
        <f>IF($N55="","",INDEX('Per Line'!$V$2:$V$3001,$N55))</f>
        <v/>
      </c>
      <c r="I55" s="5">
        <f>IF($N55="","",SUMIFS('Per Line'!$X$2:$X$3001,'Per Line'!$D$2:$D$3001,$C55))</f>
        <v/>
      </c>
      <c r="J55" s="5">
        <f>IF($N55="","",SUMIFS('Per Line'!$Y$2:$Y$3001,'Per Line'!$D$2:$D$3001,$C55))</f>
        <v/>
      </c>
      <c r="K55" s="5">
        <f>IF($N55="","",SUMIFS('Per Line'!$Z$2:$Z$3001,'Per Line'!$D$2:$D$3001,$C55))</f>
        <v/>
      </c>
      <c r="L55" s="5">
        <f>IF($N55="","",I55-J55)</f>
        <v/>
      </c>
      <c r="M55" s="5">
        <f>IF($N55="","",L55-K55)</f>
        <v/>
      </c>
      <c r="N55">
        <f>IF(ROWS($N$2:$N55)&lt;=MAX('Per Line'!$AG$2:$AG$3001),MATCH(ROWS($N$2:$N55),'Per Line'!$AG$2:$AG$3001,0),"")</f>
        <v/>
      </c>
      <c r="O55">
        <f>IF(B55="Above Claim Form",COUNTIF($B$2:B55,"Above Claim Form"),"")</f>
        <v/>
      </c>
      <c r="P55">
        <f>IF(B55="Below Claim Form",COUNTIF($B$2:B55,"Below Claim Form"),"")</f>
        <v/>
      </c>
    </row>
    <row r="56">
      <c r="B56">
        <f>IF($N56="","",IFERROR(INDEX(Settings!$C$27:$C$36,MATCH(E56,Settings!$B$27:$B$36,0)),"Unassigned"))</f>
        <v/>
      </c>
      <c r="C56">
        <f>IF($N56="","",INDEX('Per Line'!$D$2:$D$3001,$N56))</f>
        <v/>
      </c>
      <c r="D56">
        <f>IF($N56="","",INDEX('Per Line'!$C$2:$C$3001,$N56))</f>
        <v/>
      </c>
      <c r="E56">
        <f>IF($N56="","",INDEX('Per Line'!$A$2:$A$3001,$N56))</f>
        <v/>
      </c>
      <c r="H56">
        <f>IF($N56="","",INDEX('Per Line'!$V$2:$V$3001,$N56))</f>
        <v/>
      </c>
      <c r="I56" s="5">
        <f>IF($N56="","",SUMIFS('Per Line'!$X$2:$X$3001,'Per Line'!$D$2:$D$3001,$C56))</f>
        <v/>
      </c>
      <c r="J56" s="5">
        <f>IF($N56="","",SUMIFS('Per Line'!$Y$2:$Y$3001,'Per Line'!$D$2:$D$3001,$C56))</f>
        <v/>
      </c>
      <c r="K56" s="5">
        <f>IF($N56="","",SUMIFS('Per Line'!$Z$2:$Z$3001,'Per Line'!$D$2:$D$3001,$C56))</f>
        <v/>
      </c>
      <c r="L56" s="5">
        <f>IF($N56="","",I56-J56)</f>
        <v/>
      </c>
      <c r="M56" s="5">
        <f>IF($N56="","",L56-K56)</f>
        <v/>
      </c>
      <c r="N56">
        <f>IF(ROWS($N$2:$N56)&lt;=MAX('Per Line'!$AG$2:$AG$3001),MATCH(ROWS($N$2:$N56),'Per Line'!$AG$2:$AG$3001,0),"")</f>
        <v/>
      </c>
      <c r="O56">
        <f>IF(B56="Above Claim Form",COUNTIF($B$2:B56,"Above Claim Form"),"")</f>
        <v/>
      </c>
      <c r="P56">
        <f>IF(B56="Below Claim Form",COUNTIF($B$2:B56,"Below Claim Form"),"")</f>
        <v/>
      </c>
    </row>
    <row r="57">
      <c r="B57">
        <f>IF($N57="","",IFERROR(INDEX(Settings!$C$27:$C$36,MATCH(E57,Settings!$B$27:$B$36,0)),"Unassigned"))</f>
        <v/>
      </c>
      <c r="C57">
        <f>IF($N57="","",INDEX('Per Line'!$D$2:$D$3001,$N57))</f>
        <v/>
      </c>
      <c r="D57">
        <f>IF($N57="","",INDEX('Per Line'!$C$2:$C$3001,$N57))</f>
        <v/>
      </c>
      <c r="E57">
        <f>IF($N57="","",INDEX('Per Line'!$A$2:$A$3001,$N57))</f>
        <v/>
      </c>
      <c r="H57">
        <f>IF($N57="","",INDEX('Per Line'!$V$2:$V$3001,$N57))</f>
        <v/>
      </c>
      <c r="I57" s="5">
        <f>IF($N57="","",SUMIFS('Per Line'!$X$2:$X$3001,'Per Line'!$D$2:$D$3001,$C57))</f>
        <v/>
      </c>
      <c r="J57" s="5">
        <f>IF($N57="","",SUMIFS('Per Line'!$Y$2:$Y$3001,'Per Line'!$D$2:$D$3001,$C57))</f>
        <v/>
      </c>
      <c r="K57" s="5">
        <f>IF($N57="","",SUMIFS('Per Line'!$Z$2:$Z$3001,'Per Line'!$D$2:$D$3001,$C57))</f>
        <v/>
      </c>
      <c r="L57" s="5">
        <f>IF($N57="","",I57-J57)</f>
        <v/>
      </c>
      <c r="M57" s="5">
        <f>IF($N57="","",L57-K57)</f>
        <v/>
      </c>
      <c r="N57">
        <f>IF(ROWS($N$2:$N57)&lt;=MAX('Per Line'!$AG$2:$AG$3001),MATCH(ROWS($N$2:$N57),'Per Line'!$AG$2:$AG$3001,0),"")</f>
        <v/>
      </c>
      <c r="O57">
        <f>IF(B57="Above Claim Form",COUNTIF($B$2:B57,"Above Claim Form"),"")</f>
        <v/>
      </c>
      <c r="P57">
        <f>IF(B57="Below Claim Form",COUNTIF($B$2:B57,"Below Claim Form"),"")</f>
        <v/>
      </c>
    </row>
    <row r="58">
      <c r="B58">
        <f>IF($N58="","",IFERROR(INDEX(Settings!$C$27:$C$36,MATCH(E58,Settings!$B$27:$B$36,0)),"Unassigned"))</f>
        <v/>
      </c>
      <c r="C58">
        <f>IF($N58="","",INDEX('Per Line'!$D$2:$D$3001,$N58))</f>
        <v/>
      </c>
      <c r="D58">
        <f>IF($N58="","",INDEX('Per Line'!$C$2:$C$3001,$N58))</f>
        <v/>
      </c>
      <c r="E58">
        <f>IF($N58="","",INDEX('Per Line'!$A$2:$A$3001,$N58))</f>
        <v/>
      </c>
      <c r="H58">
        <f>IF($N58="","",INDEX('Per Line'!$V$2:$V$3001,$N58))</f>
        <v/>
      </c>
      <c r="I58" s="5">
        <f>IF($N58="","",SUMIFS('Per Line'!$X$2:$X$3001,'Per Line'!$D$2:$D$3001,$C58))</f>
        <v/>
      </c>
      <c r="J58" s="5">
        <f>IF($N58="","",SUMIFS('Per Line'!$Y$2:$Y$3001,'Per Line'!$D$2:$D$3001,$C58))</f>
        <v/>
      </c>
      <c r="K58" s="5">
        <f>IF($N58="","",SUMIFS('Per Line'!$Z$2:$Z$3001,'Per Line'!$D$2:$D$3001,$C58))</f>
        <v/>
      </c>
      <c r="L58" s="5">
        <f>IF($N58="","",I58-J58)</f>
        <v/>
      </c>
      <c r="M58" s="5">
        <f>IF($N58="","",L58-K58)</f>
        <v/>
      </c>
      <c r="N58">
        <f>IF(ROWS($N$2:$N58)&lt;=MAX('Per Line'!$AG$2:$AG$3001),MATCH(ROWS($N$2:$N58),'Per Line'!$AG$2:$AG$3001,0),"")</f>
        <v/>
      </c>
      <c r="O58">
        <f>IF(B58="Above Claim Form",COUNTIF($B$2:B58,"Above Claim Form"),"")</f>
        <v/>
      </c>
      <c r="P58">
        <f>IF(B58="Below Claim Form",COUNTIF($B$2:B58,"Below Claim Form"),"")</f>
        <v/>
      </c>
    </row>
    <row r="59">
      <c r="B59">
        <f>IF($N59="","",IFERROR(INDEX(Settings!$C$27:$C$36,MATCH(E59,Settings!$B$27:$B$36,0)),"Unassigned"))</f>
        <v/>
      </c>
      <c r="C59">
        <f>IF($N59="","",INDEX('Per Line'!$D$2:$D$3001,$N59))</f>
        <v/>
      </c>
      <c r="D59">
        <f>IF($N59="","",INDEX('Per Line'!$C$2:$C$3001,$N59))</f>
        <v/>
      </c>
      <c r="E59">
        <f>IF($N59="","",INDEX('Per Line'!$A$2:$A$3001,$N59))</f>
        <v/>
      </c>
      <c r="H59">
        <f>IF($N59="","",INDEX('Per Line'!$V$2:$V$3001,$N59))</f>
        <v/>
      </c>
      <c r="I59" s="5">
        <f>IF($N59="","",SUMIFS('Per Line'!$X$2:$X$3001,'Per Line'!$D$2:$D$3001,$C59))</f>
        <v/>
      </c>
      <c r="J59" s="5">
        <f>IF($N59="","",SUMIFS('Per Line'!$Y$2:$Y$3001,'Per Line'!$D$2:$D$3001,$C59))</f>
        <v/>
      </c>
      <c r="K59" s="5">
        <f>IF($N59="","",SUMIFS('Per Line'!$Z$2:$Z$3001,'Per Line'!$D$2:$D$3001,$C59))</f>
        <v/>
      </c>
      <c r="L59" s="5">
        <f>IF($N59="","",I59-J59)</f>
        <v/>
      </c>
      <c r="M59" s="5">
        <f>IF($N59="","",L59-K59)</f>
        <v/>
      </c>
      <c r="N59">
        <f>IF(ROWS($N$2:$N59)&lt;=MAX('Per Line'!$AG$2:$AG$3001),MATCH(ROWS($N$2:$N59),'Per Line'!$AG$2:$AG$3001,0),"")</f>
        <v/>
      </c>
      <c r="O59">
        <f>IF(B59="Above Claim Form",COUNTIF($B$2:B59,"Above Claim Form"),"")</f>
        <v/>
      </c>
      <c r="P59">
        <f>IF(B59="Below Claim Form",COUNTIF($B$2:B59,"Below Claim Form"),"")</f>
        <v/>
      </c>
    </row>
    <row r="60">
      <c r="B60">
        <f>IF($N60="","",IFERROR(INDEX(Settings!$C$27:$C$36,MATCH(E60,Settings!$B$27:$B$36,0)),"Unassigned"))</f>
        <v/>
      </c>
      <c r="C60">
        <f>IF($N60="","",INDEX('Per Line'!$D$2:$D$3001,$N60))</f>
        <v/>
      </c>
      <c r="D60">
        <f>IF($N60="","",INDEX('Per Line'!$C$2:$C$3001,$N60))</f>
        <v/>
      </c>
      <c r="E60">
        <f>IF($N60="","",INDEX('Per Line'!$A$2:$A$3001,$N60))</f>
        <v/>
      </c>
      <c r="H60">
        <f>IF($N60="","",INDEX('Per Line'!$V$2:$V$3001,$N60))</f>
        <v/>
      </c>
      <c r="I60" s="5">
        <f>IF($N60="","",SUMIFS('Per Line'!$X$2:$X$3001,'Per Line'!$D$2:$D$3001,$C60))</f>
        <v/>
      </c>
      <c r="J60" s="5">
        <f>IF($N60="","",SUMIFS('Per Line'!$Y$2:$Y$3001,'Per Line'!$D$2:$D$3001,$C60))</f>
        <v/>
      </c>
      <c r="K60" s="5">
        <f>IF($N60="","",SUMIFS('Per Line'!$Z$2:$Z$3001,'Per Line'!$D$2:$D$3001,$C60))</f>
        <v/>
      </c>
      <c r="L60" s="5">
        <f>IF($N60="","",I60-J60)</f>
        <v/>
      </c>
      <c r="M60" s="5">
        <f>IF($N60="","",L60-K60)</f>
        <v/>
      </c>
      <c r="N60">
        <f>IF(ROWS($N$2:$N60)&lt;=MAX('Per Line'!$AG$2:$AG$3001),MATCH(ROWS($N$2:$N60),'Per Line'!$AG$2:$AG$3001,0),"")</f>
        <v/>
      </c>
      <c r="O60">
        <f>IF(B60="Above Claim Form",COUNTIF($B$2:B60,"Above Claim Form"),"")</f>
        <v/>
      </c>
      <c r="P60">
        <f>IF(B60="Below Claim Form",COUNTIF($B$2:B60,"Below Claim Form"),"")</f>
        <v/>
      </c>
    </row>
    <row r="61">
      <c r="B61">
        <f>IF($N61="","",IFERROR(INDEX(Settings!$C$27:$C$36,MATCH(E61,Settings!$B$27:$B$36,0)),"Unassigned"))</f>
        <v/>
      </c>
      <c r="C61">
        <f>IF($N61="","",INDEX('Per Line'!$D$2:$D$3001,$N61))</f>
        <v/>
      </c>
      <c r="D61">
        <f>IF($N61="","",INDEX('Per Line'!$C$2:$C$3001,$N61))</f>
        <v/>
      </c>
      <c r="E61">
        <f>IF($N61="","",INDEX('Per Line'!$A$2:$A$3001,$N61))</f>
        <v/>
      </c>
      <c r="H61">
        <f>IF($N61="","",INDEX('Per Line'!$V$2:$V$3001,$N61))</f>
        <v/>
      </c>
      <c r="I61" s="5">
        <f>IF($N61="","",SUMIFS('Per Line'!$X$2:$X$3001,'Per Line'!$D$2:$D$3001,$C61))</f>
        <v/>
      </c>
      <c r="J61" s="5">
        <f>IF($N61="","",SUMIFS('Per Line'!$Y$2:$Y$3001,'Per Line'!$D$2:$D$3001,$C61))</f>
        <v/>
      </c>
      <c r="K61" s="5">
        <f>IF($N61="","",SUMIFS('Per Line'!$Z$2:$Z$3001,'Per Line'!$D$2:$D$3001,$C61))</f>
        <v/>
      </c>
      <c r="L61" s="5">
        <f>IF($N61="","",I61-J61)</f>
        <v/>
      </c>
      <c r="M61" s="5">
        <f>IF($N61="","",L61-K61)</f>
        <v/>
      </c>
      <c r="N61">
        <f>IF(ROWS($N$2:$N61)&lt;=MAX('Per Line'!$AG$2:$AG$3001),MATCH(ROWS($N$2:$N61),'Per Line'!$AG$2:$AG$3001,0),"")</f>
        <v/>
      </c>
      <c r="O61">
        <f>IF(B61="Above Claim Form",COUNTIF($B$2:B61,"Above Claim Form"),"")</f>
        <v/>
      </c>
      <c r="P61">
        <f>IF(B61="Below Claim Form",COUNTIF($B$2:B61,"Below Claim Form"),"")</f>
        <v/>
      </c>
    </row>
    <row r="62">
      <c r="B62">
        <f>IF($N62="","",IFERROR(INDEX(Settings!$C$27:$C$36,MATCH(E62,Settings!$B$27:$B$36,0)),"Unassigned"))</f>
        <v/>
      </c>
      <c r="C62">
        <f>IF($N62="","",INDEX('Per Line'!$D$2:$D$3001,$N62))</f>
        <v/>
      </c>
      <c r="D62">
        <f>IF($N62="","",INDEX('Per Line'!$C$2:$C$3001,$N62))</f>
        <v/>
      </c>
      <c r="E62">
        <f>IF($N62="","",INDEX('Per Line'!$A$2:$A$3001,$N62))</f>
        <v/>
      </c>
      <c r="H62">
        <f>IF($N62="","",INDEX('Per Line'!$V$2:$V$3001,$N62))</f>
        <v/>
      </c>
      <c r="I62" s="5">
        <f>IF($N62="","",SUMIFS('Per Line'!$X$2:$X$3001,'Per Line'!$D$2:$D$3001,$C62))</f>
        <v/>
      </c>
      <c r="J62" s="5">
        <f>IF($N62="","",SUMIFS('Per Line'!$Y$2:$Y$3001,'Per Line'!$D$2:$D$3001,$C62))</f>
        <v/>
      </c>
      <c r="K62" s="5">
        <f>IF($N62="","",SUMIFS('Per Line'!$Z$2:$Z$3001,'Per Line'!$D$2:$D$3001,$C62))</f>
        <v/>
      </c>
      <c r="L62" s="5">
        <f>IF($N62="","",I62-J62)</f>
        <v/>
      </c>
      <c r="M62" s="5">
        <f>IF($N62="","",L62-K62)</f>
        <v/>
      </c>
      <c r="N62">
        <f>IF(ROWS($N$2:$N62)&lt;=MAX('Per Line'!$AG$2:$AG$3001),MATCH(ROWS($N$2:$N62),'Per Line'!$AG$2:$AG$3001,0),"")</f>
        <v/>
      </c>
      <c r="O62">
        <f>IF(B62="Above Claim Form",COUNTIF($B$2:B62,"Above Claim Form"),"")</f>
        <v/>
      </c>
      <c r="P62">
        <f>IF(B62="Below Claim Form",COUNTIF($B$2:B62,"Below Claim Form"),"")</f>
        <v/>
      </c>
    </row>
    <row r="63">
      <c r="B63">
        <f>IF($N63="","",IFERROR(INDEX(Settings!$C$27:$C$36,MATCH(E63,Settings!$B$27:$B$36,0)),"Unassigned"))</f>
        <v/>
      </c>
      <c r="C63">
        <f>IF($N63="","",INDEX('Per Line'!$D$2:$D$3001,$N63))</f>
        <v/>
      </c>
      <c r="D63">
        <f>IF($N63="","",INDEX('Per Line'!$C$2:$C$3001,$N63))</f>
        <v/>
      </c>
      <c r="E63">
        <f>IF($N63="","",INDEX('Per Line'!$A$2:$A$3001,$N63))</f>
        <v/>
      </c>
      <c r="H63">
        <f>IF($N63="","",INDEX('Per Line'!$V$2:$V$3001,$N63))</f>
        <v/>
      </c>
      <c r="I63" s="5">
        <f>IF($N63="","",SUMIFS('Per Line'!$X$2:$X$3001,'Per Line'!$D$2:$D$3001,$C63))</f>
        <v/>
      </c>
      <c r="J63" s="5">
        <f>IF($N63="","",SUMIFS('Per Line'!$Y$2:$Y$3001,'Per Line'!$D$2:$D$3001,$C63))</f>
        <v/>
      </c>
      <c r="K63" s="5">
        <f>IF($N63="","",SUMIFS('Per Line'!$Z$2:$Z$3001,'Per Line'!$D$2:$D$3001,$C63))</f>
        <v/>
      </c>
      <c r="L63" s="5">
        <f>IF($N63="","",I63-J63)</f>
        <v/>
      </c>
      <c r="M63" s="5">
        <f>IF($N63="","",L63-K63)</f>
        <v/>
      </c>
      <c r="N63">
        <f>IF(ROWS($N$2:$N63)&lt;=MAX('Per Line'!$AG$2:$AG$3001),MATCH(ROWS($N$2:$N63),'Per Line'!$AG$2:$AG$3001,0),"")</f>
        <v/>
      </c>
      <c r="O63">
        <f>IF(B63="Above Claim Form",COUNTIF($B$2:B63,"Above Claim Form"),"")</f>
        <v/>
      </c>
      <c r="P63">
        <f>IF(B63="Below Claim Form",COUNTIF($B$2:B63,"Below Claim Form"),"")</f>
        <v/>
      </c>
    </row>
    <row r="64">
      <c r="B64">
        <f>IF($N64="","",IFERROR(INDEX(Settings!$C$27:$C$36,MATCH(E64,Settings!$B$27:$B$36,0)),"Unassigned"))</f>
        <v/>
      </c>
      <c r="C64">
        <f>IF($N64="","",INDEX('Per Line'!$D$2:$D$3001,$N64))</f>
        <v/>
      </c>
      <c r="D64">
        <f>IF($N64="","",INDEX('Per Line'!$C$2:$C$3001,$N64))</f>
        <v/>
      </c>
      <c r="E64">
        <f>IF($N64="","",INDEX('Per Line'!$A$2:$A$3001,$N64))</f>
        <v/>
      </c>
      <c r="H64">
        <f>IF($N64="","",INDEX('Per Line'!$V$2:$V$3001,$N64))</f>
        <v/>
      </c>
      <c r="I64" s="5">
        <f>IF($N64="","",SUMIFS('Per Line'!$X$2:$X$3001,'Per Line'!$D$2:$D$3001,$C64))</f>
        <v/>
      </c>
      <c r="J64" s="5">
        <f>IF($N64="","",SUMIFS('Per Line'!$Y$2:$Y$3001,'Per Line'!$D$2:$D$3001,$C64))</f>
        <v/>
      </c>
      <c r="K64" s="5">
        <f>IF($N64="","",SUMIFS('Per Line'!$Z$2:$Z$3001,'Per Line'!$D$2:$D$3001,$C64))</f>
        <v/>
      </c>
      <c r="L64" s="5">
        <f>IF($N64="","",I64-J64)</f>
        <v/>
      </c>
      <c r="M64" s="5">
        <f>IF($N64="","",L64-K64)</f>
        <v/>
      </c>
      <c r="N64">
        <f>IF(ROWS($N$2:$N64)&lt;=MAX('Per Line'!$AG$2:$AG$3001),MATCH(ROWS($N$2:$N64),'Per Line'!$AG$2:$AG$3001,0),"")</f>
        <v/>
      </c>
      <c r="O64">
        <f>IF(B64="Above Claim Form",COUNTIF($B$2:B64,"Above Claim Form"),"")</f>
        <v/>
      </c>
      <c r="P64">
        <f>IF(B64="Below Claim Form",COUNTIF($B$2:B64,"Below Claim Form"),"")</f>
        <v/>
      </c>
    </row>
    <row r="65">
      <c r="B65">
        <f>IF($N65="","",IFERROR(INDEX(Settings!$C$27:$C$36,MATCH(E65,Settings!$B$27:$B$36,0)),"Unassigned"))</f>
        <v/>
      </c>
      <c r="C65">
        <f>IF($N65="","",INDEX('Per Line'!$D$2:$D$3001,$N65))</f>
        <v/>
      </c>
      <c r="D65">
        <f>IF($N65="","",INDEX('Per Line'!$C$2:$C$3001,$N65))</f>
        <v/>
      </c>
      <c r="E65">
        <f>IF($N65="","",INDEX('Per Line'!$A$2:$A$3001,$N65))</f>
        <v/>
      </c>
      <c r="H65">
        <f>IF($N65="","",INDEX('Per Line'!$V$2:$V$3001,$N65))</f>
        <v/>
      </c>
      <c r="I65" s="5">
        <f>IF($N65="","",SUMIFS('Per Line'!$X$2:$X$3001,'Per Line'!$D$2:$D$3001,$C65))</f>
        <v/>
      </c>
      <c r="J65" s="5">
        <f>IF($N65="","",SUMIFS('Per Line'!$Y$2:$Y$3001,'Per Line'!$D$2:$D$3001,$C65))</f>
        <v/>
      </c>
      <c r="K65" s="5">
        <f>IF($N65="","",SUMIFS('Per Line'!$Z$2:$Z$3001,'Per Line'!$D$2:$D$3001,$C65))</f>
        <v/>
      </c>
      <c r="L65" s="5">
        <f>IF($N65="","",I65-J65)</f>
        <v/>
      </c>
      <c r="M65" s="5">
        <f>IF($N65="","",L65-K65)</f>
        <v/>
      </c>
      <c r="N65">
        <f>IF(ROWS($N$2:$N65)&lt;=MAX('Per Line'!$AG$2:$AG$3001),MATCH(ROWS($N$2:$N65),'Per Line'!$AG$2:$AG$3001,0),"")</f>
        <v/>
      </c>
      <c r="O65">
        <f>IF(B65="Above Claim Form",COUNTIF($B$2:B65,"Above Claim Form"),"")</f>
        <v/>
      </c>
      <c r="P65">
        <f>IF(B65="Below Claim Form",COUNTIF($B$2:B65,"Below Claim Form"),"")</f>
        <v/>
      </c>
    </row>
    <row r="66">
      <c r="B66">
        <f>IF($N66="","",IFERROR(INDEX(Settings!$C$27:$C$36,MATCH(E66,Settings!$B$27:$B$36,0)),"Unassigned"))</f>
        <v/>
      </c>
      <c r="C66">
        <f>IF($N66="","",INDEX('Per Line'!$D$2:$D$3001,$N66))</f>
        <v/>
      </c>
      <c r="D66">
        <f>IF($N66="","",INDEX('Per Line'!$C$2:$C$3001,$N66))</f>
        <v/>
      </c>
      <c r="E66">
        <f>IF($N66="","",INDEX('Per Line'!$A$2:$A$3001,$N66))</f>
        <v/>
      </c>
      <c r="H66">
        <f>IF($N66="","",INDEX('Per Line'!$V$2:$V$3001,$N66))</f>
        <v/>
      </c>
      <c r="I66" s="5">
        <f>IF($N66="","",SUMIFS('Per Line'!$X$2:$X$3001,'Per Line'!$D$2:$D$3001,$C66))</f>
        <v/>
      </c>
      <c r="J66" s="5">
        <f>IF($N66="","",SUMIFS('Per Line'!$Y$2:$Y$3001,'Per Line'!$D$2:$D$3001,$C66))</f>
        <v/>
      </c>
      <c r="K66" s="5">
        <f>IF($N66="","",SUMIFS('Per Line'!$Z$2:$Z$3001,'Per Line'!$D$2:$D$3001,$C66))</f>
        <v/>
      </c>
      <c r="L66" s="5">
        <f>IF($N66="","",I66-J66)</f>
        <v/>
      </c>
      <c r="M66" s="5">
        <f>IF($N66="","",L66-K66)</f>
        <v/>
      </c>
      <c r="N66">
        <f>IF(ROWS($N$2:$N66)&lt;=MAX('Per Line'!$AG$2:$AG$3001),MATCH(ROWS($N$2:$N66),'Per Line'!$AG$2:$AG$3001,0),"")</f>
        <v/>
      </c>
      <c r="O66">
        <f>IF(B66="Above Claim Form",COUNTIF($B$2:B66,"Above Claim Form"),"")</f>
        <v/>
      </c>
      <c r="P66">
        <f>IF(B66="Below Claim Form",COUNTIF($B$2:B66,"Below Claim Form"),"")</f>
        <v/>
      </c>
    </row>
    <row r="67">
      <c r="B67">
        <f>IF($N67="","",IFERROR(INDEX(Settings!$C$27:$C$36,MATCH(E67,Settings!$B$27:$B$36,0)),"Unassigned"))</f>
        <v/>
      </c>
      <c r="C67">
        <f>IF($N67="","",INDEX('Per Line'!$D$2:$D$3001,$N67))</f>
        <v/>
      </c>
      <c r="D67">
        <f>IF($N67="","",INDEX('Per Line'!$C$2:$C$3001,$N67))</f>
        <v/>
      </c>
      <c r="E67">
        <f>IF($N67="","",INDEX('Per Line'!$A$2:$A$3001,$N67))</f>
        <v/>
      </c>
      <c r="H67">
        <f>IF($N67="","",INDEX('Per Line'!$V$2:$V$3001,$N67))</f>
        <v/>
      </c>
      <c r="I67" s="5">
        <f>IF($N67="","",SUMIFS('Per Line'!$X$2:$X$3001,'Per Line'!$D$2:$D$3001,$C67))</f>
        <v/>
      </c>
      <c r="J67" s="5">
        <f>IF($N67="","",SUMIFS('Per Line'!$Y$2:$Y$3001,'Per Line'!$D$2:$D$3001,$C67))</f>
        <v/>
      </c>
      <c r="K67" s="5">
        <f>IF($N67="","",SUMIFS('Per Line'!$Z$2:$Z$3001,'Per Line'!$D$2:$D$3001,$C67))</f>
        <v/>
      </c>
      <c r="L67" s="5">
        <f>IF($N67="","",I67-J67)</f>
        <v/>
      </c>
      <c r="M67" s="5">
        <f>IF($N67="","",L67-K67)</f>
        <v/>
      </c>
      <c r="N67">
        <f>IF(ROWS($N$2:$N67)&lt;=MAX('Per Line'!$AG$2:$AG$3001),MATCH(ROWS($N$2:$N67),'Per Line'!$AG$2:$AG$3001,0),"")</f>
        <v/>
      </c>
      <c r="O67">
        <f>IF(B67="Above Claim Form",COUNTIF($B$2:B67,"Above Claim Form"),"")</f>
        <v/>
      </c>
      <c r="P67">
        <f>IF(B67="Below Claim Form",COUNTIF($B$2:B67,"Below Claim Form"),"")</f>
        <v/>
      </c>
    </row>
    <row r="68">
      <c r="B68">
        <f>IF($N68="","",IFERROR(INDEX(Settings!$C$27:$C$36,MATCH(E68,Settings!$B$27:$B$36,0)),"Unassigned"))</f>
        <v/>
      </c>
      <c r="C68">
        <f>IF($N68="","",INDEX('Per Line'!$D$2:$D$3001,$N68))</f>
        <v/>
      </c>
      <c r="D68">
        <f>IF($N68="","",INDEX('Per Line'!$C$2:$C$3001,$N68))</f>
        <v/>
      </c>
      <c r="E68">
        <f>IF($N68="","",INDEX('Per Line'!$A$2:$A$3001,$N68))</f>
        <v/>
      </c>
      <c r="H68">
        <f>IF($N68="","",INDEX('Per Line'!$V$2:$V$3001,$N68))</f>
        <v/>
      </c>
      <c r="I68" s="5">
        <f>IF($N68="","",SUMIFS('Per Line'!$X$2:$X$3001,'Per Line'!$D$2:$D$3001,$C68))</f>
        <v/>
      </c>
      <c r="J68" s="5">
        <f>IF($N68="","",SUMIFS('Per Line'!$Y$2:$Y$3001,'Per Line'!$D$2:$D$3001,$C68))</f>
        <v/>
      </c>
      <c r="K68" s="5">
        <f>IF($N68="","",SUMIFS('Per Line'!$Z$2:$Z$3001,'Per Line'!$D$2:$D$3001,$C68))</f>
        <v/>
      </c>
      <c r="L68" s="5">
        <f>IF($N68="","",I68-J68)</f>
        <v/>
      </c>
      <c r="M68" s="5">
        <f>IF($N68="","",L68-K68)</f>
        <v/>
      </c>
      <c r="N68">
        <f>IF(ROWS($N$2:$N68)&lt;=MAX('Per Line'!$AG$2:$AG$3001),MATCH(ROWS($N$2:$N68),'Per Line'!$AG$2:$AG$3001,0),"")</f>
        <v/>
      </c>
      <c r="O68">
        <f>IF(B68="Above Claim Form",COUNTIF($B$2:B68,"Above Claim Form"),"")</f>
        <v/>
      </c>
      <c r="P68">
        <f>IF(B68="Below Claim Form",COUNTIF($B$2:B68,"Below Claim Form"),"")</f>
        <v/>
      </c>
    </row>
    <row r="69">
      <c r="B69">
        <f>IF($N69="","",IFERROR(INDEX(Settings!$C$27:$C$36,MATCH(E69,Settings!$B$27:$B$36,0)),"Unassigned"))</f>
        <v/>
      </c>
      <c r="C69">
        <f>IF($N69="","",INDEX('Per Line'!$D$2:$D$3001,$N69))</f>
        <v/>
      </c>
      <c r="D69">
        <f>IF($N69="","",INDEX('Per Line'!$C$2:$C$3001,$N69))</f>
        <v/>
      </c>
      <c r="E69">
        <f>IF($N69="","",INDEX('Per Line'!$A$2:$A$3001,$N69))</f>
        <v/>
      </c>
      <c r="H69">
        <f>IF($N69="","",INDEX('Per Line'!$V$2:$V$3001,$N69))</f>
        <v/>
      </c>
      <c r="I69" s="5">
        <f>IF($N69="","",SUMIFS('Per Line'!$X$2:$X$3001,'Per Line'!$D$2:$D$3001,$C69))</f>
        <v/>
      </c>
      <c r="J69" s="5">
        <f>IF($N69="","",SUMIFS('Per Line'!$Y$2:$Y$3001,'Per Line'!$D$2:$D$3001,$C69))</f>
        <v/>
      </c>
      <c r="K69" s="5">
        <f>IF($N69="","",SUMIFS('Per Line'!$Z$2:$Z$3001,'Per Line'!$D$2:$D$3001,$C69))</f>
        <v/>
      </c>
      <c r="L69" s="5">
        <f>IF($N69="","",I69-J69)</f>
        <v/>
      </c>
      <c r="M69" s="5">
        <f>IF($N69="","",L69-K69)</f>
        <v/>
      </c>
      <c r="N69">
        <f>IF(ROWS($N$2:$N69)&lt;=MAX('Per Line'!$AG$2:$AG$3001),MATCH(ROWS($N$2:$N69),'Per Line'!$AG$2:$AG$3001,0),"")</f>
        <v/>
      </c>
      <c r="O69">
        <f>IF(B69="Above Claim Form",COUNTIF($B$2:B69,"Above Claim Form"),"")</f>
        <v/>
      </c>
      <c r="P69">
        <f>IF(B69="Below Claim Form",COUNTIF($B$2:B69,"Below Claim Form"),"")</f>
        <v/>
      </c>
    </row>
    <row r="70">
      <c r="B70">
        <f>IF($N70="","",IFERROR(INDEX(Settings!$C$27:$C$36,MATCH(E70,Settings!$B$27:$B$36,0)),"Unassigned"))</f>
        <v/>
      </c>
      <c r="C70">
        <f>IF($N70="","",INDEX('Per Line'!$D$2:$D$3001,$N70))</f>
        <v/>
      </c>
      <c r="D70">
        <f>IF($N70="","",INDEX('Per Line'!$C$2:$C$3001,$N70))</f>
        <v/>
      </c>
      <c r="E70">
        <f>IF($N70="","",INDEX('Per Line'!$A$2:$A$3001,$N70))</f>
        <v/>
      </c>
      <c r="H70">
        <f>IF($N70="","",INDEX('Per Line'!$V$2:$V$3001,$N70))</f>
        <v/>
      </c>
      <c r="I70" s="5">
        <f>IF($N70="","",SUMIFS('Per Line'!$X$2:$X$3001,'Per Line'!$D$2:$D$3001,$C70))</f>
        <v/>
      </c>
      <c r="J70" s="5">
        <f>IF($N70="","",SUMIFS('Per Line'!$Y$2:$Y$3001,'Per Line'!$D$2:$D$3001,$C70))</f>
        <v/>
      </c>
      <c r="K70" s="5">
        <f>IF($N70="","",SUMIFS('Per Line'!$Z$2:$Z$3001,'Per Line'!$D$2:$D$3001,$C70))</f>
        <v/>
      </c>
      <c r="L70" s="5">
        <f>IF($N70="","",I70-J70)</f>
        <v/>
      </c>
      <c r="M70" s="5">
        <f>IF($N70="","",L70-K70)</f>
        <v/>
      </c>
      <c r="N70">
        <f>IF(ROWS($N$2:$N70)&lt;=MAX('Per Line'!$AG$2:$AG$3001),MATCH(ROWS($N$2:$N70),'Per Line'!$AG$2:$AG$3001,0),"")</f>
        <v/>
      </c>
      <c r="O70">
        <f>IF(B70="Above Claim Form",COUNTIF($B$2:B70,"Above Claim Form"),"")</f>
        <v/>
      </c>
      <c r="P70">
        <f>IF(B70="Below Claim Form",COUNTIF($B$2:B70,"Below Claim Form"),"")</f>
        <v/>
      </c>
    </row>
    <row r="71">
      <c r="B71">
        <f>IF($N71="","",IFERROR(INDEX(Settings!$C$27:$C$36,MATCH(E71,Settings!$B$27:$B$36,0)),"Unassigned"))</f>
        <v/>
      </c>
      <c r="C71">
        <f>IF($N71="","",INDEX('Per Line'!$D$2:$D$3001,$N71))</f>
        <v/>
      </c>
      <c r="D71">
        <f>IF($N71="","",INDEX('Per Line'!$C$2:$C$3001,$N71))</f>
        <v/>
      </c>
      <c r="E71">
        <f>IF($N71="","",INDEX('Per Line'!$A$2:$A$3001,$N71))</f>
        <v/>
      </c>
      <c r="H71">
        <f>IF($N71="","",INDEX('Per Line'!$V$2:$V$3001,$N71))</f>
        <v/>
      </c>
      <c r="I71" s="5">
        <f>IF($N71="","",SUMIFS('Per Line'!$X$2:$X$3001,'Per Line'!$D$2:$D$3001,$C71))</f>
        <v/>
      </c>
      <c r="J71" s="5">
        <f>IF($N71="","",SUMIFS('Per Line'!$Y$2:$Y$3001,'Per Line'!$D$2:$D$3001,$C71))</f>
        <v/>
      </c>
      <c r="K71" s="5">
        <f>IF($N71="","",SUMIFS('Per Line'!$Z$2:$Z$3001,'Per Line'!$D$2:$D$3001,$C71))</f>
        <v/>
      </c>
      <c r="L71" s="5">
        <f>IF($N71="","",I71-J71)</f>
        <v/>
      </c>
      <c r="M71" s="5">
        <f>IF($N71="","",L71-K71)</f>
        <v/>
      </c>
      <c r="N71">
        <f>IF(ROWS($N$2:$N71)&lt;=MAX('Per Line'!$AG$2:$AG$3001),MATCH(ROWS($N$2:$N71),'Per Line'!$AG$2:$AG$3001,0),"")</f>
        <v/>
      </c>
      <c r="O71">
        <f>IF(B71="Above Claim Form",COUNTIF($B$2:B71,"Above Claim Form"),"")</f>
        <v/>
      </c>
      <c r="P71">
        <f>IF(B71="Below Claim Form",COUNTIF($B$2:B71,"Below Claim Form"),"")</f>
        <v/>
      </c>
    </row>
    <row r="72">
      <c r="B72">
        <f>IF($N72="","",IFERROR(INDEX(Settings!$C$27:$C$36,MATCH(E72,Settings!$B$27:$B$36,0)),"Unassigned"))</f>
        <v/>
      </c>
      <c r="C72">
        <f>IF($N72="","",INDEX('Per Line'!$D$2:$D$3001,$N72))</f>
        <v/>
      </c>
      <c r="D72">
        <f>IF($N72="","",INDEX('Per Line'!$C$2:$C$3001,$N72))</f>
        <v/>
      </c>
      <c r="E72">
        <f>IF($N72="","",INDEX('Per Line'!$A$2:$A$3001,$N72))</f>
        <v/>
      </c>
      <c r="H72">
        <f>IF($N72="","",INDEX('Per Line'!$V$2:$V$3001,$N72))</f>
        <v/>
      </c>
      <c r="I72" s="5">
        <f>IF($N72="","",SUMIFS('Per Line'!$X$2:$X$3001,'Per Line'!$D$2:$D$3001,$C72))</f>
        <v/>
      </c>
      <c r="J72" s="5">
        <f>IF($N72="","",SUMIFS('Per Line'!$Y$2:$Y$3001,'Per Line'!$D$2:$D$3001,$C72))</f>
        <v/>
      </c>
      <c r="K72" s="5">
        <f>IF($N72="","",SUMIFS('Per Line'!$Z$2:$Z$3001,'Per Line'!$D$2:$D$3001,$C72))</f>
        <v/>
      </c>
      <c r="L72" s="5">
        <f>IF($N72="","",I72-J72)</f>
        <v/>
      </c>
      <c r="M72" s="5">
        <f>IF($N72="","",L72-K72)</f>
        <v/>
      </c>
      <c r="N72">
        <f>IF(ROWS($N$2:$N72)&lt;=MAX('Per Line'!$AG$2:$AG$3001),MATCH(ROWS($N$2:$N72),'Per Line'!$AG$2:$AG$3001,0),"")</f>
        <v/>
      </c>
      <c r="O72">
        <f>IF(B72="Above Claim Form",COUNTIF($B$2:B72,"Above Claim Form"),"")</f>
        <v/>
      </c>
      <c r="P72">
        <f>IF(B72="Below Claim Form",COUNTIF($B$2:B72,"Below Claim Form"),"")</f>
        <v/>
      </c>
    </row>
    <row r="73">
      <c r="B73">
        <f>IF($N73="","",IFERROR(INDEX(Settings!$C$27:$C$36,MATCH(E73,Settings!$B$27:$B$36,0)),"Unassigned"))</f>
        <v/>
      </c>
      <c r="C73">
        <f>IF($N73="","",INDEX('Per Line'!$D$2:$D$3001,$N73))</f>
        <v/>
      </c>
      <c r="D73">
        <f>IF($N73="","",INDEX('Per Line'!$C$2:$C$3001,$N73))</f>
        <v/>
      </c>
      <c r="E73">
        <f>IF($N73="","",INDEX('Per Line'!$A$2:$A$3001,$N73))</f>
        <v/>
      </c>
      <c r="H73">
        <f>IF($N73="","",INDEX('Per Line'!$V$2:$V$3001,$N73))</f>
        <v/>
      </c>
      <c r="I73" s="5">
        <f>IF($N73="","",SUMIFS('Per Line'!$X$2:$X$3001,'Per Line'!$D$2:$D$3001,$C73))</f>
        <v/>
      </c>
      <c r="J73" s="5">
        <f>IF($N73="","",SUMIFS('Per Line'!$Y$2:$Y$3001,'Per Line'!$D$2:$D$3001,$C73))</f>
        <v/>
      </c>
      <c r="K73" s="5">
        <f>IF($N73="","",SUMIFS('Per Line'!$Z$2:$Z$3001,'Per Line'!$D$2:$D$3001,$C73))</f>
        <v/>
      </c>
      <c r="L73" s="5">
        <f>IF($N73="","",I73-J73)</f>
        <v/>
      </c>
      <c r="M73" s="5">
        <f>IF($N73="","",L73-K73)</f>
        <v/>
      </c>
      <c r="N73">
        <f>IF(ROWS($N$2:$N73)&lt;=MAX('Per Line'!$AG$2:$AG$3001),MATCH(ROWS($N$2:$N73),'Per Line'!$AG$2:$AG$3001,0),"")</f>
        <v/>
      </c>
      <c r="O73">
        <f>IF(B73="Above Claim Form",COUNTIF($B$2:B73,"Above Claim Form"),"")</f>
        <v/>
      </c>
      <c r="P73">
        <f>IF(B73="Below Claim Form",COUNTIF($B$2:B73,"Below Claim Form"),"")</f>
        <v/>
      </c>
    </row>
    <row r="74">
      <c r="B74">
        <f>IF($N74="","",IFERROR(INDEX(Settings!$C$27:$C$36,MATCH(E74,Settings!$B$27:$B$36,0)),"Unassigned"))</f>
        <v/>
      </c>
      <c r="C74">
        <f>IF($N74="","",INDEX('Per Line'!$D$2:$D$3001,$N74))</f>
        <v/>
      </c>
      <c r="D74">
        <f>IF($N74="","",INDEX('Per Line'!$C$2:$C$3001,$N74))</f>
        <v/>
      </c>
      <c r="E74">
        <f>IF($N74="","",INDEX('Per Line'!$A$2:$A$3001,$N74))</f>
        <v/>
      </c>
      <c r="H74">
        <f>IF($N74="","",INDEX('Per Line'!$V$2:$V$3001,$N74))</f>
        <v/>
      </c>
      <c r="I74" s="5">
        <f>IF($N74="","",SUMIFS('Per Line'!$X$2:$X$3001,'Per Line'!$D$2:$D$3001,$C74))</f>
        <v/>
      </c>
      <c r="J74" s="5">
        <f>IF($N74="","",SUMIFS('Per Line'!$Y$2:$Y$3001,'Per Line'!$D$2:$D$3001,$C74))</f>
        <v/>
      </c>
      <c r="K74" s="5">
        <f>IF($N74="","",SUMIFS('Per Line'!$Z$2:$Z$3001,'Per Line'!$D$2:$D$3001,$C74))</f>
        <v/>
      </c>
      <c r="L74" s="5">
        <f>IF($N74="","",I74-J74)</f>
        <v/>
      </c>
      <c r="M74" s="5">
        <f>IF($N74="","",L74-K74)</f>
        <v/>
      </c>
      <c r="N74">
        <f>IF(ROWS($N$2:$N74)&lt;=MAX('Per Line'!$AG$2:$AG$3001),MATCH(ROWS($N$2:$N74),'Per Line'!$AG$2:$AG$3001,0),"")</f>
        <v/>
      </c>
      <c r="O74">
        <f>IF(B74="Above Claim Form",COUNTIF($B$2:B74,"Above Claim Form"),"")</f>
        <v/>
      </c>
      <c r="P74">
        <f>IF(B74="Below Claim Form",COUNTIF($B$2:B74,"Below Claim Form"),"")</f>
        <v/>
      </c>
    </row>
    <row r="75">
      <c r="B75">
        <f>IF($N75="","",IFERROR(INDEX(Settings!$C$27:$C$36,MATCH(E75,Settings!$B$27:$B$36,0)),"Unassigned"))</f>
        <v/>
      </c>
      <c r="C75">
        <f>IF($N75="","",INDEX('Per Line'!$D$2:$D$3001,$N75))</f>
        <v/>
      </c>
      <c r="D75">
        <f>IF($N75="","",INDEX('Per Line'!$C$2:$C$3001,$N75))</f>
        <v/>
      </c>
      <c r="E75">
        <f>IF($N75="","",INDEX('Per Line'!$A$2:$A$3001,$N75))</f>
        <v/>
      </c>
      <c r="H75">
        <f>IF($N75="","",INDEX('Per Line'!$V$2:$V$3001,$N75))</f>
        <v/>
      </c>
      <c r="I75" s="5">
        <f>IF($N75="","",SUMIFS('Per Line'!$X$2:$X$3001,'Per Line'!$D$2:$D$3001,$C75))</f>
        <v/>
      </c>
      <c r="J75" s="5">
        <f>IF($N75="","",SUMIFS('Per Line'!$Y$2:$Y$3001,'Per Line'!$D$2:$D$3001,$C75))</f>
        <v/>
      </c>
      <c r="K75" s="5">
        <f>IF($N75="","",SUMIFS('Per Line'!$Z$2:$Z$3001,'Per Line'!$D$2:$D$3001,$C75))</f>
        <v/>
      </c>
      <c r="L75" s="5">
        <f>IF($N75="","",I75-J75)</f>
        <v/>
      </c>
      <c r="M75" s="5">
        <f>IF($N75="","",L75-K75)</f>
        <v/>
      </c>
      <c r="N75">
        <f>IF(ROWS($N$2:$N75)&lt;=MAX('Per Line'!$AG$2:$AG$3001),MATCH(ROWS($N$2:$N75),'Per Line'!$AG$2:$AG$3001,0),"")</f>
        <v/>
      </c>
      <c r="O75">
        <f>IF(B75="Above Claim Form",COUNTIF($B$2:B75,"Above Claim Form"),"")</f>
        <v/>
      </c>
      <c r="P75">
        <f>IF(B75="Below Claim Form",COUNTIF($B$2:B75,"Below Claim Form"),"")</f>
        <v/>
      </c>
    </row>
    <row r="76">
      <c r="B76">
        <f>IF($N76="","",IFERROR(INDEX(Settings!$C$27:$C$36,MATCH(E76,Settings!$B$27:$B$36,0)),"Unassigned"))</f>
        <v/>
      </c>
      <c r="C76">
        <f>IF($N76="","",INDEX('Per Line'!$D$2:$D$3001,$N76))</f>
        <v/>
      </c>
      <c r="D76">
        <f>IF($N76="","",INDEX('Per Line'!$C$2:$C$3001,$N76))</f>
        <v/>
      </c>
      <c r="E76">
        <f>IF($N76="","",INDEX('Per Line'!$A$2:$A$3001,$N76))</f>
        <v/>
      </c>
      <c r="H76">
        <f>IF($N76="","",INDEX('Per Line'!$V$2:$V$3001,$N76))</f>
        <v/>
      </c>
      <c r="I76" s="5">
        <f>IF($N76="","",SUMIFS('Per Line'!$X$2:$X$3001,'Per Line'!$D$2:$D$3001,$C76))</f>
        <v/>
      </c>
      <c r="J76" s="5">
        <f>IF($N76="","",SUMIFS('Per Line'!$Y$2:$Y$3001,'Per Line'!$D$2:$D$3001,$C76))</f>
        <v/>
      </c>
      <c r="K76" s="5">
        <f>IF($N76="","",SUMIFS('Per Line'!$Z$2:$Z$3001,'Per Line'!$D$2:$D$3001,$C76))</f>
        <v/>
      </c>
      <c r="L76" s="5">
        <f>IF($N76="","",I76-J76)</f>
        <v/>
      </c>
      <c r="M76" s="5">
        <f>IF($N76="","",L76-K76)</f>
        <v/>
      </c>
      <c r="N76">
        <f>IF(ROWS($N$2:$N76)&lt;=MAX('Per Line'!$AG$2:$AG$3001),MATCH(ROWS($N$2:$N76),'Per Line'!$AG$2:$AG$3001,0),"")</f>
        <v/>
      </c>
      <c r="O76">
        <f>IF(B76="Above Claim Form",COUNTIF($B$2:B76,"Above Claim Form"),"")</f>
        <v/>
      </c>
      <c r="P76">
        <f>IF(B76="Below Claim Form",COUNTIF($B$2:B76,"Below Claim Form"),"")</f>
        <v/>
      </c>
    </row>
    <row r="77">
      <c r="B77">
        <f>IF($N77="","",IFERROR(INDEX(Settings!$C$27:$C$36,MATCH(E77,Settings!$B$27:$B$36,0)),"Unassigned"))</f>
        <v/>
      </c>
      <c r="C77">
        <f>IF($N77="","",INDEX('Per Line'!$D$2:$D$3001,$N77))</f>
        <v/>
      </c>
      <c r="D77">
        <f>IF($N77="","",INDEX('Per Line'!$C$2:$C$3001,$N77))</f>
        <v/>
      </c>
      <c r="E77">
        <f>IF($N77="","",INDEX('Per Line'!$A$2:$A$3001,$N77))</f>
        <v/>
      </c>
      <c r="H77">
        <f>IF($N77="","",INDEX('Per Line'!$V$2:$V$3001,$N77))</f>
        <v/>
      </c>
      <c r="I77" s="5">
        <f>IF($N77="","",SUMIFS('Per Line'!$X$2:$X$3001,'Per Line'!$D$2:$D$3001,$C77))</f>
        <v/>
      </c>
      <c r="J77" s="5">
        <f>IF($N77="","",SUMIFS('Per Line'!$Y$2:$Y$3001,'Per Line'!$D$2:$D$3001,$C77))</f>
        <v/>
      </c>
      <c r="K77" s="5">
        <f>IF($N77="","",SUMIFS('Per Line'!$Z$2:$Z$3001,'Per Line'!$D$2:$D$3001,$C77))</f>
        <v/>
      </c>
      <c r="L77" s="5">
        <f>IF($N77="","",I77-J77)</f>
        <v/>
      </c>
      <c r="M77" s="5">
        <f>IF($N77="","",L77-K77)</f>
        <v/>
      </c>
      <c r="N77">
        <f>IF(ROWS($N$2:$N77)&lt;=MAX('Per Line'!$AG$2:$AG$3001),MATCH(ROWS($N$2:$N77),'Per Line'!$AG$2:$AG$3001,0),"")</f>
        <v/>
      </c>
      <c r="O77">
        <f>IF(B77="Above Claim Form",COUNTIF($B$2:B77,"Above Claim Form"),"")</f>
        <v/>
      </c>
      <c r="P77">
        <f>IF(B77="Below Claim Form",COUNTIF($B$2:B77,"Below Claim Form"),"")</f>
        <v/>
      </c>
    </row>
    <row r="78">
      <c r="B78">
        <f>IF($N78="","",IFERROR(INDEX(Settings!$C$27:$C$36,MATCH(E78,Settings!$B$27:$B$36,0)),"Unassigned"))</f>
        <v/>
      </c>
      <c r="C78">
        <f>IF($N78="","",INDEX('Per Line'!$D$2:$D$3001,$N78))</f>
        <v/>
      </c>
      <c r="D78">
        <f>IF($N78="","",INDEX('Per Line'!$C$2:$C$3001,$N78))</f>
        <v/>
      </c>
      <c r="E78">
        <f>IF($N78="","",INDEX('Per Line'!$A$2:$A$3001,$N78))</f>
        <v/>
      </c>
      <c r="H78">
        <f>IF($N78="","",INDEX('Per Line'!$V$2:$V$3001,$N78))</f>
        <v/>
      </c>
      <c r="I78" s="5">
        <f>IF($N78="","",SUMIFS('Per Line'!$X$2:$X$3001,'Per Line'!$D$2:$D$3001,$C78))</f>
        <v/>
      </c>
      <c r="J78" s="5">
        <f>IF($N78="","",SUMIFS('Per Line'!$Y$2:$Y$3001,'Per Line'!$D$2:$D$3001,$C78))</f>
        <v/>
      </c>
      <c r="K78" s="5">
        <f>IF($N78="","",SUMIFS('Per Line'!$Z$2:$Z$3001,'Per Line'!$D$2:$D$3001,$C78))</f>
        <v/>
      </c>
      <c r="L78" s="5">
        <f>IF($N78="","",I78-J78)</f>
        <v/>
      </c>
      <c r="M78" s="5">
        <f>IF($N78="","",L78-K78)</f>
        <v/>
      </c>
      <c r="N78">
        <f>IF(ROWS($N$2:$N78)&lt;=MAX('Per Line'!$AG$2:$AG$3001),MATCH(ROWS($N$2:$N78),'Per Line'!$AG$2:$AG$3001,0),"")</f>
        <v/>
      </c>
      <c r="O78">
        <f>IF(B78="Above Claim Form",COUNTIF($B$2:B78,"Above Claim Form"),"")</f>
        <v/>
      </c>
      <c r="P78">
        <f>IF(B78="Below Claim Form",COUNTIF($B$2:B78,"Below Claim Form"),"")</f>
        <v/>
      </c>
    </row>
    <row r="79">
      <c r="B79">
        <f>IF($N79="","",IFERROR(INDEX(Settings!$C$27:$C$36,MATCH(E79,Settings!$B$27:$B$36,0)),"Unassigned"))</f>
        <v/>
      </c>
      <c r="C79">
        <f>IF($N79="","",INDEX('Per Line'!$D$2:$D$3001,$N79))</f>
        <v/>
      </c>
      <c r="D79">
        <f>IF($N79="","",INDEX('Per Line'!$C$2:$C$3001,$N79))</f>
        <v/>
      </c>
      <c r="E79">
        <f>IF($N79="","",INDEX('Per Line'!$A$2:$A$3001,$N79))</f>
        <v/>
      </c>
      <c r="H79">
        <f>IF($N79="","",INDEX('Per Line'!$V$2:$V$3001,$N79))</f>
        <v/>
      </c>
      <c r="I79" s="5">
        <f>IF($N79="","",SUMIFS('Per Line'!$X$2:$X$3001,'Per Line'!$D$2:$D$3001,$C79))</f>
        <v/>
      </c>
      <c r="J79" s="5">
        <f>IF($N79="","",SUMIFS('Per Line'!$Y$2:$Y$3001,'Per Line'!$D$2:$D$3001,$C79))</f>
        <v/>
      </c>
      <c r="K79" s="5">
        <f>IF($N79="","",SUMIFS('Per Line'!$Z$2:$Z$3001,'Per Line'!$D$2:$D$3001,$C79))</f>
        <v/>
      </c>
      <c r="L79" s="5">
        <f>IF($N79="","",I79-J79)</f>
        <v/>
      </c>
      <c r="M79" s="5">
        <f>IF($N79="","",L79-K79)</f>
        <v/>
      </c>
      <c r="N79">
        <f>IF(ROWS($N$2:$N79)&lt;=MAX('Per Line'!$AG$2:$AG$3001),MATCH(ROWS($N$2:$N79),'Per Line'!$AG$2:$AG$3001,0),"")</f>
        <v/>
      </c>
      <c r="O79">
        <f>IF(B79="Above Claim Form",COUNTIF($B$2:B79,"Above Claim Form"),"")</f>
        <v/>
      </c>
      <c r="P79">
        <f>IF(B79="Below Claim Form",COUNTIF($B$2:B79,"Below Claim Form"),"")</f>
        <v/>
      </c>
    </row>
    <row r="80">
      <c r="B80">
        <f>IF($N80="","",IFERROR(INDEX(Settings!$C$27:$C$36,MATCH(E80,Settings!$B$27:$B$36,0)),"Unassigned"))</f>
        <v/>
      </c>
      <c r="C80">
        <f>IF($N80="","",INDEX('Per Line'!$D$2:$D$3001,$N80))</f>
        <v/>
      </c>
      <c r="D80">
        <f>IF($N80="","",INDEX('Per Line'!$C$2:$C$3001,$N80))</f>
        <v/>
      </c>
      <c r="E80">
        <f>IF($N80="","",INDEX('Per Line'!$A$2:$A$3001,$N80))</f>
        <v/>
      </c>
      <c r="H80">
        <f>IF($N80="","",INDEX('Per Line'!$V$2:$V$3001,$N80))</f>
        <v/>
      </c>
      <c r="I80" s="5">
        <f>IF($N80="","",SUMIFS('Per Line'!$X$2:$X$3001,'Per Line'!$D$2:$D$3001,$C80))</f>
        <v/>
      </c>
      <c r="J80" s="5">
        <f>IF($N80="","",SUMIFS('Per Line'!$Y$2:$Y$3001,'Per Line'!$D$2:$D$3001,$C80))</f>
        <v/>
      </c>
      <c r="K80" s="5">
        <f>IF($N80="","",SUMIFS('Per Line'!$Z$2:$Z$3001,'Per Line'!$D$2:$D$3001,$C80))</f>
        <v/>
      </c>
      <c r="L80" s="5">
        <f>IF($N80="","",I80-J80)</f>
        <v/>
      </c>
      <c r="M80" s="5">
        <f>IF($N80="","",L80-K80)</f>
        <v/>
      </c>
      <c r="N80">
        <f>IF(ROWS($N$2:$N80)&lt;=MAX('Per Line'!$AG$2:$AG$3001),MATCH(ROWS($N$2:$N80),'Per Line'!$AG$2:$AG$3001,0),"")</f>
        <v/>
      </c>
      <c r="O80">
        <f>IF(B80="Above Claim Form",COUNTIF($B$2:B80,"Above Claim Form"),"")</f>
        <v/>
      </c>
      <c r="P80">
        <f>IF(B80="Below Claim Form",COUNTIF($B$2:B80,"Below Claim Form"),"")</f>
        <v/>
      </c>
    </row>
    <row r="81">
      <c r="B81">
        <f>IF($N81="","",IFERROR(INDEX(Settings!$C$27:$C$36,MATCH(E81,Settings!$B$27:$B$36,0)),"Unassigned"))</f>
        <v/>
      </c>
      <c r="C81">
        <f>IF($N81="","",INDEX('Per Line'!$D$2:$D$3001,$N81))</f>
        <v/>
      </c>
      <c r="D81">
        <f>IF($N81="","",INDEX('Per Line'!$C$2:$C$3001,$N81))</f>
        <v/>
      </c>
      <c r="E81">
        <f>IF($N81="","",INDEX('Per Line'!$A$2:$A$3001,$N81))</f>
        <v/>
      </c>
      <c r="H81">
        <f>IF($N81="","",INDEX('Per Line'!$V$2:$V$3001,$N81))</f>
        <v/>
      </c>
      <c r="I81" s="5">
        <f>IF($N81="","",SUMIFS('Per Line'!$X$2:$X$3001,'Per Line'!$D$2:$D$3001,$C81))</f>
        <v/>
      </c>
      <c r="J81" s="5">
        <f>IF($N81="","",SUMIFS('Per Line'!$Y$2:$Y$3001,'Per Line'!$D$2:$D$3001,$C81))</f>
        <v/>
      </c>
      <c r="K81" s="5">
        <f>IF($N81="","",SUMIFS('Per Line'!$Z$2:$Z$3001,'Per Line'!$D$2:$D$3001,$C81))</f>
        <v/>
      </c>
      <c r="L81" s="5">
        <f>IF($N81="","",I81-J81)</f>
        <v/>
      </c>
      <c r="M81" s="5">
        <f>IF($N81="","",L81-K81)</f>
        <v/>
      </c>
      <c r="N81">
        <f>IF(ROWS($N$2:$N81)&lt;=MAX('Per Line'!$AG$2:$AG$3001),MATCH(ROWS($N$2:$N81),'Per Line'!$AG$2:$AG$3001,0),"")</f>
        <v/>
      </c>
      <c r="O81">
        <f>IF(B81="Above Claim Form",COUNTIF($B$2:B81,"Above Claim Form"),"")</f>
        <v/>
      </c>
      <c r="P81">
        <f>IF(B81="Below Claim Form",COUNTIF($B$2:B81,"Below Claim Form"),"")</f>
        <v/>
      </c>
    </row>
    <row r="82">
      <c r="B82">
        <f>IF($N82="","",IFERROR(INDEX(Settings!$C$27:$C$36,MATCH(E82,Settings!$B$27:$B$36,0)),"Unassigned"))</f>
        <v/>
      </c>
      <c r="C82">
        <f>IF($N82="","",INDEX('Per Line'!$D$2:$D$3001,$N82))</f>
        <v/>
      </c>
      <c r="D82">
        <f>IF($N82="","",INDEX('Per Line'!$C$2:$C$3001,$N82))</f>
        <v/>
      </c>
      <c r="E82">
        <f>IF($N82="","",INDEX('Per Line'!$A$2:$A$3001,$N82))</f>
        <v/>
      </c>
      <c r="H82">
        <f>IF($N82="","",INDEX('Per Line'!$V$2:$V$3001,$N82))</f>
        <v/>
      </c>
      <c r="I82" s="5">
        <f>IF($N82="","",SUMIFS('Per Line'!$X$2:$X$3001,'Per Line'!$D$2:$D$3001,$C82))</f>
        <v/>
      </c>
      <c r="J82" s="5">
        <f>IF($N82="","",SUMIFS('Per Line'!$Y$2:$Y$3001,'Per Line'!$D$2:$D$3001,$C82))</f>
        <v/>
      </c>
      <c r="K82" s="5">
        <f>IF($N82="","",SUMIFS('Per Line'!$Z$2:$Z$3001,'Per Line'!$D$2:$D$3001,$C82))</f>
        <v/>
      </c>
      <c r="L82" s="5">
        <f>IF($N82="","",I82-J82)</f>
        <v/>
      </c>
      <c r="M82" s="5">
        <f>IF($N82="","",L82-K82)</f>
        <v/>
      </c>
      <c r="N82">
        <f>IF(ROWS($N$2:$N82)&lt;=MAX('Per Line'!$AG$2:$AG$3001),MATCH(ROWS($N$2:$N82),'Per Line'!$AG$2:$AG$3001,0),"")</f>
        <v/>
      </c>
      <c r="O82">
        <f>IF(B82="Above Claim Form",COUNTIF($B$2:B82,"Above Claim Form"),"")</f>
        <v/>
      </c>
      <c r="P82">
        <f>IF(B82="Below Claim Form",COUNTIF($B$2:B82,"Below Claim Form"),"")</f>
        <v/>
      </c>
    </row>
    <row r="83">
      <c r="B83">
        <f>IF($N83="","",IFERROR(INDEX(Settings!$C$27:$C$36,MATCH(E83,Settings!$B$27:$B$36,0)),"Unassigned"))</f>
        <v/>
      </c>
      <c r="C83">
        <f>IF($N83="","",INDEX('Per Line'!$D$2:$D$3001,$N83))</f>
        <v/>
      </c>
      <c r="D83">
        <f>IF($N83="","",INDEX('Per Line'!$C$2:$C$3001,$N83))</f>
        <v/>
      </c>
      <c r="E83">
        <f>IF($N83="","",INDEX('Per Line'!$A$2:$A$3001,$N83))</f>
        <v/>
      </c>
      <c r="H83">
        <f>IF($N83="","",INDEX('Per Line'!$V$2:$V$3001,$N83))</f>
        <v/>
      </c>
      <c r="I83" s="5">
        <f>IF($N83="","",SUMIFS('Per Line'!$X$2:$X$3001,'Per Line'!$D$2:$D$3001,$C83))</f>
        <v/>
      </c>
      <c r="J83" s="5">
        <f>IF($N83="","",SUMIFS('Per Line'!$Y$2:$Y$3001,'Per Line'!$D$2:$D$3001,$C83))</f>
        <v/>
      </c>
      <c r="K83" s="5">
        <f>IF($N83="","",SUMIFS('Per Line'!$Z$2:$Z$3001,'Per Line'!$D$2:$D$3001,$C83))</f>
        <v/>
      </c>
      <c r="L83" s="5">
        <f>IF($N83="","",I83-J83)</f>
        <v/>
      </c>
      <c r="M83" s="5">
        <f>IF($N83="","",L83-K83)</f>
        <v/>
      </c>
      <c r="N83">
        <f>IF(ROWS($N$2:$N83)&lt;=MAX('Per Line'!$AG$2:$AG$3001),MATCH(ROWS($N$2:$N83),'Per Line'!$AG$2:$AG$3001,0),"")</f>
        <v/>
      </c>
      <c r="O83">
        <f>IF(B83="Above Claim Form",COUNTIF($B$2:B83,"Above Claim Form"),"")</f>
        <v/>
      </c>
      <c r="P83">
        <f>IF(B83="Below Claim Form",COUNTIF($B$2:B83,"Below Claim Form"),"")</f>
        <v/>
      </c>
    </row>
    <row r="84">
      <c r="B84">
        <f>IF($N84="","",IFERROR(INDEX(Settings!$C$27:$C$36,MATCH(E84,Settings!$B$27:$B$36,0)),"Unassigned"))</f>
        <v/>
      </c>
      <c r="C84">
        <f>IF($N84="","",INDEX('Per Line'!$D$2:$D$3001,$N84))</f>
        <v/>
      </c>
      <c r="D84">
        <f>IF($N84="","",INDEX('Per Line'!$C$2:$C$3001,$N84))</f>
        <v/>
      </c>
      <c r="E84">
        <f>IF($N84="","",INDEX('Per Line'!$A$2:$A$3001,$N84))</f>
        <v/>
      </c>
      <c r="H84">
        <f>IF($N84="","",INDEX('Per Line'!$V$2:$V$3001,$N84))</f>
        <v/>
      </c>
      <c r="I84" s="5">
        <f>IF($N84="","",SUMIFS('Per Line'!$X$2:$X$3001,'Per Line'!$D$2:$D$3001,$C84))</f>
        <v/>
      </c>
      <c r="J84" s="5">
        <f>IF($N84="","",SUMIFS('Per Line'!$Y$2:$Y$3001,'Per Line'!$D$2:$D$3001,$C84))</f>
        <v/>
      </c>
      <c r="K84" s="5">
        <f>IF($N84="","",SUMIFS('Per Line'!$Z$2:$Z$3001,'Per Line'!$D$2:$D$3001,$C84))</f>
        <v/>
      </c>
      <c r="L84" s="5">
        <f>IF($N84="","",I84-J84)</f>
        <v/>
      </c>
      <c r="M84" s="5">
        <f>IF($N84="","",L84-K84)</f>
        <v/>
      </c>
      <c r="N84">
        <f>IF(ROWS($N$2:$N84)&lt;=MAX('Per Line'!$AG$2:$AG$3001),MATCH(ROWS($N$2:$N84),'Per Line'!$AG$2:$AG$3001,0),"")</f>
        <v/>
      </c>
      <c r="O84">
        <f>IF(B84="Above Claim Form",COUNTIF($B$2:B84,"Above Claim Form"),"")</f>
        <v/>
      </c>
      <c r="P84">
        <f>IF(B84="Below Claim Form",COUNTIF($B$2:B84,"Below Claim Form"),"")</f>
        <v/>
      </c>
    </row>
    <row r="85">
      <c r="B85">
        <f>IF($N85="","",IFERROR(INDEX(Settings!$C$27:$C$36,MATCH(E85,Settings!$B$27:$B$36,0)),"Unassigned"))</f>
        <v/>
      </c>
      <c r="C85">
        <f>IF($N85="","",INDEX('Per Line'!$D$2:$D$3001,$N85))</f>
        <v/>
      </c>
      <c r="D85">
        <f>IF($N85="","",INDEX('Per Line'!$C$2:$C$3001,$N85))</f>
        <v/>
      </c>
      <c r="E85">
        <f>IF($N85="","",INDEX('Per Line'!$A$2:$A$3001,$N85))</f>
        <v/>
      </c>
      <c r="H85">
        <f>IF($N85="","",INDEX('Per Line'!$V$2:$V$3001,$N85))</f>
        <v/>
      </c>
      <c r="I85" s="5">
        <f>IF($N85="","",SUMIFS('Per Line'!$X$2:$X$3001,'Per Line'!$D$2:$D$3001,$C85))</f>
        <v/>
      </c>
      <c r="J85" s="5">
        <f>IF($N85="","",SUMIFS('Per Line'!$Y$2:$Y$3001,'Per Line'!$D$2:$D$3001,$C85))</f>
        <v/>
      </c>
      <c r="K85" s="5">
        <f>IF($N85="","",SUMIFS('Per Line'!$Z$2:$Z$3001,'Per Line'!$D$2:$D$3001,$C85))</f>
        <v/>
      </c>
      <c r="L85" s="5">
        <f>IF($N85="","",I85-J85)</f>
        <v/>
      </c>
      <c r="M85" s="5">
        <f>IF($N85="","",L85-K85)</f>
        <v/>
      </c>
      <c r="N85">
        <f>IF(ROWS($N$2:$N85)&lt;=MAX('Per Line'!$AG$2:$AG$3001),MATCH(ROWS($N$2:$N85),'Per Line'!$AG$2:$AG$3001,0),"")</f>
        <v/>
      </c>
      <c r="O85">
        <f>IF(B85="Above Claim Form",COUNTIF($B$2:B85,"Above Claim Form"),"")</f>
        <v/>
      </c>
      <c r="P85">
        <f>IF(B85="Below Claim Form",COUNTIF($B$2:B85,"Below Claim Form"),"")</f>
        <v/>
      </c>
    </row>
    <row r="86">
      <c r="B86">
        <f>IF($N86="","",IFERROR(INDEX(Settings!$C$27:$C$36,MATCH(E86,Settings!$B$27:$B$36,0)),"Unassigned"))</f>
        <v/>
      </c>
      <c r="C86">
        <f>IF($N86="","",INDEX('Per Line'!$D$2:$D$3001,$N86))</f>
        <v/>
      </c>
      <c r="D86">
        <f>IF($N86="","",INDEX('Per Line'!$C$2:$C$3001,$N86))</f>
        <v/>
      </c>
      <c r="E86">
        <f>IF($N86="","",INDEX('Per Line'!$A$2:$A$3001,$N86))</f>
        <v/>
      </c>
      <c r="H86">
        <f>IF($N86="","",INDEX('Per Line'!$V$2:$V$3001,$N86))</f>
        <v/>
      </c>
      <c r="I86" s="5">
        <f>IF($N86="","",SUMIFS('Per Line'!$X$2:$X$3001,'Per Line'!$D$2:$D$3001,$C86))</f>
        <v/>
      </c>
      <c r="J86" s="5">
        <f>IF($N86="","",SUMIFS('Per Line'!$Y$2:$Y$3001,'Per Line'!$D$2:$D$3001,$C86))</f>
        <v/>
      </c>
      <c r="K86" s="5">
        <f>IF($N86="","",SUMIFS('Per Line'!$Z$2:$Z$3001,'Per Line'!$D$2:$D$3001,$C86))</f>
        <v/>
      </c>
      <c r="L86" s="5">
        <f>IF($N86="","",I86-J86)</f>
        <v/>
      </c>
      <c r="M86" s="5">
        <f>IF($N86="","",L86-K86)</f>
        <v/>
      </c>
      <c r="N86">
        <f>IF(ROWS($N$2:$N86)&lt;=MAX('Per Line'!$AG$2:$AG$3001),MATCH(ROWS($N$2:$N86),'Per Line'!$AG$2:$AG$3001,0),"")</f>
        <v/>
      </c>
      <c r="O86">
        <f>IF(B86="Above Claim Form",COUNTIF($B$2:B86,"Above Claim Form"),"")</f>
        <v/>
      </c>
      <c r="P86">
        <f>IF(B86="Below Claim Form",COUNTIF($B$2:B86,"Below Claim Form"),"")</f>
        <v/>
      </c>
    </row>
    <row r="87">
      <c r="B87">
        <f>IF($N87="","",IFERROR(INDEX(Settings!$C$27:$C$36,MATCH(E87,Settings!$B$27:$B$36,0)),"Unassigned"))</f>
        <v/>
      </c>
      <c r="C87">
        <f>IF($N87="","",INDEX('Per Line'!$D$2:$D$3001,$N87))</f>
        <v/>
      </c>
      <c r="D87">
        <f>IF($N87="","",INDEX('Per Line'!$C$2:$C$3001,$N87))</f>
        <v/>
      </c>
      <c r="E87">
        <f>IF($N87="","",INDEX('Per Line'!$A$2:$A$3001,$N87))</f>
        <v/>
      </c>
      <c r="H87">
        <f>IF($N87="","",INDEX('Per Line'!$V$2:$V$3001,$N87))</f>
        <v/>
      </c>
      <c r="I87" s="5">
        <f>IF($N87="","",SUMIFS('Per Line'!$X$2:$X$3001,'Per Line'!$D$2:$D$3001,$C87))</f>
        <v/>
      </c>
      <c r="J87" s="5">
        <f>IF($N87="","",SUMIFS('Per Line'!$Y$2:$Y$3001,'Per Line'!$D$2:$D$3001,$C87))</f>
        <v/>
      </c>
      <c r="K87" s="5">
        <f>IF($N87="","",SUMIFS('Per Line'!$Z$2:$Z$3001,'Per Line'!$D$2:$D$3001,$C87))</f>
        <v/>
      </c>
      <c r="L87" s="5">
        <f>IF($N87="","",I87-J87)</f>
        <v/>
      </c>
      <c r="M87" s="5">
        <f>IF($N87="","",L87-K87)</f>
        <v/>
      </c>
      <c r="N87">
        <f>IF(ROWS($N$2:$N87)&lt;=MAX('Per Line'!$AG$2:$AG$3001),MATCH(ROWS($N$2:$N87),'Per Line'!$AG$2:$AG$3001,0),"")</f>
        <v/>
      </c>
      <c r="O87">
        <f>IF(B87="Above Claim Form",COUNTIF($B$2:B87,"Above Claim Form"),"")</f>
        <v/>
      </c>
      <c r="P87">
        <f>IF(B87="Below Claim Form",COUNTIF($B$2:B87,"Below Claim Form"),"")</f>
        <v/>
      </c>
    </row>
    <row r="88">
      <c r="B88">
        <f>IF($N88="","",IFERROR(INDEX(Settings!$C$27:$C$36,MATCH(E88,Settings!$B$27:$B$36,0)),"Unassigned"))</f>
        <v/>
      </c>
      <c r="C88">
        <f>IF($N88="","",INDEX('Per Line'!$D$2:$D$3001,$N88))</f>
        <v/>
      </c>
      <c r="D88">
        <f>IF($N88="","",INDEX('Per Line'!$C$2:$C$3001,$N88))</f>
        <v/>
      </c>
      <c r="E88">
        <f>IF($N88="","",INDEX('Per Line'!$A$2:$A$3001,$N88))</f>
        <v/>
      </c>
      <c r="H88">
        <f>IF($N88="","",INDEX('Per Line'!$V$2:$V$3001,$N88))</f>
        <v/>
      </c>
      <c r="I88" s="5">
        <f>IF($N88="","",SUMIFS('Per Line'!$X$2:$X$3001,'Per Line'!$D$2:$D$3001,$C88))</f>
        <v/>
      </c>
      <c r="J88" s="5">
        <f>IF($N88="","",SUMIFS('Per Line'!$Y$2:$Y$3001,'Per Line'!$D$2:$D$3001,$C88))</f>
        <v/>
      </c>
      <c r="K88" s="5">
        <f>IF($N88="","",SUMIFS('Per Line'!$Z$2:$Z$3001,'Per Line'!$D$2:$D$3001,$C88))</f>
        <v/>
      </c>
      <c r="L88" s="5">
        <f>IF($N88="","",I88-J88)</f>
        <v/>
      </c>
      <c r="M88" s="5">
        <f>IF($N88="","",L88-K88)</f>
        <v/>
      </c>
      <c r="N88">
        <f>IF(ROWS($N$2:$N88)&lt;=MAX('Per Line'!$AG$2:$AG$3001),MATCH(ROWS($N$2:$N88),'Per Line'!$AG$2:$AG$3001,0),"")</f>
        <v/>
      </c>
      <c r="O88">
        <f>IF(B88="Above Claim Form",COUNTIF($B$2:B88,"Above Claim Form"),"")</f>
        <v/>
      </c>
      <c r="P88">
        <f>IF(B88="Below Claim Form",COUNTIF($B$2:B88,"Below Claim Form"),"")</f>
        <v/>
      </c>
    </row>
    <row r="89">
      <c r="B89">
        <f>IF($N89="","",IFERROR(INDEX(Settings!$C$27:$C$36,MATCH(E89,Settings!$B$27:$B$36,0)),"Unassigned"))</f>
        <v/>
      </c>
      <c r="C89">
        <f>IF($N89="","",INDEX('Per Line'!$D$2:$D$3001,$N89))</f>
        <v/>
      </c>
      <c r="D89">
        <f>IF($N89="","",INDEX('Per Line'!$C$2:$C$3001,$N89))</f>
        <v/>
      </c>
      <c r="E89">
        <f>IF($N89="","",INDEX('Per Line'!$A$2:$A$3001,$N89))</f>
        <v/>
      </c>
      <c r="H89">
        <f>IF($N89="","",INDEX('Per Line'!$V$2:$V$3001,$N89))</f>
        <v/>
      </c>
      <c r="I89" s="5">
        <f>IF($N89="","",SUMIFS('Per Line'!$X$2:$X$3001,'Per Line'!$D$2:$D$3001,$C89))</f>
        <v/>
      </c>
      <c r="J89" s="5">
        <f>IF($N89="","",SUMIFS('Per Line'!$Y$2:$Y$3001,'Per Line'!$D$2:$D$3001,$C89))</f>
        <v/>
      </c>
      <c r="K89" s="5">
        <f>IF($N89="","",SUMIFS('Per Line'!$Z$2:$Z$3001,'Per Line'!$D$2:$D$3001,$C89))</f>
        <v/>
      </c>
      <c r="L89" s="5">
        <f>IF($N89="","",I89-J89)</f>
        <v/>
      </c>
      <c r="M89" s="5">
        <f>IF($N89="","",L89-K89)</f>
        <v/>
      </c>
      <c r="N89">
        <f>IF(ROWS($N$2:$N89)&lt;=MAX('Per Line'!$AG$2:$AG$3001),MATCH(ROWS($N$2:$N89),'Per Line'!$AG$2:$AG$3001,0),"")</f>
        <v/>
      </c>
      <c r="O89">
        <f>IF(B89="Above Claim Form",COUNTIF($B$2:B89,"Above Claim Form"),"")</f>
        <v/>
      </c>
      <c r="P89">
        <f>IF(B89="Below Claim Form",COUNTIF($B$2:B89,"Below Claim Form"),"")</f>
        <v/>
      </c>
    </row>
    <row r="90">
      <c r="B90">
        <f>IF($N90="","",IFERROR(INDEX(Settings!$C$27:$C$36,MATCH(E90,Settings!$B$27:$B$36,0)),"Unassigned"))</f>
        <v/>
      </c>
      <c r="C90">
        <f>IF($N90="","",INDEX('Per Line'!$D$2:$D$3001,$N90))</f>
        <v/>
      </c>
      <c r="D90">
        <f>IF($N90="","",INDEX('Per Line'!$C$2:$C$3001,$N90))</f>
        <v/>
      </c>
      <c r="E90">
        <f>IF($N90="","",INDEX('Per Line'!$A$2:$A$3001,$N90))</f>
        <v/>
      </c>
      <c r="H90">
        <f>IF($N90="","",INDEX('Per Line'!$V$2:$V$3001,$N90))</f>
        <v/>
      </c>
      <c r="I90" s="5">
        <f>IF($N90="","",SUMIFS('Per Line'!$X$2:$X$3001,'Per Line'!$D$2:$D$3001,$C90))</f>
        <v/>
      </c>
      <c r="J90" s="5">
        <f>IF($N90="","",SUMIFS('Per Line'!$Y$2:$Y$3001,'Per Line'!$D$2:$D$3001,$C90))</f>
        <v/>
      </c>
      <c r="K90" s="5">
        <f>IF($N90="","",SUMIFS('Per Line'!$Z$2:$Z$3001,'Per Line'!$D$2:$D$3001,$C90))</f>
        <v/>
      </c>
      <c r="L90" s="5">
        <f>IF($N90="","",I90-J90)</f>
        <v/>
      </c>
      <c r="M90" s="5">
        <f>IF($N90="","",L90-K90)</f>
        <v/>
      </c>
      <c r="N90">
        <f>IF(ROWS($N$2:$N90)&lt;=MAX('Per Line'!$AG$2:$AG$3001),MATCH(ROWS($N$2:$N90),'Per Line'!$AG$2:$AG$3001,0),"")</f>
        <v/>
      </c>
      <c r="O90">
        <f>IF(B90="Above Claim Form",COUNTIF($B$2:B90,"Above Claim Form"),"")</f>
        <v/>
      </c>
      <c r="P90">
        <f>IF(B90="Below Claim Form",COUNTIF($B$2:B90,"Below Claim Form"),"")</f>
        <v/>
      </c>
    </row>
    <row r="91">
      <c r="B91">
        <f>IF($N91="","",IFERROR(INDEX(Settings!$C$27:$C$36,MATCH(E91,Settings!$B$27:$B$36,0)),"Unassigned"))</f>
        <v/>
      </c>
      <c r="C91">
        <f>IF($N91="","",INDEX('Per Line'!$D$2:$D$3001,$N91))</f>
        <v/>
      </c>
      <c r="D91">
        <f>IF($N91="","",INDEX('Per Line'!$C$2:$C$3001,$N91))</f>
        <v/>
      </c>
      <c r="E91">
        <f>IF($N91="","",INDEX('Per Line'!$A$2:$A$3001,$N91))</f>
        <v/>
      </c>
      <c r="H91">
        <f>IF($N91="","",INDEX('Per Line'!$V$2:$V$3001,$N91))</f>
        <v/>
      </c>
      <c r="I91" s="5">
        <f>IF($N91="","",SUMIFS('Per Line'!$X$2:$X$3001,'Per Line'!$D$2:$D$3001,$C91))</f>
        <v/>
      </c>
      <c r="J91" s="5">
        <f>IF($N91="","",SUMIFS('Per Line'!$Y$2:$Y$3001,'Per Line'!$D$2:$D$3001,$C91))</f>
        <v/>
      </c>
      <c r="K91" s="5">
        <f>IF($N91="","",SUMIFS('Per Line'!$Z$2:$Z$3001,'Per Line'!$D$2:$D$3001,$C91))</f>
        <v/>
      </c>
      <c r="L91" s="5">
        <f>IF($N91="","",I91-J91)</f>
        <v/>
      </c>
      <c r="M91" s="5">
        <f>IF($N91="","",L91-K91)</f>
        <v/>
      </c>
      <c r="N91">
        <f>IF(ROWS($N$2:$N91)&lt;=MAX('Per Line'!$AG$2:$AG$3001),MATCH(ROWS($N$2:$N91),'Per Line'!$AG$2:$AG$3001,0),"")</f>
        <v/>
      </c>
      <c r="O91">
        <f>IF(B91="Above Claim Form",COUNTIF($B$2:B91,"Above Claim Form"),"")</f>
        <v/>
      </c>
      <c r="P91">
        <f>IF(B91="Below Claim Form",COUNTIF($B$2:B91,"Below Claim Form"),"")</f>
        <v/>
      </c>
    </row>
    <row r="92">
      <c r="B92">
        <f>IF($N92="","",IFERROR(INDEX(Settings!$C$27:$C$36,MATCH(E92,Settings!$B$27:$B$36,0)),"Unassigned"))</f>
        <v/>
      </c>
      <c r="C92">
        <f>IF($N92="","",INDEX('Per Line'!$D$2:$D$3001,$N92))</f>
        <v/>
      </c>
      <c r="D92">
        <f>IF($N92="","",INDEX('Per Line'!$C$2:$C$3001,$N92))</f>
        <v/>
      </c>
      <c r="E92">
        <f>IF($N92="","",INDEX('Per Line'!$A$2:$A$3001,$N92))</f>
        <v/>
      </c>
      <c r="H92">
        <f>IF($N92="","",INDEX('Per Line'!$V$2:$V$3001,$N92))</f>
        <v/>
      </c>
      <c r="I92" s="5">
        <f>IF($N92="","",SUMIFS('Per Line'!$X$2:$X$3001,'Per Line'!$D$2:$D$3001,$C92))</f>
        <v/>
      </c>
      <c r="J92" s="5">
        <f>IF($N92="","",SUMIFS('Per Line'!$Y$2:$Y$3001,'Per Line'!$D$2:$D$3001,$C92))</f>
        <v/>
      </c>
      <c r="K92" s="5">
        <f>IF($N92="","",SUMIFS('Per Line'!$Z$2:$Z$3001,'Per Line'!$D$2:$D$3001,$C92))</f>
        <v/>
      </c>
      <c r="L92" s="5">
        <f>IF($N92="","",I92-J92)</f>
        <v/>
      </c>
      <c r="M92" s="5">
        <f>IF($N92="","",L92-K92)</f>
        <v/>
      </c>
      <c r="N92">
        <f>IF(ROWS($N$2:$N92)&lt;=MAX('Per Line'!$AG$2:$AG$3001),MATCH(ROWS($N$2:$N92),'Per Line'!$AG$2:$AG$3001,0),"")</f>
        <v/>
      </c>
      <c r="O92">
        <f>IF(B92="Above Claim Form",COUNTIF($B$2:B92,"Above Claim Form"),"")</f>
        <v/>
      </c>
      <c r="P92">
        <f>IF(B92="Below Claim Form",COUNTIF($B$2:B92,"Below Claim Form"),"")</f>
        <v/>
      </c>
    </row>
    <row r="93">
      <c r="B93">
        <f>IF($N93="","",IFERROR(INDEX(Settings!$C$27:$C$36,MATCH(E93,Settings!$B$27:$B$36,0)),"Unassigned"))</f>
        <v/>
      </c>
      <c r="C93">
        <f>IF($N93="","",INDEX('Per Line'!$D$2:$D$3001,$N93))</f>
        <v/>
      </c>
      <c r="D93">
        <f>IF($N93="","",INDEX('Per Line'!$C$2:$C$3001,$N93))</f>
        <v/>
      </c>
      <c r="E93">
        <f>IF($N93="","",INDEX('Per Line'!$A$2:$A$3001,$N93))</f>
        <v/>
      </c>
      <c r="H93">
        <f>IF($N93="","",INDEX('Per Line'!$V$2:$V$3001,$N93))</f>
        <v/>
      </c>
      <c r="I93" s="5">
        <f>IF($N93="","",SUMIFS('Per Line'!$X$2:$X$3001,'Per Line'!$D$2:$D$3001,$C93))</f>
        <v/>
      </c>
      <c r="J93" s="5">
        <f>IF($N93="","",SUMIFS('Per Line'!$Y$2:$Y$3001,'Per Line'!$D$2:$D$3001,$C93))</f>
        <v/>
      </c>
      <c r="K93" s="5">
        <f>IF($N93="","",SUMIFS('Per Line'!$Z$2:$Z$3001,'Per Line'!$D$2:$D$3001,$C93))</f>
        <v/>
      </c>
      <c r="L93" s="5">
        <f>IF($N93="","",I93-J93)</f>
        <v/>
      </c>
      <c r="M93" s="5">
        <f>IF($N93="","",L93-K93)</f>
        <v/>
      </c>
      <c r="N93">
        <f>IF(ROWS($N$2:$N93)&lt;=MAX('Per Line'!$AG$2:$AG$3001),MATCH(ROWS($N$2:$N93),'Per Line'!$AG$2:$AG$3001,0),"")</f>
        <v/>
      </c>
      <c r="O93">
        <f>IF(B93="Above Claim Form",COUNTIF($B$2:B93,"Above Claim Form"),"")</f>
        <v/>
      </c>
      <c r="P93">
        <f>IF(B93="Below Claim Form",COUNTIF($B$2:B93,"Below Claim Form"),"")</f>
        <v/>
      </c>
    </row>
    <row r="94">
      <c r="B94">
        <f>IF($N94="","",IFERROR(INDEX(Settings!$C$27:$C$36,MATCH(E94,Settings!$B$27:$B$36,0)),"Unassigned"))</f>
        <v/>
      </c>
      <c r="C94">
        <f>IF($N94="","",INDEX('Per Line'!$D$2:$D$3001,$N94))</f>
        <v/>
      </c>
      <c r="D94">
        <f>IF($N94="","",INDEX('Per Line'!$C$2:$C$3001,$N94))</f>
        <v/>
      </c>
      <c r="E94">
        <f>IF($N94="","",INDEX('Per Line'!$A$2:$A$3001,$N94))</f>
        <v/>
      </c>
      <c r="H94">
        <f>IF($N94="","",INDEX('Per Line'!$V$2:$V$3001,$N94))</f>
        <v/>
      </c>
      <c r="I94" s="5">
        <f>IF($N94="","",SUMIFS('Per Line'!$X$2:$X$3001,'Per Line'!$D$2:$D$3001,$C94))</f>
        <v/>
      </c>
      <c r="J94" s="5">
        <f>IF($N94="","",SUMIFS('Per Line'!$Y$2:$Y$3001,'Per Line'!$D$2:$D$3001,$C94))</f>
        <v/>
      </c>
      <c r="K94" s="5">
        <f>IF($N94="","",SUMIFS('Per Line'!$Z$2:$Z$3001,'Per Line'!$D$2:$D$3001,$C94))</f>
        <v/>
      </c>
      <c r="L94" s="5">
        <f>IF($N94="","",I94-J94)</f>
        <v/>
      </c>
      <c r="M94" s="5">
        <f>IF($N94="","",L94-K94)</f>
        <v/>
      </c>
      <c r="N94">
        <f>IF(ROWS($N$2:$N94)&lt;=MAX('Per Line'!$AG$2:$AG$3001),MATCH(ROWS($N$2:$N94),'Per Line'!$AG$2:$AG$3001,0),"")</f>
        <v/>
      </c>
      <c r="O94">
        <f>IF(B94="Above Claim Form",COUNTIF($B$2:B94,"Above Claim Form"),"")</f>
        <v/>
      </c>
      <c r="P94">
        <f>IF(B94="Below Claim Form",COUNTIF($B$2:B94,"Below Claim Form"),"")</f>
        <v/>
      </c>
    </row>
    <row r="95">
      <c r="B95">
        <f>IF($N95="","",IFERROR(INDEX(Settings!$C$27:$C$36,MATCH(E95,Settings!$B$27:$B$36,0)),"Unassigned"))</f>
        <v/>
      </c>
      <c r="C95">
        <f>IF($N95="","",INDEX('Per Line'!$D$2:$D$3001,$N95))</f>
        <v/>
      </c>
      <c r="D95">
        <f>IF($N95="","",INDEX('Per Line'!$C$2:$C$3001,$N95))</f>
        <v/>
      </c>
      <c r="E95">
        <f>IF($N95="","",INDEX('Per Line'!$A$2:$A$3001,$N95))</f>
        <v/>
      </c>
      <c r="H95">
        <f>IF($N95="","",INDEX('Per Line'!$V$2:$V$3001,$N95))</f>
        <v/>
      </c>
      <c r="I95" s="5">
        <f>IF($N95="","",SUMIFS('Per Line'!$X$2:$X$3001,'Per Line'!$D$2:$D$3001,$C95))</f>
        <v/>
      </c>
      <c r="J95" s="5">
        <f>IF($N95="","",SUMIFS('Per Line'!$Y$2:$Y$3001,'Per Line'!$D$2:$D$3001,$C95))</f>
        <v/>
      </c>
      <c r="K95" s="5">
        <f>IF($N95="","",SUMIFS('Per Line'!$Z$2:$Z$3001,'Per Line'!$D$2:$D$3001,$C95))</f>
        <v/>
      </c>
      <c r="L95" s="5">
        <f>IF($N95="","",I95-J95)</f>
        <v/>
      </c>
      <c r="M95" s="5">
        <f>IF($N95="","",L95-K95)</f>
        <v/>
      </c>
      <c r="N95">
        <f>IF(ROWS($N$2:$N95)&lt;=MAX('Per Line'!$AG$2:$AG$3001),MATCH(ROWS($N$2:$N95),'Per Line'!$AG$2:$AG$3001,0),"")</f>
        <v/>
      </c>
      <c r="O95">
        <f>IF(B95="Above Claim Form",COUNTIF($B$2:B95,"Above Claim Form"),"")</f>
        <v/>
      </c>
      <c r="P95">
        <f>IF(B95="Below Claim Form",COUNTIF($B$2:B95,"Below Claim Form"),"")</f>
        <v/>
      </c>
    </row>
    <row r="96">
      <c r="B96">
        <f>IF($N96="","",IFERROR(INDEX(Settings!$C$27:$C$36,MATCH(E96,Settings!$B$27:$B$36,0)),"Unassigned"))</f>
        <v/>
      </c>
      <c r="C96">
        <f>IF($N96="","",INDEX('Per Line'!$D$2:$D$3001,$N96))</f>
        <v/>
      </c>
      <c r="D96">
        <f>IF($N96="","",INDEX('Per Line'!$C$2:$C$3001,$N96))</f>
        <v/>
      </c>
      <c r="E96">
        <f>IF($N96="","",INDEX('Per Line'!$A$2:$A$3001,$N96))</f>
        <v/>
      </c>
      <c r="H96">
        <f>IF($N96="","",INDEX('Per Line'!$V$2:$V$3001,$N96))</f>
        <v/>
      </c>
      <c r="I96" s="5">
        <f>IF($N96="","",SUMIFS('Per Line'!$X$2:$X$3001,'Per Line'!$D$2:$D$3001,$C96))</f>
        <v/>
      </c>
      <c r="J96" s="5">
        <f>IF($N96="","",SUMIFS('Per Line'!$Y$2:$Y$3001,'Per Line'!$D$2:$D$3001,$C96))</f>
        <v/>
      </c>
      <c r="K96" s="5">
        <f>IF($N96="","",SUMIFS('Per Line'!$Z$2:$Z$3001,'Per Line'!$D$2:$D$3001,$C96))</f>
        <v/>
      </c>
      <c r="L96" s="5">
        <f>IF($N96="","",I96-J96)</f>
        <v/>
      </c>
      <c r="M96" s="5">
        <f>IF($N96="","",L96-K96)</f>
        <v/>
      </c>
      <c r="N96">
        <f>IF(ROWS($N$2:$N96)&lt;=MAX('Per Line'!$AG$2:$AG$3001),MATCH(ROWS($N$2:$N96),'Per Line'!$AG$2:$AG$3001,0),"")</f>
        <v/>
      </c>
      <c r="O96">
        <f>IF(B96="Above Claim Form",COUNTIF($B$2:B96,"Above Claim Form"),"")</f>
        <v/>
      </c>
      <c r="P96">
        <f>IF(B96="Below Claim Form",COUNTIF($B$2:B96,"Below Claim Form"),"")</f>
        <v/>
      </c>
    </row>
    <row r="97">
      <c r="B97">
        <f>IF($N97="","",IFERROR(INDEX(Settings!$C$27:$C$36,MATCH(E97,Settings!$B$27:$B$36,0)),"Unassigned"))</f>
        <v/>
      </c>
      <c r="C97">
        <f>IF($N97="","",INDEX('Per Line'!$D$2:$D$3001,$N97))</f>
        <v/>
      </c>
      <c r="D97">
        <f>IF($N97="","",INDEX('Per Line'!$C$2:$C$3001,$N97))</f>
        <v/>
      </c>
      <c r="E97">
        <f>IF($N97="","",INDEX('Per Line'!$A$2:$A$3001,$N97))</f>
        <v/>
      </c>
      <c r="H97">
        <f>IF($N97="","",INDEX('Per Line'!$V$2:$V$3001,$N97))</f>
        <v/>
      </c>
      <c r="I97" s="5">
        <f>IF($N97="","",SUMIFS('Per Line'!$X$2:$X$3001,'Per Line'!$D$2:$D$3001,$C97))</f>
        <v/>
      </c>
      <c r="J97" s="5">
        <f>IF($N97="","",SUMIFS('Per Line'!$Y$2:$Y$3001,'Per Line'!$D$2:$D$3001,$C97))</f>
        <v/>
      </c>
      <c r="K97" s="5">
        <f>IF($N97="","",SUMIFS('Per Line'!$Z$2:$Z$3001,'Per Line'!$D$2:$D$3001,$C97))</f>
        <v/>
      </c>
      <c r="L97" s="5">
        <f>IF($N97="","",I97-J97)</f>
        <v/>
      </c>
      <c r="M97" s="5">
        <f>IF($N97="","",L97-K97)</f>
        <v/>
      </c>
      <c r="N97">
        <f>IF(ROWS($N$2:$N97)&lt;=MAX('Per Line'!$AG$2:$AG$3001),MATCH(ROWS($N$2:$N97),'Per Line'!$AG$2:$AG$3001,0),"")</f>
        <v/>
      </c>
      <c r="O97">
        <f>IF(B97="Above Claim Form",COUNTIF($B$2:B97,"Above Claim Form"),"")</f>
        <v/>
      </c>
      <c r="P97">
        <f>IF(B97="Below Claim Form",COUNTIF($B$2:B97,"Below Claim Form"),"")</f>
        <v/>
      </c>
    </row>
    <row r="98">
      <c r="B98">
        <f>IF($N98="","",IFERROR(INDEX(Settings!$C$27:$C$36,MATCH(E98,Settings!$B$27:$B$36,0)),"Unassigned"))</f>
        <v/>
      </c>
      <c r="C98">
        <f>IF($N98="","",INDEX('Per Line'!$D$2:$D$3001,$N98))</f>
        <v/>
      </c>
      <c r="D98">
        <f>IF($N98="","",INDEX('Per Line'!$C$2:$C$3001,$N98))</f>
        <v/>
      </c>
      <c r="E98">
        <f>IF($N98="","",INDEX('Per Line'!$A$2:$A$3001,$N98))</f>
        <v/>
      </c>
      <c r="H98">
        <f>IF($N98="","",INDEX('Per Line'!$V$2:$V$3001,$N98))</f>
        <v/>
      </c>
      <c r="I98" s="5">
        <f>IF($N98="","",SUMIFS('Per Line'!$X$2:$X$3001,'Per Line'!$D$2:$D$3001,$C98))</f>
        <v/>
      </c>
      <c r="J98" s="5">
        <f>IF($N98="","",SUMIFS('Per Line'!$Y$2:$Y$3001,'Per Line'!$D$2:$D$3001,$C98))</f>
        <v/>
      </c>
      <c r="K98" s="5">
        <f>IF($N98="","",SUMIFS('Per Line'!$Z$2:$Z$3001,'Per Line'!$D$2:$D$3001,$C98))</f>
        <v/>
      </c>
      <c r="L98" s="5">
        <f>IF($N98="","",I98-J98)</f>
        <v/>
      </c>
      <c r="M98" s="5">
        <f>IF($N98="","",L98-K98)</f>
        <v/>
      </c>
      <c r="N98">
        <f>IF(ROWS($N$2:$N98)&lt;=MAX('Per Line'!$AG$2:$AG$3001),MATCH(ROWS($N$2:$N98),'Per Line'!$AG$2:$AG$3001,0),"")</f>
        <v/>
      </c>
      <c r="O98">
        <f>IF(B98="Above Claim Form",COUNTIF($B$2:B98,"Above Claim Form"),"")</f>
        <v/>
      </c>
      <c r="P98">
        <f>IF(B98="Below Claim Form",COUNTIF($B$2:B98,"Below Claim Form"),"")</f>
        <v/>
      </c>
    </row>
    <row r="99">
      <c r="B99">
        <f>IF($N99="","",IFERROR(INDEX(Settings!$C$27:$C$36,MATCH(E99,Settings!$B$27:$B$36,0)),"Unassigned"))</f>
        <v/>
      </c>
      <c r="C99">
        <f>IF($N99="","",INDEX('Per Line'!$D$2:$D$3001,$N99))</f>
        <v/>
      </c>
      <c r="D99">
        <f>IF($N99="","",INDEX('Per Line'!$C$2:$C$3001,$N99))</f>
        <v/>
      </c>
      <c r="E99">
        <f>IF($N99="","",INDEX('Per Line'!$A$2:$A$3001,$N99))</f>
        <v/>
      </c>
      <c r="H99">
        <f>IF($N99="","",INDEX('Per Line'!$V$2:$V$3001,$N99))</f>
        <v/>
      </c>
      <c r="I99" s="5">
        <f>IF($N99="","",SUMIFS('Per Line'!$X$2:$X$3001,'Per Line'!$D$2:$D$3001,$C99))</f>
        <v/>
      </c>
      <c r="J99" s="5">
        <f>IF($N99="","",SUMIFS('Per Line'!$Y$2:$Y$3001,'Per Line'!$D$2:$D$3001,$C99))</f>
        <v/>
      </c>
      <c r="K99" s="5">
        <f>IF($N99="","",SUMIFS('Per Line'!$Z$2:$Z$3001,'Per Line'!$D$2:$D$3001,$C99))</f>
        <v/>
      </c>
      <c r="L99" s="5">
        <f>IF($N99="","",I99-J99)</f>
        <v/>
      </c>
      <c r="M99" s="5">
        <f>IF($N99="","",L99-K99)</f>
        <v/>
      </c>
      <c r="N99">
        <f>IF(ROWS($N$2:$N99)&lt;=MAX('Per Line'!$AG$2:$AG$3001),MATCH(ROWS($N$2:$N99),'Per Line'!$AG$2:$AG$3001,0),"")</f>
        <v/>
      </c>
      <c r="O99">
        <f>IF(B99="Above Claim Form",COUNTIF($B$2:B99,"Above Claim Form"),"")</f>
        <v/>
      </c>
      <c r="P99">
        <f>IF(B99="Below Claim Form",COUNTIF($B$2:B99,"Below Claim Form"),"")</f>
        <v/>
      </c>
    </row>
    <row r="100">
      <c r="B100">
        <f>IF($N100="","",IFERROR(INDEX(Settings!$C$27:$C$36,MATCH(E100,Settings!$B$27:$B$36,0)),"Unassigned"))</f>
        <v/>
      </c>
      <c r="C100">
        <f>IF($N100="","",INDEX('Per Line'!$D$2:$D$3001,$N100))</f>
        <v/>
      </c>
      <c r="D100">
        <f>IF($N100="","",INDEX('Per Line'!$C$2:$C$3001,$N100))</f>
        <v/>
      </c>
      <c r="E100">
        <f>IF($N100="","",INDEX('Per Line'!$A$2:$A$3001,$N100))</f>
        <v/>
      </c>
      <c r="H100">
        <f>IF($N100="","",INDEX('Per Line'!$V$2:$V$3001,$N100))</f>
        <v/>
      </c>
      <c r="I100" s="5">
        <f>IF($N100="","",SUMIFS('Per Line'!$X$2:$X$3001,'Per Line'!$D$2:$D$3001,$C100))</f>
        <v/>
      </c>
      <c r="J100" s="5">
        <f>IF($N100="","",SUMIFS('Per Line'!$Y$2:$Y$3001,'Per Line'!$D$2:$D$3001,$C100))</f>
        <v/>
      </c>
      <c r="K100" s="5">
        <f>IF($N100="","",SUMIFS('Per Line'!$Z$2:$Z$3001,'Per Line'!$D$2:$D$3001,$C100))</f>
        <v/>
      </c>
      <c r="L100" s="5">
        <f>IF($N100="","",I100-J100)</f>
        <v/>
      </c>
      <c r="M100" s="5">
        <f>IF($N100="","",L100-K100)</f>
        <v/>
      </c>
      <c r="N100">
        <f>IF(ROWS($N$2:$N100)&lt;=MAX('Per Line'!$AG$2:$AG$3001),MATCH(ROWS($N$2:$N100),'Per Line'!$AG$2:$AG$3001,0),"")</f>
        <v/>
      </c>
      <c r="O100">
        <f>IF(B100="Above Claim Form",COUNTIF($B$2:B100,"Above Claim Form"),"")</f>
        <v/>
      </c>
      <c r="P100">
        <f>IF(B100="Below Claim Form",COUNTIF($B$2:B100,"Below Claim Form"),"")</f>
        <v/>
      </c>
    </row>
    <row r="101">
      <c r="B101">
        <f>IF($N101="","",IFERROR(INDEX(Settings!$C$27:$C$36,MATCH(E101,Settings!$B$27:$B$36,0)),"Unassigned"))</f>
        <v/>
      </c>
      <c r="C101">
        <f>IF($N101="","",INDEX('Per Line'!$D$2:$D$3001,$N101))</f>
        <v/>
      </c>
      <c r="D101">
        <f>IF($N101="","",INDEX('Per Line'!$C$2:$C$3001,$N101))</f>
        <v/>
      </c>
      <c r="E101">
        <f>IF($N101="","",INDEX('Per Line'!$A$2:$A$3001,$N101))</f>
        <v/>
      </c>
      <c r="H101">
        <f>IF($N101="","",INDEX('Per Line'!$V$2:$V$3001,$N101))</f>
        <v/>
      </c>
      <c r="I101" s="5">
        <f>IF($N101="","",SUMIFS('Per Line'!$X$2:$X$3001,'Per Line'!$D$2:$D$3001,$C101))</f>
        <v/>
      </c>
      <c r="J101" s="5">
        <f>IF($N101="","",SUMIFS('Per Line'!$Y$2:$Y$3001,'Per Line'!$D$2:$D$3001,$C101))</f>
        <v/>
      </c>
      <c r="K101" s="5">
        <f>IF($N101="","",SUMIFS('Per Line'!$Z$2:$Z$3001,'Per Line'!$D$2:$D$3001,$C101))</f>
        <v/>
      </c>
      <c r="L101" s="5">
        <f>IF($N101="","",I101-J101)</f>
        <v/>
      </c>
      <c r="M101" s="5">
        <f>IF($N101="","",L101-K101)</f>
        <v/>
      </c>
      <c r="N101">
        <f>IF(ROWS($N$2:$N101)&lt;=MAX('Per Line'!$AG$2:$AG$3001),MATCH(ROWS($N$2:$N101),'Per Line'!$AG$2:$AG$3001,0),"")</f>
        <v/>
      </c>
      <c r="O101">
        <f>IF(B101="Above Claim Form",COUNTIF($B$2:B101,"Above Claim Form"),"")</f>
        <v/>
      </c>
      <c r="P101">
        <f>IF(B101="Below Claim Form",COUNTIF($B$2:B101,"Below Claim Form"),"")</f>
        <v/>
      </c>
    </row>
    <row r="102">
      <c r="B102">
        <f>IF($N102="","",IFERROR(INDEX(Settings!$C$27:$C$36,MATCH(E102,Settings!$B$27:$B$36,0)),"Unassigned"))</f>
        <v/>
      </c>
      <c r="C102">
        <f>IF($N102="","",INDEX('Per Line'!$D$2:$D$3001,$N102))</f>
        <v/>
      </c>
      <c r="D102">
        <f>IF($N102="","",INDEX('Per Line'!$C$2:$C$3001,$N102))</f>
        <v/>
      </c>
      <c r="E102">
        <f>IF($N102="","",INDEX('Per Line'!$A$2:$A$3001,$N102))</f>
        <v/>
      </c>
      <c r="H102">
        <f>IF($N102="","",INDEX('Per Line'!$V$2:$V$3001,$N102))</f>
        <v/>
      </c>
      <c r="I102" s="5">
        <f>IF($N102="","",SUMIFS('Per Line'!$X$2:$X$3001,'Per Line'!$D$2:$D$3001,$C102))</f>
        <v/>
      </c>
      <c r="J102" s="5">
        <f>IF($N102="","",SUMIFS('Per Line'!$Y$2:$Y$3001,'Per Line'!$D$2:$D$3001,$C102))</f>
        <v/>
      </c>
      <c r="K102" s="5">
        <f>IF($N102="","",SUMIFS('Per Line'!$Z$2:$Z$3001,'Per Line'!$D$2:$D$3001,$C102))</f>
        <v/>
      </c>
      <c r="L102" s="5">
        <f>IF($N102="","",I102-J102)</f>
        <v/>
      </c>
      <c r="M102" s="5">
        <f>IF($N102="","",L102-K102)</f>
        <v/>
      </c>
      <c r="N102">
        <f>IF(ROWS($N$2:$N102)&lt;=MAX('Per Line'!$AG$2:$AG$3001),MATCH(ROWS($N$2:$N102),'Per Line'!$AG$2:$AG$3001,0),"")</f>
        <v/>
      </c>
      <c r="O102">
        <f>IF(B102="Above Claim Form",COUNTIF($B$2:B102,"Above Claim Form"),"")</f>
        <v/>
      </c>
      <c r="P102">
        <f>IF(B102="Below Claim Form",COUNTIF($B$2:B102,"Below Claim Form"),"")</f>
        <v/>
      </c>
    </row>
    <row r="103">
      <c r="B103">
        <f>IF($N103="","",IFERROR(INDEX(Settings!$C$27:$C$36,MATCH(E103,Settings!$B$27:$B$36,0)),"Unassigned"))</f>
        <v/>
      </c>
      <c r="C103">
        <f>IF($N103="","",INDEX('Per Line'!$D$2:$D$3001,$N103))</f>
        <v/>
      </c>
      <c r="D103">
        <f>IF($N103="","",INDEX('Per Line'!$C$2:$C$3001,$N103))</f>
        <v/>
      </c>
      <c r="E103">
        <f>IF($N103="","",INDEX('Per Line'!$A$2:$A$3001,$N103))</f>
        <v/>
      </c>
      <c r="H103">
        <f>IF($N103="","",INDEX('Per Line'!$V$2:$V$3001,$N103))</f>
        <v/>
      </c>
      <c r="I103" s="5">
        <f>IF($N103="","",SUMIFS('Per Line'!$X$2:$X$3001,'Per Line'!$D$2:$D$3001,$C103))</f>
        <v/>
      </c>
      <c r="J103" s="5">
        <f>IF($N103="","",SUMIFS('Per Line'!$Y$2:$Y$3001,'Per Line'!$D$2:$D$3001,$C103))</f>
        <v/>
      </c>
      <c r="K103" s="5">
        <f>IF($N103="","",SUMIFS('Per Line'!$Z$2:$Z$3001,'Per Line'!$D$2:$D$3001,$C103))</f>
        <v/>
      </c>
      <c r="L103" s="5">
        <f>IF($N103="","",I103-J103)</f>
        <v/>
      </c>
      <c r="M103" s="5">
        <f>IF($N103="","",L103-K103)</f>
        <v/>
      </c>
      <c r="N103">
        <f>IF(ROWS($N$2:$N103)&lt;=MAX('Per Line'!$AG$2:$AG$3001),MATCH(ROWS($N$2:$N103),'Per Line'!$AG$2:$AG$3001,0),"")</f>
        <v/>
      </c>
      <c r="O103">
        <f>IF(B103="Above Claim Form",COUNTIF($B$2:B103,"Above Claim Form"),"")</f>
        <v/>
      </c>
      <c r="P103">
        <f>IF(B103="Below Claim Form",COUNTIF($B$2:B103,"Below Claim Form"),"")</f>
        <v/>
      </c>
    </row>
    <row r="104">
      <c r="B104">
        <f>IF($N104="","",IFERROR(INDEX(Settings!$C$27:$C$36,MATCH(E104,Settings!$B$27:$B$36,0)),"Unassigned"))</f>
        <v/>
      </c>
      <c r="C104">
        <f>IF($N104="","",INDEX('Per Line'!$D$2:$D$3001,$N104))</f>
        <v/>
      </c>
      <c r="D104">
        <f>IF($N104="","",INDEX('Per Line'!$C$2:$C$3001,$N104))</f>
        <v/>
      </c>
      <c r="E104">
        <f>IF($N104="","",INDEX('Per Line'!$A$2:$A$3001,$N104))</f>
        <v/>
      </c>
      <c r="H104">
        <f>IF($N104="","",INDEX('Per Line'!$V$2:$V$3001,$N104))</f>
        <v/>
      </c>
      <c r="I104" s="5">
        <f>IF($N104="","",SUMIFS('Per Line'!$X$2:$X$3001,'Per Line'!$D$2:$D$3001,$C104))</f>
        <v/>
      </c>
      <c r="J104" s="5">
        <f>IF($N104="","",SUMIFS('Per Line'!$Y$2:$Y$3001,'Per Line'!$D$2:$D$3001,$C104))</f>
        <v/>
      </c>
      <c r="K104" s="5">
        <f>IF($N104="","",SUMIFS('Per Line'!$Z$2:$Z$3001,'Per Line'!$D$2:$D$3001,$C104))</f>
        <v/>
      </c>
      <c r="L104" s="5">
        <f>IF($N104="","",I104-J104)</f>
        <v/>
      </c>
      <c r="M104" s="5">
        <f>IF($N104="","",L104-K104)</f>
        <v/>
      </c>
      <c r="N104">
        <f>IF(ROWS($N$2:$N104)&lt;=MAX('Per Line'!$AG$2:$AG$3001),MATCH(ROWS($N$2:$N104),'Per Line'!$AG$2:$AG$3001,0),"")</f>
        <v/>
      </c>
      <c r="O104">
        <f>IF(B104="Above Claim Form",COUNTIF($B$2:B104,"Above Claim Form"),"")</f>
        <v/>
      </c>
      <c r="P104">
        <f>IF(B104="Below Claim Form",COUNTIF($B$2:B104,"Below Claim Form"),"")</f>
        <v/>
      </c>
    </row>
    <row r="105">
      <c r="B105">
        <f>IF($N105="","",IFERROR(INDEX(Settings!$C$27:$C$36,MATCH(E105,Settings!$B$27:$B$36,0)),"Unassigned"))</f>
        <v/>
      </c>
      <c r="C105">
        <f>IF($N105="","",INDEX('Per Line'!$D$2:$D$3001,$N105))</f>
        <v/>
      </c>
      <c r="D105">
        <f>IF($N105="","",INDEX('Per Line'!$C$2:$C$3001,$N105))</f>
        <v/>
      </c>
      <c r="E105">
        <f>IF($N105="","",INDEX('Per Line'!$A$2:$A$3001,$N105))</f>
        <v/>
      </c>
      <c r="H105">
        <f>IF($N105="","",INDEX('Per Line'!$V$2:$V$3001,$N105))</f>
        <v/>
      </c>
      <c r="I105" s="5">
        <f>IF($N105="","",SUMIFS('Per Line'!$X$2:$X$3001,'Per Line'!$D$2:$D$3001,$C105))</f>
        <v/>
      </c>
      <c r="J105" s="5">
        <f>IF($N105="","",SUMIFS('Per Line'!$Y$2:$Y$3001,'Per Line'!$D$2:$D$3001,$C105))</f>
        <v/>
      </c>
      <c r="K105" s="5">
        <f>IF($N105="","",SUMIFS('Per Line'!$Z$2:$Z$3001,'Per Line'!$D$2:$D$3001,$C105))</f>
        <v/>
      </c>
      <c r="L105" s="5">
        <f>IF($N105="","",I105-J105)</f>
        <v/>
      </c>
      <c r="M105" s="5">
        <f>IF($N105="","",L105-K105)</f>
        <v/>
      </c>
      <c r="N105">
        <f>IF(ROWS($N$2:$N105)&lt;=MAX('Per Line'!$AG$2:$AG$3001),MATCH(ROWS($N$2:$N105),'Per Line'!$AG$2:$AG$3001,0),"")</f>
        <v/>
      </c>
      <c r="O105">
        <f>IF(B105="Above Claim Form",COUNTIF($B$2:B105,"Above Claim Form"),"")</f>
        <v/>
      </c>
      <c r="P105">
        <f>IF(B105="Below Claim Form",COUNTIF($B$2:B105,"Below Claim Form"),"")</f>
        <v/>
      </c>
    </row>
    <row r="106">
      <c r="B106">
        <f>IF($N106="","",IFERROR(INDEX(Settings!$C$27:$C$36,MATCH(E106,Settings!$B$27:$B$36,0)),"Unassigned"))</f>
        <v/>
      </c>
      <c r="C106">
        <f>IF($N106="","",INDEX('Per Line'!$D$2:$D$3001,$N106))</f>
        <v/>
      </c>
      <c r="D106">
        <f>IF($N106="","",INDEX('Per Line'!$C$2:$C$3001,$N106))</f>
        <v/>
      </c>
      <c r="E106">
        <f>IF($N106="","",INDEX('Per Line'!$A$2:$A$3001,$N106))</f>
        <v/>
      </c>
      <c r="H106">
        <f>IF($N106="","",INDEX('Per Line'!$V$2:$V$3001,$N106))</f>
        <v/>
      </c>
      <c r="I106" s="5">
        <f>IF($N106="","",SUMIFS('Per Line'!$X$2:$X$3001,'Per Line'!$D$2:$D$3001,$C106))</f>
        <v/>
      </c>
      <c r="J106" s="5">
        <f>IF($N106="","",SUMIFS('Per Line'!$Y$2:$Y$3001,'Per Line'!$D$2:$D$3001,$C106))</f>
        <v/>
      </c>
      <c r="K106" s="5">
        <f>IF($N106="","",SUMIFS('Per Line'!$Z$2:$Z$3001,'Per Line'!$D$2:$D$3001,$C106))</f>
        <v/>
      </c>
      <c r="L106" s="5">
        <f>IF($N106="","",I106-J106)</f>
        <v/>
      </c>
      <c r="M106" s="5">
        <f>IF($N106="","",L106-K106)</f>
        <v/>
      </c>
      <c r="N106">
        <f>IF(ROWS($N$2:$N106)&lt;=MAX('Per Line'!$AG$2:$AG$3001),MATCH(ROWS($N$2:$N106),'Per Line'!$AG$2:$AG$3001,0),"")</f>
        <v/>
      </c>
      <c r="O106">
        <f>IF(B106="Above Claim Form",COUNTIF($B$2:B106,"Above Claim Form"),"")</f>
        <v/>
      </c>
      <c r="P106">
        <f>IF(B106="Below Claim Form",COUNTIF($B$2:B106,"Below Claim Form"),"")</f>
        <v/>
      </c>
    </row>
    <row r="107">
      <c r="B107">
        <f>IF($N107="","",IFERROR(INDEX(Settings!$C$27:$C$36,MATCH(E107,Settings!$B$27:$B$36,0)),"Unassigned"))</f>
        <v/>
      </c>
      <c r="C107">
        <f>IF($N107="","",INDEX('Per Line'!$D$2:$D$3001,$N107))</f>
        <v/>
      </c>
      <c r="D107">
        <f>IF($N107="","",INDEX('Per Line'!$C$2:$C$3001,$N107))</f>
        <v/>
      </c>
      <c r="E107">
        <f>IF($N107="","",INDEX('Per Line'!$A$2:$A$3001,$N107))</f>
        <v/>
      </c>
      <c r="H107">
        <f>IF($N107="","",INDEX('Per Line'!$V$2:$V$3001,$N107))</f>
        <v/>
      </c>
      <c r="I107" s="5">
        <f>IF($N107="","",SUMIFS('Per Line'!$X$2:$X$3001,'Per Line'!$D$2:$D$3001,$C107))</f>
        <v/>
      </c>
      <c r="J107" s="5">
        <f>IF($N107="","",SUMIFS('Per Line'!$Y$2:$Y$3001,'Per Line'!$D$2:$D$3001,$C107))</f>
        <v/>
      </c>
      <c r="K107" s="5">
        <f>IF($N107="","",SUMIFS('Per Line'!$Z$2:$Z$3001,'Per Line'!$D$2:$D$3001,$C107))</f>
        <v/>
      </c>
      <c r="L107" s="5">
        <f>IF($N107="","",I107-J107)</f>
        <v/>
      </c>
      <c r="M107" s="5">
        <f>IF($N107="","",L107-K107)</f>
        <v/>
      </c>
      <c r="N107">
        <f>IF(ROWS($N$2:$N107)&lt;=MAX('Per Line'!$AG$2:$AG$3001),MATCH(ROWS($N$2:$N107),'Per Line'!$AG$2:$AG$3001,0),"")</f>
        <v/>
      </c>
      <c r="O107">
        <f>IF(B107="Above Claim Form",COUNTIF($B$2:B107,"Above Claim Form"),"")</f>
        <v/>
      </c>
      <c r="P107">
        <f>IF(B107="Below Claim Form",COUNTIF($B$2:B107,"Below Claim Form"),"")</f>
        <v/>
      </c>
    </row>
    <row r="108">
      <c r="B108">
        <f>IF($N108="","",IFERROR(INDEX(Settings!$C$27:$C$36,MATCH(E108,Settings!$B$27:$B$36,0)),"Unassigned"))</f>
        <v/>
      </c>
      <c r="C108">
        <f>IF($N108="","",INDEX('Per Line'!$D$2:$D$3001,$N108))</f>
        <v/>
      </c>
      <c r="D108">
        <f>IF($N108="","",INDEX('Per Line'!$C$2:$C$3001,$N108))</f>
        <v/>
      </c>
      <c r="E108">
        <f>IF($N108="","",INDEX('Per Line'!$A$2:$A$3001,$N108))</f>
        <v/>
      </c>
      <c r="H108">
        <f>IF($N108="","",INDEX('Per Line'!$V$2:$V$3001,$N108))</f>
        <v/>
      </c>
      <c r="I108" s="5">
        <f>IF($N108="","",SUMIFS('Per Line'!$X$2:$X$3001,'Per Line'!$D$2:$D$3001,$C108))</f>
        <v/>
      </c>
      <c r="J108" s="5">
        <f>IF($N108="","",SUMIFS('Per Line'!$Y$2:$Y$3001,'Per Line'!$D$2:$D$3001,$C108))</f>
        <v/>
      </c>
      <c r="K108" s="5">
        <f>IF($N108="","",SUMIFS('Per Line'!$Z$2:$Z$3001,'Per Line'!$D$2:$D$3001,$C108))</f>
        <v/>
      </c>
      <c r="L108" s="5">
        <f>IF($N108="","",I108-J108)</f>
        <v/>
      </c>
      <c r="M108" s="5">
        <f>IF($N108="","",L108-K108)</f>
        <v/>
      </c>
      <c r="N108">
        <f>IF(ROWS($N$2:$N108)&lt;=MAX('Per Line'!$AG$2:$AG$3001),MATCH(ROWS($N$2:$N108),'Per Line'!$AG$2:$AG$3001,0),"")</f>
        <v/>
      </c>
      <c r="O108">
        <f>IF(B108="Above Claim Form",COUNTIF($B$2:B108,"Above Claim Form"),"")</f>
        <v/>
      </c>
      <c r="P108">
        <f>IF(B108="Below Claim Form",COUNTIF($B$2:B108,"Below Claim Form"),"")</f>
        <v/>
      </c>
    </row>
    <row r="109">
      <c r="B109">
        <f>IF($N109="","",IFERROR(INDEX(Settings!$C$27:$C$36,MATCH(E109,Settings!$B$27:$B$36,0)),"Unassigned"))</f>
        <v/>
      </c>
      <c r="C109">
        <f>IF($N109="","",INDEX('Per Line'!$D$2:$D$3001,$N109))</f>
        <v/>
      </c>
      <c r="D109">
        <f>IF($N109="","",INDEX('Per Line'!$C$2:$C$3001,$N109))</f>
        <v/>
      </c>
      <c r="E109">
        <f>IF($N109="","",INDEX('Per Line'!$A$2:$A$3001,$N109))</f>
        <v/>
      </c>
      <c r="H109">
        <f>IF($N109="","",INDEX('Per Line'!$V$2:$V$3001,$N109))</f>
        <v/>
      </c>
      <c r="I109" s="5">
        <f>IF($N109="","",SUMIFS('Per Line'!$X$2:$X$3001,'Per Line'!$D$2:$D$3001,$C109))</f>
        <v/>
      </c>
      <c r="J109" s="5">
        <f>IF($N109="","",SUMIFS('Per Line'!$Y$2:$Y$3001,'Per Line'!$D$2:$D$3001,$C109))</f>
        <v/>
      </c>
      <c r="K109" s="5">
        <f>IF($N109="","",SUMIFS('Per Line'!$Z$2:$Z$3001,'Per Line'!$D$2:$D$3001,$C109))</f>
        <v/>
      </c>
      <c r="L109" s="5">
        <f>IF($N109="","",I109-J109)</f>
        <v/>
      </c>
      <c r="M109" s="5">
        <f>IF($N109="","",L109-K109)</f>
        <v/>
      </c>
      <c r="N109">
        <f>IF(ROWS($N$2:$N109)&lt;=MAX('Per Line'!$AG$2:$AG$3001),MATCH(ROWS($N$2:$N109),'Per Line'!$AG$2:$AG$3001,0),"")</f>
        <v/>
      </c>
      <c r="O109">
        <f>IF(B109="Above Claim Form",COUNTIF($B$2:B109,"Above Claim Form"),"")</f>
        <v/>
      </c>
      <c r="P109">
        <f>IF(B109="Below Claim Form",COUNTIF($B$2:B109,"Below Claim Form"),"")</f>
        <v/>
      </c>
    </row>
    <row r="110">
      <c r="B110">
        <f>IF($N110="","",IFERROR(INDEX(Settings!$C$27:$C$36,MATCH(E110,Settings!$B$27:$B$36,0)),"Unassigned"))</f>
        <v/>
      </c>
      <c r="C110">
        <f>IF($N110="","",INDEX('Per Line'!$D$2:$D$3001,$N110))</f>
        <v/>
      </c>
      <c r="D110">
        <f>IF($N110="","",INDEX('Per Line'!$C$2:$C$3001,$N110))</f>
        <v/>
      </c>
      <c r="E110">
        <f>IF($N110="","",INDEX('Per Line'!$A$2:$A$3001,$N110))</f>
        <v/>
      </c>
      <c r="H110">
        <f>IF($N110="","",INDEX('Per Line'!$V$2:$V$3001,$N110))</f>
        <v/>
      </c>
      <c r="I110" s="5">
        <f>IF($N110="","",SUMIFS('Per Line'!$X$2:$X$3001,'Per Line'!$D$2:$D$3001,$C110))</f>
        <v/>
      </c>
      <c r="J110" s="5">
        <f>IF($N110="","",SUMIFS('Per Line'!$Y$2:$Y$3001,'Per Line'!$D$2:$D$3001,$C110))</f>
        <v/>
      </c>
      <c r="K110" s="5">
        <f>IF($N110="","",SUMIFS('Per Line'!$Z$2:$Z$3001,'Per Line'!$D$2:$D$3001,$C110))</f>
        <v/>
      </c>
      <c r="L110" s="5">
        <f>IF($N110="","",I110-J110)</f>
        <v/>
      </c>
      <c r="M110" s="5">
        <f>IF($N110="","",L110-K110)</f>
        <v/>
      </c>
      <c r="N110">
        <f>IF(ROWS($N$2:$N110)&lt;=MAX('Per Line'!$AG$2:$AG$3001),MATCH(ROWS($N$2:$N110),'Per Line'!$AG$2:$AG$3001,0),"")</f>
        <v/>
      </c>
      <c r="O110">
        <f>IF(B110="Above Claim Form",COUNTIF($B$2:B110,"Above Claim Form"),"")</f>
        <v/>
      </c>
      <c r="P110">
        <f>IF(B110="Below Claim Form",COUNTIF($B$2:B110,"Below Claim Form"),"")</f>
        <v/>
      </c>
    </row>
    <row r="111">
      <c r="B111">
        <f>IF($N111="","",IFERROR(INDEX(Settings!$C$27:$C$36,MATCH(E111,Settings!$B$27:$B$36,0)),"Unassigned"))</f>
        <v/>
      </c>
      <c r="C111">
        <f>IF($N111="","",INDEX('Per Line'!$D$2:$D$3001,$N111))</f>
        <v/>
      </c>
      <c r="D111">
        <f>IF($N111="","",INDEX('Per Line'!$C$2:$C$3001,$N111))</f>
        <v/>
      </c>
      <c r="E111">
        <f>IF($N111="","",INDEX('Per Line'!$A$2:$A$3001,$N111))</f>
        <v/>
      </c>
      <c r="H111">
        <f>IF($N111="","",INDEX('Per Line'!$V$2:$V$3001,$N111))</f>
        <v/>
      </c>
      <c r="I111" s="5">
        <f>IF($N111="","",SUMIFS('Per Line'!$X$2:$X$3001,'Per Line'!$D$2:$D$3001,$C111))</f>
        <v/>
      </c>
      <c r="J111" s="5">
        <f>IF($N111="","",SUMIFS('Per Line'!$Y$2:$Y$3001,'Per Line'!$D$2:$D$3001,$C111))</f>
        <v/>
      </c>
      <c r="K111" s="5">
        <f>IF($N111="","",SUMIFS('Per Line'!$Z$2:$Z$3001,'Per Line'!$D$2:$D$3001,$C111))</f>
        <v/>
      </c>
      <c r="L111" s="5">
        <f>IF($N111="","",I111-J111)</f>
        <v/>
      </c>
      <c r="M111" s="5">
        <f>IF($N111="","",L111-K111)</f>
        <v/>
      </c>
      <c r="N111">
        <f>IF(ROWS($N$2:$N111)&lt;=MAX('Per Line'!$AG$2:$AG$3001),MATCH(ROWS($N$2:$N111),'Per Line'!$AG$2:$AG$3001,0),"")</f>
        <v/>
      </c>
      <c r="O111">
        <f>IF(B111="Above Claim Form",COUNTIF($B$2:B111,"Above Claim Form"),"")</f>
        <v/>
      </c>
      <c r="P111">
        <f>IF(B111="Below Claim Form",COUNTIF($B$2:B111,"Below Claim Form"),"")</f>
        <v/>
      </c>
    </row>
    <row r="112">
      <c r="B112">
        <f>IF($N112="","",IFERROR(INDEX(Settings!$C$27:$C$36,MATCH(E112,Settings!$B$27:$B$36,0)),"Unassigned"))</f>
        <v/>
      </c>
      <c r="C112">
        <f>IF($N112="","",INDEX('Per Line'!$D$2:$D$3001,$N112))</f>
        <v/>
      </c>
      <c r="D112">
        <f>IF($N112="","",INDEX('Per Line'!$C$2:$C$3001,$N112))</f>
        <v/>
      </c>
      <c r="E112">
        <f>IF($N112="","",INDEX('Per Line'!$A$2:$A$3001,$N112))</f>
        <v/>
      </c>
      <c r="H112">
        <f>IF($N112="","",INDEX('Per Line'!$V$2:$V$3001,$N112))</f>
        <v/>
      </c>
      <c r="I112" s="5">
        <f>IF($N112="","",SUMIFS('Per Line'!$X$2:$X$3001,'Per Line'!$D$2:$D$3001,$C112))</f>
        <v/>
      </c>
      <c r="J112" s="5">
        <f>IF($N112="","",SUMIFS('Per Line'!$Y$2:$Y$3001,'Per Line'!$D$2:$D$3001,$C112))</f>
        <v/>
      </c>
      <c r="K112" s="5">
        <f>IF($N112="","",SUMIFS('Per Line'!$Z$2:$Z$3001,'Per Line'!$D$2:$D$3001,$C112))</f>
        <v/>
      </c>
      <c r="L112" s="5">
        <f>IF($N112="","",I112-J112)</f>
        <v/>
      </c>
      <c r="M112" s="5">
        <f>IF($N112="","",L112-K112)</f>
        <v/>
      </c>
      <c r="N112">
        <f>IF(ROWS($N$2:$N112)&lt;=MAX('Per Line'!$AG$2:$AG$3001),MATCH(ROWS($N$2:$N112),'Per Line'!$AG$2:$AG$3001,0),"")</f>
        <v/>
      </c>
      <c r="O112">
        <f>IF(B112="Above Claim Form",COUNTIF($B$2:B112,"Above Claim Form"),"")</f>
        <v/>
      </c>
      <c r="P112">
        <f>IF(B112="Below Claim Form",COUNTIF($B$2:B112,"Below Claim Form"),"")</f>
        <v/>
      </c>
    </row>
    <row r="113">
      <c r="B113">
        <f>IF($N113="","",IFERROR(INDEX(Settings!$C$27:$C$36,MATCH(E113,Settings!$B$27:$B$36,0)),"Unassigned"))</f>
        <v/>
      </c>
      <c r="C113">
        <f>IF($N113="","",INDEX('Per Line'!$D$2:$D$3001,$N113))</f>
        <v/>
      </c>
      <c r="D113">
        <f>IF($N113="","",INDEX('Per Line'!$C$2:$C$3001,$N113))</f>
        <v/>
      </c>
      <c r="E113">
        <f>IF($N113="","",INDEX('Per Line'!$A$2:$A$3001,$N113))</f>
        <v/>
      </c>
      <c r="H113">
        <f>IF($N113="","",INDEX('Per Line'!$V$2:$V$3001,$N113))</f>
        <v/>
      </c>
      <c r="I113" s="5">
        <f>IF($N113="","",SUMIFS('Per Line'!$X$2:$X$3001,'Per Line'!$D$2:$D$3001,$C113))</f>
        <v/>
      </c>
      <c r="J113" s="5">
        <f>IF($N113="","",SUMIFS('Per Line'!$Y$2:$Y$3001,'Per Line'!$D$2:$D$3001,$C113))</f>
        <v/>
      </c>
      <c r="K113" s="5">
        <f>IF($N113="","",SUMIFS('Per Line'!$Z$2:$Z$3001,'Per Line'!$D$2:$D$3001,$C113))</f>
        <v/>
      </c>
      <c r="L113" s="5">
        <f>IF($N113="","",I113-J113)</f>
        <v/>
      </c>
      <c r="M113" s="5">
        <f>IF($N113="","",L113-K113)</f>
        <v/>
      </c>
      <c r="N113">
        <f>IF(ROWS($N$2:$N113)&lt;=MAX('Per Line'!$AG$2:$AG$3001),MATCH(ROWS($N$2:$N113),'Per Line'!$AG$2:$AG$3001,0),"")</f>
        <v/>
      </c>
      <c r="O113">
        <f>IF(B113="Above Claim Form",COUNTIF($B$2:B113,"Above Claim Form"),"")</f>
        <v/>
      </c>
      <c r="P113">
        <f>IF(B113="Below Claim Form",COUNTIF($B$2:B113,"Below Claim Form"),"")</f>
        <v/>
      </c>
    </row>
    <row r="114">
      <c r="B114">
        <f>IF($N114="","",IFERROR(INDEX(Settings!$C$27:$C$36,MATCH(E114,Settings!$B$27:$B$36,0)),"Unassigned"))</f>
        <v/>
      </c>
      <c r="C114">
        <f>IF($N114="","",INDEX('Per Line'!$D$2:$D$3001,$N114))</f>
        <v/>
      </c>
      <c r="D114">
        <f>IF($N114="","",INDEX('Per Line'!$C$2:$C$3001,$N114))</f>
        <v/>
      </c>
      <c r="E114">
        <f>IF($N114="","",INDEX('Per Line'!$A$2:$A$3001,$N114))</f>
        <v/>
      </c>
      <c r="H114">
        <f>IF($N114="","",INDEX('Per Line'!$V$2:$V$3001,$N114))</f>
        <v/>
      </c>
      <c r="I114" s="5">
        <f>IF($N114="","",SUMIFS('Per Line'!$X$2:$X$3001,'Per Line'!$D$2:$D$3001,$C114))</f>
        <v/>
      </c>
      <c r="J114" s="5">
        <f>IF($N114="","",SUMIFS('Per Line'!$Y$2:$Y$3001,'Per Line'!$D$2:$D$3001,$C114))</f>
        <v/>
      </c>
      <c r="K114" s="5">
        <f>IF($N114="","",SUMIFS('Per Line'!$Z$2:$Z$3001,'Per Line'!$D$2:$D$3001,$C114))</f>
        <v/>
      </c>
      <c r="L114" s="5">
        <f>IF($N114="","",I114-J114)</f>
        <v/>
      </c>
      <c r="M114" s="5">
        <f>IF($N114="","",L114-K114)</f>
        <v/>
      </c>
      <c r="N114">
        <f>IF(ROWS($N$2:$N114)&lt;=MAX('Per Line'!$AG$2:$AG$3001),MATCH(ROWS($N$2:$N114),'Per Line'!$AG$2:$AG$3001,0),"")</f>
        <v/>
      </c>
      <c r="O114">
        <f>IF(B114="Above Claim Form",COUNTIF($B$2:B114,"Above Claim Form"),"")</f>
        <v/>
      </c>
      <c r="P114">
        <f>IF(B114="Below Claim Form",COUNTIF($B$2:B114,"Below Claim Form"),"")</f>
        <v/>
      </c>
    </row>
    <row r="115">
      <c r="B115">
        <f>IF($N115="","",IFERROR(INDEX(Settings!$C$27:$C$36,MATCH(E115,Settings!$B$27:$B$36,0)),"Unassigned"))</f>
        <v/>
      </c>
      <c r="C115">
        <f>IF($N115="","",INDEX('Per Line'!$D$2:$D$3001,$N115))</f>
        <v/>
      </c>
      <c r="D115">
        <f>IF($N115="","",INDEX('Per Line'!$C$2:$C$3001,$N115))</f>
        <v/>
      </c>
      <c r="E115">
        <f>IF($N115="","",INDEX('Per Line'!$A$2:$A$3001,$N115))</f>
        <v/>
      </c>
      <c r="H115">
        <f>IF($N115="","",INDEX('Per Line'!$V$2:$V$3001,$N115))</f>
        <v/>
      </c>
      <c r="I115" s="5">
        <f>IF($N115="","",SUMIFS('Per Line'!$X$2:$X$3001,'Per Line'!$D$2:$D$3001,$C115))</f>
        <v/>
      </c>
      <c r="J115" s="5">
        <f>IF($N115="","",SUMIFS('Per Line'!$Y$2:$Y$3001,'Per Line'!$D$2:$D$3001,$C115))</f>
        <v/>
      </c>
      <c r="K115" s="5">
        <f>IF($N115="","",SUMIFS('Per Line'!$Z$2:$Z$3001,'Per Line'!$D$2:$D$3001,$C115))</f>
        <v/>
      </c>
      <c r="L115" s="5">
        <f>IF($N115="","",I115-J115)</f>
        <v/>
      </c>
      <c r="M115" s="5">
        <f>IF($N115="","",L115-K115)</f>
        <v/>
      </c>
      <c r="N115">
        <f>IF(ROWS($N$2:$N115)&lt;=MAX('Per Line'!$AG$2:$AG$3001),MATCH(ROWS($N$2:$N115),'Per Line'!$AG$2:$AG$3001,0),"")</f>
        <v/>
      </c>
      <c r="O115">
        <f>IF(B115="Above Claim Form",COUNTIF($B$2:B115,"Above Claim Form"),"")</f>
        <v/>
      </c>
      <c r="P115">
        <f>IF(B115="Below Claim Form",COUNTIF($B$2:B115,"Below Claim Form"),"")</f>
        <v/>
      </c>
    </row>
    <row r="116">
      <c r="B116">
        <f>IF($N116="","",IFERROR(INDEX(Settings!$C$27:$C$36,MATCH(E116,Settings!$B$27:$B$36,0)),"Unassigned"))</f>
        <v/>
      </c>
      <c r="C116">
        <f>IF($N116="","",INDEX('Per Line'!$D$2:$D$3001,$N116))</f>
        <v/>
      </c>
      <c r="D116">
        <f>IF($N116="","",INDEX('Per Line'!$C$2:$C$3001,$N116))</f>
        <v/>
      </c>
      <c r="E116">
        <f>IF($N116="","",INDEX('Per Line'!$A$2:$A$3001,$N116))</f>
        <v/>
      </c>
      <c r="H116">
        <f>IF($N116="","",INDEX('Per Line'!$V$2:$V$3001,$N116))</f>
        <v/>
      </c>
      <c r="I116" s="5">
        <f>IF($N116="","",SUMIFS('Per Line'!$X$2:$X$3001,'Per Line'!$D$2:$D$3001,$C116))</f>
        <v/>
      </c>
      <c r="J116" s="5">
        <f>IF($N116="","",SUMIFS('Per Line'!$Y$2:$Y$3001,'Per Line'!$D$2:$D$3001,$C116))</f>
        <v/>
      </c>
      <c r="K116" s="5">
        <f>IF($N116="","",SUMIFS('Per Line'!$Z$2:$Z$3001,'Per Line'!$D$2:$D$3001,$C116))</f>
        <v/>
      </c>
      <c r="L116" s="5">
        <f>IF($N116="","",I116-J116)</f>
        <v/>
      </c>
      <c r="M116" s="5">
        <f>IF($N116="","",L116-K116)</f>
        <v/>
      </c>
      <c r="N116">
        <f>IF(ROWS($N$2:$N116)&lt;=MAX('Per Line'!$AG$2:$AG$3001),MATCH(ROWS($N$2:$N116),'Per Line'!$AG$2:$AG$3001,0),"")</f>
        <v/>
      </c>
      <c r="O116">
        <f>IF(B116="Above Claim Form",COUNTIF($B$2:B116,"Above Claim Form"),"")</f>
        <v/>
      </c>
      <c r="P116">
        <f>IF(B116="Below Claim Form",COUNTIF($B$2:B116,"Below Claim Form"),"")</f>
        <v/>
      </c>
    </row>
    <row r="117">
      <c r="B117">
        <f>IF($N117="","",IFERROR(INDEX(Settings!$C$27:$C$36,MATCH(E117,Settings!$B$27:$B$36,0)),"Unassigned"))</f>
        <v/>
      </c>
      <c r="C117">
        <f>IF($N117="","",INDEX('Per Line'!$D$2:$D$3001,$N117))</f>
        <v/>
      </c>
      <c r="D117">
        <f>IF($N117="","",INDEX('Per Line'!$C$2:$C$3001,$N117))</f>
        <v/>
      </c>
      <c r="E117">
        <f>IF($N117="","",INDEX('Per Line'!$A$2:$A$3001,$N117))</f>
        <v/>
      </c>
      <c r="H117">
        <f>IF($N117="","",INDEX('Per Line'!$V$2:$V$3001,$N117))</f>
        <v/>
      </c>
      <c r="I117" s="5">
        <f>IF($N117="","",SUMIFS('Per Line'!$X$2:$X$3001,'Per Line'!$D$2:$D$3001,$C117))</f>
        <v/>
      </c>
      <c r="J117" s="5">
        <f>IF($N117="","",SUMIFS('Per Line'!$Y$2:$Y$3001,'Per Line'!$D$2:$D$3001,$C117))</f>
        <v/>
      </c>
      <c r="K117" s="5">
        <f>IF($N117="","",SUMIFS('Per Line'!$Z$2:$Z$3001,'Per Line'!$D$2:$D$3001,$C117))</f>
        <v/>
      </c>
      <c r="L117" s="5">
        <f>IF($N117="","",I117-J117)</f>
        <v/>
      </c>
      <c r="M117" s="5">
        <f>IF($N117="","",L117-K117)</f>
        <v/>
      </c>
      <c r="N117">
        <f>IF(ROWS($N$2:$N117)&lt;=MAX('Per Line'!$AG$2:$AG$3001),MATCH(ROWS($N$2:$N117),'Per Line'!$AG$2:$AG$3001,0),"")</f>
        <v/>
      </c>
      <c r="O117">
        <f>IF(B117="Above Claim Form",COUNTIF($B$2:B117,"Above Claim Form"),"")</f>
        <v/>
      </c>
      <c r="P117">
        <f>IF(B117="Below Claim Form",COUNTIF($B$2:B117,"Below Claim Form"),"")</f>
        <v/>
      </c>
    </row>
    <row r="118">
      <c r="B118">
        <f>IF($N118="","",IFERROR(INDEX(Settings!$C$27:$C$36,MATCH(E118,Settings!$B$27:$B$36,0)),"Unassigned"))</f>
        <v/>
      </c>
      <c r="C118">
        <f>IF($N118="","",INDEX('Per Line'!$D$2:$D$3001,$N118))</f>
        <v/>
      </c>
      <c r="D118">
        <f>IF($N118="","",INDEX('Per Line'!$C$2:$C$3001,$N118))</f>
        <v/>
      </c>
      <c r="E118">
        <f>IF($N118="","",INDEX('Per Line'!$A$2:$A$3001,$N118))</f>
        <v/>
      </c>
      <c r="H118">
        <f>IF($N118="","",INDEX('Per Line'!$V$2:$V$3001,$N118))</f>
        <v/>
      </c>
      <c r="I118" s="5">
        <f>IF($N118="","",SUMIFS('Per Line'!$X$2:$X$3001,'Per Line'!$D$2:$D$3001,$C118))</f>
        <v/>
      </c>
      <c r="J118" s="5">
        <f>IF($N118="","",SUMIFS('Per Line'!$Y$2:$Y$3001,'Per Line'!$D$2:$D$3001,$C118))</f>
        <v/>
      </c>
      <c r="K118" s="5">
        <f>IF($N118="","",SUMIFS('Per Line'!$Z$2:$Z$3001,'Per Line'!$D$2:$D$3001,$C118))</f>
        <v/>
      </c>
      <c r="L118" s="5">
        <f>IF($N118="","",I118-J118)</f>
        <v/>
      </c>
      <c r="M118" s="5">
        <f>IF($N118="","",L118-K118)</f>
        <v/>
      </c>
      <c r="N118">
        <f>IF(ROWS($N$2:$N118)&lt;=MAX('Per Line'!$AG$2:$AG$3001),MATCH(ROWS($N$2:$N118),'Per Line'!$AG$2:$AG$3001,0),"")</f>
        <v/>
      </c>
      <c r="O118">
        <f>IF(B118="Above Claim Form",COUNTIF($B$2:B118,"Above Claim Form"),"")</f>
        <v/>
      </c>
      <c r="P118">
        <f>IF(B118="Below Claim Form",COUNTIF($B$2:B118,"Below Claim Form"),"")</f>
        <v/>
      </c>
    </row>
    <row r="119">
      <c r="B119">
        <f>IF($N119="","",IFERROR(INDEX(Settings!$C$27:$C$36,MATCH(E119,Settings!$B$27:$B$36,0)),"Unassigned"))</f>
        <v/>
      </c>
      <c r="C119">
        <f>IF($N119="","",INDEX('Per Line'!$D$2:$D$3001,$N119))</f>
        <v/>
      </c>
      <c r="D119">
        <f>IF($N119="","",INDEX('Per Line'!$C$2:$C$3001,$N119))</f>
        <v/>
      </c>
      <c r="E119">
        <f>IF($N119="","",INDEX('Per Line'!$A$2:$A$3001,$N119))</f>
        <v/>
      </c>
      <c r="H119">
        <f>IF($N119="","",INDEX('Per Line'!$V$2:$V$3001,$N119))</f>
        <v/>
      </c>
      <c r="I119" s="5">
        <f>IF($N119="","",SUMIFS('Per Line'!$X$2:$X$3001,'Per Line'!$D$2:$D$3001,$C119))</f>
        <v/>
      </c>
      <c r="J119" s="5">
        <f>IF($N119="","",SUMIFS('Per Line'!$Y$2:$Y$3001,'Per Line'!$D$2:$D$3001,$C119))</f>
        <v/>
      </c>
      <c r="K119" s="5">
        <f>IF($N119="","",SUMIFS('Per Line'!$Z$2:$Z$3001,'Per Line'!$D$2:$D$3001,$C119))</f>
        <v/>
      </c>
      <c r="L119" s="5">
        <f>IF($N119="","",I119-J119)</f>
        <v/>
      </c>
      <c r="M119" s="5">
        <f>IF($N119="","",L119-K119)</f>
        <v/>
      </c>
      <c r="N119">
        <f>IF(ROWS($N$2:$N119)&lt;=MAX('Per Line'!$AG$2:$AG$3001),MATCH(ROWS($N$2:$N119),'Per Line'!$AG$2:$AG$3001,0),"")</f>
        <v/>
      </c>
      <c r="O119">
        <f>IF(B119="Above Claim Form",COUNTIF($B$2:B119,"Above Claim Form"),"")</f>
        <v/>
      </c>
      <c r="P119">
        <f>IF(B119="Below Claim Form",COUNTIF($B$2:B119,"Below Claim Form"),"")</f>
        <v/>
      </c>
    </row>
    <row r="120">
      <c r="B120">
        <f>IF($N120="","",IFERROR(INDEX(Settings!$C$27:$C$36,MATCH(E120,Settings!$B$27:$B$36,0)),"Unassigned"))</f>
        <v/>
      </c>
      <c r="C120">
        <f>IF($N120="","",INDEX('Per Line'!$D$2:$D$3001,$N120))</f>
        <v/>
      </c>
      <c r="D120">
        <f>IF($N120="","",INDEX('Per Line'!$C$2:$C$3001,$N120))</f>
        <v/>
      </c>
      <c r="E120">
        <f>IF($N120="","",INDEX('Per Line'!$A$2:$A$3001,$N120))</f>
        <v/>
      </c>
      <c r="H120">
        <f>IF($N120="","",INDEX('Per Line'!$V$2:$V$3001,$N120))</f>
        <v/>
      </c>
      <c r="I120" s="5">
        <f>IF($N120="","",SUMIFS('Per Line'!$X$2:$X$3001,'Per Line'!$D$2:$D$3001,$C120))</f>
        <v/>
      </c>
      <c r="J120" s="5">
        <f>IF($N120="","",SUMIFS('Per Line'!$Y$2:$Y$3001,'Per Line'!$D$2:$D$3001,$C120))</f>
        <v/>
      </c>
      <c r="K120" s="5">
        <f>IF($N120="","",SUMIFS('Per Line'!$Z$2:$Z$3001,'Per Line'!$D$2:$D$3001,$C120))</f>
        <v/>
      </c>
      <c r="L120" s="5">
        <f>IF($N120="","",I120-J120)</f>
        <v/>
      </c>
      <c r="M120" s="5">
        <f>IF($N120="","",L120-K120)</f>
        <v/>
      </c>
      <c r="N120">
        <f>IF(ROWS($N$2:$N120)&lt;=MAX('Per Line'!$AG$2:$AG$3001),MATCH(ROWS($N$2:$N120),'Per Line'!$AG$2:$AG$3001,0),"")</f>
        <v/>
      </c>
      <c r="O120">
        <f>IF(B120="Above Claim Form",COUNTIF($B$2:B120,"Above Claim Form"),"")</f>
        <v/>
      </c>
      <c r="P120">
        <f>IF(B120="Below Claim Form",COUNTIF($B$2:B120,"Below Claim Form"),"")</f>
        <v/>
      </c>
    </row>
    <row r="121">
      <c r="B121">
        <f>IF($N121="","",IFERROR(INDEX(Settings!$C$27:$C$36,MATCH(E121,Settings!$B$27:$B$36,0)),"Unassigned"))</f>
        <v/>
      </c>
      <c r="C121">
        <f>IF($N121="","",INDEX('Per Line'!$D$2:$D$3001,$N121))</f>
        <v/>
      </c>
      <c r="D121">
        <f>IF($N121="","",INDEX('Per Line'!$C$2:$C$3001,$N121))</f>
        <v/>
      </c>
      <c r="E121">
        <f>IF($N121="","",INDEX('Per Line'!$A$2:$A$3001,$N121))</f>
        <v/>
      </c>
      <c r="H121">
        <f>IF($N121="","",INDEX('Per Line'!$V$2:$V$3001,$N121))</f>
        <v/>
      </c>
      <c r="I121" s="5">
        <f>IF($N121="","",SUMIFS('Per Line'!$X$2:$X$3001,'Per Line'!$D$2:$D$3001,$C121))</f>
        <v/>
      </c>
      <c r="J121" s="5">
        <f>IF($N121="","",SUMIFS('Per Line'!$Y$2:$Y$3001,'Per Line'!$D$2:$D$3001,$C121))</f>
        <v/>
      </c>
      <c r="K121" s="5">
        <f>IF($N121="","",SUMIFS('Per Line'!$Z$2:$Z$3001,'Per Line'!$D$2:$D$3001,$C121))</f>
        <v/>
      </c>
      <c r="L121" s="5">
        <f>IF($N121="","",I121-J121)</f>
        <v/>
      </c>
      <c r="M121" s="5">
        <f>IF($N121="","",L121-K121)</f>
        <v/>
      </c>
      <c r="N121">
        <f>IF(ROWS($N$2:$N121)&lt;=MAX('Per Line'!$AG$2:$AG$3001),MATCH(ROWS($N$2:$N121),'Per Line'!$AG$2:$AG$3001,0),"")</f>
        <v/>
      </c>
      <c r="O121">
        <f>IF(B121="Above Claim Form",COUNTIF($B$2:B121,"Above Claim Form"),"")</f>
        <v/>
      </c>
      <c r="P121">
        <f>IF(B121="Below Claim Form",COUNTIF($B$2:B121,"Below Claim Form"),"")</f>
        <v/>
      </c>
    </row>
    <row r="122">
      <c r="B122">
        <f>IF($N122="","",IFERROR(INDEX(Settings!$C$27:$C$36,MATCH(E122,Settings!$B$27:$B$36,0)),"Unassigned"))</f>
        <v/>
      </c>
      <c r="C122">
        <f>IF($N122="","",INDEX('Per Line'!$D$2:$D$3001,$N122))</f>
        <v/>
      </c>
      <c r="D122">
        <f>IF($N122="","",INDEX('Per Line'!$C$2:$C$3001,$N122))</f>
        <v/>
      </c>
      <c r="E122">
        <f>IF($N122="","",INDEX('Per Line'!$A$2:$A$3001,$N122))</f>
        <v/>
      </c>
      <c r="H122">
        <f>IF($N122="","",INDEX('Per Line'!$V$2:$V$3001,$N122))</f>
        <v/>
      </c>
      <c r="I122" s="5">
        <f>IF($N122="","",SUMIFS('Per Line'!$X$2:$X$3001,'Per Line'!$D$2:$D$3001,$C122))</f>
        <v/>
      </c>
      <c r="J122" s="5">
        <f>IF($N122="","",SUMIFS('Per Line'!$Y$2:$Y$3001,'Per Line'!$D$2:$D$3001,$C122))</f>
        <v/>
      </c>
      <c r="K122" s="5">
        <f>IF($N122="","",SUMIFS('Per Line'!$Z$2:$Z$3001,'Per Line'!$D$2:$D$3001,$C122))</f>
        <v/>
      </c>
      <c r="L122" s="5">
        <f>IF($N122="","",I122-J122)</f>
        <v/>
      </c>
      <c r="M122" s="5">
        <f>IF($N122="","",L122-K122)</f>
        <v/>
      </c>
      <c r="N122">
        <f>IF(ROWS($N$2:$N122)&lt;=MAX('Per Line'!$AG$2:$AG$3001),MATCH(ROWS($N$2:$N122),'Per Line'!$AG$2:$AG$3001,0),"")</f>
        <v/>
      </c>
      <c r="O122">
        <f>IF(B122="Above Claim Form",COUNTIF($B$2:B122,"Above Claim Form"),"")</f>
        <v/>
      </c>
      <c r="P122">
        <f>IF(B122="Below Claim Form",COUNTIF($B$2:B122,"Below Claim Form"),"")</f>
        <v/>
      </c>
    </row>
    <row r="123">
      <c r="B123">
        <f>IF($N123="","",IFERROR(INDEX(Settings!$C$27:$C$36,MATCH(E123,Settings!$B$27:$B$36,0)),"Unassigned"))</f>
        <v/>
      </c>
      <c r="C123">
        <f>IF($N123="","",INDEX('Per Line'!$D$2:$D$3001,$N123))</f>
        <v/>
      </c>
      <c r="D123">
        <f>IF($N123="","",INDEX('Per Line'!$C$2:$C$3001,$N123))</f>
        <v/>
      </c>
      <c r="E123">
        <f>IF($N123="","",INDEX('Per Line'!$A$2:$A$3001,$N123))</f>
        <v/>
      </c>
      <c r="H123">
        <f>IF($N123="","",INDEX('Per Line'!$V$2:$V$3001,$N123))</f>
        <v/>
      </c>
      <c r="I123" s="5">
        <f>IF($N123="","",SUMIFS('Per Line'!$X$2:$X$3001,'Per Line'!$D$2:$D$3001,$C123))</f>
        <v/>
      </c>
      <c r="J123" s="5">
        <f>IF($N123="","",SUMIFS('Per Line'!$Y$2:$Y$3001,'Per Line'!$D$2:$D$3001,$C123))</f>
        <v/>
      </c>
      <c r="K123" s="5">
        <f>IF($N123="","",SUMIFS('Per Line'!$Z$2:$Z$3001,'Per Line'!$D$2:$D$3001,$C123))</f>
        <v/>
      </c>
      <c r="L123" s="5">
        <f>IF($N123="","",I123-J123)</f>
        <v/>
      </c>
      <c r="M123" s="5">
        <f>IF($N123="","",L123-K123)</f>
        <v/>
      </c>
      <c r="N123">
        <f>IF(ROWS($N$2:$N123)&lt;=MAX('Per Line'!$AG$2:$AG$3001),MATCH(ROWS($N$2:$N123),'Per Line'!$AG$2:$AG$3001,0),"")</f>
        <v/>
      </c>
      <c r="O123">
        <f>IF(B123="Above Claim Form",COUNTIF($B$2:B123,"Above Claim Form"),"")</f>
        <v/>
      </c>
      <c r="P123">
        <f>IF(B123="Below Claim Form",COUNTIF($B$2:B123,"Below Claim Form"),"")</f>
        <v/>
      </c>
    </row>
    <row r="124">
      <c r="B124">
        <f>IF($N124="","",IFERROR(INDEX(Settings!$C$27:$C$36,MATCH(E124,Settings!$B$27:$B$36,0)),"Unassigned"))</f>
        <v/>
      </c>
      <c r="C124">
        <f>IF($N124="","",INDEX('Per Line'!$D$2:$D$3001,$N124))</f>
        <v/>
      </c>
      <c r="D124">
        <f>IF($N124="","",INDEX('Per Line'!$C$2:$C$3001,$N124))</f>
        <v/>
      </c>
      <c r="E124">
        <f>IF($N124="","",INDEX('Per Line'!$A$2:$A$3001,$N124))</f>
        <v/>
      </c>
      <c r="H124">
        <f>IF($N124="","",INDEX('Per Line'!$V$2:$V$3001,$N124))</f>
        <v/>
      </c>
      <c r="I124" s="5">
        <f>IF($N124="","",SUMIFS('Per Line'!$X$2:$X$3001,'Per Line'!$D$2:$D$3001,$C124))</f>
        <v/>
      </c>
      <c r="J124" s="5">
        <f>IF($N124="","",SUMIFS('Per Line'!$Y$2:$Y$3001,'Per Line'!$D$2:$D$3001,$C124))</f>
        <v/>
      </c>
      <c r="K124" s="5">
        <f>IF($N124="","",SUMIFS('Per Line'!$Z$2:$Z$3001,'Per Line'!$D$2:$D$3001,$C124))</f>
        <v/>
      </c>
      <c r="L124" s="5">
        <f>IF($N124="","",I124-J124)</f>
        <v/>
      </c>
      <c r="M124" s="5">
        <f>IF($N124="","",L124-K124)</f>
        <v/>
      </c>
      <c r="N124">
        <f>IF(ROWS($N$2:$N124)&lt;=MAX('Per Line'!$AG$2:$AG$3001),MATCH(ROWS($N$2:$N124),'Per Line'!$AG$2:$AG$3001,0),"")</f>
        <v/>
      </c>
      <c r="O124">
        <f>IF(B124="Above Claim Form",COUNTIF($B$2:B124,"Above Claim Form"),"")</f>
        <v/>
      </c>
      <c r="P124">
        <f>IF(B124="Below Claim Form",COUNTIF($B$2:B124,"Below Claim Form"),"")</f>
        <v/>
      </c>
    </row>
    <row r="125">
      <c r="B125">
        <f>IF($N125="","",IFERROR(INDEX(Settings!$C$27:$C$36,MATCH(E125,Settings!$B$27:$B$36,0)),"Unassigned"))</f>
        <v/>
      </c>
      <c r="C125">
        <f>IF($N125="","",INDEX('Per Line'!$D$2:$D$3001,$N125))</f>
        <v/>
      </c>
      <c r="D125">
        <f>IF($N125="","",INDEX('Per Line'!$C$2:$C$3001,$N125))</f>
        <v/>
      </c>
      <c r="E125">
        <f>IF($N125="","",INDEX('Per Line'!$A$2:$A$3001,$N125))</f>
        <v/>
      </c>
      <c r="H125">
        <f>IF($N125="","",INDEX('Per Line'!$V$2:$V$3001,$N125))</f>
        <v/>
      </c>
      <c r="I125" s="5">
        <f>IF($N125="","",SUMIFS('Per Line'!$X$2:$X$3001,'Per Line'!$D$2:$D$3001,$C125))</f>
        <v/>
      </c>
      <c r="J125" s="5">
        <f>IF($N125="","",SUMIFS('Per Line'!$Y$2:$Y$3001,'Per Line'!$D$2:$D$3001,$C125))</f>
        <v/>
      </c>
      <c r="K125" s="5">
        <f>IF($N125="","",SUMIFS('Per Line'!$Z$2:$Z$3001,'Per Line'!$D$2:$D$3001,$C125))</f>
        <v/>
      </c>
      <c r="L125" s="5">
        <f>IF($N125="","",I125-J125)</f>
        <v/>
      </c>
      <c r="M125" s="5">
        <f>IF($N125="","",L125-K125)</f>
        <v/>
      </c>
      <c r="N125">
        <f>IF(ROWS($N$2:$N125)&lt;=MAX('Per Line'!$AG$2:$AG$3001),MATCH(ROWS($N$2:$N125),'Per Line'!$AG$2:$AG$3001,0),"")</f>
        <v/>
      </c>
      <c r="O125">
        <f>IF(B125="Above Claim Form",COUNTIF($B$2:B125,"Above Claim Form"),"")</f>
        <v/>
      </c>
      <c r="P125">
        <f>IF(B125="Below Claim Form",COUNTIF($B$2:B125,"Below Claim Form"),"")</f>
        <v/>
      </c>
    </row>
    <row r="126">
      <c r="B126">
        <f>IF($N126="","",IFERROR(INDEX(Settings!$C$27:$C$36,MATCH(E126,Settings!$B$27:$B$36,0)),"Unassigned"))</f>
        <v/>
      </c>
      <c r="C126">
        <f>IF($N126="","",INDEX('Per Line'!$D$2:$D$3001,$N126))</f>
        <v/>
      </c>
      <c r="D126">
        <f>IF($N126="","",INDEX('Per Line'!$C$2:$C$3001,$N126))</f>
        <v/>
      </c>
      <c r="E126">
        <f>IF($N126="","",INDEX('Per Line'!$A$2:$A$3001,$N126))</f>
        <v/>
      </c>
      <c r="H126">
        <f>IF($N126="","",INDEX('Per Line'!$V$2:$V$3001,$N126))</f>
        <v/>
      </c>
      <c r="I126" s="5">
        <f>IF($N126="","",SUMIFS('Per Line'!$X$2:$X$3001,'Per Line'!$D$2:$D$3001,$C126))</f>
        <v/>
      </c>
      <c r="J126" s="5">
        <f>IF($N126="","",SUMIFS('Per Line'!$Y$2:$Y$3001,'Per Line'!$D$2:$D$3001,$C126))</f>
        <v/>
      </c>
      <c r="K126" s="5">
        <f>IF($N126="","",SUMIFS('Per Line'!$Z$2:$Z$3001,'Per Line'!$D$2:$D$3001,$C126))</f>
        <v/>
      </c>
      <c r="L126" s="5">
        <f>IF($N126="","",I126-J126)</f>
        <v/>
      </c>
      <c r="M126" s="5">
        <f>IF($N126="","",L126-K126)</f>
        <v/>
      </c>
      <c r="N126">
        <f>IF(ROWS($N$2:$N126)&lt;=MAX('Per Line'!$AG$2:$AG$3001),MATCH(ROWS($N$2:$N126),'Per Line'!$AG$2:$AG$3001,0),"")</f>
        <v/>
      </c>
      <c r="O126">
        <f>IF(B126="Above Claim Form",COUNTIF($B$2:B126,"Above Claim Form"),"")</f>
        <v/>
      </c>
      <c r="P126">
        <f>IF(B126="Below Claim Form",COUNTIF($B$2:B126,"Below Claim Form"),"")</f>
        <v/>
      </c>
    </row>
    <row r="127">
      <c r="B127">
        <f>IF($N127="","",IFERROR(INDEX(Settings!$C$27:$C$36,MATCH(E127,Settings!$B$27:$B$36,0)),"Unassigned"))</f>
        <v/>
      </c>
      <c r="C127">
        <f>IF($N127="","",INDEX('Per Line'!$D$2:$D$3001,$N127))</f>
        <v/>
      </c>
      <c r="D127">
        <f>IF($N127="","",INDEX('Per Line'!$C$2:$C$3001,$N127))</f>
        <v/>
      </c>
      <c r="E127">
        <f>IF($N127="","",INDEX('Per Line'!$A$2:$A$3001,$N127))</f>
        <v/>
      </c>
      <c r="H127">
        <f>IF($N127="","",INDEX('Per Line'!$V$2:$V$3001,$N127))</f>
        <v/>
      </c>
      <c r="I127" s="5">
        <f>IF($N127="","",SUMIFS('Per Line'!$X$2:$X$3001,'Per Line'!$D$2:$D$3001,$C127))</f>
        <v/>
      </c>
      <c r="J127" s="5">
        <f>IF($N127="","",SUMIFS('Per Line'!$Y$2:$Y$3001,'Per Line'!$D$2:$D$3001,$C127))</f>
        <v/>
      </c>
      <c r="K127" s="5">
        <f>IF($N127="","",SUMIFS('Per Line'!$Z$2:$Z$3001,'Per Line'!$D$2:$D$3001,$C127))</f>
        <v/>
      </c>
      <c r="L127" s="5">
        <f>IF($N127="","",I127-J127)</f>
        <v/>
      </c>
      <c r="M127" s="5">
        <f>IF($N127="","",L127-K127)</f>
        <v/>
      </c>
      <c r="N127">
        <f>IF(ROWS($N$2:$N127)&lt;=MAX('Per Line'!$AG$2:$AG$3001),MATCH(ROWS($N$2:$N127),'Per Line'!$AG$2:$AG$3001,0),"")</f>
        <v/>
      </c>
      <c r="O127">
        <f>IF(B127="Above Claim Form",COUNTIF($B$2:B127,"Above Claim Form"),"")</f>
        <v/>
      </c>
      <c r="P127">
        <f>IF(B127="Below Claim Form",COUNTIF($B$2:B127,"Below Claim Form"),"")</f>
        <v/>
      </c>
    </row>
    <row r="128">
      <c r="B128">
        <f>IF($N128="","",IFERROR(INDEX(Settings!$C$27:$C$36,MATCH(E128,Settings!$B$27:$B$36,0)),"Unassigned"))</f>
        <v/>
      </c>
      <c r="C128">
        <f>IF($N128="","",INDEX('Per Line'!$D$2:$D$3001,$N128))</f>
        <v/>
      </c>
      <c r="D128">
        <f>IF($N128="","",INDEX('Per Line'!$C$2:$C$3001,$N128))</f>
        <v/>
      </c>
      <c r="E128">
        <f>IF($N128="","",INDEX('Per Line'!$A$2:$A$3001,$N128))</f>
        <v/>
      </c>
      <c r="H128">
        <f>IF($N128="","",INDEX('Per Line'!$V$2:$V$3001,$N128))</f>
        <v/>
      </c>
      <c r="I128" s="5">
        <f>IF($N128="","",SUMIFS('Per Line'!$X$2:$X$3001,'Per Line'!$D$2:$D$3001,$C128))</f>
        <v/>
      </c>
      <c r="J128" s="5">
        <f>IF($N128="","",SUMIFS('Per Line'!$Y$2:$Y$3001,'Per Line'!$D$2:$D$3001,$C128))</f>
        <v/>
      </c>
      <c r="K128" s="5">
        <f>IF($N128="","",SUMIFS('Per Line'!$Z$2:$Z$3001,'Per Line'!$D$2:$D$3001,$C128))</f>
        <v/>
      </c>
      <c r="L128" s="5">
        <f>IF($N128="","",I128-J128)</f>
        <v/>
      </c>
      <c r="M128" s="5">
        <f>IF($N128="","",L128-K128)</f>
        <v/>
      </c>
      <c r="N128">
        <f>IF(ROWS($N$2:$N128)&lt;=MAX('Per Line'!$AG$2:$AG$3001),MATCH(ROWS($N$2:$N128),'Per Line'!$AG$2:$AG$3001,0),"")</f>
        <v/>
      </c>
      <c r="O128">
        <f>IF(B128="Above Claim Form",COUNTIF($B$2:B128,"Above Claim Form"),"")</f>
        <v/>
      </c>
      <c r="P128">
        <f>IF(B128="Below Claim Form",COUNTIF($B$2:B128,"Below Claim Form"),"")</f>
        <v/>
      </c>
    </row>
    <row r="129">
      <c r="B129">
        <f>IF($N129="","",IFERROR(INDEX(Settings!$C$27:$C$36,MATCH(E129,Settings!$B$27:$B$36,0)),"Unassigned"))</f>
        <v/>
      </c>
      <c r="C129">
        <f>IF($N129="","",INDEX('Per Line'!$D$2:$D$3001,$N129))</f>
        <v/>
      </c>
      <c r="D129">
        <f>IF($N129="","",INDEX('Per Line'!$C$2:$C$3001,$N129))</f>
        <v/>
      </c>
      <c r="E129">
        <f>IF($N129="","",INDEX('Per Line'!$A$2:$A$3001,$N129))</f>
        <v/>
      </c>
      <c r="H129">
        <f>IF($N129="","",INDEX('Per Line'!$V$2:$V$3001,$N129))</f>
        <v/>
      </c>
      <c r="I129" s="5">
        <f>IF($N129="","",SUMIFS('Per Line'!$X$2:$X$3001,'Per Line'!$D$2:$D$3001,$C129))</f>
        <v/>
      </c>
      <c r="J129" s="5">
        <f>IF($N129="","",SUMIFS('Per Line'!$Y$2:$Y$3001,'Per Line'!$D$2:$D$3001,$C129))</f>
        <v/>
      </c>
      <c r="K129" s="5">
        <f>IF($N129="","",SUMIFS('Per Line'!$Z$2:$Z$3001,'Per Line'!$D$2:$D$3001,$C129))</f>
        <v/>
      </c>
      <c r="L129" s="5">
        <f>IF($N129="","",I129-J129)</f>
        <v/>
      </c>
      <c r="M129" s="5">
        <f>IF($N129="","",L129-K129)</f>
        <v/>
      </c>
      <c r="N129">
        <f>IF(ROWS($N$2:$N129)&lt;=MAX('Per Line'!$AG$2:$AG$3001),MATCH(ROWS($N$2:$N129),'Per Line'!$AG$2:$AG$3001,0),"")</f>
        <v/>
      </c>
      <c r="O129">
        <f>IF(B129="Above Claim Form",COUNTIF($B$2:B129,"Above Claim Form"),"")</f>
        <v/>
      </c>
      <c r="P129">
        <f>IF(B129="Below Claim Form",COUNTIF($B$2:B129,"Below Claim Form"),"")</f>
        <v/>
      </c>
    </row>
    <row r="130">
      <c r="B130">
        <f>IF($N130="","",IFERROR(INDEX(Settings!$C$27:$C$36,MATCH(E130,Settings!$B$27:$B$36,0)),"Unassigned"))</f>
        <v/>
      </c>
      <c r="C130">
        <f>IF($N130="","",INDEX('Per Line'!$D$2:$D$3001,$N130))</f>
        <v/>
      </c>
      <c r="D130">
        <f>IF($N130="","",INDEX('Per Line'!$C$2:$C$3001,$N130))</f>
        <v/>
      </c>
      <c r="E130">
        <f>IF($N130="","",INDEX('Per Line'!$A$2:$A$3001,$N130))</f>
        <v/>
      </c>
      <c r="H130">
        <f>IF($N130="","",INDEX('Per Line'!$V$2:$V$3001,$N130))</f>
        <v/>
      </c>
      <c r="I130" s="5">
        <f>IF($N130="","",SUMIFS('Per Line'!$X$2:$X$3001,'Per Line'!$D$2:$D$3001,$C130))</f>
        <v/>
      </c>
      <c r="J130" s="5">
        <f>IF($N130="","",SUMIFS('Per Line'!$Y$2:$Y$3001,'Per Line'!$D$2:$D$3001,$C130))</f>
        <v/>
      </c>
      <c r="K130" s="5">
        <f>IF($N130="","",SUMIFS('Per Line'!$Z$2:$Z$3001,'Per Line'!$D$2:$D$3001,$C130))</f>
        <v/>
      </c>
      <c r="L130" s="5">
        <f>IF($N130="","",I130-J130)</f>
        <v/>
      </c>
      <c r="M130" s="5">
        <f>IF($N130="","",L130-K130)</f>
        <v/>
      </c>
      <c r="N130">
        <f>IF(ROWS($N$2:$N130)&lt;=MAX('Per Line'!$AG$2:$AG$3001),MATCH(ROWS($N$2:$N130),'Per Line'!$AG$2:$AG$3001,0),"")</f>
        <v/>
      </c>
      <c r="O130">
        <f>IF(B130="Above Claim Form",COUNTIF($B$2:B130,"Above Claim Form"),"")</f>
        <v/>
      </c>
      <c r="P130">
        <f>IF(B130="Below Claim Form",COUNTIF($B$2:B130,"Below Claim Form"),"")</f>
        <v/>
      </c>
    </row>
    <row r="131">
      <c r="B131">
        <f>IF($N131="","",IFERROR(INDEX(Settings!$C$27:$C$36,MATCH(E131,Settings!$B$27:$B$36,0)),"Unassigned"))</f>
        <v/>
      </c>
      <c r="C131">
        <f>IF($N131="","",INDEX('Per Line'!$D$2:$D$3001,$N131))</f>
        <v/>
      </c>
      <c r="D131">
        <f>IF($N131="","",INDEX('Per Line'!$C$2:$C$3001,$N131))</f>
        <v/>
      </c>
      <c r="E131">
        <f>IF($N131="","",INDEX('Per Line'!$A$2:$A$3001,$N131))</f>
        <v/>
      </c>
      <c r="H131">
        <f>IF($N131="","",INDEX('Per Line'!$V$2:$V$3001,$N131))</f>
        <v/>
      </c>
      <c r="I131" s="5">
        <f>IF($N131="","",SUMIFS('Per Line'!$X$2:$X$3001,'Per Line'!$D$2:$D$3001,$C131))</f>
        <v/>
      </c>
      <c r="J131" s="5">
        <f>IF($N131="","",SUMIFS('Per Line'!$Y$2:$Y$3001,'Per Line'!$D$2:$D$3001,$C131))</f>
        <v/>
      </c>
      <c r="K131" s="5">
        <f>IF($N131="","",SUMIFS('Per Line'!$Z$2:$Z$3001,'Per Line'!$D$2:$D$3001,$C131))</f>
        <v/>
      </c>
      <c r="L131" s="5">
        <f>IF($N131="","",I131-J131)</f>
        <v/>
      </c>
      <c r="M131" s="5">
        <f>IF($N131="","",L131-K131)</f>
        <v/>
      </c>
      <c r="N131">
        <f>IF(ROWS($N$2:$N131)&lt;=MAX('Per Line'!$AG$2:$AG$3001),MATCH(ROWS($N$2:$N131),'Per Line'!$AG$2:$AG$3001,0),"")</f>
        <v/>
      </c>
      <c r="O131">
        <f>IF(B131="Above Claim Form",COUNTIF($B$2:B131,"Above Claim Form"),"")</f>
        <v/>
      </c>
      <c r="P131">
        <f>IF(B131="Below Claim Form",COUNTIF($B$2:B131,"Below Claim Form"),"")</f>
        <v/>
      </c>
    </row>
    <row r="132">
      <c r="B132">
        <f>IF($N132="","",IFERROR(INDEX(Settings!$C$27:$C$36,MATCH(E132,Settings!$B$27:$B$36,0)),"Unassigned"))</f>
        <v/>
      </c>
      <c r="C132">
        <f>IF($N132="","",INDEX('Per Line'!$D$2:$D$3001,$N132))</f>
        <v/>
      </c>
      <c r="D132">
        <f>IF($N132="","",INDEX('Per Line'!$C$2:$C$3001,$N132))</f>
        <v/>
      </c>
      <c r="E132">
        <f>IF($N132="","",INDEX('Per Line'!$A$2:$A$3001,$N132))</f>
        <v/>
      </c>
      <c r="H132">
        <f>IF($N132="","",INDEX('Per Line'!$V$2:$V$3001,$N132))</f>
        <v/>
      </c>
      <c r="I132" s="5">
        <f>IF($N132="","",SUMIFS('Per Line'!$X$2:$X$3001,'Per Line'!$D$2:$D$3001,$C132))</f>
        <v/>
      </c>
      <c r="J132" s="5">
        <f>IF($N132="","",SUMIFS('Per Line'!$Y$2:$Y$3001,'Per Line'!$D$2:$D$3001,$C132))</f>
        <v/>
      </c>
      <c r="K132" s="5">
        <f>IF($N132="","",SUMIFS('Per Line'!$Z$2:$Z$3001,'Per Line'!$D$2:$D$3001,$C132))</f>
        <v/>
      </c>
      <c r="L132" s="5">
        <f>IF($N132="","",I132-J132)</f>
        <v/>
      </c>
      <c r="M132" s="5">
        <f>IF($N132="","",L132-K132)</f>
        <v/>
      </c>
      <c r="N132">
        <f>IF(ROWS($N$2:$N132)&lt;=MAX('Per Line'!$AG$2:$AG$3001),MATCH(ROWS($N$2:$N132),'Per Line'!$AG$2:$AG$3001,0),"")</f>
        <v/>
      </c>
      <c r="O132">
        <f>IF(B132="Above Claim Form",COUNTIF($B$2:B132,"Above Claim Form"),"")</f>
        <v/>
      </c>
      <c r="P132">
        <f>IF(B132="Below Claim Form",COUNTIF($B$2:B132,"Below Claim Form"),"")</f>
        <v/>
      </c>
    </row>
    <row r="133">
      <c r="B133">
        <f>IF($N133="","",IFERROR(INDEX(Settings!$C$27:$C$36,MATCH(E133,Settings!$B$27:$B$36,0)),"Unassigned"))</f>
        <v/>
      </c>
      <c r="C133">
        <f>IF($N133="","",INDEX('Per Line'!$D$2:$D$3001,$N133))</f>
        <v/>
      </c>
      <c r="D133">
        <f>IF($N133="","",INDEX('Per Line'!$C$2:$C$3001,$N133))</f>
        <v/>
      </c>
      <c r="E133">
        <f>IF($N133="","",INDEX('Per Line'!$A$2:$A$3001,$N133))</f>
        <v/>
      </c>
      <c r="H133">
        <f>IF($N133="","",INDEX('Per Line'!$V$2:$V$3001,$N133))</f>
        <v/>
      </c>
      <c r="I133" s="5">
        <f>IF($N133="","",SUMIFS('Per Line'!$X$2:$X$3001,'Per Line'!$D$2:$D$3001,$C133))</f>
        <v/>
      </c>
      <c r="J133" s="5">
        <f>IF($N133="","",SUMIFS('Per Line'!$Y$2:$Y$3001,'Per Line'!$D$2:$D$3001,$C133))</f>
        <v/>
      </c>
      <c r="K133" s="5">
        <f>IF($N133="","",SUMIFS('Per Line'!$Z$2:$Z$3001,'Per Line'!$D$2:$D$3001,$C133))</f>
        <v/>
      </c>
      <c r="L133" s="5">
        <f>IF($N133="","",I133-J133)</f>
        <v/>
      </c>
      <c r="M133" s="5">
        <f>IF($N133="","",L133-K133)</f>
        <v/>
      </c>
      <c r="N133">
        <f>IF(ROWS($N$2:$N133)&lt;=MAX('Per Line'!$AG$2:$AG$3001),MATCH(ROWS($N$2:$N133),'Per Line'!$AG$2:$AG$3001,0),"")</f>
        <v/>
      </c>
      <c r="O133">
        <f>IF(B133="Above Claim Form",COUNTIF($B$2:B133,"Above Claim Form"),"")</f>
        <v/>
      </c>
      <c r="P133">
        <f>IF(B133="Below Claim Form",COUNTIF($B$2:B133,"Below Claim Form"),"")</f>
        <v/>
      </c>
    </row>
    <row r="134">
      <c r="B134">
        <f>IF($N134="","",IFERROR(INDEX(Settings!$C$27:$C$36,MATCH(E134,Settings!$B$27:$B$36,0)),"Unassigned"))</f>
        <v/>
      </c>
      <c r="C134">
        <f>IF($N134="","",INDEX('Per Line'!$D$2:$D$3001,$N134))</f>
        <v/>
      </c>
      <c r="D134">
        <f>IF($N134="","",INDEX('Per Line'!$C$2:$C$3001,$N134))</f>
        <v/>
      </c>
      <c r="E134">
        <f>IF($N134="","",INDEX('Per Line'!$A$2:$A$3001,$N134))</f>
        <v/>
      </c>
      <c r="H134">
        <f>IF($N134="","",INDEX('Per Line'!$V$2:$V$3001,$N134))</f>
        <v/>
      </c>
      <c r="I134" s="5">
        <f>IF($N134="","",SUMIFS('Per Line'!$X$2:$X$3001,'Per Line'!$D$2:$D$3001,$C134))</f>
        <v/>
      </c>
      <c r="J134" s="5">
        <f>IF($N134="","",SUMIFS('Per Line'!$Y$2:$Y$3001,'Per Line'!$D$2:$D$3001,$C134))</f>
        <v/>
      </c>
      <c r="K134" s="5">
        <f>IF($N134="","",SUMIFS('Per Line'!$Z$2:$Z$3001,'Per Line'!$D$2:$D$3001,$C134))</f>
        <v/>
      </c>
      <c r="L134" s="5">
        <f>IF($N134="","",I134-J134)</f>
        <v/>
      </c>
      <c r="M134" s="5">
        <f>IF($N134="","",L134-K134)</f>
        <v/>
      </c>
      <c r="N134">
        <f>IF(ROWS($N$2:$N134)&lt;=MAX('Per Line'!$AG$2:$AG$3001),MATCH(ROWS($N$2:$N134),'Per Line'!$AG$2:$AG$3001,0),"")</f>
        <v/>
      </c>
      <c r="O134">
        <f>IF(B134="Above Claim Form",COUNTIF($B$2:B134,"Above Claim Form"),"")</f>
        <v/>
      </c>
      <c r="P134">
        <f>IF(B134="Below Claim Form",COUNTIF($B$2:B134,"Below Claim Form"),"")</f>
        <v/>
      </c>
    </row>
    <row r="135">
      <c r="B135">
        <f>IF($N135="","",IFERROR(INDEX(Settings!$C$27:$C$36,MATCH(E135,Settings!$B$27:$B$36,0)),"Unassigned"))</f>
        <v/>
      </c>
      <c r="C135">
        <f>IF($N135="","",INDEX('Per Line'!$D$2:$D$3001,$N135))</f>
        <v/>
      </c>
      <c r="D135">
        <f>IF($N135="","",INDEX('Per Line'!$C$2:$C$3001,$N135))</f>
        <v/>
      </c>
      <c r="E135">
        <f>IF($N135="","",INDEX('Per Line'!$A$2:$A$3001,$N135))</f>
        <v/>
      </c>
      <c r="H135">
        <f>IF($N135="","",INDEX('Per Line'!$V$2:$V$3001,$N135))</f>
        <v/>
      </c>
      <c r="I135" s="5">
        <f>IF($N135="","",SUMIFS('Per Line'!$X$2:$X$3001,'Per Line'!$D$2:$D$3001,$C135))</f>
        <v/>
      </c>
      <c r="J135" s="5">
        <f>IF($N135="","",SUMIFS('Per Line'!$Y$2:$Y$3001,'Per Line'!$D$2:$D$3001,$C135))</f>
        <v/>
      </c>
      <c r="K135" s="5">
        <f>IF($N135="","",SUMIFS('Per Line'!$Z$2:$Z$3001,'Per Line'!$D$2:$D$3001,$C135))</f>
        <v/>
      </c>
      <c r="L135" s="5">
        <f>IF($N135="","",I135-J135)</f>
        <v/>
      </c>
      <c r="M135" s="5">
        <f>IF($N135="","",L135-K135)</f>
        <v/>
      </c>
      <c r="N135">
        <f>IF(ROWS($N$2:$N135)&lt;=MAX('Per Line'!$AG$2:$AG$3001),MATCH(ROWS($N$2:$N135),'Per Line'!$AG$2:$AG$3001,0),"")</f>
        <v/>
      </c>
      <c r="O135">
        <f>IF(B135="Above Claim Form",COUNTIF($B$2:B135,"Above Claim Form"),"")</f>
        <v/>
      </c>
      <c r="P135">
        <f>IF(B135="Below Claim Form",COUNTIF($B$2:B135,"Below Claim Form"),"")</f>
        <v/>
      </c>
    </row>
    <row r="136">
      <c r="B136">
        <f>IF($N136="","",IFERROR(INDEX(Settings!$C$27:$C$36,MATCH(E136,Settings!$B$27:$B$36,0)),"Unassigned"))</f>
        <v/>
      </c>
      <c r="C136">
        <f>IF($N136="","",INDEX('Per Line'!$D$2:$D$3001,$N136))</f>
        <v/>
      </c>
      <c r="D136">
        <f>IF($N136="","",INDEX('Per Line'!$C$2:$C$3001,$N136))</f>
        <v/>
      </c>
      <c r="E136">
        <f>IF($N136="","",INDEX('Per Line'!$A$2:$A$3001,$N136))</f>
        <v/>
      </c>
      <c r="H136">
        <f>IF($N136="","",INDEX('Per Line'!$V$2:$V$3001,$N136))</f>
        <v/>
      </c>
      <c r="I136" s="5">
        <f>IF($N136="","",SUMIFS('Per Line'!$X$2:$X$3001,'Per Line'!$D$2:$D$3001,$C136))</f>
        <v/>
      </c>
      <c r="J136" s="5">
        <f>IF($N136="","",SUMIFS('Per Line'!$Y$2:$Y$3001,'Per Line'!$D$2:$D$3001,$C136))</f>
        <v/>
      </c>
      <c r="K136" s="5">
        <f>IF($N136="","",SUMIFS('Per Line'!$Z$2:$Z$3001,'Per Line'!$D$2:$D$3001,$C136))</f>
        <v/>
      </c>
      <c r="L136" s="5">
        <f>IF($N136="","",I136-J136)</f>
        <v/>
      </c>
      <c r="M136" s="5">
        <f>IF($N136="","",L136-K136)</f>
        <v/>
      </c>
      <c r="N136">
        <f>IF(ROWS($N$2:$N136)&lt;=MAX('Per Line'!$AG$2:$AG$3001),MATCH(ROWS($N$2:$N136),'Per Line'!$AG$2:$AG$3001,0),"")</f>
        <v/>
      </c>
      <c r="O136">
        <f>IF(B136="Above Claim Form",COUNTIF($B$2:B136,"Above Claim Form"),"")</f>
        <v/>
      </c>
      <c r="P136">
        <f>IF(B136="Below Claim Form",COUNTIF($B$2:B136,"Below Claim Form"),"")</f>
        <v/>
      </c>
    </row>
    <row r="137">
      <c r="B137">
        <f>IF($N137="","",IFERROR(INDEX(Settings!$C$27:$C$36,MATCH(E137,Settings!$B$27:$B$36,0)),"Unassigned"))</f>
        <v/>
      </c>
      <c r="C137">
        <f>IF($N137="","",INDEX('Per Line'!$D$2:$D$3001,$N137))</f>
        <v/>
      </c>
      <c r="D137">
        <f>IF($N137="","",INDEX('Per Line'!$C$2:$C$3001,$N137))</f>
        <v/>
      </c>
      <c r="E137">
        <f>IF($N137="","",INDEX('Per Line'!$A$2:$A$3001,$N137))</f>
        <v/>
      </c>
      <c r="H137">
        <f>IF($N137="","",INDEX('Per Line'!$V$2:$V$3001,$N137))</f>
        <v/>
      </c>
      <c r="I137" s="5">
        <f>IF($N137="","",SUMIFS('Per Line'!$X$2:$X$3001,'Per Line'!$D$2:$D$3001,$C137))</f>
        <v/>
      </c>
      <c r="J137" s="5">
        <f>IF($N137="","",SUMIFS('Per Line'!$Y$2:$Y$3001,'Per Line'!$D$2:$D$3001,$C137))</f>
        <v/>
      </c>
      <c r="K137" s="5">
        <f>IF($N137="","",SUMIFS('Per Line'!$Z$2:$Z$3001,'Per Line'!$D$2:$D$3001,$C137))</f>
        <v/>
      </c>
      <c r="L137" s="5">
        <f>IF($N137="","",I137-J137)</f>
        <v/>
      </c>
      <c r="M137" s="5">
        <f>IF($N137="","",L137-K137)</f>
        <v/>
      </c>
      <c r="N137">
        <f>IF(ROWS($N$2:$N137)&lt;=MAX('Per Line'!$AG$2:$AG$3001),MATCH(ROWS($N$2:$N137),'Per Line'!$AG$2:$AG$3001,0),"")</f>
        <v/>
      </c>
      <c r="O137">
        <f>IF(B137="Above Claim Form",COUNTIF($B$2:B137,"Above Claim Form"),"")</f>
        <v/>
      </c>
      <c r="P137">
        <f>IF(B137="Below Claim Form",COUNTIF($B$2:B137,"Below Claim Form"),"")</f>
        <v/>
      </c>
    </row>
    <row r="138">
      <c r="B138">
        <f>IF($N138="","",IFERROR(INDEX(Settings!$C$27:$C$36,MATCH(E138,Settings!$B$27:$B$36,0)),"Unassigned"))</f>
        <v/>
      </c>
      <c r="C138">
        <f>IF($N138="","",INDEX('Per Line'!$D$2:$D$3001,$N138))</f>
        <v/>
      </c>
      <c r="D138">
        <f>IF($N138="","",INDEX('Per Line'!$C$2:$C$3001,$N138))</f>
        <v/>
      </c>
      <c r="E138">
        <f>IF($N138="","",INDEX('Per Line'!$A$2:$A$3001,$N138))</f>
        <v/>
      </c>
      <c r="H138">
        <f>IF($N138="","",INDEX('Per Line'!$V$2:$V$3001,$N138))</f>
        <v/>
      </c>
      <c r="I138" s="5">
        <f>IF($N138="","",SUMIFS('Per Line'!$X$2:$X$3001,'Per Line'!$D$2:$D$3001,$C138))</f>
        <v/>
      </c>
      <c r="J138" s="5">
        <f>IF($N138="","",SUMIFS('Per Line'!$Y$2:$Y$3001,'Per Line'!$D$2:$D$3001,$C138))</f>
        <v/>
      </c>
      <c r="K138" s="5">
        <f>IF($N138="","",SUMIFS('Per Line'!$Z$2:$Z$3001,'Per Line'!$D$2:$D$3001,$C138))</f>
        <v/>
      </c>
      <c r="L138" s="5">
        <f>IF($N138="","",I138-J138)</f>
        <v/>
      </c>
      <c r="M138" s="5">
        <f>IF($N138="","",L138-K138)</f>
        <v/>
      </c>
      <c r="N138">
        <f>IF(ROWS($N$2:$N138)&lt;=MAX('Per Line'!$AG$2:$AG$3001),MATCH(ROWS($N$2:$N138),'Per Line'!$AG$2:$AG$3001,0),"")</f>
        <v/>
      </c>
      <c r="O138">
        <f>IF(B138="Above Claim Form",COUNTIF($B$2:B138,"Above Claim Form"),"")</f>
        <v/>
      </c>
      <c r="P138">
        <f>IF(B138="Below Claim Form",COUNTIF($B$2:B138,"Below Claim Form"),"")</f>
        <v/>
      </c>
    </row>
    <row r="139">
      <c r="B139">
        <f>IF($N139="","",IFERROR(INDEX(Settings!$C$27:$C$36,MATCH(E139,Settings!$B$27:$B$36,0)),"Unassigned"))</f>
        <v/>
      </c>
      <c r="C139">
        <f>IF($N139="","",INDEX('Per Line'!$D$2:$D$3001,$N139))</f>
        <v/>
      </c>
      <c r="D139">
        <f>IF($N139="","",INDEX('Per Line'!$C$2:$C$3001,$N139))</f>
        <v/>
      </c>
      <c r="E139">
        <f>IF($N139="","",INDEX('Per Line'!$A$2:$A$3001,$N139))</f>
        <v/>
      </c>
      <c r="H139">
        <f>IF($N139="","",INDEX('Per Line'!$V$2:$V$3001,$N139))</f>
        <v/>
      </c>
      <c r="I139" s="5">
        <f>IF($N139="","",SUMIFS('Per Line'!$X$2:$X$3001,'Per Line'!$D$2:$D$3001,$C139))</f>
        <v/>
      </c>
      <c r="J139" s="5">
        <f>IF($N139="","",SUMIFS('Per Line'!$Y$2:$Y$3001,'Per Line'!$D$2:$D$3001,$C139))</f>
        <v/>
      </c>
      <c r="K139" s="5">
        <f>IF($N139="","",SUMIFS('Per Line'!$Z$2:$Z$3001,'Per Line'!$D$2:$D$3001,$C139))</f>
        <v/>
      </c>
      <c r="L139" s="5">
        <f>IF($N139="","",I139-J139)</f>
        <v/>
      </c>
      <c r="M139" s="5">
        <f>IF($N139="","",L139-K139)</f>
        <v/>
      </c>
      <c r="N139">
        <f>IF(ROWS($N$2:$N139)&lt;=MAX('Per Line'!$AG$2:$AG$3001),MATCH(ROWS($N$2:$N139),'Per Line'!$AG$2:$AG$3001,0),"")</f>
        <v/>
      </c>
      <c r="O139">
        <f>IF(B139="Above Claim Form",COUNTIF($B$2:B139,"Above Claim Form"),"")</f>
        <v/>
      </c>
      <c r="P139">
        <f>IF(B139="Below Claim Form",COUNTIF($B$2:B139,"Below Claim Form"),"")</f>
        <v/>
      </c>
    </row>
    <row r="140">
      <c r="B140">
        <f>IF($N140="","",IFERROR(INDEX(Settings!$C$27:$C$36,MATCH(E140,Settings!$B$27:$B$36,0)),"Unassigned"))</f>
        <v/>
      </c>
      <c r="C140">
        <f>IF($N140="","",INDEX('Per Line'!$D$2:$D$3001,$N140))</f>
        <v/>
      </c>
      <c r="D140">
        <f>IF($N140="","",INDEX('Per Line'!$C$2:$C$3001,$N140))</f>
        <v/>
      </c>
      <c r="E140">
        <f>IF($N140="","",INDEX('Per Line'!$A$2:$A$3001,$N140))</f>
        <v/>
      </c>
      <c r="H140">
        <f>IF($N140="","",INDEX('Per Line'!$V$2:$V$3001,$N140))</f>
        <v/>
      </c>
      <c r="I140" s="5">
        <f>IF($N140="","",SUMIFS('Per Line'!$X$2:$X$3001,'Per Line'!$D$2:$D$3001,$C140))</f>
        <v/>
      </c>
      <c r="J140" s="5">
        <f>IF($N140="","",SUMIFS('Per Line'!$Y$2:$Y$3001,'Per Line'!$D$2:$D$3001,$C140))</f>
        <v/>
      </c>
      <c r="K140" s="5">
        <f>IF($N140="","",SUMIFS('Per Line'!$Z$2:$Z$3001,'Per Line'!$D$2:$D$3001,$C140))</f>
        <v/>
      </c>
      <c r="L140" s="5">
        <f>IF($N140="","",I140-J140)</f>
        <v/>
      </c>
      <c r="M140" s="5">
        <f>IF($N140="","",L140-K140)</f>
        <v/>
      </c>
      <c r="N140">
        <f>IF(ROWS($N$2:$N140)&lt;=MAX('Per Line'!$AG$2:$AG$3001),MATCH(ROWS($N$2:$N140),'Per Line'!$AG$2:$AG$3001,0),"")</f>
        <v/>
      </c>
      <c r="O140">
        <f>IF(B140="Above Claim Form",COUNTIF($B$2:B140,"Above Claim Form"),"")</f>
        <v/>
      </c>
      <c r="P140">
        <f>IF(B140="Below Claim Form",COUNTIF($B$2:B140,"Below Claim Form"),"")</f>
        <v/>
      </c>
    </row>
    <row r="141">
      <c r="B141">
        <f>IF($N141="","",IFERROR(INDEX(Settings!$C$27:$C$36,MATCH(E141,Settings!$B$27:$B$36,0)),"Unassigned"))</f>
        <v/>
      </c>
      <c r="C141">
        <f>IF($N141="","",INDEX('Per Line'!$D$2:$D$3001,$N141))</f>
        <v/>
      </c>
      <c r="D141">
        <f>IF($N141="","",INDEX('Per Line'!$C$2:$C$3001,$N141))</f>
        <v/>
      </c>
      <c r="E141">
        <f>IF($N141="","",INDEX('Per Line'!$A$2:$A$3001,$N141))</f>
        <v/>
      </c>
      <c r="H141">
        <f>IF($N141="","",INDEX('Per Line'!$V$2:$V$3001,$N141))</f>
        <v/>
      </c>
      <c r="I141" s="5">
        <f>IF($N141="","",SUMIFS('Per Line'!$X$2:$X$3001,'Per Line'!$D$2:$D$3001,$C141))</f>
        <v/>
      </c>
      <c r="J141" s="5">
        <f>IF($N141="","",SUMIFS('Per Line'!$Y$2:$Y$3001,'Per Line'!$D$2:$D$3001,$C141))</f>
        <v/>
      </c>
      <c r="K141" s="5">
        <f>IF($N141="","",SUMIFS('Per Line'!$Z$2:$Z$3001,'Per Line'!$D$2:$D$3001,$C141))</f>
        <v/>
      </c>
      <c r="L141" s="5">
        <f>IF($N141="","",I141-J141)</f>
        <v/>
      </c>
      <c r="M141" s="5">
        <f>IF($N141="","",L141-K141)</f>
        <v/>
      </c>
      <c r="N141">
        <f>IF(ROWS($N$2:$N141)&lt;=MAX('Per Line'!$AG$2:$AG$3001),MATCH(ROWS($N$2:$N141),'Per Line'!$AG$2:$AG$3001,0),"")</f>
        <v/>
      </c>
      <c r="O141">
        <f>IF(B141="Above Claim Form",COUNTIF($B$2:B141,"Above Claim Form"),"")</f>
        <v/>
      </c>
      <c r="P141">
        <f>IF(B141="Below Claim Form",COUNTIF($B$2:B141,"Below Claim Form"),"")</f>
        <v/>
      </c>
    </row>
    <row r="142">
      <c r="B142">
        <f>IF($N142="","",IFERROR(INDEX(Settings!$C$27:$C$36,MATCH(E142,Settings!$B$27:$B$36,0)),"Unassigned"))</f>
        <v/>
      </c>
      <c r="C142">
        <f>IF($N142="","",INDEX('Per Line'!$D$2:$D$3001,$N142))</f>
        <v/>
      </c>
      <c r="D142">
        <f>IF($N142="","",INDEX('Per Line'!$C$2:$C$3001,$N142))</f>
        <v/>
      </c>
      <c r="E142">
        <f>IF($N142="","",INDEX('Per Line'!$A$2:$A$3001,$N142))</f>
        <v/>
      </c>
      <c r="H142">
        <f>IF($N142="","",INDEX('Per Line'!$V$2:$V$3001,$N142))</f>
        <v/>
      </c>
      <c r="I142" s="5">
        <f>IF($N142="","",SUMIFS('Per Line'!$X$2:$X$3001,'Per Line'!$D$2:$D$3001,$C142))</f>
        <v/>
      </c>
      <c r="J142" s="5">
        <f>IF($N142="","",SUMIFS('Per Line'!$Y$2:$Y$3001,'Per Line'!$D$2:$D$3001,$C142))</f>
        <v/>
      </c>
      <c r="K142" s="5">
        <f>IF($N142="","",SUMIFS('Per Line'!$Z$2:$Z$3001,'Per Line'!$D$2:$D$3001,$C142))</f>
        <v/>
      </c>
      <c r="L142" s="5">
        <f>IF($N142="","",I142-J142)</f>
        <v/>
      </c>
      <c r="M142" s="5">
        <f>IF($N142="","",L142-K142)</f>
        <v/>
      </c>
      <c r="N142">
        <f>IF(ROWS($N$2:$N142)&lt;=MAX('Per Line'!$AG$2:$AG$3001),MATCH(ROWS($N$2:$N142),'Per Line'!$AG$2:$AG$3001,0),"")</f>
        <v/>
      </c>
      <c r="O142">
        <f>IF(B142="Above Claim Form",COUNTIF($B$2:B142,"Above Claim Form"),"")</f>
        <v/>
      </c>
      <c r="P142">
        <f>IF(B142="Below Claim Form",COUNTIF($B$2:B142,"Below Claim Form"),"")</f>
        <v/>
      </c>
    </row>
    <row r="143">
      <c r="B143">
        <f>IF($N143="","",IFERROR(INDEX(Settings!$C$27:$C$36,MATCH(E143,Settings!$B$27:$B$36,0)),"Unassigned"))</f>
        <v/>
      </c>
      <c r="C143">
        <f>IF($N143="","",INDEX('Per Line'!$D$2:$D$3001,$N143))</f>
        <v/>
      </c>
      <c r="D143">
        <f>IF($N143="","",INDEX('Per Line'!$C$2:$C$3001,$N143))</f>
        <v/>
      </c>
      <c r="E143">
        <f>IF($N143="","",INDEX('Per Line'!$A$2:$A$3001,$N143))</f>
        <v/>
      </c>
      <c r="H143">
        <f>IF($N143="","",INDEX('Per Line'!$V$2:$V$3001,$N143))</f>
        <v/>
      </c>
      <c r="I143" s="5">
        <f>IF($N143="","",SUMIFS('Per Line'!$X$2:$X$3001,'Per Line'!$D$2:$D$3001,$C143))</f>
        <v/>
      </c>
      <c r="J143" s="5">
        <f>IF($N143="","",SUMIFS('Per Line'!$Y$2:$Y$3001,'Per Line'!$D$2:$D$3001,$C143))</f>
        <v/>
      </c>
      <c r="K143" s="5">
        <f>IF($N143="","",SUMIFS('Per Line'!$Z$2:$Z$3001,'Per Line'!$D$2:$D$3001,$C143))</f>
        <v/>
      </c>
      <c r="L143" s="5">
        <f>IF($N143="","",I143-J143)</f>
        <v/>
      </c>
      <c r="M143" s="5">
        <f>IF($N143="","",L143-K143)</f>
        <v/>
      </c>
      <c r="N143">
        <f>IF(ROWS($N$2:$N143)&lt;=MAX('Per Line'!$AG$2:$AG$3001),MATCH(ROWS($N$2:$N143),'Per Line'!$AG$2:$AG$3001,0),"")</f>
        <v/>
      </c>
      <c r="O143">
        <f>IF(B143="Above Claim Form",COUNTIF($B$2:B143,"Above Claim Form"),"")</f>
        <v/>
      </c>
      <c r="P143">
        <f>IF(B143="Below Claim Form",COUNTIF($B$2:B143,"Below Claim Form"),"")</f>
        <v/>
      </c>
    </row>
    <row r="144">
      <c r="B144">
        <f>IF($N144="","",IFERROR(INDEX(Settings!$C$27:$C$36,MATCH(E144,Settings!$B$27:$B$36,0)),"Unassigned"))</f>
        <v/>
      </c>
      <c r="C144">
        <f>IF($N144="","",INDEX('Per Line'!$D$2:$D$3001,$N144))</f>
        <v/>
      </c>
      <c r="D144">
        <f>IF($N144="","",INDEX('Per Line'!$C$2:$C$3001,$N144))</f>
        <v/>
      </c>
      <c r="E144">
        <f>IF($N144="","",INDEX('Per Line'!$A$2:$A$3001,$N144))</f>
        <v/>
      </c>
      <c r="H144">
        <f>IF($N144="","",INDEX('Per Line'!$V$2:$V$3001,$N144))</f>
        <v/>
      </c>
      <c r="I144" s="5">
        <f>IF($N144="","",SUMIFS('Per Line'!$X$2:$X$3001,'Per Line'!$D$2:$D$3001,$C144))</f>
        <v/>
      </c>
      <c r="J144" s="5">
        <f>IF($N144="","",SUMIFS('Per Line'!$Y$2:$Y$3001,'Per Line'!$D$2:$D$3001,$C144))</f>
        <v/>
      </c>
      <c r="K144" s="5">
        <f>IF($N144="","",SUMIFS('Per Line'!$Z$2:$Z$3001,'Per Line'!$D$2:$D$3001,$C144))</f>
        <v/>
      </c>
      <c r="L144" s="5">
        <f>IF($N144="","",I144-J144)</f>
        <v/>
      </c>
      <c r="M144" s="5">
        <f>IF($N144="","",L144-K144)</f>
        <v/>
      </c>
      <c r="N144">
        <f>IF(ROWS($N$2:$N144)&lt;=MAX('Per Line'!$AG$2:$AG$3001),MATCH(ROWS($N$2:$N144),'Per Line'!$AG$2:$AG$3001,0),"")</f>
        <v/>
      </c>
      <c r="O144">
        <f>IF(B144="Above Claim Form",COUNTIF($B$2:B144,"Above Claim Form"),"")</f>
        <v/>
      </c>
      <c r="P144">
        <f>IF(B144="Below Claim Form",COUNTIF($B$2:B144,"Below Claim Form"),"")</f>
        <v/>
      </c>
    </row>
    <row r="145">
      <c r="B145">
        <f>IF($N145="","",IFERROR(INDEX(Settings!$C$27:$C$36,MATCH(E145,Settings!$B$27:$B$36,0)),"Unassigned"))</f>
        <v/>
      </c>
      <c r="C145">
        <f>IF($N145="","",INDEX('Per Line'!$D$2:$D$3001,$N145))</f>
        <v/>
      </c>
      <c r="D145">
        <f>IF($N145="","",INDEX('Per Line'!$C$2:$C$3001,$N145))</f>
        <v/>
      </c>
      <c r="E145">
        <f>IF($N145="","",INDEX('Per Line'!$A$2:$A$3001,$N145))</f>
        <v/>
      </c>
      <c r="H145">
        <f>IF($N145="","",INDEX('Per Line'!$V$2:$V$3001,$N145))</f>
        <v/>
      </c>
      <c r="I145" s="5">
        <f>IF($N145="","",SUMIFS('Per Line'!$X$2:$X$3001,'Per Line'!$D$2:$D$3001,$C145))</f>
        <v/>
      </c>
      <c r="J145" s="5">
        <f>IF($N145="","",SUMIFS('Per Line'!$Y$2:$Y$3001,'Per Line'!$D$2:$D$3001,$C145))</f>
        <v/>
      </c>
      <c r="K145" s="5">
        <f>IF($N145="","",SUMIFS('Per Line'!$Z$2:$Z$3001,'Per Line'!$D$2:$D$3001,$C145))</f>
        <v/>
      </c>
      <c r="L145" s="5">
        <f>IF($N145="","",I145-J145)</f>
        <v/>
      </c>
      <c r="M145" s="5">
        <f>IF($N145="","",L145-K145)</f>
        <v/>
      </c>
      <c r="N145">
        <f>IF(ROWS($N$2:$N145)&lt;=MAX('Per Line'!$AG$2:$AG$3001),MATCH(ROWS($N$2:$N145),'Per Line'!$AG$2:$AG$3001,0),"")</f>
        <v/>
      </c>
      <c r="O145">
        <f>IF(B145="Above Claim Form",COUNTIF($B$2:B145,"Above Claim Form"),"")</f>
        <v/>
      </c>
      <c r="P145">
        <f>IF(B145="Below Claim Form",COUNTIF($B$2:B145,"Below Claim Form"),"")</f>
        <v/>
      </c>
    </row>
    <row r="146">
      <c r="B146">
        <f>IF($N146="","",IFERROR(INDEX(Settings!$C$27:$C$36,MATCH(E146,Settings!$B$27:$B$36,0)),"Unassigned"))</f>
        <v/>
      </c>
      <c r="C146">
        <f>IF($N146="","",INDEX('Per Line'!$D$2:$D$3001,$N146))</f>
        <v/>
      </c>
      <c r="D146">
        <f>IF($N146="","",INDEX('Per Line'!$C$2:$C$3001,$N146))</f>
        <v/>
      </c>
      <c r="E146">
        <f>IF($N146="","",INDEX('Per Line'!$A$2:$A$3001,$N146))</f>
        <v/>
      </c>
      <c r="H146">
        <f>IF($N146="","",INDEX('Per Line'!$V$2:$V$3001,$N146))</f>
        <v/>
      </c>
      <c r="I146" s="5">
        <f>IF($N146="","",SUMIFS('Per Line'!$X$2:$X$3001,'Per Line'!$D$2:$D$3001,$C146))</f>
        <v/>
      </c>
      <c r="J146" s="5">
        <f>IF($N146="","",SUMIFS('Per Line'!$Y$2:$Y$3001,'Per Line'!$D$2:$D$3001,$C146))</f>
        <v/>
      </c>
      <c r="K146" s="5">
        <f>IF($N146="","",SUMIFS('Per Line'!$Z$2:$Z$3001,'Per Line'!$D$2:$D$3001,$C146))</f>
        <v/>
      </c>
      <c r="L146" s="5">
        <f>IF($N146="","",I146-J146)</f>
        <v/>
      </c>
      <c r="M146" s="5">
        <f>IF($N146="","",L146-K146)</f>
        <v/>
      </c>
      <c r="N146">
        <f>IF(ROWS($N$2:$N146)&lt;=MAX('Per Line'!$AG$2:$AG$3001),MATCH(ROWS($N$2:$N146),'Per Line'!$AG$2:$AG$3001,0),"")</f>
        <v/>
      </c>
      <c r="O146">
        <f>IF(B146="Above Claim Form",COUNTIF($B$2:B146,"Above Claim Form"),"")</f>
        <v/>
      </c>
      <c r="P146">
        <f>IF(B146="Below Claim Form",COUNTIF($B$2:B146,"Below Claim Form"),"")</f>
        <v/>
      </c>
    </row>
    <row r="147">
      <c r="B147">
        <f>IF($N147="","",IFERROR(INDEX(Settings!$C$27:$C$36,MATCH(E147,Settings!$B$27:$B$36,0)),"Unassigned"))</f>
        <v/>
      </c>
      <c r="C147">
        <f>IF($N147="","",INDEX('Per Line'!$D$2:$D$3001,$N147))</f>
        <v/>
      </c>
      <c r="D147">
        <f>IF($N147="","",INDEX('Per Line'!$C$2:$C$3001,$N147))</f>
        <v/>
      </c>
      <c r="E147">
        <f>IF($N147="","",INDEX('Per Line'!$A$2:$A$3001,$N147))</f>
        <v/>
      </c>
      <c r="H147">
        <f>IF($N147="","",INDEX('Per Line'!$V$2:$V$3001,$N147))</f>
        <v/>
      </c>
      <c r="I147" s="5">
        <f>IF($N147="","",SUMIFS('Per Line'!$X$2:$X$3001,'Per Line'!$D$2:$D$3001,$C147))</f>
        <v/>
      </c>
      <c r="J147" s="5">
        <f>IF($N147="","",SUMIFS('Per Line'!$Y$2:$Y$3001,'Per Line'!$D$2:$D$3001,$C147))</f>
        <v/>
      </c>
      <c r="K147" s="5">
        <f>IF($N147="","",SUMIFS('Per Line'!$Z$2:$Z$3001,'Per Line'!$D$2:$D$3001,$C147))</f>
        <v/>
      </c>
      <c r="L147" s="5">
        <f>IF($N147="","",I147-J147)</f>
        <v/>
      </c>
      <c r="M147" s="5">
        <f>IF($N147="","",L147-K147)</f>
        <v/>
      </c>
      <c r="N147">
        <f>IF(ROWS($N$2:$N147)&lt;=MAX('Per Line'!$AG$2:$AG$3001),MATCH(ROWS($N$2:$N147),'Per Line'!$AG$2:$AG$3001,0),"")</f>
        <v/>
      </c>
      <c r="O147">
        <f>IF(B147="Above Claim Form",COUNTIF($B$2:B147,"Above Claim Form"),"")</f>
        <v/>
      </c>
      <c r="P147">
        <f>IF(B147="Below Claim Form",COUNTIF($B$2:B147,"Below Claim Form"),"")</f>
        <v/>
      </c>
    </row>
    <row r="148">
      <c r="B148">
        <f>IF($N148="","",IFERROR(INDEX(Settings!$C$27:$C$36,MATCH(E148,Settings!$B$27:$B$36,0)),"Unassigned"))</f>
        <v/>
      </c>
      <c r="C148">
        <f>IF($N148="","",INDEX('Per Line'!$D$2:$D$3001,$N148))</f>
        <v/>
      </c>
      <c r="D148">
        <f>IF($N148="","",INDEX('Per Line'!$C$2:$C$3001,$N148))</f>
        <v/>
      </c>
      <c r="E148">
        <f>IF($N148="","",INDEX('Per Line'!$A$2:$A$3001,$N148))</f>
        <v/>
      </c>
      <c r="H148">
        <f>IF($N148="","",INDEX('Per Line'!$V$2:$V$3001,$N148))</f>
        <v/>
      </c>
      <c r="I148" s="5">
        <f>IF($N148="","",SUMIFS('Per Line'!$X$2:$X$3001,'Per Line'!$D$2:$D$3001,$C148))</f>
        <v/>
      </c>
      <c r="J148" s="5">
        <f>IF($N148="","",SUMIFS('Per Line'!$Y$2:$Y$3001,'Per Line'!$D$2:$D$3001,$C148))</f>
        <v/>
      </c>
      <c r="K148" s="5">
        <f>IF($N148="","",SUMIFS('Per Line'!$Z$2:$Z$3001,'Per Line'!$D$2:$D$3001,$C148))</f>
        <v/>
      </c>
      <c r="L148" s="5">
        <f>IF($N148="","",I148-J148)</f>
        <v/>
      </c>
      <c r="M148" s="5">
        <f>IF($N148="","",L148-K148)</f>
        <v/>
      </c>
      <c r="N148">
        <f>IF(ROWS($N$2:$N148)&lt;=MAX('Per Line'!$AG$2:$AG$3001),MATCH(ROWS($N$2:$N148),'Per Line'!$AG$2:$AG$3001,0),"")</f>
        <v/>
      </c>
      <c r="O148">
        <f>IF(B148="Above Claim Form",COUNTIF($B$2:B148,"Above Claim Form"),"")</f>
        <v/>
      </c>
      <c r="P148">
        <f>IF(B148="Below Claim Form",COUNTIF($B$2:B148,"Below Claim Form"),"")</f>
        <v/>
      </c>
    </row>
    <row r="149">
      <c r="B149">
        <f>IF($N149="","",IFERROR(INDEX(Settings!$C$27:$C$36,MATCH(E149,Settings!$B$27:$B$36,0)),"Unassigned"))</f>
        <v/>
      </c>
      <c r="C149">
        <f>IF($N149="","",INDEX('Per Line'!$D$2:$D$3001,$N149))</f>
        <v/>
      </c>
      <c r="D149">
        <f>IF($N149="","",INDEX('Per Line'!$C$2:$C$3001,$N149))</f>
        <v/>
      </c>
      <c r="E149">
        <f>IF($N149="","",INDEX('Per Line'!$A$2:$A$3001,$N149))</f>
        <v/>
      </c>
      <c r="H149">
        <f>IF($N149="","",INDEX('Per Line'!$V$2:$V$3001,$N149))</f>
        <v/>
      </c>
      <c r="I149" s="5">
        <f>IF($N149="","",SUMIFS('Per Line'!$X$2:$X$3001,'Per Line'!$D$2:$D$3001,$C149))</f>
        <v/>
      </c>
      <c r="J149" s="5">
        <f>IF($N149="","",SUMIFS('Per Line'!$Y$2:$Y$3001,'Per Line'!$D$2:$D$3001,$C149))</f>
        <v/>
      </c>
      <c r="K149" s="5">
        <f>IF($N149="","",SUMIFS('Per Line'!$Z$2:$Z$3001,'Per Line'!$D$2:$D$3001,$C149))</f>
        <v/>
      </c>
      <c r="L149" s="5">
        <f>IF($N149="","",I149-J149)</f>
        <v/>
      </c>
      <c r="M149" s="5">
        <f>IF($N149="","",L149-K149)</f>
        <v/>
      </c>
      <c r="N149">
        <f>IF(ROWS($N$2:$N149)&lt;=MAX('Per Line'!$AG$2:$AG$3001),MATCH(ROWS($N$2:$N149),'Per Line'!$AG$2:$AG$3001,0),"")</f>
        <v/>
      </c>
      <c r="O149">
        <f>IF(B149="Above Claim Form",COUNTIF($B$2:B149,"Above Claim Form"),"")</f>
        <v/>
      </c>
      <c r="P149">
        <f>IF(B149="Below Claim Form",COUNTIF($B$2:B149,"Below Claim Form"),"")</f>
        <v/>
      </c>
    </row>
    <row r="150">
      <c r="B150">
        <f>IF($N150="","",IFERROR(INDEX(Settings!$C$27:$C$36,MATCH(E150,Settings!$B$27:$B$36,0)),"Unassigned"))</f>
        <v/>
      </c>
      <c r="C150">
        <f>IF($N150="","",INDEX('Per Line'!$D$2:$D$3001,$N150))</f>
        <v/>
      </c>
      <c r="D150">
        <f>IF($N150="","",INDEX('Per Line'!$C$2:$C$3001,$N150))</f>
        <v/>
      </c>
      <c r="E150">
        <f>IF($N150="","",INDEX('Per Line'!$A$2:$A$3001,$N150))</f>
        <v/>
      </c>
      <c r="H150">
        <f>IF($N150="","",INDEX('Per Line'!$V$2:$V$3001,$N150))</f>
        <v/>
      </c>
      <c r="I150" s="5">
        <f>IF($N150="","",SUMIFS('Per Line'!$X$2:$X$3001,'Per Line'!$D$2:$D$3001,$C150))</f>
        <v/>
      </c>
      <c r="J150" s="5">
        <f>IF($N150="","",SUMIFS('Per Line'!$Y$2:$Y$3001,'Per Line'!$D$2:$D$3001,$C150))</f>
        <v/>
      </c>
      <c r="K150" s="5">
        <f>IF($N150="","",SUMIFS('Per Line'!$Z$2:$Z$3001,'Per Line'!$D$2:$D$3001,$C150))</f>
        <v/>
      </c>
      <c r="L150" s="5">
        <f>IF($N150="","",I150-J150)</f>
        <v/>
      </c>
      <c r="M150" s="5">
        <f>IF($N150="","",L150-K150)</f>
        <v/>
      </c>
      <c r="N150">
        <f>IF(ROWS($N$2:$N150)&lt;=MAX('Per Line'!$AG$2:$AG$3001),MATCH(ROWS($N$2:$N150),'Per Line'!$AG$2:$AG$3001,0),"")</f>
        <v/>
      </c>
      <c r="O150">
        <f>IF(B150="Above Claim Form",COUNTIF($B$2:B150,"Above Claim Form"),"")</f>
        <v/>
      </c>
      <c r="P150">
        <f>IF(B150="Below Claim Form",COUNTIF($B$2:B150,"Below Claim Form"),"")</f>
        <v/>
      </c>
    </row>
    <row r="151">
      <c r="B151">
        <f>IF($N151="","",IFERROR(INDEX(Settings!$C$27:$C$36,MATCH(E151,Settings!$B$27:$B$36,0)),"Unassigned"))</f>
        <v/>
      </c>
      <c r="C151">
        <f>IF($N151="","",INDEX('Per Line'!$D$2:$D$3001,$N151))</f>
        <v/>
      </c>
      <c r="D151">
        <f>IF($N151="","",INDEX('Per Line'!$C$2:$C$3001,$N151))</f>
        <v/>
      </c>
      <c r="E151">
        <f>IF($N151="","",INDEX('Per Line'!$A$2:$A$3001,$N151))</f>
        <v/>
      </c>
      <c r="H151">
        <f>IF($N151="","",INDEX('Per Line'!$V$2:$V$3001,$N151))</f>
        <v/>
      </c>
      <c r="I151" s="5">
        <f>IF($N151="","",SUMIFS('Per Line'!$X$2:$X$3001,'Per Line'!$D$2:$D$3001,$C151))</f>
        <v/>
      </c>
      <c r="J151" s="5">
        <f>IF($N151="","",SUMIFS('Per Line'!$Y$2:$Y$3001,'Per Line'!$D$2:$D$3001,$C151))</f>
        <v/>
      </c>
      <c r="K151" s="5">
        <f>IF($N151="","",SUMIFS('Per Line'!$Z$2:$Z$3001,'Per Line'!$D$2:$D$3001,$C151))</f>
        <v/>
      </c>
      <c r="L151" s="5">
        <f>IF($N151="","",I151-J151)</f>
        <v/>
      </c>
      <c r="M151" s="5">
        <f>IF($N151="","",L151-K151)</f>
        <v/>
      </c>
      <c r="N151">
        <f>IF(ROWS($N$2:$N151)&lt;=MAX('Per Line'!$AG$2:$AG$3001),MATCH(ROWS($N$2:$N151),'Per Line'!$AG$2:$AG$3001,0),"")</f>
        <v/>
      </c>
      <c r="O151">
        <f>IF(B151="Above Claim Form",COUNTIF($B$2:B151,"Above Claim Form"),"")</f>
        <v/>
      </c>
      <c r="P151">
        <f>IF(B151="Below Claim Form",COUNTIF($B$2:B151,"Below Claim Form"),"")</f>
        <v/>
      </c>
    </row>
    <row r="152">
      <c r="B152">
        <f>IF($N152="","",IFERROR(INDEX(Settings!$C$27:$C$36,MATCH(E152,Settings!$B$27:$B$36,0)),"Unassigned"))</f>
        <v/>
      </c>
      <c r="C152">
        <f>IF($N152="","",INDEX('Per Line'!$D$2:$D$3001,$N152))</f>
        <v/>
      </c>
      <c r="D152">
        <f>IF($N152="","",INDEX('Per Line'!$C$2:$C$3001,$N152))</f>
        <v/>
      </c>
      <c r="E152">
        <f>IF($N152="","",INDEX('Per Line'!$A$2:$A$3001,$N152))</f>
        <v/>
      </c>
      <c r="H152">
        <f>IF($N152="","",INDEX('Per Line'!$V$2:$V$3001,$N152))</f>
        <v/>
      </c>
      <c r="I152" s="5">
        <f>IF($N152="","",SUMIFS('Per Line'!$X$2:$X$3001,'Per Line'!$D$2:$D$3001,$C152))</f>
        <v/>
      </c>
      <c r="J152" s="5">
        <f>IF($N152="","",SUMIFS('Per Line'!$Y$2:$Y$3001,'Per Line'!$D$2:$D$3001,$C152))</f>
        <v/>
      </c>
      <c r="K152" s="5">
        <f>IF($N152="","",SUMIFS('Per Line'!$Z$2:$Z$3001,'Per Line'!$D$2:$D$3001,$C152))</f>
        <v/>
      </c>
      <c r="L152" s="5">
        <f>IF($N152="","",I152-J152)</f>
        <v/>
      </c>
      <c r="M152" s="5">
        <f>IF($N152="","",L152-K152)</f>
        <v/>
      </c>
      <c r="N152">
        <f>IF(ROWS($N$2:$N152)&lt;=MAX('Per Line'!$AG$2:$AG$3001),MATCH(ROWS($N$2:$N152),'Per Line'!$AG$2:$AG$3001,0),"")</f>
        <v/>
      </c>
      <c r="O152">
        <f>IF(B152="Above Claim Form",COUNTIF($B$2:B152,"Above Claim Form"),"")</f>
        <v/>
      </c>
      <c r="P152">
        <f>IF(B152="Below Claim Form",COUNTIF($B$2:B152,"Below Claim Form"),"")</f>
        <v/>
      </c>
    </row>
    <row r="153">
      <c r="B153">
        <f>IF($N153="","",IFERROR(INDEX(Settings!$C$27:$C$36,MATCH(E153,Settings!$B$27:$B$36,0)),"Unassigned"))</f>
        <v/>
      </c>
      <c r="C153">
        <f>IF($N153="","",INDEX('Per Line'!$D$2:$D$3001,$N153))</f>
        <v/>
      </c>
      <c r="D153">
        <f>IF($N153="","",INDEX('Per Line'!$C$2:$C$3001,$N153))</f>
        <v/>
      </c>
      <c r="E153">
        <f>IF($N153="","",INDEX('Per Line'!$A$2:$A$3001,$N153))</f>
        <v/>
      </c>
      <c r="H153">
        <f>IF($N153="","",INDEX('Per Line'!$V$2:$V$3001,$N153))</f>
        <v/>
      </c>
      <c r="I153" s="5">
        <f>IF($N153="","",SUMIFS('Per Line'!$X$2:$X$3001,'Per Line'!$D$2:$D$3001,$C153))</f>
        <v/>
      </c>
      <c r="J153" s="5">
        <f>IF($N153="","",SUMIFS('Per Line'!$Y$2:$Y$3001,'Per Line'!$D$2:$D$3001,$C153))</f>
        <v/>
      </c>
      <c r="K153" s="5">
        <f>IF($N153="","",SUMIFS('Per Line'!$Z$2:$Z$3001,'Per Line'!$D$2:$D$3001,$C153))</f>
        <v/>
      </c>
      <c r="L153" s="5">
        <f>IF($N153="","",I153-J153)</f>
        <v/>
      </c>
      <c r="M153" s="5">
        <f>IF($N153="","",L153-K153)</f>
        <v/>
      </c>
      <c r="N153">
        <f>IF(ROWS($N$2:$N153)&lt;=MAX('Per Line'!$AG$2:$AG$3001),MATCH(ROWS($N$2:$N153),'Per Line'!$AG$2:$AG$3001,0),"")</f>
        <v/>
      </c>
      <c r="O153">
        <f>IF(B153="Above Claim Form",COUNTIF($B$2:B153,"Above Claim Form"),"")</f>
        <v/>
      </c>
      <c r="P153">
        <f>IF(B153="Below Claim Form",COUNTIF($B$2:B153,"Below Claim Form"),"")</f>
        <v/>
      </c>
    </row>
    <row r="154">
      <c r="B154">
        <f>IF($N154="","",IFERROR(INDEX(Settings!$C$27:$C$36,MATCH(E154,Settings!$B$27:$B$36,0)),"Unassigned"))</f>
        <v/>
      </c>
      <c r="C154">
        <f>IF($N154="","",INDEX('Per Line'!$D$2:$D$3001,$N154))</f>
        <v/>
      </c>
      <c r="D154">
        <f>IF($N154="","",INDEX('Per Line'!$C$2:$C$3001,$N154))</f>
        <v/>
      </c>
      <c r="E154">
        <f>IF($N154="","",INDEX('Per Line'!$A$2:$A$3001,$N154))</f>
        <v/>
      </c>
      <c r="H154">
        <f>IF($N154="","",INDEX('Per Line'!$V$2:$V$3001,$N154))</f>
        <v/>
      </c>
      <c r="I154" s="5">
        <f>IF($N154="","",SUMIFS('Per Line'!$X$2:$X$3001,'Per Line'!$D$2:$D$3001,$C154))</f>
        <v/>
      </c>
      <c r="J154" s="5">
        <f>IF($N154="","",SUMIFS('Per Line'!$Y$2:$Y$3001,'Per Line'!$D$2:$D$3001,$C154))</f>
        <v/>
      </c>
      <c r="K154" s="5">
        <f>IF($N154="","",SUMIFS('Per Line'!$Z$2:$Z$3001,'Per Line'!$D$2:$D$3001,$C154))</f>
        <v/>
      </c>
      <c r="L154" s="5">
        <f>IF($N154="","",I154-J154)</f>
        <v/>
      </c>
      <c r="M154" s="5">
        <f>IF($N154="","",L154-K154)</f>
        <v/>
      </c>
      <c r="N154">
        <f>IF(ROWS($N$2:$N154)&lt;=MAX('Per Line'!$AG$2:$AG$3001),MATCH(ROWS($N$2:$N154),'Per Line'!$AG$2:$AG$3001,0),"")</f>
        <v/>
      </c>
      <c r="O154">
        <f>IF(B154="Above Claim Form",COUNTIF($B$2:B154,"Above Claim Form"),"")</f>
        <v/>
      </c>
      <c r="P154">
        <f>IF(B154="Below Claim Form",COUNTIF($B$2:B154,"Below Claim Form"),"")</f>
        <v/>
      </c>
    </row>
    <row r="155">
      <c r="B155">
        <f>IF($N155="","",IFERROR(INDEX(Settings!$C$27:$C$36,MATCH(E155,Settings!$B$27:$B$36,0)),"Unassigned"))</f>
        <v/>
      </c>
      <c r="C155">
        <f>IF($N155="","",INDEX('Per Line'!$D$2:$D$3001,$N155))</f>
        <v/>
      </c>
      <c r="D155">
        <f>IF($N155="","",INDEX('Per Line'!$C$2:$C$3001,$N155))</f>
        <v/>
      </c>
      <c r="E155">
        <f>IF($N155="","",INDEX('Per Line'!$A$2:$A$3001,$N155))</f>
        <v/>
      </c>
      <c r="H155">
        <f>IF($N155="","",INDEX('Per Line'!$V$2:$V$3001,$N155))</f>
        <v/>
      </c>
      <c r="I155" s="5">
        <f>IF($N155="","",SUMIFS('Per Line'!$X$2:$X$3001,'Per Line'!$D$2:$D$3001,$C155))</f>
        <v/>
      </c>
      <c r="J155" s="5">
        <f>IF($N155="","",SUMIFS('Per Line'!$Y$2:$Y$3001,'Per Line'!$D$2:$D$3001,$C155))</f>
        <v/>
      </c>
      <c r="K155" s="5">
        <f>IF($N155="","",SUMIFS('Per Line'!$Z$2:$Z$3001,'Per Line'!$D$2:$D$3001,$C155))</f>
        <v/>
      </c>
      <c r="L155" s="5">
        <f>IF($N155="","",I155-J155)</f>
        <v/>
      </c>
      <c r="M155" s="5">
        <f>IF($N155="","",L155-K155)</f>
        <v/>
      </c>
      <c r="N155">
        <f>IF(ROWS($N$2:$N155)&lt;=MAX('Per Line'!$AG$2:$AG$3001),MATCH(ROWS($N$2:$N155),'Per Line'!$AG$2:$AG$3001,0),"")</f>
        <v/>
      </c>
      <c r="O155">
        <f>IF(B155="Above Claim Form",COUNTIF($B$2:B155,"Above Claim Form"),"")</f>
        <v/>
      </c>
      <c r="P155">
        <f>IF(B155="Below Claim Form",COUNTIF($B$2:B155,"Below Claim Form"),"")</f>
        <v/>
      </c>
    </row>
    <row r="156">
      <c r="B156">
        <f>IF($N156="","",IFERROR(INDEX(Settings!$C$27:$C$36,MATCH(E156,Settings!$B$27:$B$36,0)),"Unassigned"))</f>
        <v/>
      </c>
      <c r="C156">
        <f>IF($N156="","",INDEX('Per Line'!$D$2:$D$3001,$N156))</f>
        <v/>
      </c>
      <c r="D156">
        <f>IF($N156="","",INDEX('Per Line'!$C$2:$C$3001,$N156))</f>
        <v/>
      </c>
      <c r="E156">
        <f>IF($N156="","",INDEX('Per Line'!$A$2:$A$3001,$N156))</f>
        <v/>
      </c>
      <c r="H156">
        <f>IF($N156="","",INDEX('Per Line'!$V$2:$V$3001,$N156))</f>
        <v/>
      </c>
      <c r="I156" s="5">
        <f>IF($N156="","",SUMIFS('Per Line'!$X$2:$X$3001,'Per Line'!$D$2:$D$3001,$C156))</f>
        <v/>
      </c>
      <c r="J156" s="5">
        <f>IF($N156="","",SUMIFS('Per Line'!$Y$2:$Y$3001,'Per Line'!$D$2:$D$3001,$C156))</f>
        <v/>
      </c>
      <c r="K156" s="5">
        <f>IF($N156="","",SUMIFS('Per Line'!$Z$2:$Z$3001,'Per Line'!$D$2:$D$3001,$C156))</f>
        <v/>
      </c>
      <c r="L156" s="5">
        <f>IF($N156="","",I156-J156)</f>
        <v/>
      </c>
      <c r="M156" s="5">
        <f>IF($N156="","",L156-K156)</f>
        <v/>
      </c>
      <c r="N156">
        <f>IF(ROWS($N$2:$N156)&lt;=MAX('Per Line'!$AG$2:$AG$3001),MATCH(ROWS($N$2:$N156),'Per Line'!$AG$2:$AG$3001,0),"")</f>
        <v/>
      </c>
      <c r="O156">
        <f>IF(B156="Above Claim Form",COUNTIF($B$2:B156,"Above Claim Form"),"")</f>
        <v/>
      </c>
      <c r="P156">
        <f>IF(B156="Below Claim Form",COUNTIF($B$2:B156,"Below Claim Form"),"")</f>
        <v/>
      </c>
    </row>
    <row r="157">
      <c r="B157">
        <f>IF($N157="","",IFERROR(INDEX(Settings!$C$27:$C$36,MATCH(E157,Settings!$B$27:$B$36,0)),"Unassigned"))</f>
        <v/>
      </c>
      <c r="C157">
        <f>IF($N157="","",INDEX('Per Line'!$D$2:$D$3001,$N157))</f>
        <v/>
      </c>
      <c r="D157">
        <f>IF($N157="","",INDEX('Per Line'!$C$2:$C$3001,$N157))</f>
        <v/>
      </c>
      <c r="E157">
        <f>IF($N157="","",INDEX('Per Line'!$A$2:$A$3001,$N157))</f>
        <v/>
      </c>
      <c r="H157">
        <f>IF($N157="","",INDEX('Per Line'!$V$2:$V$3001,$N157))</f>
        <v/>
      </c>
      <c r="I157" s="5">
        <f>IF($N157="","",SUMIFS('Per Line'!$X$2:$X$3001,'Per Line'!$D$2:$D$3001,$C157))</f>
        <v/>
      </c>
      <c r="J157" s="5">
        <f>IF($N157="","",SUMIFS('Per Line'!$Y$2:$Y$3001,'Per Line'!$D$2:$D$3001,$C157))</f>
        <v/>
      </c>
      <c r="K157" s="5">
        <f>IF($N157="","",SUMIFS('Per Line'!$Z$2:$Z$3001,'Per Line'!$D$2:$D$3001,$C157))</f>
        <v/>
      </c>
      <c r="L157" s="5">
        <f>IF($N157="","",I157-J157)</f>
        <v/>
      </c>
      <c r="M157" s="5">
        <f>IF($N157="","",L157-K157)</f>
        <v/>
      </c>
      <c r="N157">
        <f>IF(ROWS($N$2:$N157)&lt;=MAX('Per Line'!$AG$2:$AG$3001),MATCH(ROWS($N$2:$N157),'Per Line'!$AG$2:$AG$3001,0),"")</f>
        <v/>
      </c>
      <c r="O157">
        <f>IF(B157="Above Claim Form",COUNTIF($B$2:B157,"Above Claim Form"),"")</f>
        <v/>
      </c>
      <c r="P157">
        <f>IF(B157="Below Claim Form",COUNTIF($B$2:B157,"Below Claim Form"),"")</f>
        <v/>
      </c>
    </row>
    <row r="158">
      <c r="B158">
        <f>IF($N158="","",IFERROR(INDEX(Settings!$C$27:$C$36,MATCH(E158,Settings!$B$27:$B$36,0)),"Unassigned"))</f>
        <v/>
      </c>
      <c r="C158">
        <f>IF($N158="","",INDEX('Per Line'!$D$2:$D$3001,$N158))</f>
        <v/>
      </c>
      <c r="D158">
        <f>IF($N158="","",INDEX('Per Line'!$C$2:$C$3001,$N158))</f>
        <v/>
      </c>
      <c r="E158">
        <f>IF($N158="","",INDEX('Per Line'!$A$2:$A$3001,$N158))</f>
        <v/>
      </c>
      <c r="H158">
        <f>IF($N158="","",INDEX('Per Line'!$V$2:$V$3001,$N158))</f>
        <v/>
      </c>
      <c r="I158" s="5">
        <f>IF($N158="","",SUMIFS('Per Line'!$X$2:$X$3001,'Per Line'!$D$2:$D$3001,$C158))</f>
        <v/>
      </c>
      <c r="J158" s="5">
        <f>IF($N158="","",SUMIFS('Per Line'!$Y$2:$Y$3001,'Per Line'!$D$2:$D$3001,$C158))</f>
        <v/>
      </c>
      <c r="K158" s="5">
        <f>IF($N158="","",SUMIFS('Per Line'!$Z$2:$Z$3001,'Per Line'!$D$2:$D$3001,$C158))</f>
        <v/>
      </c>
      <c r="L158" s="5">
        <f>IF($N158="","",I158-J158)</f>
        <v/>
      </c>
      <c r="M158" s="5">
        <f>IF($N158="","",L158-K158)</f>
        <v/>
      </c>
      <c r="N158">
        <f>IF(ROWS($N$2:$N158)&lt;=MAX('Per Line'!$AG$2:$AG$3001),MATCH(ROWS($N$2:$N158),'Per Line'!$AG$2:$AG$3001,0),"")</f>
        <v/>
      </c>
      <c r="O158">
        <f>IF(B158="Above Claim Form",COUNTIF($B$2:B158,"Above Claim Form"),"")</f>
        <v/>
      </c>
      <c r="P158">
        <f>IF(B158="Below Claim Form",COUNTIF($B$2:B158,"Below Claim Form"),"")</f>
        <v/>
      </c>
    </row>
    <row r="159">
      <c r="B159">
        <f>IF($N159="","",IFERROR(INDEX(Settings!$C$27:$C$36,MATCH(E159,Settings!$B$27:$B$36,0)),"Unassigned"))</f>
        <v/>
      </c>
      <c r="C159">
        <f>IF($N159="","",INDEX('Per Line'!$D$2:$D$3001,$N159))</f>
        <v/>
      </c>
      <c r="D159">
        <f>IF($N159="","",INDEX('Per Line'!$C$2:$C$3001,$N159))</f>
        <v/>
      </c>
      <c r="E159">
        <f>IF($N159="","",INDEX('Per Line'!$A$2:$A$3001,$N159))</f>
        <v/>
      </c>
      <c r="H159">
        <f>IF($N159="","",INDEX('Per Line'!$V$2:$V$3001,$N159))</f>
        <v/>
      </c>
      <c r="I159" s="5">
        <f>IF($N159="","",SUMIFS('Per Line'!$X$2:$X$3001,'Per Line'!$D$2:$D$3001,$C159))</f>
        <v/>
      </c>
      <c r="J159" s="5">
        <f>IF($N159="","",SUMIFS('Per Line'!$Y$2:$Y$3001,'Per Line'!$D$2:$D$3001,$C159))</f>
        <v/>
      </c>
      <c r="K159" s="5">
        <f>IF($N159="","",SUMIFS('Per Line'!$Z$2:$Z$3001,'Per Line'!$D$2:$D$3001,$C159))</f>
        <v/>
      </c>
      <c r="L159" s="5">
        <f>IF($N159="","",I159-J159)</f>
        <v/>
      </c>
      <c r="M159" s="5">
        <f>IF($N159="","",L159-K159)</f>
        <v/>
      </c>
      <c r="N159">
        <f>IF(ROWS($N$2:$N159)&lt;=MAX('Per Line'!$AG$2:$AG$3001),MATCH(ROWS($N$2:$N159),'Per Line'!$AG$2:$AG$3001,0),"")</f>
        <v/>
      </c>
      <c r="O159">
        <f>IF(B159="Above Claim Form",COUNTIF($B$2:B159,"Above Claim Form"),"")</f>
        <v/>
      </c>
      <c r="P159">
        <f>IF(B159="Below Claim Form",COUNTIF($B$2:B159,"Below Claim Form"),"")</f>
        <v/>
      </c>
    </row>
    <row r="160">
      <c r="B160">
        <f>IF($N160="","",IFERROR(INDEX(Settings!$C$27:$C$36,MATCH(E160,Settings!$B$27:$B$36,0)),"Unassigned"))</f>
        <v/>
      </c>
      <c r="C160">
        <f>IF($N160="","",INDEX('Per Line'!$D$2:$D$3001,$N160))</f>
        <v/>
      </c>
      <c r="D160">
        <f>IF($N160="","",INDEX('Per Line'!$C$2:$C$3001,$N160))</f>
        <v/>
      </c>
      <c r="E160">
        <f>IF($N160="","",INDEX('Per Line'!$A$2:$A$3001,$N160))</f>
        <v/>
      </c>
      <c r="H160">
        <f>IF($N160="","",INDEX('Per Line'!$V$2:$V$3001,$N160))</f>
        <v/>
      </c>
      <c r="I160" s="5">
        <f>IF($N160="","",SUMIFS('Per Line'!$X$2:$X$3001,'Per Line'!$D$2:$D$3001,$C160))</f>
        <v/>
      </c>
      <c r="J160" s="5">
        <f>IF($N160="","",SUMIFS('Per Line'!$Y$2:$Y$3001,'Per Line'!$D$2:$D$3001,$C160))</f>
        <v/>
      </c>
      <c r="K160" s="5">
        <f>IF($N160="","",SUMIFS('Per Line'!$Z$2:$Z$3001,'Per Line'!$D$2:$D$3001,$C160))</f>
        <v/>
      </c>
      <c r="L160" s="5">
        <f>IF($N160="","",I160-J160)</f>
        <v/>
      </c>
      <c r="M160" s="5">
        <f>IF($N160="","",L160-K160)</f>
        <v/>
      </c>
      <c r="N160">
        <f>IF(ROWS($N$2:$N160)&lt;=MAX('Per Line'!$AG$2:$AG$3001),MATCH(ROWS($N$2:$N160),'Per Line'!$AG$2:$AG$3001,0),"")</f>
        <v/>
      </c>
      <c r="O160">
        <f>IF(B160="Above Claim Form",COUNTIF($B$2:B160,"Above Claim Form"),"")</f>
        <v/>
      </c>
      <c r="P160">
        <f>IF(B160="Below Claim Form",COUNTIF($B$2:B160,"Below Claim Form"),"")</f>
        <v/>
      </c>
    </row>
    <row r="161">
      <c r="B161">
        <f>IF($N161="","",IFERROR(INDEX(Settings!$C$27:$C$36,MATCH(E161,Settings!$B$27:$B$36,0)),"Unassigned"))</f>
        <v/>
      </c>
      <c r="C161">
        <f>IF($N161="","",INDEX('Per Line'!$D$2:$D$3001,$N161))</f>
        <v/>
      </c>
      <c r="D161">
        <f>IF($N161="","",INDEX('Per Line'!$C$2:$C$3001,$N161))</f>
        <v/>
      </c>
      <c r="E161">
        <f>IF($N161="","",INDEX('Per Line'!$A$2:$A$3001,$N161))</f>
        <v/>
      </c>
      <c r="H161">
        <f>IF($N161="","",INDEX('Per Line'!$V$2:$V$3001,$N161))</f>
        <v/>
      </c>
      <c r="I161" s="5">
        <f>IF($N161="","",SUMIFS('Per Line'!$X$2:$X$3001,'Per Line'!$D$2:$D$3001,$C161))</f>
        <v/>
      </c>
      <c r="J161" s="5">
        <f>IF($N161="","",SUMIFS('Per Line'!$Y$2:$Y$3001,'Per Line'!$D$2:$D$3001,$C161))</f>
        <v/>
      </c>
      <c r="K161" s="5">
        <f>IF($N161="","",SUMIFS('Per Line'!$Z$2:$Z$3001,'Per Line'!$D$2:$D$3001,$C161))</f>
        <v/>
      </c>
      <c r="L161" s="5">
        <f>IF($N161="","",I161-J161)</f>
        <v/>
      </c>
      <c r="M161" s="5">
        <f>IF($N161="","",L161-K161)</f>
        <v/>
      </c>
      <c r="N161">
        <f>IF(ROWS($N$2:$N161)&lt;=MAX('Per Line'!$AG$2:$AG$3001),MATCH(ROWS($N$2:$N161),'Per Line'!$AG$2:$AG$3001,0),"")</f>
        <v/>
      </c>
      <c r="O161">
        <f>IF(B161="Above Claim Form",COUNTIF($B$2:B161,"Above Claim Form"),"")</f>
        <v/>
      </c>
      <c r="P161">
        <f>IF(B161="Below Claim Form",COUNTIF($B$2:B161,"Below Claim Form"),"")</f>
        <v/>
      </c>
    </row>
    <row r="162">
      <c r="B162">
        <f>IF($N162="","",IFERROR(INDEX(Settings!$C$27:$C$36,MATCH(E162,Settings!$B$27:$B$36,0)),"Unassigned"))</f>
        <v/>
      </c>
      <c r="C162">
        <f>IF($N162="","",INDEX('Per Line'!$D$2:$D$3001,$N162))</f>
        <v/>
      </c>
      <c r="D162">
        <f>IF($N162="","",INDEX('Per Line'!$C$2:$C$3001,$N162))</f>
        <v/>
      </c>
      <c r="E162">
        <f>IF($N162="","",INDEX('Per Line'!$A$2:$A$3001,$N162))</f>
        <v/>
      </c>
      <c r="H162">
        <f>IF($N162="","",INDEX('Per Line'!$V$2:$V$3001,$N162))</f>
        <v/>
      </c>
      <c r="I162" s="5">
        <f>IF($N162="","",SUMIFS('Per Line'!$X$2:$X$3001,'Per Line'!$D$2:$D$3001,$C162))</f>
        <v/>
      </c>
      <c r="J162" s="5">
        <f>IF($N162="","",SUMIFS('Per Line'!$Y$2:$Y$3001,'Per Line'!$D$2:$D$3001,$C162))</f>
        <v/>
      </c>
      <c r="K162" s="5">
        <f>IF($N162="","",SUMIFS('Per Line'!$Z$2:$Z$3001,'Per Line'!$D$2:$D$3001,$C162))</f>
        <v/>
      </c>
      <c r="L162" s="5">
        <f>IF($N162="","",I162-J162)</f>
        <v/>
      </c>
      <c r="M162" s="5">
        <f>IF($N162="","",L162-K162)</f>
        <v/>
      </c>
      <c r="N162">
        <f>IF(ROWS($N$2:$N162)&lt;=MAX('Per Line'!$AG$2:$AG$3001),MATCH(ROWS($N$2:$N162),'Per Line'!$AG$2:$AG$3001,0),"")</f>
        <v/>
      </c>
      <c r="O162">
        <f>IF(B162="Above Claim Form",COUNTIF($B$2:B162,"Above Claim Form"),"")</f>
        <v/>
      </c>
      <c r="P162">
        <f>IF(B162="Below Claim Form",COUNTIF($B$2:B162,"Below Claim Form"),"")</f>
        <v/>
      </c>
    </row>
    <row r="163">
      <c r="B163">
        <f>IF($N163="","",IFERROR(INDEX(Settings!$C$27:$C$36,MATCH(E163,Settings!$B$27:$B$36,0)),"Unassigned"))</f>
        <v/>
      </c>
      <c r="C163">
        <f>IF($N163="","",INDEX('Per Line'!$D$2:$D$3001,$N163))</f>
        <v/>
      </c>
      <c r="D163">
        <f>IF($N163="","",INDEX('Per Line'!$C$2:$C$3001,$N163))</f>
        <v/>
      </c>
      <c r="E163">
        <f>IF($N163="","",INDEX('Per Line'!$A$2:$A$3001,$N163))</f>
        <v/>
      </c>
      <c r="H163">
        <f>IF($N163="","",INDEX('Per Line'!$V$2:$V$3001,$N163))</f>
        <v/>
      </c>
      <c r="I163" s="5">
        <f>IF($N163="","",SUMIFS('Per Line'!$X$2:$X$3001,'Per Line'!$D$2:$D$3001,$C163))</f>
        <v/>
      </c>
      <c r="J163" s="5">
        <f>IF($N163="","",SUMIFS('Per Line'!$Y$2:$Y$3001,'Per Line'!$D$2:$D$3001,$C163))</f>
        <v/>
      </c>
      <c r="K163" s="5">
        <f>IF($N163="","",SUMIFS('Per Line'!$Z$2:$Z$3001,'Per Line'!$D$2:$D$3001,$C163))</f>
        <v/>
      </c>
      <c r="L163" s="5">
        <f>IF($N163="","",I163-J163)</f>
        <v/>
      </c>
      <c r="M163" s="5">
        <f>IF($N163="","",L163-K163)</f>
        <v/>
      </c>
      <c r="N163">
        <f>IF(ROWS($N$2:$N163)&lt;=MAX('Per Line'!$AG$2:$AG$3001),MATCH(ROWS($N$2:$N163),'Per Line'!$AG$2:$AG$3001,0),"")</f>
        <v/>
      </c>
      <c r="O163">
        <f>IF(B163="Above Claim Form",COUNTIF($B$2:B163,"Above Claim Form"),"")</f>
        <v/>
      </c>
      <c r="P163">
        <f>IF(B163="Below Claim Form",COUNTIF($B$2:B163,"Below Claim Form"),"")</f>
        <v/>
      </c>
    </row>
    <row r="164">
      <c r="B164">
        <f>IF($N164="","",IFERROR(INDEX(Settings!$C$27:$C$36,MATCH(E164,Settings!$B$27:$B$36,0)),"Unassigned"))</f>
        <v/>
      </c>
      <c r="C164">
        <f>IF($N164="","",INDEX('Per Line'!$D$2:$D$3001,$N164))</f>
        <v/>
      </c>
      <c r="D164">
        <f>IF($N164="","",INDEX('Per Line'!$C$2:$C$3001,$N164))</f>
        <v/>
      </c>
      <c r="E164">
        <f>IF($N164="","",INDEX('Per Line'!$A$2:$A$3001,$N164))</f>
        <v/>
      </c>
      <c r="H164">
        <f>IF($N164="","",INDEX('Per Line'!$V$2:$V$3001,$N164))</f>
        <v/>
      </c>
      <c r="I164" s="5">
        <f>IF($N164="","",SUMIFS('Per Line'!$X$2:$X$3001,'Per Line'!$D$2:$D$3001,$C164))</f>
        <v/>
      </c>
      <c r="J164" s="5">
        <f>IF($N164="","",SUMIFS('Per Line'!$Y$2:$Y$3001,'Per Line'!$D$2:$D$3001,$C164))</f>
        <v/>
      </c>
      <c r="K164" s="5">
        <f>IF($N164="","",SUMIFS('Per Line'!$Z$2:$Z$3001,'Per Line'!$D$2:$D$3001,$C164))</f>
        <v/>
      </c>
      <c r="L164" s="5">
        <f>IF($N164="","",I164-J164)</f>
        <v/>
      </c>
      <c r="M164" s="5">
        <f>IF($N164="","",L164-K164)</f>
        <v/>
      </c>
      <c r="N164">
        <f>IF(ROWS($N$2:$N164)&lt;=MAX('Per Line'!$AG$2:$AG$3001),MATCH(ROWS($N$2:$N164),'Per Line'!$AG$2:$AG$3001,0),"")</f>
        <v/>
      </c>
      <c r="O164">
        <f>IF(B164="Above Claim Form",COUNTIF($B$2:B164,"Above Claim Form"),"")</f>
        <v/>
      </c>
      <c r="P164">
        <f>IF(B164="Below Claim Form",COUNTIF($B$2:B164,"Below Claim Form"),"")</f>
        <v/>
      </c>
    </row>
    <row r="165">
      <c r="B165">
        <f>IF($N165="","",IFERROR(INDEX(Settings!$C$27:$C$36,MATCH(E165,Settings!$B$27:$B$36,0)),"Unassigned"))</f>
        <v/>
      </c>
      <c r="C165">
        <f>IF($N165="","",INDEX('Per Line'!$D$2:$D$3001,$N165))</f>
        <v/>
      </c>
      <c r="D165">
        <f>IF($N165="","",INDEX('Per Line'!$C$2:$C$3001,$N165))</f>
        <v/>
      </c>
      <c r="E165">
        <f>IF($N165="","",INDEX('Per Line'!$A$2:$A$3001,$N165))</f>
        <v/>
      </c>
      <c r="H165">
        <f>IF($N165="","",INDEX('Per Line'!$V$2:$V$3001,$N165))</f>
        <v/>
      </c>
      <c r="I165" s="5">
        <f>IF($N165="","",SUMIFS('Per Line'!$X$2:$X$3001,'Per Line'!$D$2:$D$3001,$C165))</f>
        <v/>
      </c>
      <c r="J165" s="5">
        <f>IF($N165="","",SUMIFS('Per Line'!$Y$2:$Y$3001,'Per Line'!$D$2:$D$3001,$C165))</f>
        <v/>
      </c>
      <c r="K165" s="5">
        <f>IF($N165="","",SUMIFS('Per Line'!$Z$2:$Z$3001,'Per Line'!$D$2:$D$3001,$C165))</f>
        <v/>
      </c>
      <c r="L165" s="5">
        <f>IF($N165="","",I165-J165)</f>
        <v/>
      </c>
      <c r="M165" s="5">
        <f>IF($N165="","",L165-K165)</f>
        <v/>
      </c>
      <c r="N165">
        <f>IF(ROWS($N$2:$N165)&lt;=MAX('Per Line'!$AG$2:$AG$3001),MATCH(ROWS($N$2:$N165),'Per Line'!$AG$2:$AG$3001,0),"")</f>
        <v/>
      </c>
      <c r="O165">
        <f>IF(B165="Above Claim Form",COUNTIF($B$2:B165,"Above Claim Form"),"")</f>
        <v/>
      </c>
      <c r="P165">
        <f>IF(B165="Below Claim Form",COUNTIF($B$2:B165,"Below Claim Form"),"")</f>
        <v/>
      </c>
    </row>
    <row r="166">
      <c r="B166">
        <f>IF($N166="","",IFERROR(INDEX(Settings!$C$27:$C$36,MATCH(E166,Settings!$B$27:$B$36,0)),"Unassigned"))</f>
        <v/>
      </c>
      <c r="C166">
        <f>IF($N166="","",INDEX('Per Line'!$D$2:$D$3001,$N166))</f>
        <v/>
      </c>
      <c r="D166">
        <f>IF($N166="","",INDEX('Per Line'!$C$2:$C$3001,$N166))</f>
        <v/>
      </c>
      <c r="E166">
        <f>IF($N166="","",INDEX('Per Line'!$A$2:$A$3001,$N166))</f>
        <v/>
      </c>
      <c r="H166">
        <f>IF($N166="","",INDEX('Per Line'!$V$2:$V$3001,$N166))</f>
        <v/>
      </c>
      <c r="I166" s="5">
        <f>IF($N166="","",SUMIFS('Per Line'!$X$2:$X$3001,'Per Line'!$D$2:$D$3001,$C166))</f>
        <v/>
      </c>
      <c r="J166" s="5">
        <f>IF($N166="","",SUMIFS('Per Line'!$Y$2:$Y$3001,'Per Line'!$D$2:$D$3001,$C166))</f>
        <v/>
      </c>
      <c r="K166" s="5">
        <f>IF($N166="","",SUMIFS('Per Line'!$Z$2:$Z$3001,'Per Line'!$D$2:$D$3001,$C166))</f>
        <v/>
      </c>
      <c r="L166" s="5">
        <f>IF($N166="","",I166-J166)</f>
        <v/>
      </c>
      <c r="M166" s="5">
        <f>IF($N166="","",L166-K166)</f>
        <v/>
      </c>
      <c r="N166">
        <f>IF(ROWS($N$2:$N166)&lt;=MAX('Per Line'!$AG$2:$AG$3001),MATCH(ROWS($N$2:$N166),'Per Line'!$AG$2:$AG$3001,0),"")</f>
        <v/>
      </c>
      <c r="O166">
        <f>IF(B166="Above Claim Form",COUNTIF($B$2:B166,"Above Claim Form"),"")</f>
        <v/>
      </c>
      <c r="P166">
        <f>IF(B166="Below Claim Form",COUNTIF($B$2:B166,"Below Claim Form"),"")</f>
        <v/>
      </c>
    </row>
    <row r="167">
      <c r="B167">
        <f>IF($N167="","",IFERROR(INDEX(Settings!$C$27:$C$36,MATCH(E167,Settings!$B$27:$B$36,0)),"Unassigned"))</f>
        <v/>
      </c>
      <c r="C167">
        <f>IF($N167="","",INDEX('Per Line'!$D$2:$D$3001,$N167))</f>
        <v/>
      </c>
      <c r="D167">
        <f>IF($N167="","",INDEX('Per Line'!$C$2:$C$3001,$N167))</f>
        <v/>
      </c>
      <c r="E167">
        <f>IF($N167="","",INDEX('Per Line'!$A$2:$A$3001,$N167))</f>
        <v/>
      </c>
      <c r="H167">
        <f>IF($N167="","",INDEX('Per Line'!$V$2:$V$3001,$N167))</f>
        <v/>
      </c>
      <c r="I167" s="5">
        <f>IF($N167="","",SUMIFS('Per Line'!$X$2:$X$3001,'Per Line'!$D$2:$D$3001,$C167))</f>
        <v/>
      </c>
      <c r="J167" s="5">
        <f>IF($N167="","",SUMIFS('Per Line'!$Y$2:$Y$3001,'Per Line'!$D$2:$D$3001,$C167))</f>
        <v/>
      </c>
      <c r="K167" s="5">
        <f>IF($N167="","",SUMIFS('Per Line'!$Z$2:$Z$3001,'Per Line'!$D$2:$D$3001,$C167))</f>
        <v/>
      </c>
      <c r="L167" s="5">
        <f>IF($N167="","",I167-J167)</f>
        <v/>
      </c>
      <c r="M167" s="5">
        <f>IF($N167="","",L167-K167)</f>
        <v/>
      </c>
      <c r="N167">
        <f>IF(ROWS($N$2:$N167)&lt;=MAX('Per Line'!$AG$2:$AG$3001),MATCH(ROWS($N$2:$N167),'Per Line'!$AG$2:$AG$3001,0),"")</f>
        <v/>
      </c>
      <c r="O167">
        <f>IF(B167="Above Claim Form",COUNTIF($B$2:B167,"Above Claim Form"),"")</f>
        <v/>
      </c>
      <c r="P167">
        <f>IF(B167="Below Claim Form",COUNTIF($B$2:B167,"Below Claim Form"),"")</f>
        <v/>
      </c>
    </row>
    <row r="168">
      <c r="B168">
        <f>IF($N168="","",IFERROR(INDEX(Settings!$C$27:$C$36,MATCH(E168,Settings!$B$27:$B$36,0)),"Unassigned"))</f>
        <v/>
      </c>
      <c r="C168">
        <f>IF($N168="","",INDEX('Per Line'!$D$2:$D$3001,$N168))</f>
        <v/>
      </c>
      <c r="D168">
        <f>IF($N168="","",INDEX('Per Line'!$C$2:$C$3001,$N168))</f>
        <v/>
      </c>
      <c r="E168">
        <f>IF($N168="","",INDEX('Per Line'!$A$2:$A$3001,$N168))</f>
        <v/>
      </c>
      <c r="H168">
        <f>IF($N168="","",INDEX('Per Line'!$V$2:$V$3001,$N168))</f>
        <v/>
      </c>
      <c r="I168" s="5">
        <f>IF($N168="","",SUMIFS('Per Line'!$X$2:$X$3001,'Per Line'!$D$2:$D$3001,$C168))</f>
        <v/>
      </c>
      <c r="J168" s="5">
        <f>IF($N168="","",SUMIFS('Per Line'!$Y$2:$Y$3001,'Per Line'!$D$2:$D$3001,$C168))</f>
        <v/>
      </c>
      <c r="K168" s="5">
        <f>IF($N168="","",SUMIFS('Per Line'!$Z$2:$Z$3001,'Per Line'!$D$2:$D$3001,$C168))</f>
        <v/>
      </c>
      <c r="L168" s="5">
        <f>IF($N168="","",I168-J168)</f>
        <v/>
      </c>
      <c r="M168" s="5">
        <f>IF($N168="","",L168-K168)</f>
        <v/>
      </c>
      <c r="N168">
        <f>IF(ROWS($N$2:$N168)&lt;=MAX('Per Line'!$AG$2:$AG$3001),MATCH(ROWS($N$2:$N168),'Per Line'!$AG$2:$AG$3001,0),"")</f>
        <v/>
      </c>
      <c r="O168">
        <f>IF(B168="Above Claim Form",COUNTIF($B$2:B168,"Above Claim Form"),"")</f>
        <v/>
      </c>
      <c r="P168">
        <f>IF(B168="Below Claim Form",COUNTIF($B$2:B168,"Below Claim Form"),"")</f>
        <v/>
      </c>
    </row>
    <row r="169">
      <c r="B169">
        <f>IF($N169="","",IFERROR(INDEX(Settings!$C$27:$C$36,MATCH(E169,Settings!$B$27:$B$36,0)),"Unassigned"))</f>
        <v/>
      </c>
      <c r="C169">
        <f>IF($N169="","",INDEX('Per Line'!$D$2:$D$3001,$N169))</f>
        <v/>
      </c>
      <c r="D169">
        <f>IF($N169="","",INDEX('Per Line'!$C$2:$C$3001,$N169))</f>
        <v/>
      </c>
      <c r="E169">
        <f>IF($N169="","",INDEX('Per Line'!$A$2:$A$3001,$N169))</f>
        <v/>
      </c>
      <c r="H169">
        <f>IF($N169="","",INDEX('Per Line'!$V$2:$V$3001,$N169))</f>
        <v/>
      </c>
      <c r="I169" s="5">
        <f>IF($N169="","",SUMIFS('Per Line'!$X$2:$X$3001,'Per Line'!$D$2:$D$3001,$C169))</f>
        <v/>
      </c>
      <c r="J169" s="5">
        <f>IF($N169="","",SUMIFS('Per Line'!$Y$2:$Y$3001,'Per Line'!$D$2:$D$3001,$C169))</f>
        <v/>
      </c>
      <c r="K169" s="5">
        <f>IF($N169="","",SUMIFS('Per Line'!$Z$2:$Z$3001,'Per Line'!$D$2:$D$3001,$C169))</f>
        <v/>
      </c>
      <c r="L169" s="5">
        <f>IF($N169="","",I169-J169)</f>
        <v/>
      </c>
      <c r="M169" s="5">
        <f>IF($N169="","",L169-K169)</f>
        <v/>
      </c>
      <c r="N169">
        <f>IF(ROWS($N$2:$N169)&lt;=MAX('Per Line'!$AG$2:$AG$3001),MATCH(ROWS($N$2:$N169),'Per Line'!$AG$2:$AG$3001,0),"")</f>
        <v/>
      </c>
      <c r="O169">
        <f>IF(B169="Above Claim Form",COUNTIF($B$2:B169,"Above Claim Form"),"")</f>
        <v/>
      </c>
      <c r="P169">
        <f>IF(B169="Below Claim Form",COUNTIF($B$2:B169,"Below Claim Form"),"")</f>
        <v/>
      </c>
    </row>
    <row r="170">
      <c r="B170">
        <f>IF($N170="","",IFERROR(INDEX(Settings!$C$27:$C$36,MATCH(E170,Settings!$B$27:$B$36,0)),"Unassigned"))</f>
        <v/>
      </c>
      <c r="C170">
        <f>IF($N170="","",INDEX('Per Line'!$D$2:$D$3001,$N170))</f>
        <v/>
      </c>
      <c r="D170">
        <f>IF($N170="","",INDEX('Per Line'!$C$2:$C$3001,$N170))</f>
        <v/>
      </c>
      <c r="E170">
        <f>IF($N170="","",INDEX('Per Line'!$A$2:$A$3001,$N170))</f>
        <v/>
      </c>
      <c r="H170">
        <f>IF($N170="","",INDEX('Per Line'!$V$2:$V$3001,$N170))</f>
        <v/>
      </c>
      <c r="I170" s="5">
        <f>IF($N170="","",SUMIFS('Per Line'!$X$2:$X$3001,'Per Line'!$D$2:$D$3001,$C170))</f>
        <v/>
      </c>
      <c r="J170" s="5">
        <f>IF($N170="","",SUMIFS('Per Line'!$Y$2:$Y$3001,'Per Line'!$D$2:$D$3001,$C170))</f>
        <v/>
      </c>
      <c r="K170" s="5">
        <f>IF($N170="","",SUMIFS('Per Line'!$Z$2:$Z$3001,'Per Line'!$D$2:$D$3001,$C170))</f>
        <v/>
      </c>
      <c r="L170" s="5">
        <f>IF($N170="","",I170-J170)</f>
        <v/>
      </c>
      <c r="M170" s="5">
        <f>IF($N170="","",L170-K170)</f>
        <v/>
      </c>
      <c r="N170">
        <f>IF(ROWS($N$2:$N170)&lt;=MAX('Per Line'!$AG$2:$AG$3001),MATCH(ROWS($N$2:$N170),'Per Line'!$AG$2:$AG$3001,0),"")</f>
        <v/>
      </c>
      <c r="O170">
        <f>IF(B170="Above Claim Form",COUNTIF($B$2:B170,"Above Claim Form"),"")</f>
        <v/>
      </c>
      <c r="P170">
        <f>IF(B170="Below Claim Form",COUNTIF($B$2:B170,"Below Claim Form"),"")</f>
        <v/>
      </c>
    </row>
    <row r="171">
      <c r="B171">
        <f>IF($N171="","",IFERROR(INDEX(Settings!$C$27:$C$36,MATCH(E171,Settings!$B$27:$B$36,0)),"Unassigned"))</f>
        <v/>
      </c>
      <c r="C171">
        <f>IF($N171="","",INDEX('Per Line'!$D$2:$D$3001,$N171))</f>
        <v/>
      </c>
      <c r="D171">
        <f>IF($N171="","",INDEX('Per Line'!$C$2:$C$3001,$N171))</f>
        <v/>
      </c>
      <c r="E171">
        <f>IF($N171="","",INDEX('Per Line'!$A$2:$A$3001,$N171))</f>
        <v/>
      </c>
      <c r="H171">
        <f>IF($N171="","",INDEX('Per Line'!$V$2:$V$3001,$N171))</f>
        <v/>
      </c>
      <c r="I171" s="5">
        <f>IF($N171="","",SUMIFS('Per Line'!$X$2:$X$3001,'Per Line'!$D$2:$D$3001,$C171))</f>
        <v/>
      </c>
      <c r="J171" s="5">
        <f>IF($N171="","",SUMIFS('Per Line'!$Y$2:$Y$3001,'Per Line'!$D$2:$D$3001,$C171))</f>
        <v/>
      </c>
      <c r="K171" s="5">
        <f>IF($N171="","",SUMIFS('Per Line'!$Z$2:$Z$3001,'Per Line'!$D$2:$D$3001,$C171))</f>
        <v/>
      </c>
      <c r="L171" s="5">
        <f>IF($N171="","",I171-J171)</f>
        <v/>
      </c>
      <c r="M171" s="5">
        <f>IF($N171="","",L171-K171)</f>
        <v/>
      </c>
      <c r="N171">
        <f>IF(ROWS($N$2:$N171)&lt;=MAX('Per Line'!$AG$2:$AG$3001),MATCH(ROWS($N$2:$N171),'Per Line'!$AG$2:$AG$3001,0),"")</f>
        <v/>
      </c>
      <c r="O171">
        <f>IF(B171="Above Claim Form",COUNTIF($B$2:B171,"Above Claim Form"),"")</f>
        <v/>
      </c>
      <c r="P171">
        <f>IF(B171="Below Claim Form",COUNTIF($B$2:B171,"Below Claim Form"),"")</f>
        <v/>
      </c>
    </row>
    <row r="172">
      <c r="B172">
        <f>IF($N172="","",IFERROR(INDEX(Settings!$C$27:$C$36,MATCH(E172,Settings!$B$27:$B$36,0)),"Unassigned"))</f>
        <v/>
      </c>
      <c r="C172">
        <f>IF($N172="","",INDEX('Per Line'!$D$2:$D$3001,$N172))</f>
        <v/>
      </c>
      <c r="D172">
        <f>IF($N172="","",INDEX('Per Line'!$C$2:$C$3001,$N172))</f>
        <v/>
      </c>
      <c r="E172">
        <f>IF($N172="","",INDEX('Per Line'!$A$2:$A$3001,$N172))</f>
        <v/>
      </c>
      <c r="H172">
        <f>IF($N172="","",INDEX('Per Line'!$V$2:$V$3001,$N172))</f>
        <v/>
      </c>
      <c r="I172" s="5">
        <f>IF($N172="","",SUMIFS('Per Line'!$X$2:$X$3001,'Per Line'!$D$2:$D$3001,$C172))</f>
        <v/>
      </c>
      <c r="J172" s="5">
        <f>IF($N172="","",SUMIFS('Per Line'!$Y$2:$Y$3001,'Per Line'!$D$2:$D$3001,$C172))</f>
        <v/>
      </c>
      <c r="K172" s="5">
        <f>IF($N172="","",SUMIFS('Per Line'!$Z$2:$Z$3001,'Per Line'!$D$2:$D$3001,$C172))</f>
        <v/>
      </c>
      <c r="L172" s="5">
        <f>IF($N172="","",I172-J172)</f>
        <v/>
      </c>
      <c r="M172" s="5">
        <f>IF($N172="","",L172-K172)</f>
        <v/>
      </c>
      <c r="N172">
        <f>IF(ROWS($N$2:$N172)&lt;=MAX('Per Line'!$AG$2:$AG$3001),MATCH(ROWS($N$2:$N172),'Per Line'!$AG$2:$AG$3001,0),"")</f>
        <v/>
      </c>
      <c r="O172">
        <f>IF(B172="Above Claim Form",COUNTIF($B$2:B172,"Above Claim Form"),"")</f>
        <v/>
      </c>
      <c r="P172">
        <f>IF(B172="Below Claim Form",COUNTIF($B$2:B172,"Below Claim Form"),"")</f>
        <v/>
      </c>
    </row>
    <row r="173">
      <c r="B173">
        <f>IF($N173="","",IFERROR(INDEX(Settings!$C$27:$C$36,MATCH(E173,Settings!$B$27:$B$36,0)),"Unassigned"))</f>
        <v/>
      </c>
      <c r="C173">
        <f>IF($N173="","",INDEX('Per Line'!$D$2:$D$3001,$N173))</f>
        <v/>
      </c>
      <c r="D173">
        <f>IF($N173="","",INDEX('Per Line'!$C$2:$C$3001,$N173))</f>
        <v/>
      </c>
      <c r="E173">
        <f>IF($N173="","",INDEX('Per Line'!$A$2:$A$3001,$N173))</f>
        <v/>
      </c>
      <c r="H173">
        <f>IF($N173="","",INDEX('Per Line'!$V$2:$V$3001,$N173))</f>
        <v/>
      </c>
      <c r="I173" s="5">
        <f>IF($N173="","",SUMIFS('Per Line'!$X$2:$X$3001,'Per Line'!$D$2:$D$3001,$C173))</f>
        <v/>
      </c>
      <c r="J173" s="5">
        <f>IF($N173="","",SUMIFS('Per Line'!$Y$2:$Y$3001,'Per Line'!$D$2:$D$3001,$C173))</f>
        <v/>
      </c>
      <c r="K173" s="5">
        <f>IF($N173="","",SUMIFS('Per Line'!$Z$2:$Z$3001,'Per Line'!$D$2:$D$3001,$C173))</f>
        <v/>
      </c>
      <c r="L173" s="5">
        <f>IF($N173="","",I173-J173)</f>
        <v/>
      </c>
      <c r="M173" s="5">
        <f>IF($N173="","",L173-K173)</f>
        <v/>
      </c>
      <c r="N173">
        <f>IF(ROWS($N$2:$N173)&lt;=MAX('Per Line'!$AG$2:$AG$3001),MATCH(ROWS($N$2:$N173),'Per Line'!$AG$2:$AG$3001,0),"")</f>
        <v/>
      </c>
      <c r="O173">
        <f>IF(B173="Above Claim Form",COUNTIF($B$2:B173,"Above Claim Form"),"")</f>
        <v/>
      </c>
      <c r="P173">
        <f>IF(B173="Below Claim Form",COUNTIF($B$2:B173,"Below Claim Form"),"")</f>
        <v/>
      </c>
    </row>
    <row r="174">
      <c r="B174">
        <f>IF($N174="","",IFERROR(INDEX(Settings!$C$27:$C$36,MATCH(E174,Settings!$B$27:$B$36,0)),"Unassigned"))</f>
        <v/>
      </c>
      <c r="C174">
        <f>IF($N174="","",INDEX('Per Line'!$D$2:$D$3001,$N174))</f>
        <v/>
      </c>
      <c r="D174">
        <f>IF($N174="","",INDEX('Per Line'!$C$2:$C$3001,$N174))</f>
        <v/>
      </c>
      <c r="E174">
        <f>IF($N174="","",INDEX('Per Line'!$A$2:$A$3001,$N174))</f>
        <v/>
      </c>
      <c r="H174">
        <f>IF($N174="","",INDEX('Per Line'!$V$2:$V$3001,$N174))</f>
        <v/>
      </c>
      <c r="I174" s="5">
        <f>IF($N174="","",SUMIFS('Per Line'!$X$2:$X$3001,'Per Line'!$D$2:$D$3001,$C174))</f>
        <v/>
      </c>
      <c r="J174" s="5">
        <f>IF($N174="","",SUMIFS('Per Line'!$Y$2:$Y$3001,'Per Line'!$D$2:$D$3001,$C174))</f>
        <v/>
      </c>
      <c r="K174" s="5">
        <f>IF($N174="","",SUMIFS('Per Line'!$Z$2:$Z$3001,'Per Line'!$D$2:$D$3001,$C174))</f>
        <v/>
      </c>
      <c r="L174" s="5">
        <f>IF($N174="","",I174-J174)</f>
        <v/>
      </c>
      <c r="M174" s="5">
        <f>IF($N174="","",L174-K174)</f>
        <v/>
      </c>
      <c r="N174">
        <f>IF(ROWS($N$2:$N174)&lt;=MAX('Per Line'!$AG$2:$AG$3001),MATCH(ROWS($N$2:$N174),'Per Line'!$AG$2:$AG$3001,0),"")</f>
        <v/>
      </c>
      <c r="O174">
        <f>IF(B174="Above Claim Form",COUNTIF($B$2:B174,"Above Claim Form"),"")</f>
        <v/>
      </c>
      <c r="P174">
        <f>IF(B174="Below Claim Form",COUNTIF($B$2:B174,"Below Claim Form"),"")</f>
        <v/>
      </c>
    </row>
    <row r="175">
      <c r="B175">
        <f>IF($N175="","",IFERROR(INDEX(Settings!$C$27:$C$36,MATCH(E175,Settings!$B$27:$B$36,0)),"Unassigned"))</f>
        <v/>
      </c>
      <c r="C175">
        <f>IF($N175="","",INDEX('Per Line'!$D$2:$D$3001,$N175))</f>
        <v/>
      </c>
      <c r="D175">
        <f>IF($N175="","",INDEX('Per Line'!$C$2:$C$3001,$N175))</f>
        <v/>
      </c>
      <c r="E175">
        <f>IF($N175="","",INDEX('Per Line'!$A$2:$A$3001,$N175))</f>
        <v/>
      </c>
      <c r="H175">
        <f>IF($N175="","",INDEX('Per Line'!$V$2:$V$3001,$N175))</f>
        <v/>
      </c>
      <c r="I175" s="5">
        <f>IF($N175="","",SUMIFS('Per Line'!$X$2:$X$3001,'Per Line'!$D$2:$D$3001,$C175))</f>
        <v/>
      </c>
      <c r="J175" s="5">
        <f>IF($N175="","",SUMIFS('Per Line'!$Y$2:$Y$3001,'Per Line'!$D$2:$D$3001,$C175))</f>
        <v/>
      </c>
      <c r="K175" s="5">
        <f>IF($N175="","",SUMIFS('Per Line'!$Z$2:$Z$3001,'Per Line'!$D$2:$D$3001,$C175))</f>
        <v/>
      </c>
      <c r="L175" s="5">
        <f>IF($N175="","",I175-J175)</f>
        <v/>
      </c>
      <c r="M175" s="5">
        <f>IF($N175="","",L175-K175)</f>
        <v/>
      </c>
      <c r="N175">
        <f>IF(ROWS($N$2:$N175)&lt;=MAX('Per Line'!$AG$2:$AG$3001),MATCH(ROWS($N$2:$N175),'Per Line'!$AG$2:$AG$3001,0),"")</f>
        <v/>
      </c>
      <c r="O175">
        <f>IF(B175="Above Claim Form",COUNTIF($B$2:B175,"Above Claim Form"),"")</f>
        <v/>
      </c>
      <c r="P175">
        <f>IF(B175="Below Claim Form",COUNTIF($B$2:B175,"Below Claim Form"),"")</f>
        <v/>
      </c>
    </row>
    <row r="176">
      <c r="B176">
        <f>IF($N176="","",IFERROR(INDEX(Settings!$C$27:$C$36,MATCH(E176,Settings!$B$27:$B$36,0)),"Unassigned"))</f>
        <v/>
      </c>
      <c r="C176">
        <f>IF($N176="","",INDEX('Per Line'!$D$2:$D$3001,$N176))</f>
        <v/>
      </c>
      <c r="D176">
        <f>IF($N176="","",INDEX('Per Line'!$C$2:$C$3001,$N176))</f>
        <v/>
      </c>
      <c r="E176">
        <f>IF($N176="","",INDEX('Per Line'!$A$2:$A$3001,$N176))</f>
        <v/>
      </c>
      <c r="H176">
        <f>IF($N176="","",INDEX('Per Line'!$V$2:$V$3001,$N176))</f>
        <v/>
      </c>
      <c r="I176" s="5">
        <f>IF($N176="","",SUMIFS('Per Line'!$X$2:$X$3001,'Per Line'!$D$2:$D$3001,$C176))</f>
        <v/>
      </c>
      <c r="J176" s="5">
        <f>IF($N176="","",SUMIFS('Per Line'!$Y$2:$Y$3001,'Per Line'!$D$2:$D$3001,$C176))</f>
        <v/>
      </c>
      <c r="K176" s="5">
        <f>IF($N176="","",SUMIFS('Per Line'!$Z$2:$Z$3001,'Per Line'!$D$2:$D$3001,$C176))</f>
        <v/>
      </c>
      <c r="L176" s="5">
        <f>IF($N176="","",I176-J176)</f>
        <v/>
      </c>
      <c r="M176" s="5">
        <f>IF($N176="","",L176-K176)</f>
        <v/>
      </c>
      <c r="N176">
        <f>IF(ROWS($N$2:$N176)&lt;=MAX('Per Line'!$AG$2:$AG$3001),MATCH(ROWS($N$2:$N176),'Per Line'!$AG$2:$AG$3001,0),"")</f>
        <v/>
      </c>
      <c r="O176">
        <f>IF(B176="Above Claim Form",COUNTIF($B$2:B176,"Above Claim Form"),"")</f>
        <v/>
      </c>
      <c r="P176">
        <f>IF(B176="Below Claim Form",COUNTIF($B$2:B176,"Below Claim Form"),"")</f>
        <v/>
      </c>
    </row>
    <row r="177">
      <c r="B177">
        <f>IF($N177="","",IFERROR(INDEX(Settings!$C$27:$C$36,MATCH(E177,Settings!$B$27:$B$36,0)),"Unassigned"))</f>
        <v/>
      </c>
      <c r="C177">
        <f>IF($N177="","",INDEX('Per Line'!$D$2:$D$3001,$N177))</f>
        <v/>
      </c>
      <c r="D177">
        <f>IF($N177="","",INDEX('Per Line'!$C$2:$C$3001,$N177))</f>
        <v/>
      </c>
      <c r="E177">
        <f>IF($N177="","",INDEX('Per Line'!$A$2:$A$3001,$N177))</f>
        <v/>
      </c>
      <c r="H177">
        <f>IF($N177="","",INDEX('Per Line'!$V$2:$V$3001,$N177))</f>
        <v/>
      </c>
      <c r="I177" s="5">
        <f>IF($N177="","",SUMIFS('Per Line'!$X$2:$X$3001,'Per Line'!$D$2:$D$3001,$C177))</f>
        <v/>
      </c>
      <c r="J177" s="5">
        <f>IF($N177="","",SUMIFS('Per Line'!$Y$2:$Y$3001,'Per Line'!$D$2:$D$3001,$C177))</f>
        <v/>
      </c>
      <c r="K177" s="5">
        <f>IF($N177="","",SUMIFS('Per Line'!$Z$2:$Z$3001,'Per Line'!$D$2:$D$3001,$C177))</f>
        <v/>
      </c>
      <c r="L177" s="5">
        <f>IF($N177="","",I177-J177)</f>
        <v/>
      </c>
      <c r="M177" s="5">
        <f>IF($N177="","",L177-K177)</f>
        <v/>
      </c>
      <c r="N177">
        <f>IF(ROWS($N$2:$N177)&lt;=MAX('Per Line'!$AG$2:$AG$3001),MATCH(ROWS($N$2:$N177),'Per Line'!$AG$2:$AG$3001,0),"")</f>
        <v/>
      </c>
      <c r="O177">
        <f>IF(B177="Above Claim Form",COUNTIF($B$2:B177,"Above Claim Form"),"")</f>
        <v/>
      </c>
      <c r="P177">
        <f>IF(B177="Below Claim Form",COUNTIF($B$2:B177,"Below Claim Form"),"")</f>
        <v/>
      </c>
    </row>
    <row r="178">
      <c r="B178">
        <f>IF($N178="","",IFERROR(INDEX(Settings!$C$27:$C$36,MATCH(E178,Settings!$B$27:$B$36,0)),"Unassigned"))</f>
        <v/>
      </c>
      <c r="C178">
        <f>IF($N178="","",INDEX('Per Line'!$D$2:$D$3001,$N178))</f>
        <v/>
      </c>
      <c r="D178">
        <f>IF($N178="","",INDEX('Per Line'!$C$2:$C$3001,$N178))</f>
        <v/>
      </c>
      <c r="E178">
        <f>IF($N178="","",INDEX('Per Line'!$A$2:$A$3001,$N178))</f>
        <v/>
      </c>
      <c r="H178">
        <f>IF($N178="","",INDEX('Per Line'!$V$2:$V$3001,$N178))</f>
        <v/>
      </c>
      <c r="I178" s="5">
        <f>IF($N178="","",SUMIFS('Per Line'!$X$2:$X$3001,'Per Line'!$D$2:$D$3001,$C178))</f>
        <v/>
      </c>
      <c r="J178" s="5">
        <f>IF($N178="","",SUMIFS('Per Line'!$Y$2:$Y$3001,'Per Line'!$D$2:$D$3001,$C178))</f>
        <v/>
      </c>
      <c r="K178" s="5">
        <f>IF($N178="","",SUMIFS('Per Line'!$Z$2:$Z$3001,'Per Line'!$D$2:$D$3001,$C178))</f>
        <v/>
      </c>
      <c r="L178" s="5">
        <f>IF($N178="","",I178-J178)</f>
        <v/>
      </c>
      <c r="M178" s="5">
        <f>IF($N178="","",L178-K178)</f>
        <v/>
      </c>
      <c r="N178">
        <f>IF(ROWS($N$2:$N178)&lt;=MAX('Per Line'!$AG$2:$AG$3001),MATCH(ROWS($N$2:$N178),'Per Line'!$AG$2:$AG$3001,0),"")</f>
        <v/>
      </c>
      <c r="O178">
        <f>IF(B178="Above Claim Form",COUNTIF($B$2:B178,"Above Claim Form"),"")</f>
        <v/>
      </c>
      <c r="P178">
        <f>IF(B178="Below Claim Form",COUNTIF($B$2:B178,"Below Claim Form"),"")</f>
        <v/>
      </c>
    </row>
    <row r="179">
      <c r="B179">
        <f>IF($N179="","",IFERROR(INDEX(Settings!$C$27:$C$36,MATCH(E179,Settings!$B$27:$B$36,0)),"Unassigned"))</f>
        <v/>
      </c>
      <c r="C179">
        <f>IF($N179="","",INDEX('Per Line'!$D$2:$D$3001,$N179))</f>
        <v/>
      </c>
      <c r="D179">
        <f>IF($N179="","",INDEX('Per Line'!$C$2:$C$3001,$N179))</f>
        <v/>
      </c>
      <c r="E179">
        <f>IF($N179="","",INDEX('Per Line'!$A$2:$A$3001,$N179))</f>
        <v/>
      </c>
      <c r="H179">
        <f>IF($N179="","",INDEX('Per Line'!$V$2:$V$3001,$N179))</f>
        <v/>
      </c>
      <c r="I179" s="5">
        <f>IF($N179="","",SUMIFS('Per Line'!$X$2:$X$3001,'Per Line'!$D$2:$D$3001,$C179))</f>
        <v/>
      </c>
      <c r="J179" s="5">
        <f>IF($N179="","",SUMIFS('Per Line'!$Y$2:$Y$3001,'Per Line'!$D$2:$D$3001,$C179))</f>
        <v/>
      </c>
      <c r="K179" s="5">
        <f>IF($N179="","",SUMIFS('Per Line'!$Z$2:$Z$3001,'Per Line'!$D$2:$D$3001,$C179))</f>
        <v/>
      </c>
      <c r="L179" s="5">
        <f>IF($N179="","",I179-J179)</f>
        <v/>
      </c>
      <c r="M179" s="5">
        <f>IF($N179="","",L179-K179)</f>
        <v/>
      </c>
      <c r="N179">
        <f>IF(ROWS($N$2:$N179)&lt;=MAX('Per Line'!$AG$2:$AG$3001),MATCH(ROWS($N$2:$N179),'Per Line'!$AG$2:$AG$3001,0),"")</f>
        <v/>
      </c>
      <c r="O179">
        <f>IF(B179="Above Claim Form",COUNTIF($B$2:B179,"Above Claim Form"),"")</f>
        <v/>
      </c>
      <c r="P179">
        <f>IF(B179="Below Claim Form",COUNTIF($B$2:B179,"Below Claim Form"),"")</f>
        <v/>
      </c>
    </row>
    <row r="180">
      <c r="B180">
        <f>IF($N180="","",IFERROR(INDEX(Settings!$C$27:$C$36,MATCH(E180,Settings!$B$27:$B$36,0)),"Unassigned"))</f>
        <v/>
      </c>
      <c r="C180">
        <f>IF($N180="","",INDEX('Per Line'!$D$2:$D$3001,$N180))</f>
        <v/>
      </c>
      <c r="D180">
        <f>IF($N180="","",INDEX('Per Line'!$C$2:$C$3001,$N180))</f>
        <v/>
      </c>
      <c r="E180">
        <f>IF($N180="","",INDEX('Per Line'!$A$2:$A$3001,$N180))</f>
        <v/>
      </c>
      <c r="H180">
        <f>IF($N180="","",INDEX('Per Line'!$V$2:$V$3001,$N180))</f>
        <v/>
      </c>
      <c r="I180" s="5">
        <f>IF($N180="","",SUMIFS('Per Line'!$X$2:$X$3001,'Per Line'!$D$2:$D$3001,$C180))</f>
        <v/>
      </c>
      <c r="J180" s="5">
        <f>IF($N180="","",SUMIFS('Per Line'!$Y$2:$Y$3001,'Per Line'!$D$2:$D$3001,$C180))</f>
        <v/>
      </c>
      <c r="K180" s="5">
        <f>IF($N180="","",SUMIFS('Per Line'!$Z$2:$Z$3001,'Per Line'!$D$2:$D$3001,$C180))</f>
        <v/>
      </c>
      <c r="L180" s="5">
        <f>IF($N180="","",I180-J180)</f>
        <v/>
      </c>
      <c r="M180" s="5">
        <f>IF($N180="","",L180-K180)</f>
        <v/>
      </c>
      <c r="N180">
        <f>IF(ROWS($N$2:$N180)&lt;=MAX('Per Line'!$AG$2:$AG$3001),MATCH(ROWS($N$2:$N180),'Per Line'!$AG$2:$AG$3001,0),"")</f>
        <v/>
      </c>
      <c r="O180">
        <f>IF(B180="Above Claim Form",COUNTIF($B$2:B180,"Above Claim Form"),"")</f>
        <v/>
      </c>
      <c r="P180">
        <f>IF(B180="Below Claim Form",COUNTIF($B$2:B180,"Below Claim Form"),"")</f>
        <v/>
      </c>
    </row>
    <row r="181">
      <c r="B181">
        <f>IF($N181="","",IFERROR(INDEX(Settings!$C$27:$C$36,MATCH(E181,Settings!$B$27:$B$36,0)),"Unassigned"))</f>
        <v/>
      </c>
      <c r="C181">
        <f>IF($N181="","",INDEX('Per Line'!$D$2:$D$3001,$N181))</f>
        <v/>
      </c>
      <c r="D181">
        <f>IF($N181="","",INDEX('Per Line'!$C$2:$C$3001,$N181))</f>
        <v/>
      </c>
      <c r="E181">
        <f>IF($N181="","",INDEX('Per Line'!$A$2:$A$3001,$N181))</f>
        <v/>
      </c>
      <c r="H181">
        <f>IF($N181="","",INDEX('Per Line'!$V$2:$V$3001,$N181))</f>
        <v/>
      </c>
      <c r="I181" s="5">
        <f>IF($N181="","",SUMIFS('Per Line'!$X$2:$X$3001,'Per Line'!$D$2:$D$3001,$C181))</f>
        <v/>
      </c>
      <c r="J181" s="5">
        <f>IF($N181="","",SUMIFS('Per Line'!$Y$2:$Y$3001,'Per Line'!$D$2:$D$3001,$C181))</f>
        <v/>
      </c>
      <c r="K181" s="5">
        <f>IF($N181="","",SUMIFS('Per Line'!$Z$2:$Z$3001,'Per Line'!$D$2:$D$3001,$C181))</f>
        <v/>
      </c>
      <c r="L181" s="5">
        <f>IF($N181="","",I181-J181)</f>
        <v/>
      </c>
      <c r="M181" s="5">
        <f>IF($N181="","",L181-K181)</f>
        <v/>
      </c>
      <c r="N181">
        <f>IF(ROWS($N$2:$N181)&lt;=MAX('Per Line'!$AG$2:$AG$3001),MATCH(ROWS($N$2:$N181),'Per Line'!$AG$2:$AG$3001,0),"")</f>
        <v/>
      </c>
      <c r="O181">
        <f>IF(B181="Above Claim Form",COUNTIF($B$2:B181,"Above Claim Form"),"")</f>
        <v/>
      </c>
      <c r="P181">
        <f>IF(B181="Below Claim Form",COUNTIF($B$2:B181,"Below Claim Form"),"")</f>
        <v/>
      </c>
    </row>
    <row r="182">
      <c r="B182">
        <f>IF($N182="","",IFERROR(INDEX(Settings!$C$27:$C$36,MATCH(E182,Settings!$B$27:$B$36,0)),"Unassigned"))</f>
        <v/>
      </c>
      <c r="C182">
        <f>IF($N182="","",INDEX('Per Line'!$D$2:$D$3001,$N182))</f>
        <v/>
      </c>
      <c r="D182">
        <f>IF($N182="","",INDEX('Per Line'!$C$2:$C$3001,$N182))</f>
        <v/>
      </c>
      <c r="E182">
        <f>IF($N182="","",INDEX('Per Line'!$A$2:$A$3001,$N182))</f>
        <v/>
      </c>
      <c r="H182">
        <f>IF($N182="","",INDEX('Per Line'!$V$2:$V$3001,$N182))</f>
        <v/>
      </c>
      <c r="I182" s="5">
        <f>IF($N182="","",SUMIFS('Per Line'!$X$2:$X$3001,'Per Line'!$D$2:$D$3001,$C182))</f>
        <v/>
      </c>
      <c r="J182" s="5">
        <f>IF($N182="","",SUMIFS('Per Line'!$Y$2:$Y$3001,'Per Line'!$D$2:$D$3001,$C182))</f>
        <v/>
      </c>
      <c r="K182" s="5">
        <f>IF($N182="","",SUMIFS('Per Line'!$Z$2:$Z$3001,'Per Line'!$D$2:$D$3001,$C182))</f>
        <v/>
      </c>
      <c r="L182" s="5">
        <f>IF($N182="","",I182-J182)</f>
        <v/>
      </c>
      <c r="M182" s="5">
        <f>IF($N182="","",L182-K182)</f>
        <v/>
      </c>
      <c r="N182">
        <f>IF(ROWS($N$2:$N182)&lt;=MAX('Per Line'!$AG$2:$AG$3001),MATCH(ROWS($N$2:$N182),'Per Line'!$AG$2:$AG$3001,0),"")</f>
        <v/>
      </c>
      <c r="O182">
        <f>IF(B182="Above Claim Form",COUNTIF($B$2:B182,"Above Claim Form"),"")</f>
        <v/>
      </c>
      <c r="P182">
        <f>IF(B182="Below Claim Form",COUNTIF($B$2:B182,"Below Claim Form"),"")</f>
        <v/>
      </c>
    </row>
    <row r="183">
      <c r="B183">
        <f>IF($N183="","",IFERROR(INDEX(Settings!$C$27:$C$36,MATCH(E183,Settings!$B$27:$B$36,0)),"Unassigned"))</f>
        <v/>
      </c>
      <c r="C183">
        <f>IF($N183="","",INDEX('Per Line'!$D$2:$D$3001,$N183))</f>
        <v/>
      </c>
      <c r="D183">
        <f>IF($N183="","",INDEX('Per Line'!$C$2:$C$3001,$N183))</f>
        <v/>
      </c>
      <c r="E183">
        <f>IF($N183="","",INDEX('Per Line'!$A$2:$A$3001,$N183))</f>
        <v/>
      </c>
      <c r="H183">
        <f>IF($N183="","",INDEX('Per Line'!$V$2:$V$3001,$N183))</f>
        <v/>
      </c>
      <c r="I183" s="5">
        <f>IF($N183="","",SUMIFS('Per Line'!$X$2:$X$3001,'Per Line'!$D$2:$D$3001,$C183))</f>
        <v/>
      </c>
      <c r="J183" s="5">
        <f>IF($N183="","",SUMIFS('Per Line'!$Y$2:$Y$3001,'Per Line'!$D$2:$D$3001,$C183))</f>
        <v/>
      </c>
      <c r="K183" s="5">
        <f>IF($N183="","",SUMIFS('Per Line'!$Z$2:$Z$3001,'Per Line'!$D$2:$D$3001,$C183))</f>
        <v/>
      </c>
      <c r="L183" s="5">
        <f>IF($N183="","",I183-J183)</f>
        <v/>
      </c>
      <c r="M183" s="5">
        <f>IF($N183="","",L183-K183)</f>
        <v/>
      </c>
      <c r="N183">
        <f>IF(ROWS($N$2:$N183)&lt;=MAX('Per Line'!$AG$2:$AG$3001),MATCH(ROWS($N$2:$N183),'Per Line'!$AG$2:$AG$3001,0),"")</f>
        <v/>
      </c>
      <c r="O183">
        <f>IF(B183="Above Claim Form",COUNTIF($B$2:B183,"Above Claim Form"),"")</f>
        <v/>
      </c>
      <c r="P183">
        <f>IF(B183="Below Claim Form",COUNTIF($B$2:B183,"Below Claim Form"),"")</f>
        <v/>
      </c>
    </row>
    <row r="184">
      <c r="B184">
        <f>IF($N184="","",IFERROR(INDEX(Settings!$C$27:$C$36,MATCH(E184,Settings!$B$27:$B$36,0)),"Unassigned"))</f>
        <v/>
      </c>
      <c r="C184">
        <f>IF($N184="","",INDEX('Per Line'!$D$2:$D$3001,$N184))</f>
        <v/>
      </c>
      <c r="D184">
        <f>IF($N184="","",INDEX('Per Line'!$C$2:$C$3001,$N184))</f>
        <v/>
      </c>
      <c r="E184">
        <f>IF($N184="","",INDEX('Per Line'!$A$2:$A$3001,$N184))</f>
        <v/>
      </c>
      <c r="H184">
        <f>IF($N184="","",INDEX('Per Line'!$V$2:$V$3001,$N184))</f>
        <v/>
      </c>
      <c r="I184" s="5">
        <f>IF($N184="","",SUMIFS('Per Line'!$X$2:$X$3001,'Per Line'!$D$2:$D$3001,$C184))</f>
        <v/>
      </c>
      <c r="J184" s="5">
        <f>IF($N184="","",SUMIFS('Per Line'!$Y$2:$Y$3001,'Per Line'!$D$2:$D$3001,$C184))</f>
        <v/>
      </c>
      <c r="K184" s="5">
        <f>IF($N184="","",SUMIFS('Per Line'!$Z$2:$Z$3001,'Per Line'!$D$2:$D$3001,$C184))</f>
        <v/>
      </c>
      <c r="L184" s="5">
        <f>IF($N184="","",I184-J184)</f>
        <v/>
      </c>
      <c r="M184" s="5">
        <f>IF($N184="","",L184-K184)</f>
        <v/>
      </c>
      <c r="N184">
        <f>IF(ROWS($N$2:$N184)&lt;=MAX('Per Line'!$AG$2:$AG$3001),MATCH(ROWS($N$2:$N184),'Per Line'!$AG$2:$AG$3001,0),"")</f>
        <v/>
      </c>
      <c r="O184">
        <f>IF(B184="Above Claim Form",COUNTIF($B$2:B184,"Above Claim Form"),"")</f>
        <v/>
      </c>
      <c r="P184">
        <f>IF(B184="Below Claim Form",COUNTIF($B$2:B184,"Below Claim Form"),"")</f>
        <v/>
      </c>
    </row>
    <row r="185">
      <c r="B185">
        <f>IF($N185="","",IFERROR(INDEX(Settings!$C$27:$C$36,MATCH(E185,Settings!$B$27:$B$36,0)),"Unassigned"))</f>
        <v/>
      </c>
      <c r="C185">
        <f>IF($N185="","",INDEX('Per Line'!$D$2:$D$3001,$N185))</f>
        <v/>
      </c>
      <c r="D185">
        <f>IF($N185="","",INDEX('Per Line'!$C$2:$C$3001,$N185))</f>
        <v/>
      </c>
      <c r="E185">
        <f>IF($N185="","",INDEX('Per Line'!$A$2:$A$3001,$N185))</f>
        <v/>
      </c>
      <c r="H185">
        <f>IF($N185="","",INDEX('Per Line'!$V$2:$V$3001,$N185))</f>
        <v/>
      </c>
      <c r="I185" s="5">
        <f>IF($N185="","",SUMIFS('Per Line'!$X$2:$X$3001,'Per Line'!$D$2:$D$3001,$C185))</f>
        <v/>
      </c>
      <c r="J185" s="5">
        <f>IF($N185="","",SUMIFS('Per Line'!$Y$2:$Y$3001,'Per Line'!$D$2:$D$3001,$C185))</f>
        <v/>
      </c>
      <c r="K185" s="5">
        <f>IF($N185="","",SUMIFS('Per Line'!$Z$2:$Z$3001,'Per Line'!$D$2:$D$3001,$C185))</f>
        <v/>
      </c>
      <c r="L185" s="5">
        <f>IF($N185="","",I185-J185)</f>
        <v/>
      </c>
      <c r="M185" s="5">
        <f>IF($N185="","",L185-K185)</f>
        <v/>
      </c>
      <c r="N185">
        <f>IF(ROWS($N$2:$N185)&lt;=MAX('Per Line'!$AG$2:$AG$3001),MATCH(ROWS($N$2:$N185),'Per Line'!$AG$2:$AG$3001,0),"")</f>
        <v/>
      </c>
      <c r="O185">
        <f>IF(B185="Above Claim Form",COUNTIF($B$2:B185,"Above Claim Form"),"")</f>
        <v/>
      </c>
      <c r="P185">
        <f>IF(B185="Below Claim Form",COUNTIF($B$2:B185,"Below Claim Form"),"")</f>
        <v/>
      </c>
    </row>
    <row r="186">
      <c r="B186">
        <f>IF($N186="","",IFERROR(INDEX(Settings!$C$27:$C$36,MATCH(E186,Settings!$B$27:$B$36,0)),"Unassigned"))</f>
        <v/>
      </c>
      <c r="C186">
        <f>IF($N186="","",INDEX('Per Line'!$D$2:$D$3001,$N186))</f>
        <v/>
      </c>
      <c r="D186">
        <f>IF($N186="","",INDEX('Per Line'!$C$2:$C$3001,$N186))</f>
        <v/>
      </c>
      <c r="E186">
        <f>IF($N186="","",INDEX('Per Line'!$A$2:$A$3001,$N186))</f>
        <v/>
      </c>
      <c r="H186">
        <f>IF($N186="","",INDEX('Per Line'!$V$2:$V$3001,$N186))</f>
        <v/>
      </c>
      <c r="I186" s="5">
        <f>IF($N186="","",SUMIFS('Per Line'!$X$2:$X$3001,'Per Line'!$D$2:$D$3001,$C186))</f>
        <v/>
      </c>
      <c r="J186" s="5">
        <f>IF($N186="","",SUMIFS('Per Line'!$Y$2:$Y$3001,'Per Line'!$D$2:$D$3001,$C186))</f>
        <v/>
      </c>
      <c r="K186" s="5">
        <f>IF($N186="","",SUMIFS('Per Line'!$Z$2:$Z$3001,'Per Line'!$D$2:$D$3001,$C186))</f>
        <v/>
      </c>
      <c r="L186" s="5">
        <f>IF($N186="","",I186-J186)</f>
        <v/>
      </c>
      <c r="M186" s="5">
        <f>IF($N186="","",L186-K186)</f>
        <v/>
      </c>
      <c r="N186">
        <f>IF(ROWS($N$2:$N186)&lt;=MAX('Per Line'!$AG$2:$AG$3001),MATCH(ROWS($N$2:$N186),'Per Line'!$AG$2:$AG$3001,0),"")</f>
        <v/>
      </c>
      <c r="O186">
        <f>IF(B186="Above Claim Form",COUNTIF($B$2:B186,"Above Claim Form"),"")</f>
        <v/>
      </c>
      <c r="P186">
        <f>IF(B186="Below Claim Form",COUNTIF($B$2:B186,"Below Claim Form"),"")</f>
        <v/>
      </c>
    </row>
    <row r="187">
      <c r="B187">
        <f>IF($N187="","",IFERROR(INDEX(Settings!$C$27:$C$36,MATCH(E187,Settings!$B$27:$B$36,0)),"Unassigned"))</f>
        <v/>
      </c>
      <c r="C187">
        <f>IF($N187="","",INDEX('Per Line'!$D$2:$D$3001,$N187))</f>
        <v/>
      </c>
      <c r="D187">
        <f>IF($N187="","",INDEX('Per Line'!$C$2:$C$3001,$N187))</f>
        <v/>
      </c>
      <c r="E187">
        <f>IF($N187="","",INDEX('Per Line'!$A$2:$A$3001,$N187))</f>
        <v/>
      </c>
      <c r="H187">
        <f>IF($N187="","",INDEX('Per Line'!$V$2:$V$3001,$N187))</f>
        <v/>
      </c>
      <c r="I187" s="5">
        <f>IF($N187="","",SUMIFS('Per Line'!$X$2:$X$3001,'Per Line'!$D$2:$D$3001,$C187))</f>
        <v/>
      </c>
      <c r="J187" s="5">
        <f>IF($N187="","",SUMIFS('Per Line'!$Y$2:$Y$3001,'Per Line'!$D$2:$D$3001,$C187))</f>
        <v/>
      </c>
      <c r="K187" s="5">
        <f>IF($N187="","",SUMIFS('Per Line'!$Z$2:$Z$3001,'Per Line'!$D$2:$D$3001,$C187))</f>
        <v/>
      </c>
      <c r="L187" s="5">
        <f>IF($N187="","",I187-J187)</f>
        <v/>
      </c>
      <c r="M187" s="5">
        <f>IF($N187="","",L187-K187)</f>
        <v/>
      </c>
      <c r="N187">
        <f>IF(ROWS($N$2:$N187)&lt;=MAX('Per Line'!$AG$2:$AG$3001),MATCH(ROWS($N$2:$N187),'Per Line'!$AG$2:$AG$3001,0),"")</f>
        <v/>
      </c>
      <c r="O187">
        <f>IF(B187="Above Claim Form",COUNTIF($B$2:B187,"Above Claim Form"),"")</f>
        <v/>
      </c>
      <c r="P187">
        <f>IF(B187="Below Claim Form",COUNTIF($B$2:B187,"Below Claim Form"),"")</f>
        <v/>
      </c>
    </row>
    <row r="188">
      <c r="B188">
        <f>IF($N188="","",IFERROR(INDEX(Settings!$C$27:$C$36,MATCH(E188,Settings!$B$27:$B$36,0)),"Unassigned"))</f>
        <v/>
      </c>
      <c r="C188">
        <f>IF($N188="","",INDEX('Per Line'!$D$2:$D$3001,$N188))</f>
        <v/>
      </c>
      <c r="D188">
        <f>IF($N188="","",INDEX('Per Line'!$C$2:$C$3001,$N188))</f>
        <v/>
      </c>
      <c r="E188">
        <f>IF($N188="","",INDEX('Per Line'!$A$2:$A$3001,$N188))</f>
        <v/>
      </c>
      <c r="H188">
        <f>IF($N188="","",INDEX('Per Line'!$V$2:$V$3001,$N188))</f>
        <v/>
      </c>
      <c r="I188" s="5">
        <f>IF($N188="","",SUMIFS('Per Line'!$X$2:$X$3001,'Per Line'!$D$2:$D$3001,$C188))</f>
        <v/>
      </c>
      <c r="J188" s="5">
        <f>IF($N188="","",SUMIFS('Per Line'!$Y$2:$Y$3001,'Per Line'!$D$2:$D$3001,$C188))</f>
        <v/>
      </c>
      <c r="K188" s="5">
        <f>IF($N188="","",SUMIFS('Per Line'!$Z$2:$Z$3001,'Per Line'!$D$2:$D$3001,$C188))</f>
        <v/>
      </c>
      <c r="L188" s="5">
        <f>IF($N188="","",I188-J188)</f>
        <v/>
      </c>
      <c r="M188" s="5">
        <f>IF($N188="","",L188-K188)</f>
        <v/>
      </c>
      <c r="N188">
        <f>IF(ROWS($N$2:$N188)&lt;=MAX('Per Line'!$AG$2:$AG$3001),MATCH(ROWS($N$2:$N188),'Per Line'!$AG$2:$AG$3001,0),"")</f>
        <v/>
      </c>
      <c r="O188">
        <f>IF(B188="Above Claim Form",COUNTIF($B$2:B188,"Above Claim Form"),"")</f>
        <v/>
      </c>
      <c r="P188">
        <f>IF(B188="Below Claim Form",COUNTIF($B$2:B188,"Below Claim Form"),"")</f>
        <v/>
      </c>
    </row>
    <row r="189">
      <c r="B189">
        <f>IF($N189="","",IFERROR(INDEX(Settings!$C$27:$C$36,MATCH(E189,Settings!$B$27:$B$36,0)),"Unassigned"))</f>
        <v/>
      </c>
      <c r="C189">
        <f>IF($N189="","",INDEX('Per Line'!$D$2:$D$3001,$N189))</f>
        <v/>
      </c>
      <c r="D189">
        <f>IF($N189="","",INDEX('Per Line'!$C$2:$C$3001,$N189))</f>
        <v/>
      </c>
      <c r="E189">
        <f>IF($N189="","",INDEX('Per Line'!$A$2:$A$3001,$N189))</f>
        <v/>
      </c>
      <c r="H189">
        <f>IF($N189="","",INDEX('Per Line'!$V$2:$V$3001,$N189))</f>
        <v/>
      </c>
      <c r="I189" s="5">
        <f>IF($N189="","",SUMIFS('Per Line'!$X$2:$X$3001,'Per Line'!$D$2:$D$3001,$C189))</f>
        <v/>
      </c>
      <c r="J189" s="5">
        <f>IF($N189="","",SUMIFS('Per Line'!$Y$2:$Y$3001,'Per Line'!$D$2:$D$3001,$C189))</f>
        <v/>
      </c>
      <c r="K189" s="5">
        <f>IF($N189="","",SUMIFS('Per Line'!$Z$2:$Z$3001,'Per Line'!$D$2:$D$3001,$C189))</f>
        <v/>
      </c>
      <c r="L189" s="5">
        <f>IF($N189="","",I189-J189)</f>
        <v/>
      </c>
      <c r="M189" s="5">
        <f>IF($N189="","",L189-K189)</f>
        <v/>
      </c>
      <c r="N189">
        <f>IF(ROWS($N$2:$N189)&lt;=MAX('Per Line'!$AG$2:$AG$3001),MATCH(ROWS($N$2:$N189),'Per Line'!$AG$2:$AG$3001,0),"")</f>
        <v/>
      </c>
      <c r="O189">
        <f>IF(B189="Above Claim Form",COUNTIF($B$2:B189,"Above Claim Form"),"")</f>
        <v/>
      </c>
      <c r="P189">
        <f>IF(B189="Below Claim Form",COUNTIF($B$2:B189,"Below Claim Form"),"")</f>
        <v/>
      </c>
    </row>
    <row r="190">
      <c r="B190">
        <f>IF($N190="","",IFERROR(INDEX(Settings!$C$27:$C$36,MATCH(E190,Settings!$B$27:$B$36,0)),"Unassigned"))</f>
        <v/>
      </c>
      <c r="C190">
        <f>IF($N190="","",INDEX('Per Line'!$D$2:$D$3001,$N190))</f>
        <v/>
      </c>
      <c r="D190">
        <f>IF($N190="","",INDEX('Per Line'!$C$2:$C$3001,$N190))</f>
        <v/>
      </c>
      <c r="E190">
        <f>IF($N190="","",INDEX('Per Line'!$A$2:$A$3001,$N190))</f>
        <v/>
      </c>
      <c r="H190">
        <f>IF($N190="","",INDEX('Per Line'!$V$2:$V$3001,$N190))</f>
        <v/>
      </c>
      <c r="I190" s="5">
        <f>IF($N190="","",SUMIFS('Per Line'!$X$2:$X$3001,'Per Line'!$D$2:$D$3001,$C190))</f>
        <v/>
      </c>
      <c r="J190" s="5">
        <f>IF($N190="","",SUMIFS('Per Line'!$Y$2:$Y$3001,'Per Line'!$D$2:$D$3001,$C190))</f>
        <v/>
      </c>
      <c r="K190" s="5">
        <f>IF($N190="","",SUMIFS('Per Line'!$Z$2:$Z$3001,'Per Line'!$D$2:$D$3001,$C190))</f>
        <v/>
      </c>
      <c r="L190" s="5">
        <f>IF($N190="","",I190-J190)</f>
        <v/>
      </c>
      <c r="M190" s="5">
        <f>IF($N190="","",L190-K190)</f>
        <v/>
      </c>
      <c r="N190">
        <f>IF(ROWS($N$2:$N190)&lt;=MAX('Per Line'!$AG$2:$AG$3001),MATCH(ROWS($N$2:$N190),'Per Line'!$AG$2:$AG$3001,0),"")</f>
        <v/>
      </c>
      <c r="O190">
        <f>IF(B190="Above Claim Form",COUNTIF($B$2:B190,"Above Claim Form"),"")</f>
        <v/>
      </c>
      <c r="P190">
        <f>IF(B190="Below Claim Form",COUNTIF($B$2:B190,"Below Claim Form"),"")</f>
        <v/>
      </c>
    </row>
    <row r="191">
      <c r="B191">
        <f>IF($N191="","",IFERROR(INDEX(Settings!$C$27:$C$36,MATCH(E191,Settings!$B$27:$B$36,0)),"Unassigned"))</f>
        <v/>
      </c>
      <c r="C191">
        <f>IF($N191="","",INDEX('Per Line'!$D$2:$D$3001,$N191))</f>
        <v/>
      </c>
      <c r="D191">
        <f>IF($N191="","",INDEX('Per Line'!$C$2:$C$3001,$N191))</f>
        <v/>
      </c>
      <c r="E191">
        <f>IF($N191="","",INDEX('Per Line'!$A$2:$A$3001,$N191))</f>
        <v/>
      </c>
      <c r="H191">
        <f>IF($N191="","",INDEX('Per Line'!$V$2:$V$3001,$N191))</f>
        <v/>
      </c>
      <c r="I191" s="5">
        <f>IF($N191="","",SUMIFS('Per Line'!$X$2:$X$3001,'Per Line'!$D$2:$D$3001,$C191))</f>
        <v/>
      </c>
      <c r="J191" s="5">
        <f>IF($N191="","",SUMIFS('Per Line'!$Y$2:$Y$3001,'Per Line'!$D$2:$D$3001,$C191))</f>
        <v/>
      </c>
      <c r="K191" s="5">
        <f>IF($N191="","",SUMIFS('Per Line'!$Z$2:$Z$3001,'Per Line'!$D$2:$D$3001,$C191))</f>
        <v/>
      </c>
      <c r="L191" s="5">
        <f>IF($N191="","",I191-J191)</f>
        <v/>
      </c>
      <c r="M191" s="5">
        <f>IF($N191="","",L191-K191)</f>
        <v/>
      </c>
      <c r="N191">
        <f>IF(ROWS($N$2:$N191)&lt;=MAX('Per Line'!$AG$2:$AG$3001),MATCH(ROWS($N$2:$N191),'Per Line'!$AG$2:$AG$3001,0),"")</f>
        <v/>
      </c>
      <c r="O191">
        <f>IF(B191="Above Claim Form",COUNTIF($B$2:B191,"Above Claim Form"),"")</f>
        <v/>
      </c>
      <c r="P191">
        <f>IF(B191="Below Claim Form",COUNTIF($B$2:B191,"Below Claim Form"),"")</f>
        <v/>
      </c>
    </row>
    <row r="192">
      <c r="B192">
        <f>IF($N192="","",IFERROR(INDEX(Settings!$C$27:$C$36,MATCH(E192,Settings!$B$27:$B$36,0)),"Unassigned"))</f>
        <v/>
      </c>
      <c r="C192">
        <f>IF($N192="","",INDEX('Per Line'!$D$2:$D$3001,$N192))</f>
        <v/>
      </c>
      <c r="D192">
        <f>IF($N192="","",INDEX('Per Line'!$C$2:$C$3001,$N192))</f>
        <v/>
      </c>
      <c r="E192">
        <f>IF($N192="","",INDEX('Per Line'!$A$2:$A$3001,$N192))</f>
        <v/>
      </c>
      <c r="H192">
        <f>IF($N192="","",INDEX('Per Line'!$V$2:$V$3001,$N192))</f>
        <v/>
      </c>
      <c r="I192" s="5">
        <f>IF($N192="","",SUMIFS('Per Line'!$X$2:$X$3001,'Per Line'!$D$2:$D$3001,$C192))</f>
        <v/>
      </c>
      <c r="J192" s="5">
        <f>IF($N192="","",SUMIFS('Per Line'!$Y$2:$Y$3001,'Per Line'!$D$2:$D$3001,$C192))</f>
        <v/>
      </c>
      <c r="K192" s="5">
        <f>IF($N192="","",SUMIFS('Per Line'!$Z$2:$Z$3001,'Per Line'!$D$2:$D$3001,$C192))</f>
        <v/>
      </c>
      <c r="L192" s="5">
        <f>IF($N192="","",I192-J192)</f>
        <v/>
      </c>
      <c r="M192" s="5">
        <f>IF($N192="","",L192-K192)</f>
        <v/>
      </c>
      <c r="N192">
        <f>IF(ROWS($N$2:$N192)&lt;=MAX('Per Line'!$AG$2:$AG$3001),MATCH(ROWS($N$2:$N192),'Per Line'!$AG$2:$AG$3001,0),"")</f>
        <v/>
      </c>
      <c r="O192">
        <f>IF(B192="Above Claim Form",COUNTIF($B$2:B192,"Above Claim Form"),"")</f>
        <v/>
      </c>
      <c r="P192">
        <f>IF(B192="Below Claim Form",COUNTIF($B$2:B192,"Below Claim Form"),"")</f>
        <v/>
      </c>
    </row>
    <row r="193">
      <c r="B193">
        <f>IF($N193="","",IFERROR(INDEX(Settings!$C$27:$C$36,MATCH(E193,Settings!$B$27:$B$36,0)),"Unassigned"))</f>
        <v/>
      </c>
      <c r="C193">
        <f>IF($N193="","",INDEX('Per Line'!$D$2:$D$3001,$N193))</f>
        <v/>
      </c>
      <c r="D193">
        <f>IF($N193="","",INDEX('Per Line'!$C$2:$C$3001,$N193))</f>
        <v/>
      </c>
      <c r="E193">
        <f>IF($N193="","",INDEX('Per Line'!$A$2:$A$3001,$N193))</f>
        <v/>
      </c>
      <c r="H193">
        <f>IF($N193="","",INDEX('Per Line'!$V$2:$V$3001,$N193))</f>
        <v/>
      </c>
      <c r="I193" s="5">
        <f>IF($N193="","",SUMIFS('Per Line'!$X$2:$X$3001,'Per Line'!$D$2:$D$3001,$C193))</f>
        <v/>
      </c>
      <c r="J193" s="5">
        <f>IF($N193="","",SUMIFS('Per Line'!$Y$2:$Y$3001,'Per Line'!$D$2:$D$3001,$C193))</f>
        <v/>
      </c>
      <c r="K193" s="5">
        <f>IF($N193="","",SUMIFS('Per Line'!$Z$2:$Z$3001,'Per Line'!$D$2:$D$3001,$C193))</f>
        <v/>
      </c>
      <c r="L193" s="5">
        <f>IF($N193="","",I193-J193)</f>
        <v/>
      </c>
      <c r="M193" s="5">
        <f>IF($N193="","",L193-K193)</f>
        <v/>
      </c>
      <c r="N193">
        <f>IF(ROWS($N$2:$N193)&lt;=MAX('Per Line'!$AG$2:$AG$3001),MATCH(ROWS($N$2:$N193),'Per Line'!$AG$2:$AG$3001,0),"")</f>
        <v/>
      </c>
      <c r="O193">
        <f>IF(B193="Above Claim Form",COUNTIF($B$2:B193,"Above Claim Form"),"")</f>
        <v/>
      </c>
      <c r="P193">
        <f>IF(B193="Below Claim Form",COUNTIF($B$2:B193,"Below Claim Form"),"")</f>
        <v/>
      </c>
    </row>
    <row r="194">
      <c r="B194">
        <f>IF($N194="","",IFERROR(INDEX(Settings!$C$27:$C$36,MATCH(E194,Settings!$B$27:$B$36,0)),"Unassigned"))</f>
        <v/>
      </c>
      <c r="C194">
        <f>IF($N194="","",INDEX('Per Line'!$D$2:$D$3001,$N194))</f>
        <v/>
      </c>
      <c r="D194">
        <f>IF($N194="","",INDEX('Per Line'!$C$2:$C$3001,$N194))</f>
        <v/>
      </c>
      <c r="E194">
        <f>IF($N194="","",INDEX('Per Line'!$A$2:$A$3001,$N194))</f>
        <v/>
      </c>
      <c r="H194">
        <f>IF($N194="","",INDEX('Per Line'!$V$2:$V$3001,$N194))</f>
        <v/>
      </c>
      <c r="I194" s="5">
        <f>IF($N194="","",SUMIFS('Per Line'!$X$2:$X$3001,'Per Line'!$D$2:$D$3001,$C194))</f>
        <v/>
      </c>
      <c r="J194" s="5">
        <f>IF($N194="","",SUMIFS('Per Line'!$Y$2:$Y$3001,'Per Line'!$D$2:$D$3001,$C194))</f>
        <v/>
      </c>
      <c r="K194" s="5">
        <f>IF($N194="","",SUMIFS('Per Line'!$Z$2:$Z$3001,'Per Line'!$D$2:$D$3001,$C194))</f>
        <v/>
      </c>
      <c r="L194" s="5">
        <f>IF($N194="","",I194-J194)</f>
        <v/>
      </c>
      <c r="M194" s="5">
        <f>IF($N194="","",L194-K194)</f>
        <v/>
      </c>
      <c r="N194">
        <f>IF(ROWS($N$2:$N194)&lt;=MAX('Per Line'!$AG$2:$AG$3001),MATCH(ROWS($N$2:$N194),'Per Line'!$AG$2:$AG$3001,0),"")</f>
        <v/>
      </c>
      <c r="O194">
        <f>IF(B194="Above Claim Form",COUNTIF($B$2:B194,"Above Claim Form"),"")</f>
        <v/>
      </c>
      <c r="P194">
        <f>IF(B194="Below Claim Form",COUNTIF($B$2:B194,"Below Claim Form"),"")</f>
        <v/>
      </c>
    </row>
    <row r="195">
      <c r="B195">
        <f>IF($N195="","",IFERROR(INDEX(Settings!$C$27:$C$36,MATCH(E195,Settings!$B$27:$B$36,0)),"Unassigned"))</f>
        <v/>
      </c>
      <c r="C195">
        <f>IF($N195="","",INDEX('Per Line'!$D$2:$D$3001,$N195))</f>
        <v/>
      </c>
      <c r="D195">
        <f>IF($N195="","",INDEX('Per Line'!$C$2:$C$3001,$N195))</f>
        <v/>
      </c>
      <c r="E195">
        <f>IF($N195="","",INDEX('Per Line'!$A$2:$A$3001,$N195))</f>
        <v/>
      </c>
      <c r="H195">
        <f>IF($N195="","",INDEX('Per Line'!$V$2:$V$3001,$N195))</f>
        <v/>
      </c>
      <c r="I195" s="5">
        <f>IF($N195="","",SUMIFS('Per Line'!$X$2:$X$3001,'Per Line'!$D$2:$D$3001,$C195))</f>
        <v/>
      </c>
      <c r="J195" s="5">
        <f>IF($N195="","",SUMIFS('Per Line'!$Y$2:$Y$3001,'Per Line'!$D$2:$D$3001,$C195))</f>
        <v/>
      </c>
      <c r="K195" s="5">
        <f>IF($N195="","",SUMIFS('Per Line'!$Z$2:$Z$3001,'Per Line'!$D$2:$D$3001,$C195))</f>
        <v/>
      </c>
      <c r="L195" s="5">
        <f>IF($N195="","",I195-J195)</f>
        <v/>
      </c>
      <c r="M195" s="5">
        <f>IF($N195="","",L195-K195)</f>
        <v/>
      </c>
      <c r="N195">
        <f>IF(ROWS($N$2:$N195)&lt;=MAX('Per Line'!$AG$2:$AG$3001),MATCH(ROWS($N$2:$N195),'Per Line'!$AG$2:$AG$3001,0),"")</f>
        <v/>
      </c>
      <c r="O195">
        <f>IF(B195="Above Claim Form",COUNTIF($B$2:B195,"Above Claim Form"),"")</f>
        <v/>
      </c>
      <c r="P195">
        <f>IF(B195="Below Claim Form",COUNTIF($B$2:B195,"Below Claim Form"),"")</f>
        <v/>
      </c>
    </row>
    <row r="196">
      <c r="B196">
        <f>IF($N196="","",IFERROR(INDEX(Settings!$C$27:$C$36,MATCH(E196,Settings!$B$27:$B$36,0)),"Unassigned"))</f>
        <v/>
      </c>
      <c r="C196">
        <f>IF($N196="","",INDEX('Per Line'!$D$2:$D$3001,$N196))</f>
        <v/>
      </c>
      <c r="D196">
        <f>IF($N196="","",INDEX('Per Line'!$C$2:$C$3001,$N196))</f>
        <v/>
      </c>
      <c r="E196">
        <f>IF($N196="","",INDEX('Per Line'!$A$2:$A$3001,$N196))</f>
        <v/>
      </c>
      <c r="H196">
        <f>IF($N196="","",INDEX('Per Line'!$V$2:$V$3001,$N196))</f>
        <v/>
      </c>
      <c r="I196" s="5">
        <f>IF($N196="","",SUMIFS('Per Line'!$X$2:$X$3001,'Per Line'!$D$2:$D$3001,$C196))</f>
        <v/>
      </c>
      <c r="J196" s="5">
        <f>IF($N196="","",SUMIFS('Per Line'!$Y$2:$Y$3001,'Per Line'!$D$2:$D$3001,$C196))</f>
        <v/>
      </c>
      <c r="K196" s="5">
        <f>IF($N196="","",SUMIFS('Per Line'!$Z$2:$Z$3001,'Per Line'!$D$2:$D$3001,$C196))</f>
        <v/>
      </c>
      <c r="L196" s="5">
        <f>IF($N196="","",I196-J196)</f>
        <v/>
      </c>
      <c r="M196" s="5">
        <f>IF($N196="","",L196-K196)</f>
        <v/>
      </c>
      <c r="N196">
        <f>IF(ROWS($N$2:$N196)&lt;=MAX('Per Line'!$AG$2:$AG$3001),MATCH(ROWS($N$2:$N196),'Per Line'!$AG$2:$AG$3001,0),"")</f>
        <v/>
      </c>
      <c r="O196">
        <f>IF(B196="Above Claim Form",COUNTIF($B$2:B196,"Above Claim Form"),"")</f>
        <v/>
      </c>
      <c r="P196">
        <f>IF(B196="Below Claim Form",COUNTIF($B$2:B196,"Below Claim Form"),"")</f>
        <v/>
      </c>
    </row>
    <row r="197">
      <c r="B197">
        <f>IF($N197="","",IFERROR(INDEX(Settings!$C$27:$C$36,MATCH(E197,Settings!$B$27:$B$36,0)),"Unassigned"))</f>
        <v/>
      </c>
      <c r="C197">
        <f>IF($N197="","",INDEX('Per Line'!$D$2:$D$3001,$N197))</f>
        <v/>
      </c>
      <c r="D197">
        <f>IF($N197="","",INDEX('Per Line'!$C$2:$C$3001,$N197))</f>
        <v/>
      </c>
      <c r="E197">
        <f>IF($N197="","",INDEX('Per Line'!$A$2:$A$3001,$N197))</f>
        <v/>
      </c>
      <c r="H197">
        <f>IF($N197="","",INDEX('Per Line'!$V$2:$V$3001,$N197))</f>
        <v/>
      </c>
      <c r="I197" s="5">
        <f>IF($N197="","",SUMIFS('Per Line'!$X$2:$X$3001,'Per Line'!$D$2:$D$3001,$C197))</f>
        <v/>
      </c>
      <c r="J197" s="5">
        <f>IF($N197="","",SUMIFS('Per Line'!$Y$2:$Y$3001,'Per Line'!$D$2:$D$3001,$C197))</f>
        <v/>
      </c>
      <c r="K197" s="5">
        <f>IF($N197="","",SUMIFS('Per Line'!$Z$2:$Z$3001,'Per Line'!$D$2:$D$3001,$C197))</f>
        <v/>
      </c>
      <c r="L197" s="5">
        <f>IF($N197="","",I197-J197)</f>
        <v/>
      </c>
      <c r="M197" s="5">
        <f>IF($N197="","",L197-K197)</f>
        <v/>
      </c>
      <c r="N197">
        <f>IF(ROWS($N$2:$N197)&lt;=MAX('Per Line'!$AG$2:$AG$3001),MATCH(ROWS($N$2:$N197),'Per Line'!$AG$2:$AG$3001,0),"")</f>
        <v/>
      </c>
      <c r="O197">
        <f>IF(B197="Above Claim Form",COUNTIF($B$2:B197,"Above Claim Form"),"")</f>
        <v/>
      </c>
      <c r="P197">
        <f>IF(B197="Below Claim Form",COUNTIF($B$2:B197,"Below Claim Form"),"")</f>
        <v/>
      </c>
    </row>
    <row r="198">
      <c r="B198">
        <f>IF($N198="","",IFERROR(INDEX(Settings!$C$27:$C$36,MATCH(E198,Settings!$B$27:$B$36,0)),"Unassigned"))</f>
        <v/>
      </c>
      <c r="C198">
        <f>IF($N198="","",INDEX('Per Line'!$D$2:$D$3001,$N198))</f>
        <v/>
      </c>
      <c r="D198">
        <f>IF($N198="","",INDEX('Per Line'!$C$2:$C$3001,$N198))</f>
        <v/>
      </c>
      <c r="E198">
        <f>IF($N198="","",INDEX('Per Line'!$A$2:$A$3001,$N198))</f>
        <v/>
      </c>
      <c r="H198">
        <f>IF($N198="","",INDEX('Per Line'!$V$2:$V$3001,$N198))</f>
        <v/>
      </c>
      <c r="I198" s="5">
        <f>IF($N198="","",SUMIFS('Per Line'!$X$2:$X$3001,'Per Line'!$D$2:$D$3001,$C198))</f>
        <v/>
      </c>
      <c r="J198" s="5">
        <f>IF($N198="","",SUMIFS('Per Line'!$Y$2:$Y$3001,'Per Line'!$D$2:$D$3001,$C198))</f>
        <v/>
      </c>
      <c r="K198" s="5">
        <f>IF($N198="","",SUMIFS('Per Line'!$Z$2:$Z$3001,'Per Line'!$D$2:$D$3001,$C198))</f>
        <v/>
      </c>
      <c r="L198" s="5">
        <f>IF($N198="","",I198-J198)</f>
        <v/>
      </c>
      <c r="M198" s="5">
        <f>IF($N198="","",L198-K198)</f>
        <v/>
      </c>
      <c r="N198">
        <f>IF(ROWS($N$2:$N198)&lt;=MAX('Per Line'!$AG$2:$AG$3001),MATCH(ROWS($N$2:$N198),'Per Line'!$AG$2:$AG$3001,0),"")</f>
        <v/>
      </c>
      <c r="O198">
        <f>IF(B198="Above Claim Form",COUNTIF($B$2:B198,"Above Claim Form"),"")</f>
        <v/>
      </c>
      <c r="P198">
        <f>IF(B198="Below Claim Form",COUNTIF($B$2:B198,"Below Claim Form"),"")</f>
        <v/>
      </c>
    </row>
    <row r="199">
      <c r="B199">
        <f>IF($N199="","",IFERROR(INDEX(Settings!$C$27:$C$36,MATCH(E199,Settings!$B$27:$B$36,0)),"Unassigned"))</f>
        <v/>
      </c>
      <c r="C199">
        <f>IF($N199="","",INDEX('Per Line'!$D$2:$D$3001,$N199))</f>
        <v/>
      </c>
      <c r="D199">
        <f>IF($N199="","",INDEX('Per Line'!$C$2:$C$3001,$N199))</f>
        <v/>
      </c>
      <c r="E199">
        <f>IF($N199="","",INDEX('Per Line'!$A$2:$A$3001,$N199))</f>
        <v/>
      </c>
      <c r="H199">
        <f>IF($N199="","",INDEX('Per Line'!$V$2:$V$3001,$N199))</f>
        <v/>
      </c>
      <c r="I199" s="5">
        <f>IF($N199="","",SUMIFS('Per Line'!$X$2:$X$3001,'Per Line'!$D$2:$D$3001,$C199))</f>
        <v/>
      </c>
      <c r="J199" s="5">
        <f>IF($N199="","",SUMIFS('Per Line'!$Y$2:$Y$3001,'Per Line'!$D$2:$D$3001,$C199))</f>
        <v/>
      </c>
      <c r="K199" s="5">
        <f>IF($N199="","",SUMIFS('Per Line'!$Z$2:$Z$3001,'Per Line'!$D$2:$D$3001,$C199))</f>
        <v/>
      </c>
      <c r="L199" s="5">
        <f>IF($N199="","",I199-J199)</f>
        <v/>
      </c>
      <c r="M199" s="5">
        <f>IF($N199="","",L199-K199)</f>
        <v/>
      </c>
      <c r="N199">
        <f>IF(ROWS($N$2:$N199)&lt;=MAX('Per Line'!$AG$2:$AG$3001),MATCH(ROWS($N$2:$N199),'Per Line'!$AG$2:$AG$3001,0),"")</f>
        <v/>
      </c>
      <c r="O199">
        <f>IF(B199="Above Claim Form",COUNTIF($B$2:B199,"Above Claim Form"),"")</f>
        <v/>
      </c>
      <c r="P199">
        <f>IF(B199="Below Claim Form",COUNTIF($B$2:B199,"Below Claim Form"),"")</f>
        <v/>
      </c>
    </row>
    <row r="200">
      <c r="B200">
        <f>IF($N200="","",IFERROR(INDEX(Settings!$C$27:$C$36,MATCH(E200,Settings!$B$27:$B$36,0)),"Unassigned"))</f>
        <v/>
      </c>
      <c r="C200">
        <f>IF($N200="","",INDEX('Per Line'!$D$2:$D$3001,$N200))</f>
        <v/>
      </c>
      <c r="D200">
        <f>IF($N200="","",INDEX('Per Line'!$C$2:$C$3001,$N200))</f>
        <v/>
      </c>
      <c r="E200">
        <f>IF($N200="","",INDEX('Per Line'!$A$2:$A$3001,$N200))</f>
        <v/>
      </c>
      <c r="H200">
        <f>IF($N200="","",INDEX('Per Line'!$V$2:$V$3001,$N200))</f>
        <v/>
      </c>
      <c r="I200" s="5">
        <f>IF($N200="","",SUMIFS('Per Line'!$X$2:$X$3001,'Per Line'!$D$2:$D$3001,$C200))</f>
        <v/>
      </c>
      <c r="J200" s="5">
        <f>IF($N200="","",SUMIFS('Per Line'!$Y$2:$Y$3001,'Per Line'!$D$2:$D$3001,$C200))</f>
        <v/>
      </c>
      <c r="K200" s="5">
        <f>IF($N200="","",SUMIFS('Per Line'!$Z$2:$Z$3001,'Per Line'!$D$2:$D$3001,$C200))</f>
        <v/>
      </c>
      <c r="L200" s="5">
        <f>IF($N200="","",I200-J200)</f>
        <v/>
      </c>
      <c r="M200" s="5">
        <f>IF($N200="","",L200-K200)</f>
        <v/>
      </c>
      <c r="N200">
        <f>IF(ROWS($N$2:$N200)&lt;=MAX('Per Line'!$AG$2:$AG$3001),MATCH(ROWS($N$2:$N200),'Per Line'!$AG$2:$AG$3001,0),"")</f>
        <v/>
      </c>
      <c r="O200">
        <f>IF(B200="Above Claim Form",COUNTIF($B$2:B200,"Above Claim Form"),"")</f>
        <v/>
      </c>
      <c r="P200">
        <f>IF(B200="Below Claim Form",COUNTIF($B$2:B200,"Below Claim Form"),"")</f>
        <v/>
      </c>
    </row>
    <row r="201">
      <c r="B201">
        <f>IF($N201="","",IFERROR(INDEX(Settings!$C$27:$C$36,MATCH(E201,Settings!$B$27:$B$36,0)),"Unassigned"))</f>
        <v/>
      </c>
      <c r="C201">
        <f>IF($N201="","",INDEX('Per Line'!$D$2:$D$3001,$N201))</f>
        <v/>
      </c>
      <c r="D201">
        <f>IF($N201="","",INDEX('Per Line'!$C$2:$C$3001,$N201))</f>
        <v/>
      </c>
      <c r="E201">
        <f>IF($N201="","",INDEX('Per Line'!$A$2:$A$3001,$N201))</f>
        <v/>
      </c>
      <c r="H201">
        <f>IF($N201="","",INDEX('Per Line'!$V$2:$V$3001,$N201))</f>
        <v/>
      </c>
      <c r="I201" s="5">
        <f>IF($N201="","",SUMIFS('Per Line'!$X$2:$X$3001,'Per Line'!$D$2:$D$3001,$C201))</f>
        <v/>
      </c>
      <c r="J201" s="5">
        <f>IF($N201="","",SUMIFS('Per Line'!$Y$2:$Y$3001,'Per Line'!$D$2:$D$3001,$C201))</f>
        <v/>
      </c>
      <c r="K201" s="5">
        <f>IF($N201="","",SUMIFS('Per Line'!$Z$2:$Z$3001,'Per Line'!$D$2:$D$3001,$C201))</f>
        <v/>
      </c>
      <c r="L201" s="5">
        <f>IF($N201="","",I201-J201)</f>
        <v/>
      </c>
      <c r="M201" s="5">
        <f>IF($N201="","",L201-K201)</f>
        <v/>
      </c>
      <c r="N201">
        <f>IF(ROWS($N$2:$N201)&lt;=MAX('Per Line'!$AG$2:$AG$3001),MATCH(ROWS($N$2:$N201),'Per Line'!$AG$2:$AG$3001,0),"")</f>
        <v/>
      </c>
      <c r="O201">
        <f>IF(B201="Above Claim Form",COUNTIF($B$2:B201,"Above Claim Form"),"")</f>
        <v/>
      </c>
      <c r="P201">
        <f>IF(B201="Below Claim Form",COUNTIF($B$2:B201,"Below Claim Form"),"")</f>
        <v/>
      </c>
    </row>
    <row r="202">
      <c r="B202">
        <f>IF($N202="","",IFERROR(INDEX(Settings!$C$27:$C$36,MATCH(E202,Settings!$B$27:$B$36,0)),"Unassigned"))</f>
        <v/>
      </c>
      <c r="C202">
        <f>IF($N202="","",INDEX('Per Line'!$D$2:$D$3001,$N202))</f>
        <v/>
      </c>
      <c r="D202">
        <f>IF($N202="","",INDEX('Per Line'!$C$2:$C$3001,$N202))</f>
        <v/>
      </c>
      <c r="E202">
        <f>IF($N202="","",INDEX('Per Line'!$A$2:$A$3001,$N202))</f>
        <v/>
      </c>
      <c r="H202">
        <f>IF($N202="","",INDEX('Per Line'!$V$2:$V$3001,$N202))</f>
        <v/>
      </c>
      <c r="I202" s="5">
        <f>IF($N202="","",SUMIFS('Per Line'!$X$2:$X$3001,'Per Line'!$D$2:$D$3001,$C202))</f>
        <v/>
      </c>
      <c r="J202" s="5">
        <f>IF($N202="","",SUMIFS('Per Line'!$Y$2:$Y$3001,'Per Line'!$D$2:$D$3001,$C202))</f>
        <v/>
      </c>
      <c r="K202" s="5">
        <f>IF($N202="","",SUMIFS('Per Line'!$Z$2:$Z$3001,'Per Line'!$D$2:$D$3001,$C202))</f>
        <v/>
      </c>
      <c r="L202" s="5">
        <f>IF($N202="","",I202-J202)</f>
        <v/>
      </c>
      <c r="M202" s="5">
        <f>IF($N202="","",L202-K202)</f>
        <v/>
      </c>
      <c r="N202">
        <f>IF(ROWS($N$2:$N202)&lt;=MAX('Per Line'!$AG$2:$AG$3001),MATCH(ROWS($N$2:$N202),'Per Line'!$AG$2:$AG$3001,0),"")</f>
        <v/>
      </c>
      <c r="O202">
        <f>IF(B202="Above Claim Form",COUNTIF($B$2:B202,"Above Claim Form"),"")</f>
        <v/>
      </c>
      <c r="P202">
        <f>IF(B202="Below Claim Form",COUNTIF($B$2:B202,"Below Claim Form"),"")</f>
        <v/>
      </c>
    </row>
    <row r="203">
      <c r="B203">
        <f>IF($N203="","",IFERROR(INDEX(Settings!$C$27:$C$36,MATCH(E203,Settings!$B$27:$B$36,0)),"Unassigned"))</f>
        <v/>
      </c>
      <c r="C203">
        <f>IF($N203="","",INDEX('Per Line'!$D$2:$D$3001,$N203))</f>
        <v/>
      </c>
      <c r="D203">
        <f>IF($N203="","",INDEX('Per Line'!$C$2:$C$3001,$N203))</f>
        <v/>
      </c>
      <c r="E203">
        <f>IF($N203="","",INDEX('Per Line'!$A$2:$A$3001,$N203))</f>
        <v/>
      </c>
      <c r="H203">
        <f>IF($N203="","",INDEX('Per Line'!$V$2:$V$3001,$N203))</f>
        <v/>
      </c>
      <c r="I203" s="5">
        <f>IF($N203="","",SUMIFS('Per Line'!$X$2:$X$3001,'Per Line'!$D$2:$D$3001,$C203))</f>
        <v/>
      </c>
      <c r="J203" s="5">
        <f>IF($N203="","",SUMIFS('Per Line'!$Y$2:$Y$3001,'Per Line'!$D$2:$D$3001,$C203))</f>
        <v/>
      </c>
      <c r="K203" s="5">
        <f>IF($N203="","",SUMIFS('Per Line'!$Z$2:$Z$3001,'Per Line'!$D$2:$D$3001,$C203))</f>
        <v/>
      </c>
      <c r="L203" s="5">
        <f>IF($N203="","",I203-J203)</f>
        <v/>
      </c>
      <c r="M203" s="5">
        <f>IF($N203="","",L203-K203)</f>
        <v/>
      </c>
      <c r="N203">
        <f>IF(ROWS($N$2:$N203)&lt;=MAX('Per Line'!$AG$2:$AG$3001),MATCH(ROWS($N$2:$N203),'Per Line'!$AG$2:$AG$3001,0),"")</f>
        <v/>
      </c>
      <c r="O203">
        <f>IF(B203="Above Claim Form",COUNTIF($B$2:B203,"Above Claim Form"),"")</f>
        <v/>
      </c>
      <c r="P203">
        <f>IF(B203="Below Claim Form",COUNTIF($B$2:B203,"Below Claim Form"),"")</f>
        <v/>
      </c>
    </row>
    <row r="204">
      <c r="B204">
        <f>IF($N204="","",IFERROR(INDEX(Settings!$C$27:$C$36,MATCH(E204,Settings!$B$27:$B$36,0)),"Unassigned"))</f>
        <v/>
      </c>
      <c r="C204">
        <f>IF($N204="","",INDEX('Per Line'!$D$2:$D$3001,$N204))</f>
        <v/>
      </c>
      <c r="D204">
        <f>IF($N204="","",INDEX('Per Line'!$C$2:$C$3001,$N204))</f>
        <v/>
      </c>
      <c r="E204">
        <f>IF($N204="","",INDEX('Per Line'!$A$2:$A$3001,$N204))</f>
        <v/>
      </c>
      <c r="H204">
        <f>IF($N204="","",INDEX('Per Line'!$V$2:$V$3001,$N204))</f>
        <v/>
      </c>
      <c r="I204" s="5">
        <f>IF($N204="","",SUMIFS('Per Line'!$X$2:$X$3001,'Per Line'!$D$2:$D$3001,$C204))</f>
        <v/>
      </c>
      <c r="J204" s="5">
        <f>IF($N204="","",SUMIFS('Per Line'!$Y$2:$Y$3001,'Per Line'!$D$2:$D$3001,$C204))</f>
        <v/>
      </c>
      <c r="K204" s="5">
        <f>IF($N204="","",SUMIFS('Per Line'!$Z$2:$Z$3001,'Per Line'!$D$2:$D$3001,$C204))</f>
        <v/>
      </c>
      <c r="L204" s="5">
        <f>IF($N204="","",I204-J204)</f>
        <v/>
      </c>
      <c r="M204" s="5">
        <f>IF($N204="","",L204-K204)</f>
        <v/>
      </c>
      <c r="N204">
        <f>IF(ROWS($N$2:$N204)&lt;=MAX('Per Line'!$AG$2:$AG$3001),MATCH(ROWS($N$2:$N204),'Per Line'!$AG$2:$AG$3001,0),"")</f>
        <v/>
      </c>
      <c r="O204">
        <f>IF(B204="Above Claim Form",COUNTIF($B$2:B204,"Above Claim Form"),"")</f>
        <v/>
      </c>
      <c r="P204">
        <f>IF(B204="Below Claim Form",COUNTIF($B$2:B204,"Below Claim Form"),"")</f>
        <v/>
      </c>
    </row>
    <row r="205">
      <c r="B205">
        <f>IF($N205="","",IFERROR(INDEX(Settings!$C$27:$C$36,MATCH(E205,Settings!$B$27:$B$36,0)),"Unassigned"))</f>
        <v/>
      </c>
      <c r="C205">
        <f>IF($N205="","",INDEX('Per Line'!$D$2:$D$3001,$N205))</f>
        <v/>
      </c>
      <c r="D205">
        <f>IF($N205="","",INDEX('Per Line'!$C$2:$C$3001,$N205))</f>
        <v/>
      </c>
      <c r="E205">
        <f>IF($N205="","",INDEX('Per Line'!$A$2:$A$3001,$N205))</f>
        <v/>
      </c>
      <c r="H205">
        <f>IF($N205="","",INDEX('Per Line'!$V$2:$V$3001,$N205))</f>
        <v/>
      </c>
      <c r="I205" s="5">
        <f>IF($N205="","",SUMIFS('Per Line'!$X$2:$X$3001,'Per Line'!$D$2:$D$3001,$C205))</f>
        <v/>
      </c>
      <c r="J205" s="5">
        <f>IF($N205="","",SUMIFS('Per Line'!$Y$2:$Y$3001,'Per Line'!$D$2:$D$3001,$C205))</f>
        <v/>
      </c>
      <c r="K205" s="5">
        <f>IF($N205="","",SUMIFS('Per Line'!$Z$2:$Z$3001,'Per Line'!$D$2:$D$3001,$C205))</f>
        <v/>
      </c>
      <c r="L205" s="5">
        <f>IF($N205="","",I205-J205)</f>
        <v/>
      </c>
      <c r="M205" s="5">
        <f>IF($N205="","",L205-K205)</f>
        <v/>
      </c>
      <c r="N205">
        <f>IF(ROWS($N$2:$N205)&lt;=MAX('Per Line'!$AG$2:$AG$3001),MATCH(ROWS($N$2:$N205),'Per Line'!$AG$2:$AG$3001,0),"")</f>
        <v/>
      </c>
      <c r="O205">
        <f>IF(B205="Above Claim Form",COUNTIF($B$2:B205,"Above Claim Form"),"")</f>
        <v/>
      </c>
      <c r="P205">
        <f>IF(B205="Below Claim Form",COUNTIF($B$2:B205,"Below Claim Form"),"")</f>
        <v/>
      </c>
    </row>
    <row r="206">
      <c r="B206">
        <f>IF($N206="","",IFERROR(INDEX(Settings!$C$27:$C$36,MATCH(E206,Settings!$B$27:$B$36,0)),"Unassigned"))</f>
        <v/>
      </c>
      <c r="C206">
        <f>IF($N206="","",INDEX('Per Line'!$D$2:$D$3001,$N206))</f>
        <v/>
      </c>
      <c r="D206">
        <f>IF($N206="","",INDEX('Per Line'!$C$2:$C$3001,$N206))</f>
        <v/>
      </c>
      <c r="E206">
        <f>IF($N206="","",INDEX('Per Line'!$A$2:$A$3001,$N206))</f>
        <v/>
      </c>
      <c r="H206">
        <f>IF($N206="","",INDEX('Per Line'!$V$2:$V$3001,$N206))</f>
        <v/>
      </c>
      <c r="I206" s="5">
        <f>IF($N206="","",SUMIFS('Per Line'!$X$2:$X$3001,'Per Line'!$D$2:$D$3001,$C206))</f>
        <v/>
      </c>
      <c r="J206" s="5">
        <f>IF($N206="","",SUMIFS('Per Line'!$Y$2:$Y$3001,'Per Line'!$D$2:$D$3001,$C206))</f>
        <v/>
      </c>
      <c r="K206" s="5">
        <f>IF($N206="","",SUMIFS('Per Line'!$Z$2:$Z$3001,'Per Line'!$D$2:$D$3001,$C206))</f>
        <v/>
      </c>
      <c r="L206" s="5">
        <f>IF($N206="","",I206-J206)</f>
        <v/>
      </c>
      <c r="M206" s="5">
        <f>IF($N206="","",L206-K206)</f>
        <v/>
      </c>
      <c r="N206">
        <f>IF(ROWS($N$2:$N206)&lt;=MAX('Per Line'!$AG$2:$AG$3001),MATCH(ROWS($N$2:$N206),'Per Line'!$AG$2:$AG$3001,0),"")</f>
        <v/>
      </c>
      <c r="O206">
        <f>IF(B206="Above Claim Form",COUNTIF($B$2:B206,"Above Claim Form"),"")</f>
        <v/>
      </c>
      <c r="P206">
        <f>IF(B206="Below Claim Form",COUNTIF($B$2:B206,"Below Claim Form"),"")</f>
        <v/>
      </c>
    </row>
    <row r="207">
      <c r="B207">
        <f>IF($N207="","",IFERROR(INDEX(Settings!$C$27:$C$36,MATCH(E207,Settings!$B$27:$B$36,0)),"Unassigned"))</f>
        <v/>
      </c>
      <c r="C207">
        <f>IF($N207="","",INDEX('Per Line'!$D$2:$D$3001,$N207))</f>
        <v/>
      </c>
      <c r="D207">
        <f>IF($N207="","",INDEX('Per Line'!$C$2:$C$3001,$N207))</f>
        <v/>
      </c>
      <c r="E207">
        <f>IF($N207="","",INDEX('Per Line'!$A$2:$A$3001,$N207))</f>
        <v/>
      </c>
      <c r="H207">
        <f>IF($N207="","",INDEX('Per Line'!$V$2:$V$3001,$N207))</f>
        <v/>
      </c>
      <c r="I207" s="5">
        <f>IF($N207="","",SUMIFS('Per Line'!$X$2:$X$3001,'Per Line'!$D$2:$D$3001,$C207))</f>
        <v/>
      </c>
      <c r="J207" s="5">
        <f>IF($N207="","",SUMIFS('Per Line'!$Y$2:$Y$3001,'Per Line'!$D$2:$D$3001,$C207))</f>
        <v/>
      </c>
      <c r="K207" s="5">
        <f>IF($N207="","",SUMIFS('Per Line'!$Z$2:$Z$3001,'Per Line'!$D$2:$D$3001,$C207))</f>
        <v/>
      </c>
      <c r="L207" s="5">
        <f>IF($N207="","",I207-J207)</f>
        <v/>
      </c>
      <c r="M207" s="5">
        <f>IF($N207="","",L207-K207)</f>
        <v/>
      </c>
      <c r="N207">
        <f>IF(ROWS($N$2:$N207)&lt;=MAX('Per Line'!$AG$2:$AG$3001),MATCH(ROWS($N$2:$N207),'Per Line'!$AG$2:$AG$3001,0),"")</f>
        <v/>
      </c>
      <c r="O207">
        <f>IF(B207="Above Claim Form",COUNTIF($B$2:B207,"Above Claim Form"),"")</f>
        <v/>
      </c>
      <c r="P207">
        <f>IF(B207="Below Claim Form",COUNTIF($B$2:B207,"Below Claim Form"),"")</f>
        <v/>
      </c>
    </row>
    <row r="208">
      <c r="B208">
        <f>IF($N208="","",IFERROR(INDEX(Settings!$C$27:$C$36,MATCH(E208,Settings!$B$27:$B$36,0)),"Unassigned"))</f>
        <v/>
      </c>
      <c r="C208">
        <f>IF($N208="","",INDEX('Per Line'!$D$2:$D$3001,$N208))</f>
        <v/>
      </c>
      <c r="D208">
        <f>IF($N208="","",INDEX('Per Line'!$C$2:$C$3001,$N208))</f>
        <v/>
      </c>
      <c r="E208">
        <f>IF($N208="","",INDEX('Per Line'!$A$2:$A$3001,$N208))</f>
        <v/>
      </c>
      <c r="H208">
        <f>IF($N208="","",INDEX('Per Line'!$V$2:$V$3001,$N208))</f>
        <v/>
      </c>
      <c r="I208" s="5">
        <f>IF($N208="","",SUMIFS('Per Line'!$X$2:$X$3001,'Per Line'!$D$2:$D$3001,$C208))</f>
        <v/>
      </c>
      <c r="J208" s="5">
        <f>IF($N208="","",SUMIFS('Per Line'!$Y$2:$Y$3001,'Per Line'!$D$2:$D$3001,$C208))</f>
        <v/>
      </c>
      <c r="K208" s="5">
        <f>IF($N208="","",SUMIFS('Per Line'!$Z$2:$Z$3001,'Per Line'!$D$2:$D$3001,$C208))</f>
        <v/>
      </c>
      <c r="L208" s="5">
        <f>IF($N208="","",I208-J208)</f>
        <v/>
      </c>
      <c r="M208" s="5">
        <f>IF($N208="","",L208-K208)</f>
        <v/>
      </c>
      <c r="N208">
        <f>IF(ROWS($N$2:$N208)&lt;=MAX('Per Line'!$AG$2:$AG$3001),MATCH(ROWS($N$2:$N208),'Per Line'!$AG$2:$AG$3001,0),"")</f>
        <v/>
      </c>
      <c r="O208">
        <f>IF(B208="Above Claim Form",COUNTIF($B$2:B208,"Above Claim Form"),"")</f>
        <v/>
      </c>
      <c r="P208">
        <f>IF(B208="Below Claim Form",COUNTIF($B$2:B208,"Below Claim Form"),"")</f>
        <v/>
      </c>
    </row>
    <row r="209">
      <c r="B209">
        <f>IF($N209="","",IFERROR(INDEX(Settings!$C$27:$C$36,MATCH(E209,Settings!$B$27:$B$36,0)),"Unassigned"))</f>
        <v/>
      </c>
      <c r="C209">
        <f>IF($N209="","",INDEX('Per Line'!$D$2:$D$3001,$N209))</f>
        <v/>
      </c>
      <c r="D209">
        <f>IF($N209="","",INDEX('Per Line'!$C$2:$C$3001,$N209))</f>
        <v/>
      </c>
      <c r="E209">
        <f>IF($N209="","",INDEX('Per Line'!$A$2:$A$3001,$N209))</f>
        <v/>
      </c>
      <c r="H209">
        <f>IF($N209="","",INDEX('Per Line'!$V$2:$V$3001,$N209))</f>
        <v/>
      </c>
      <c r="I209" s="5">
        <f>IF($N209="","",SUMIFS('Per Line'!$X$2:$X$3001,'Per Line'!$D$2:$D$3001,$C209))</f>
        <v/>
      </c>
      <c r="J209" s="5">
        <f>IF($N209="","",SUMIFS('Per Line'!$Y$2:$Y$3001,'Per Line'!$D$2:$D$3001,$C209))</f>
        <v/>
      </c>
      <c r="K209" s="5">
        <f>IF($N209="","",SUMIFS('Per Line'!$Z$2:$Z$3001,'Per Line'!$D$2:$D$3001,$C209))</f>
        <v/>
      </c>
      <c r="L209" s="5">
        <f>IF($N209="","",I209-J209)</f>
        <v/>
      </c>
      <c r="M209" s="5">
        <f>IF($N209="","",L209-K209)</f>
        <v/>
      </c>
      <c r="N209">
        <f>IF(ROWS($N$2:$N209)&lt;=MAX('Per Line'!$AG$2:$AG$3001),MATCH(ROWS($N$2:$N209),'Per Line'!$AG$2:$AG$3001,0),"")</f>
        <v/>
      </c>
      <c r="O209">
        <f>IF(B209="Above Claim Form",COUNTIF($B$2:B209,"Above Claim Form"),"")</f>
        <v/>
      </c>
      <c r="P209">
        <f>IF(B209="Below Claim Form",COUNTIF($B$2:B209,"Below Claim Form"),"")</f>
        <v/>
      </c>
    </row>
    <row r="210">
      <c r="B210">
        <f>IF($N210="","",IFERROR(INDEX(Settings!$C$27:$C$36,MATCH(E210,Settings!$B$27:$B$36,0)),"Unassigned"))</f>
        <v/>
      </c>
      <c r="C210">
        <f>IF($N210="","",INDEX('Per Line'!$D$2:$D$3001,$N210))</f>
        <v/>
      </c>
      <c r="D210">
        <f>IF($N210="","",INDEX('Per Line'!$C$2:$C$3001,$N210))</f>
        <v/>
      </c>
      <c r="E210">
        <f>IF($N210="","",INDEX('Per Line'!$A$2:$A$3001,$N210))</f>
        <v/>
      </c>
      <c r="H210">
        <f>IF($N210="","",INDEX('Per Line'!$V$2:$V$3001,$N210))</f>
        <v/>
      </c>
      <c r="I210" s="5">
        <f>IF($N210="","",SUMIFS('Per Line'!$X$2:$X$3001,'Per Line'!$D$2:$D$3001,$C210))</f>
        <v/>
      </c>
      <c r="J210" s="5">
        <f>IF($N210="","",SUMIFS('Per Line'!$Y$2:$Y$3001,'Per Line'!$D$2:$D$3001,$C210))</f>
        <v/>
      </c>
      <c r="K210" s="5">
        <f>IF($N210="","",SUMIFS('Per Line'!$Z$2:$Z$3001,'Per Line'!$D$2:$D$3001,$C210))</f>
        <v/>
      </c>
      <c r="L210" s="5">
        <f>IF($N210="","",I210-J210)</f>
        <v/>
      </c>
      <c r="M210" s="5">
        <f>IF($N210="","",L210-K210)</f>
        <v/>
      </c>
      <c r="N210">
        <f>IF(ROWS($N$2:$N210)&lt;=MAX('Per Line'!$AG$2:$AG$3001),MATCH(ROWS($N$2:$N210),'Per Line'!$AG$2:$AG$3001,0),"")</f>
        <v/>
      </c>
      <c r="O210">
        <f>IF(B210="Above Claim Form",COUNTIF($B$2:B210,"Above Claim Form"),"")</f>
        <v/>
      </c>
      <c r="P210">
        <f>IF(B210="Below Claim Form",COUNTIF($B$2:B210,"Below Claim Form"),"")</f>
        <v/>
      </c>
    </row>
    <row r="211">
      <c r="B211">
        <f>IF($N211="","",IFERROR(INDEX(Settings!$C$27:$C$36,MATCH(E211,Settings!$B$27:$B$36,0)),"Unassigned"))</f>
        <v/>
      </c>
      <c r="C211">
        <f>IF($N211="","",INDEX('Per Line'!$D$2:$D$3001,$N211))</f>
        <v/>
      </c>
      <c r="D211">
        <f>IF($N211="","",INDEX('Per Line'!$C$2:$C$3001,$N211))</f>
        <v/>
      </c>
      <c r="E211">
        <f>IF($N211="","",INDEX('Per Line'!$A$2:$A$3001,$N211))</f>
        <v/>
      </c>
      <c r="H211">
        <f>IF($N211="","",INDEX('Per Line'!$V$2:$V$3001,$N211))</f>
        <v/>
      </c>
      <c r="I211" s="5">
        <f>IF($N211="","",SUMIFS('Per Line'!$X$2:$X$3001,'Per Line'!$D$2:$D$3001,$C211))</f>
        <v/>
      </c>
      <c r="J211" s="5">
        <f>IF($N211="","",SUMIFS('Per Line'!$Y$2:$Y$3001,'Per Line'!$D$2:$D$3001,$C211))</f>
        <v/>
      </c>
      <c r="K211" s="5">
        <f>IF($N211="","",SUMIFS('Per Line'!$Z$2:$Z$3001,'Per Line'!$D$2:$D$3001,$C211))</f>
        <v/>
      </c>
      <c r="L211" s="5">
        <f>IF($N211="","",I211-J211)</f>
        <v/>
      </c>
      <c r="M211" s="5">
        <f>IF($N211="","",L211-K211)</f>
        <v/>
      </c>
      <c r="N211">
        <f>IF(ROWS($N$2:$N211)&lt;=MAX('Per Line'!$AG$2:$AG$3001),MATCH(ROWS($N$2:$N211),'Per Line'!$AG$2:$AG$3001,0),"")</f>
        <v/>
      </c>
      <c r="O211">
        <f>IF(B211="Above Claim Form",COUNTIF($B$2:B211,"Above Claim Form"),"")</f>
        <v/>
      </c>
      <c r="P211">
        <f>IF(B211="Below Claim Form",COUNTIF($B$2:B211,"Below Claim Form"),"")</f>
        <v/>
      </c>
    </row>
    <row r="212">
      <c r="B212">
        <f>IF($N212="","",IFERROR(INDEX(Settings!$C$27:$C$36,MATCH(E212,Settings!$B$27:$B$36,0)),"Unassigned"))</f>
        <v/>
      </c>
      <c r="C212">
        <f>IF($N212="","",INDEX('Per Line'!$D$2:$D$3001,$N212))</f>
        <v/>
      </c>
      <c r="D212">
        <f>IF($N212="","",INDEX('Per Line'!$C$2:$C$3001,$N212))</f>
        <v/>
      </c>
      <c r="E212">
        <f>IF($N212="","",INDEX('Per Line'!$A$2:$A$3001,$N212))</f>
        <v/>
      </c>
      <c r="H212">
        <f>IF($N212="","",INDEX('Per Line'!$V$2:$V$3001,$N212))</f>
        <v/>
      </c>
      <c r="I212" s="5">
        <f>IF($N212="","",SUMIFS('Per Line'!$X$2:$X$3001,'Per Line'!$D$2:$D$3001,$C212))</f>
        <v/>
      </c>
      <c r="J212" s="5">
        <f>IF($N212="","",SUMIFS('Per Line'!$Y$2:$Y$3001,'Per Line'!$D$2:$D$3001,$C212))</f>
        <v/>
      </c>
      <c r="K212" s="5">
        <f>IF($N212="","",SUMIFS('Per Line'!$Z$2:$Z$3001,'Per Line'!$D$2:$D$3001,$C212))</f>
        <v/>
      </c>
      <c r="L212" s="5">
        <f>IF($N212="","",I212-J212)</f>
        <v/>
      </c>
      <c r="M212" s="5">
        <f>IF($N212="","",L212-K212)</f>
        <v/>
      </c>
      <c r="N212">
        <f>IF(ROWS($N$2:$N212)&lt;=MAX('Per Line'!$AG$2:$AG$3001),MATCH(ROWS($N$2:$N212),'Per Line'!$AG$2:$AG$3001,0),"")</f>
        <v/>
      </c>
      <c r="O212">
        <f>IF(B212="Above Claim Form",COUNTIF($B$2:B212,"Above Claim Form"),"")</f>
        <v/>
      </c>
      <c r="P212">
        <f>IF(B212="Below Claim Form",COUNTIF($B$2:B212,"Below Claim Form"),"")</f>
        <v/>
      </c>
    </row>
    <row r="213">
      <c r="B213">
        <f>IF($N213="","",IFERROR(INDEX(Settings!$C$27:$C$36,MATCH(E213,Settings!$B$27:$B$36,0)),"Unassigned"))</f>
        <v/>
      </c>
      <c r="C213">
        <f>IF($N213="","",INDEX('Per Line'!$D$2:$D$3001,$N213))</f>
        <v/>
      </c>
      <c r="D213">
        <f>IF($N213="","",INDEX('Per Line'!$C$2:$C$3001,$N213))</f>
        <v/>
      </c>
      <c r="E213">
        <f>IF($N213="","",INDEX('Per Line'!$A$2:$A$3001,$N213))</f>
        <v/>
      </c>
      <c r="H213">
        <f>IF($N213="","",INDEX('Per Line'!$V$2:$V$3001,$N213))</f>
        <v/>
      </c>
      <c r="I213" s="5">
        <f>IF($N213="","",SUMIFS('Per Line'!$X$2:$X$3001,'Per Line'!$D$2:$D$3001,$C213))</f>
        <v/>
      </c>
      <c r="J213" s="5">
        <f>IF($N213="","",SUMIFS('Per Line'!$Y$2:$Y$3001,'Per Line'!$D$2:$D$3001,$C213))</f>
        <v/>
      </c>
      <c r="K213" s="5">
        <f>IF($N213="","",SUMIFS('Per Line'!$Z$2:$Z$3001,'Per Line'!$D$2:$D$3001,$C213))</f>
        <v/>
      </c>
      <c r="L213" s="5">
        <f>IF($N213="","",I213-J213)</f>
        <v/>
      </c>
      <c r="M213" s="5">
        <f>IF($N213="","",L213-K213)</f>
        <v/>
      </c>
      <c r="N213">
        <f>IF(ROWS($N$2:$N213)&lt;=MAX('Per Line'!$AG$2:$AG$3001),MATCH(ROWS($N$2:$N213),'Per Line'!$AG$2:$AG$3001,0),"")</f>
        <v/>
      </c>
      <c r="O213">
        <f>IF(B213="Above Claim Form",COUNTIF($B$2:B213,"Above Claim Form"),"")</f>
        <v/>
      </c>
      <c r="P213">
        <f>IF(B213="Below Claim Form",COUNTIF($B$2:B213,"Below Claim Form"),"")</f>
        <v/>
      </c>
    </row>
    <row r="214">
      <c r="B214">
        <f>IF($N214="","",IFERROR(INDEX(Settings!$C$27:$C$36,MATCH(E214,Settings!$B$27:$B$36,0)),"Unassigned"))</f>
        <v/>
      </c>
      <c r="C214">
        <f>IF($N214="","",INDEX('Per Line'!$D$2:$D$3001,$N214))</f>
        <v/>
      </c>
      <c r="D214">
        <f>IF($N214="","",INDEX('Per Line'!$C$2:$C$3001,$N214))</f>
        <v/>
      </c>
      <c r="E214">
        <f>IF($N214="","",INDEX('Per Line'!$A$2:$A$3001,$N214))</f>
        <v/>
      </c>
      <c r="H214">
        <f>IF($N214="","",INDEX('Per Line'!$V$2:$V$3001,$N214))</f>
        <v/>
      </c>
      <c r="I214" s="5">
        <f>IF($N214="","",SUMIFS('Per Line'!$X$2:$X$3001,'Per Line'!$D$2:$D$3001,$C214))</f>
        <v/>
      </c>
      <c r="J214" s="5">
        <f>IF($N214="","",SUMIFS('Per Line'!$Y$2:$Y$3001,'Per Line'!$D$2:$D$3001,$C214))</f>
        <v/>
      </c>
      <c r="K214" s="5">
        <f>IF($N214="","",SUMIFS('Per Line'!$Z$2:$Z$3001,'Per Line'!$D$2:$D$3001,$C214))</f>
        <v/>
      </c>
      <c r="L214" s="5">
        <f>IF($N214="","",I214-J214)</f>
        <v/>
      </c>
      <c r="M214" s="5">
        <f>IF($N214="","",L214-K214)</f>
        <v/>
      </c>
      <c r="N214">
        <f>IF(ROWS($N$2:$N214)&lt;=MAX('Per Line'!$AG$2:$AG$3001),MATCH(ROWS($N$2:$N214),'Per Line'!$AG$2:$AG$3001,0),"")</f>
        <v/>
      </c>
      <c r="O214">
        <f>IF(B214="Above Claim Form",COUNTIF($B$2:B214,"Above Claim Form"),"")</f>
        <v/>
      </c>
      <c r="P214">
        <f>IF(B214="Below Claim Form",COUNTIF($B$2:B214,"Below Claim Form"),"")</f>
        <v/>
      </c>
    </row>
    <row r="215">
      <c r="B215">
        <f>IF($N215="","",IFERROR(INDEX(Settings!$C$27:$C$36,MATCH(E215,Settings!$B$27:$B$36,0)),"Unassigned"))</f>
        <v/>
      </c>
      <c r="C215">
        <f>IF($N215="","",INDEX('Per Line'!$D$2:$D$3001,$N215))</f>
        <v/>
      </c>
      <c r="D215">
        <f>IF($N215="","",INDEX('Per Line'!$C$2:$C$3001,$N215))</f>
        <v/>
      </c>
      <c r="E215">
        <f>IF($N215="","",INDEX('Per Line'!$A$2:$A$3001,$N215))</f>
        <v/>
      </c>
      <c r="H215">
        <f>IF($N215="","",INDEX('Per Line'!$V$2:$V$3001,$N215))</f>
        <v/>
      </c>
      <c r="I215" s="5">
        <f>IF($N215="","",SUMIFS('Per Line'!$X$2:$X$3001,'Per Line'!$D$2:$D$3001,$C215))</f>
        <v/>
      </c>
      <c r="J215" s="5">
        <f>IF($N215="","",SUMIFS('Per Line'!$Y$2:$Y$3001,'Per Line'!$D$2:$D$3001,$C215))</f>
        <v/>
      </c>
      <c r="K215" s="5">
        <f>IF($N215="","",SUMIFS('Per Line'!$Z$2:$Z$3001,'Per Line'!$D$2:$D$3001,$C215))</f>
        <v/>
      </c>
      <c r="L215" s="5">
        <f>IF($N215="","",I215-J215)</f>
        <v/>
      </c>
      <c r="M215" s="5">
        <f>IF($N215="","",L215-K215)</f>
        <v/>
      </c>
      <c r="N215">
        <f>IF(ROWS($N$2:$N215)&lt;=MAX('Per Line'!$AG$2:$AG$3001),MATCH(ROWS($N$2:$N215),'Per Line'!$AG$2:$AG$3001,0),"")</f>
        <v/>
      </c>
      <c r="O215">
        <f>IF(B215="Above Claim Form",COUNTIF($B$2:B215,"Above Claim Form"),"")</f>
        <v/>
      </c>
      <c r="P215">
        <f>IF(B215="Below Claim Form",COUNTIF($B$2:B215,"Below Claim Form"),"")</f>
        <v/>
      </c>
    </row>
    <row r="216">
      <c r="B216">
        <f>IF($N216="","",IFERROR(INDEX(Settings!$C$27:$C$36,MATCH(E216,Settings!$B$27:$B$36,0)),"Unassigned"))</f>
        <v/>
      </c>
      <c r="C216">
        <f>IF($N216="","",INDEX('Per Line'!$D$2:$D$3001,$N216))</f>
        <v/>
      </c>
      <c r="D216">
        <f>IF($N216="","",INDEX('Per Line'!$C$2:$C$3001,$N216))</f>
        <v/>
      </c>
      <c r="E216">
        <f>IF($N216="","",INDEX('Per Line'!$A$2:$A$3001,$N216))</f>
        <v/>
      </c>
      <c r="H216">
        <f>IF($N216="","",INDEX('Per Line'!$V$2:$V$3001,$N216))</f>
        <v/>
      </c>
      <c r="I216" s="5">
        <f>IF($N216="","",SUMIFS('Per Line'!$X$2:$X$3001,'Per Line'!$D$2:$D$3001,$C216))</f>
        <v/>
      </c>
      <c r="J216" s="5">
        <f>IF($N216="","",SUMIFS('Per Line'!$Y$2:$Y$3001,'Per Line'!$D$2:$D$3001,$C216))</f>
        <v/>
      </c>
      <c r="K216" s="5">
        <f>IF($N216="","",SUMIFS('Per Line'!$Z$2:$Z$3001,'Per Line'!$D$2:$D$3001,$C216))</f>
        <v/>
      </c>
      <c r="L216" s="5">
        <f>IF($N216="","",I216-J216)</f>
        <v/>
      </c>
      <c r="M216" s="5">
        <f>IF($N216="","",L216-K216)</f>
        <v/>
      </c>
      <c r="N216">
        <f>IF(ROWS($N$2:$N216)&lt;=MAX('Per Line'!$AG$2:$AG$3001),MATCH(ROWS($N$2:$N216),'Per Line'!$AG$2:$AG$3001,0),"")</f>
        <v/>
      </c>
      <c r="O216">
        <f>IF(B216="Above Claim Form",COUNTIF($B$2:B216,"Above Claim Form"),"")</f>
        <v/>
      </c>
      <c r="P216">
        <f>IF(B216="Below Claim Form",COUNTIF($B$2:B216,"Below Claim Form"),"")</f>
        <v/>
      </c>
    </row>
    <row r="217">
      <c r="B217">
        <f>IF($N217="","",IFERROR(INDEX(Settings!$C$27:$C$36,MATCH(E217,Settings!$B$27:$B$36,0)),"Unassigned"))</f>
        <v/>
      </c>
      <c r="C217">
        <f>IF($N217="","",INDEX('Per Line'!$D$2:$D$3001,$N217))</f>
        <v/>
      </c>
      <c r="D217">
        <f>IF($N217="","",INDEX('Per Line'!$C$2:$C$3001,$N217))</f>
        <v/>
      </c>
      <c r="E217">
        <f>IF($N217="","",INDEX('Per Line'!$A$2:$A$3001,$N217))</f>
        <v/>
      </c>
      <c r="H217">
        <f>IF($N217="","",INDEX('Per Line'!$V$2:$V$3001,$N217))</f>
        <v/>
      </c>
      <c r="I217" s="5">
        <f>IF($N217="","",SUMIFS('Per Line'!$X$2:$X$3001,'Per Line'!$D$2:$D$3001,$C217))</f>
        <v/>
      </c>
      <c r="J217" s="5">
        <f>IF($N217="","",SUMIFS('Per Line'!$Y$2:$Y$3001,'Per Line'!$D$2:$D$3001,$C217))</f>
        <v/>
      </c>
      <c r="K217" s="5">
        <f>IF($N217="","",SUMIFS('Per Line'!$Z$2:$Z$3001,'Per Line'!$D$2:$D$3001,$C217))</f>
        <v/>
      </c>
      <c r="L217" s="5">
        <f>IF($N217="","",I217-J217)</f>
        <v/>
      </c>
      <c r="M217" s="5">
        <f>IF($N217="","",L217-K217)</f>
        <v/>
      </c>
      <c r="N217">
        <f>IF(ROWS($N$2:$N217)&lt;=MAX('Per Line'!$AG$2:$AG$3001),MATCH(ROWS($N$2:$N217),'Per Line'!$AG$2:$AG$3001,0),"")</f>
        <v/>
      </c>
      <c r="O217">
        <f>IF(B217="Above Claim Form",COUNTIF($B$2:B217,"Above Claim Form"),"")</f>
        <v/>
      </c>
      <c r="P217">
        <f>IF(B217="Below Claim Form",COUNTIF($B$2:B217,"Below Claim Form"),"")</f>
        <v/>
      </c>
    </row>
    <row r="218">
      <c r="B218">
        <f>IF($N218="","",IFERROR(INDEX(Settings!$C$27:$C$36,MATCH(E218,Settings!$B$27:$B$36,0)),"Unassigned"))</f>
        <v/>
      </c>
      <c r="C218">
        <f>IF($N218="","",INDEX('Per Line'!$D$2:$D$3001,$N218))</f>
        <v/>
      </c>
      <c r="D218">
        <f>IF($N218="","",INDEX('Per Line'!$C$2:$C$3001,$N218))</f>
        <v/>
      </c>
      <c r="E218">
        <f>IF($N218="","",INDEX('Per Line'!$A$2:$A$3001,$N218))</f>
        <v/>
      </c>
      <c r="H218">
        <f>IF($N218="","",INDEX('Per Line'!$V$2:$V$3001,$N218))</f>
        <v/>
      </c>
      <c r="I218" s="5">
        <f>IF($N218="","",SUMIFS('Per Line'!$X$2:$X$3001,'Per Line'!$D$2:$D$3001,$C218))</f>
        <v/>
      </c>
      <c r="J218" s="5">
        <f>IF($N218="","",SUMIFS('Per Line'!$Y$2:$Y$3001,'Per Line'!$D$2:$D$3001,$C218))</f>
        <v/>
      </c>
      <c r="K218" s="5">
        <f>IF($N218="","",SUMIFS('Per Line'!$Z$2:$Z$3001,'Per Line'!$D$2:$D$3001,$C218))</f>
        <v/>
      </c>
      <c r="L218" s="5">
        <f>IF($N218="","",I218-J218)</f>
        <v/>
      </c>
      <c r="M218" s="5">
        <f>IF($N218="","",L218-K218)</f>
        <v/>
      </c>
      <c r="N218">
        <f>IF(ROWS($N$2:$N218)&lt;=MAX('Per Line'!$AG$2:$AG$3001),MATCH(ROWS($N$2:$N218),'Per Line'!$AG$2:$AG$3001,0),"")</f>
        <v/>
      </c>
      <c r="O218">
        <f>IF(B218="Above Claim Form",COUNTIF($B$2:B218,"Above Claim Form"),"")</f>
        <v/>
      </c>
      <c r="P218">
        <f>IF(B218="Below Claim Form",COUNTIF($B$2:B218,"Below Claim Form"),"")</f>
        <v/>
      </c>
    </row>
    <row r="219">
      <c r="B219">
        <f>IF($N219="","",IFERROR(INDEX(Settings!$C$27:$C$36,MATCH(E219,Settings!$B$27:$B$36,0)),"Unassigned"))</f>
        <v/>
      </c>
      <c r="C219">
        <f>IF($N219="","",INDEX('Per Line'!$D$2:$D$3001,$N219))</f>
        <v/>
      </c>
      <c r="D219">
        <f>IF($N219="","",INDEX('Per Line'!$C$2:$C$3001,$N219))</f>
        <v/>
      </c>
      <c r="E219">
        <f>IF($N219="","",INDEX('Per Line'!$A$2:$A$3001,$N219))</f>
        <v/>
      </c>
      <c r="H219">
        <f>IF($N219="","",INDEX('Per Line'!$V$2:$V$3001,$N219))</f>
        <v/>
      </c>
      <c r="I219" s="5">
        <f>IF($N219="","",SUMIFS('Per Line'!$X$2:$X$3001,'Per Line'!$D$2:$D$3001,$C219))</f>
        <v/>
      </c>
      <c r="J219" s="5">
        <f>IF($N219="","",SUMIFS('Per Line'!$Y$2:$Y$3001,'Per Line'!$D$2:$D$3001,$C219))</f>
        <v/>
      </c>
      <c r="K219" s="5">
        <f>IF($N219="","",SUMIFS('Per Line'!$Z$2:$Z$3001,'Per Line'!$D$2:$D$3001,$C219))</f>
        <v/>
      </c>
      <c r="L219" s="5">
        <f>IF($N219="","",I219-J219)</f>
        <v/>
      </c>
      <c r="M219" s="5">
        <f>IF($N219="","",L219-K219)</f>
        <v/>
      </c>
      <c r="N219">
        <f>IF(ROWS($N$2:$N219)&lt;=MAX('Per Line'!$AG$2:$AG$3001),MATCH(ROWS($N$2:$N219),'Per Line'!$AG$2:$AG$3001,0),"")</f>
        <v/>
      </c>
      <c r="O219">
        <f>IF(B219="Above Claim Form",COUNTIF($B$2:B219,"Above Claim Form"),"")</f>
        <v/>
      </c>
      <c r="P219">
        <f>IF(B219="Below Claim Form",COUNTIF($B$2:B219,"Below Claim Form"),"")</f>
        <v/>
      </c>
    </row>
    <row r="220">
      <c r="B220">
        <f>IF($N220="","",IFERROR(INDEX(Settings!$C$27:$C$36,MATCH(E220,Settings!$B$27:$B$36,0)),"Unassigned"))</f>
        <v/>
      </c>
      <c r="C220">
        <f>IF($N220="","",INDEX('Per Line'!$D$2:$D$3001,$N220))</f>
        <v/>
      </c>
      <c r="D220">
        <f>IF($N220="","",INDEX('Per Line'!$C$2:$C$3001,$N220))</f>
        <v/>
      </c>
      <c r="E220">
        <f>IF($N220="","",INDEX('Per Line'!$A$2:$A$3001,$N220))</f>
        <v/>
      </c>
      <c r="H220">
        <f>IF($N220="","",INDEX('Per Line'!$V$2:$V$3001,$N220))</f>
        <v/>
      </c>
      <c r="I220" s="5">
        <f>IF($N220="","",SUMIFS('Per Line'!$X$2:$X$3001,'Per Line'!$D$2:$D$3001,$C220))</f>
        <v/>
      </c>
      <c r="J220" s="5">
        <f>IF($N220="","",SUMIFS('Per Line'!$Y$2:$Y$3001,'Per Line'!$D$2:$D$3001,$C220))</f>
        <v/>
      </c>
      <c r="K220" s="5">
        <f>IF($N220="","",SUMIFS('Per Line'!$Z$2:$Z$3001,'Per Line'!$D$2:$D$3001,$C220))</f>
        <v/>
      </c>
      <c r="L220" s="5">
        <f>IF($N220="","",I220-J220)</f>
        <v/>
      </c>
      <c r="M220" s="5">
        <f>IF($N220="","",L220-K220)</f>
        <v/>
      </c>
      <c r="N220">
        <f>IF(ROWS($N$2:$N220)&lt;=MAX('Per Line'!$AG$2:$AG$3001),MATCH(ROWS($N$2:$N220),'Per Line'!$AG$2:$AG$3001,0),"")</f>
        <v/>
      </c>
      <c r="O220">
        <f>IF(B220="Above Claim Form",COUNTIF($B$2:B220,"Above Claim Form"),"")</f>
        <v/>
      </c>
      <c r="P220">
        <f>IF(B220="Below Claim Form",COUNTIF($B$2:B220,"Below Claim Form"),"")</f>
        <v/>
      </c>
    </row>
    <row r="221">
      <c r="B221">
        <f>IF($N221="","",IFERROR(INDEX(Settings!$C$27:$C$36,MATCH(E221,Settings!$B$27:$B$36,0)),"Unassigned"))</f>
        <v/>
      </c>
      <c r="C221">
        <f>IF($N221="","",INDEX('Per Line'!$D$2:$D$3001,$N221))</f>
        <v/>
      </c>
      <c r="D221">
        <f>IF($N221="","",INDEX('Per Line'!$C$2:$C$3001,$N221))</f>
        <v/>
      </c>
      <c r="E221">
        <f>IF($N221="","",INDEX('Per Line'!$A$2:$A$3001,$N221))</f>
        <v/>
      </c>
      <c r="H221">
        <f>IF($N221="","",INDEX('Per Line'!$V$2:$V$3001,$N221))</f>
        <v/>
      </c>
      <c r="I221" s="5">
        <f>IF($N221="","",SUMIFS('Per Line'!$X$2:$X$3001,'Per Line'!$D$2:$D$3001,$C221))</f>
        <v/>
      </c>
      <c r="J221" s="5">
        <f>IF($N221="","",SUMIFS('Per Line'!$Y$2:$Y$3001,'Per Line'!$D$2:$D$3001,$C221))</f>
        <v/>
      </c>
      <c r="K221" s="5">
        <f>IF($N221="","",SUMIFS('Per Line'!$Z$2:$Z$3001,'Per Line'!$D$2:$D$3001,$C221))</f>
        <v/>
      </c>
      <c r="L221" s="5">
        <f>IF($N221="","",I221-J221)</f>
        <v/>
      </c>
      <c r="M221" s="5">
        <f>IF($N221="","",L221-K221)</f>
        <v/>
      </c>
      <c r="N221">
        <f>IF(ROWS($N$2:$N221)&lt;=MAX('Per Line'!$AG$2:$AG$3001),MATCH(ROWS($N$2:$N221),'Per Line'!$AG$2:$AG$3001,0),"")</f>
        <v/>
      </c>
      <c r="O221">
        <f>IF(B221="Above Claim Form",COUNTIF($B$2:B221,"Above Claim Form"),"")</f>
        <v/>
      </c>
      <c r="P221">
        <f>IF(B221="Below Claim Form",COUNTIF($B$2:B221,"Below Claim Form"),"")</f>
        <v/>
      </c>
    </row>
    <row r="222">
      <c r="B222">
        <f>IF($N222="","",IFERROR(INDEX(Settings!$C$27:$C$36,MATCH(E222,Settings!$B$27:$B$36,0)),"Unassigned"))</f>
        <v/>
      </c>
      <c r="C222">
        <f>IF($N222="","",INDEX('Per Line'!$D$2:$D$3001,$N222))</f>
        <v/>
      </c>
      <c r="D222">
        <f>IF($N222="","",INDEX('Per Line'!$C$2:$C$3001,$N222))</f>
        <v/>
      </c>
      <c r="E222">
        <f>IF($N222="","",INDEX('Per Line'!$A$2:$A$3001,$N222))</f>
        <v/>
      </c>
      <c r="H222">
        <f>IF($N222="","",INDEX('Per Line'!$V$2:$V$3001,$N222))</f>
        <v/>
      </c>
      <c r="I222" s="5">
        <f>IF($N222="","",SUMIFS('Per Line'!$X$2:$X$3001,'Per Line'!$D$2:$D$3001,$C222))</f>
        <v/>
      </c>
      <c r="J222" s="5">
        <f>IF($N222="","",SUMIFS('Per Line'!$Y$2:$Y$3001,'Per Line'!$D$2:$D$3001,$C222))</f>
        <v/>
      </c>
      <c r="K222" s="5">
        <f>IF($N222="","",SUMIFS('Per Line'!$Z$2:$Z$3001,'Per Line'!$D$2:$D$3001,$C222))</f>
        <v/>
      </c>
      <c r="L222" s="5">
        <f>IF($N222="","",I222-J222)</f>
        <v/>
      </c>
      <c r="M222" s="5">
        <f>IF($N222="","",L222-K222)</f>
        <v/>
      </c>
      <c r="N222">
        <f>IF(ROWS($N$2:$N222)&lt;=MAX('Per Line'!$AG$2:$AG$3001),MATCH(ROWS($N$2:$N222),'Per Line'!$AG$2:$AG$3001,0),"")</f>
        <v/>
      </c>
      <c r="O222">
        <f>IF(B222="Above Claim Form",COUNTIF($B$2:B222,"Above Claim Form"),"")</f>
        <v/>
      </c>
      <c r="P222">
        <f>IF(B222="Below Claim Form",COUNTIF($B$2:B222,"Below Claim Form"),"")</f>
        <v/>
      </c>
    </row>
    <row r="223">
      <c r="B223">
        <f>IF($N223="","",IFERROR(INDEX(Settings!$C$27:$C$36,MATCH(E223,Settings!$B$27:$B$36,0)),"Unassigned"))</f>
        <v/>
      </c>
      <c r="C223">
        <f>IF($N223="","",INDEX('Per Line'!$D$2:$D$3001,$N223))</f>
        <v/>
      </c>
      <c r="D223">
        <f>IF($N223="","",INDEX('Per Line'!$C$2:$C$3001,$N223))</f>
        <v/>
      </c>
      <c r="E223">
        <f>IF($N223="","",INDEX('Per Line'!$A$2:$A$3001,$N223))</f>
        <v/>
      </c>
      <c r="H223">
        <f>IF($N223="","",INDEX('Per Line'!$V$2:$V$3001,$N223))</f>
        <v/>
      </c>
      <c r="I223" s="5">
        <f>IF($N223="","",SUMIFS('Per Line'!$X$2:$X$3001,'Per Line'!$D$2:$D$3001,$C223))</f>
        <v/>
      </c>
      <c r="J223" s="5">
        <f>IF($N223="","",SUMIFS('Per Line'!$Y$2:$Y$3001,'Per Line'!$D$2:$D$3001,$C223))</f>
        <v/>
      </c>
      <c r="K223" s="5">
        <f>IF($N223="","",SUMIFS('Per Line'!$Z$2:$Z$3001,'Per Line'!$D$2:$D$3001,$C223))</f>
        <v/>
      </c>
      <c r="L223" s="5">
        <f>IF($N223="","",I223-J223)</f>
        <v/>
      </c>
      <c r="M223" s="5">
        <f>IF($N223="","",L223-K223)</f>
        <v/>
      </c>
      <c r="N223">
        <f>IF(ROWS($N$2:$N223)&lt;=MAX('Per Line'!$AG$2:$AG$3001),MATCH(ROWS($N$2:$N223),'Per Line'!$AG$2:$AG$3001,0),"")</f>
        <v/>
      </c>
      <c r="O223">
        <f>IF(B223="Above Claim Form",COUNTIF($B$2:B223,"Above Claim Form"),"")</f>
        <v/>
      </c>
      <c r="P223">
        <f>IF(B223="Below Claim Form",COUNTIF($B$2:B223,"Below Claim Form"),"")</f>
        <v/>
      </c>
    </row>
    <row r="224">
      <c r="B224">
        <f>IF($N224="","",IFERROR(INDEX(Settings!$C$27:$C$36,MATCH(E224,Settings!$B$27:$B$36,0)),"Unassigned"))</f>
        <v/>
      </c>
      <c r="C224">
        <f>IF($N224="","",INDEX('Per Line'!$D$2:$D$3001,$N224))</f>
        <v/>
      </c>
      <c r="D224">
        <f>IF($N224="","",INDEX('Per Line'!$C$2:$C$3001,$N224))</f>
        <v/>
      </c>
      <c r="E224">
        <f>IF($N224="","",INDEX('Per Line'!$A$2:$A$3001,$N224))</f>
        <v/>
      </c>
      <c r="H224">
        <f>IF($N224="","",INDEX('Per Line'!$V$2:$V$3001,$N224))</f>
        <v/>
      </c>
      <c r="I224" s="5">
        <f>IF($N224="","",SUMIFS('Per Line'!$X$2:$X$3001,'Per Line'!$D$2:$D$3001,$C224))</f>
        <v/>
      </c>
      <c r="J224" s="5">
        <f>IF($N224="","",SUMIFS('Per Line'!$Y$2:$Y$3001,'Per Line'!$D$2:$D$3001,$C224))</f>
        <v/>
      </c>
      <c r="K224" s="5">
        <f>IF($N224="","",SUMIFS('Per Line'!$Z$2:$Z$3001,'Per Line'!$D$2:$D$3001,$C224))</f>
        <v/>
      </c>
      <c r="L224" s="5">
        <f>IF($N224="","",I224-J224)</f>
        <v/>
      </c>
      <c r="M224" s="5">
        <f>IF($N224="","",L224-K224)</f>
        <v/>
      </c>
      <c r="N224">
        <f>IF(ROWS($N$2:$N224)&lt;=MAX('Per Line'!$AG$2:$AG$3001),MATCH(ROWS($N$2:$N224),'Per Line'!$AG$2:$AG$3001,0),"")</f>
        <v/>
      </c>
      <c r="O224">
        <f>IF(B224="Above Claim Form",COUNTIF($B$2:B224,"Above Claim Form"),"")</f>
        <v/>
      </c>
      <c r="P224">
        <f>IF(B224="Below Claim Form",COUNTIF($B$2:B224,"Below Claim Form"),"")</f>
        <v/>
      </c>
    </row>
    <row r="225">
      <c r="B225">
        <f>IF($N225="","",IFERROR(INDEX(Settings!$C$27:$C$36,MATCH(E225,Settings!$B$27:$B$36,0)),"Unassigned"))</f>
        <v/>
      </c>
      <c r="C225">
        <f>IF($N225="","",INDEX('Per Line'!$D$2:$D$3001,$N225))</f>
        <v/>
      </c>
      <c r="D225">
        <f>IF($N225="","",INDEX('Per Line'!$C$2:$C$3001,$N225))</f>
        <v/>
      </c>
      <c r="E225">
        <f>IF($N225="","",INDEX('Per Line'!$A$2:$A$3001,$N225))</f>
        <v/>
      </c>
      <c r="H225">
        <f>IF($N225="","",INDEX('Per Line'!$V$2:$V$3001,$N225))</f>
        <v/>
      </c>
      <c r="I225" s="5">
        <f>IF($N225="","",SUMIFS('Per Line'!$X$2:$X$3001,'Per Line'!$D$2:$D$3001,$C225))</f>
        <v/>
      </c>
      <c r="J225" s="5">
        <f>IF($N225="","",SUMIFS('Per Line'!$Y$2:$Y$3001,'Per Line'!$D$2:$D$3001,$C225))</f>
        <v/>
      </c>
      <c r="K225" s="5">
        <f>IF($N225="","",SUMIFS('Per Line'!$Z$2:$Z$3001,'Per Line'!$D$2:$D$3001,$C225))</f>
        <v/>
      </c>
      <c r="L225" s="5">
        <f>IF($N225="","",I225-J225)</f>
        <v/>
      </c>
      <c r="M225" s="5">
        <f>IF($N225="","",L225-K225)</f>
        <v/>
      </c>
      <c r="N225">
        <f>IF(ROWS($N$2:$N225)&lt;=MAX('Per Line'!$AG$2:$AG$3001),MATCH(ROWS($N$2:$N225),'Per Line'!$AG$2:$AG$3001,0),"")</f>
        <v/>
      </c>
      <c r="O225">
        <f>IF(B225="Above Claim Form",COUNTIF($B$2:B225,"Above Claim Form"),"")</f>
        <v/>
      </c>
      <c r="P225">
        <f>IF(B225="Below Claim Form",COUNTIF($B$2:B225,"Below Claim Form"),"")</f>
        <v/>
      </c>
    </row>
    <row r="226">
      <c r="B226">
        <f>IF($N226="","",IFERROR(INDEX(Settings!$C$27:$C$36,MATCH(E226,Settings!$B$27:$B$36,0)),"Unassigned"))</f>
        <v/>
      </c>
      <c r="C226">
        <f>IF($N226="","",INDEX('Per Line'!$D$2:$D$3001,$N226))</f>
        <v/>
      </c>
      <c r="D226">
        <f>IF($N226="","",INDEX('Per Line'!$C$2:$C$3001,$N226))</f>
        <v/>
      </c>
      <c r="E226">
        <f>IF($N226="","",INDEX('Per Line'!$A$2:$A$3001,$N226))</f>
        <v/>
      </c>
      <c r="H226">
        <f>IF($N226="","",INDEX('Per Line'!$V$2:$V$3001,$N226))</f>
        <v/>
      </c>
      <c r="I226" s="5">
        <f>IF($N226="","",SUMIFS('Per Line'!$X$2:$X$3001,'Per Line'!$D$2:$D$3001,$C226))</f>
        <v/>
      </c>
      <c r="J226" s="5">
        <f>IF($N226="","",SUMIFS('Per Line'!$Y$2:$Y$3001,'Per Line'!$D$2:$D$3001,$C226))</f>
        <v/>
      </c>
      <c r="K226" s="5">
        <f>IF($N226="","",SUMIFS('Per Line'!$Z$2:$Z$3001,'Per Line'!$D$2:$D$3001,$C226))</f>
        <v/>
      </c>
      <c r="L226" s="5">
        <f>IF($N226="","",I226-J226)</f>
        <v/>
      </c>
      <c r="M226" s="5">
        <f>IF($N226="","",L226-K226)</f>
        <v/>
      </c>
      <c r="N226">
        <f>IF(ROWS($N$2:$N226)&lt;=MAX('Per Line'!$AG$2:$AG$3001),MATCH(ROWS($N$2:$N226),'Per Line'!$AG$2:$AG$3001,0),"")</f>
        <v/>
      </c>
      <c r="O226">
        <f>IF(B226="Above Claim Form",COUNTIF($B$2:B226,"Above Claim Form"),"")</f>
        <v/>
      </c>
      <c r="P226">
        <f>IF(B226="Below Claim Form",COUNTIF($B$2:B226,"Below Claim Form"),"")</f>
        <v/>
      </c>
    </row>
    <row r="227">
      <c r="B227">
        <f>IF($N227="","",IFERROR(INDEX(Settings!$C$27:$C$36,MATCH(E227,Settings!$B$27:$B$36,0)),"Unassigned"))</f>
        <v/>
      </c>
      <c r="C227">
        <f>IF($N227="","",INDEX('Per Line'!$D$2:$D$3001,$N227))</f>
        <v/>
      </c>
      <c r="D227">
        <f>IF($N227="","",INDEX('Per Line'!$C$2:$C$3001,$N227))</f>
        <v/>
      </c>
      <c r="E227">
        <f>IF($N227="","",INDEX('Per Line'!$A$2:$A$3001,$N227))</f>
        <v/>
      </c>
      <c r="H227">
        <f>IF($N227="","",INDEX('Per Line'!$V$2:$V$3001,$N227))</f>
        <v/>
      </c>
      <c r="I227" s="5">
        <f>IF($N227="","",SUMIFS('Per Line'!$X$2:$X$3001,'Per Line'!$D$2:$D$3001,$C227))</f>
        <v/>
      </c>
      <c r="J227" s="5">
        <f>IF($N227="","",SUMIFS('Per Line'!$Y$2:$Y$3001,'Per Line'!$D$2:$D$3001,$C227))</f>
        <v/>
      </c>
      <c r="K227" s="5">
        <f>IF($N227="","",SUMIFS('Per Line'!$Z$2:$Z$3001,'Per Line'!$D$2:$D$3001,$C227))</f>
        <v/>
      </c>
      <c r="L227" s="5">
        <f>IF($N227="","",I227-J227)</f>
        <v/>
      </c>
      <c r="M227" s="5">
        <f>IF($N227="","",L227-K227)</f>
        <v/>
      </c>
      <c r="N227">
        <f>IF(ROWS($N$2:$N227)&lt;=MAX('Per Line'!$AG$2:$AG$3001),MATCH(ROWS($N$2:$N227),'Per Line'!$AG$2:$AG$3001,0),"")</f>
        <v/>
      </c>
      <c r="O227">
        <f>IF(B227="Above Claim Form",COUNTIF($B$2:B227,"Above Claim Form"),"")</f>
        <v/>
      </c>
      <c r="P227">
        <f>IF(B227="Below Claim Form",COUNTIF($B$2:B227,"Below Claim Form"),"")</f>
        <v/>
      </c>
    </row>
    <row r="228">
      <c r="B228">
        <f>IF($N228="","",IFERROR(INDEX(Settings!$C$27:$C$36,MATCH(E228,Settings!$B$27:$B$36,0)),"Unassigned"))</f>
        <v/>
      </c>
      <c r="C228">
        <f>IF($N228="","",INDEX('Per Line'!$D$2:$D$3001,$N228))</f>
        <v/>
      </c>
      <c r="D228">
        <f>IF($N228="","",INDEX('Per Line'!$C$2:$C$3001,$N228))</f>
        <v/>
      </c>
      <c r="E228">
        <f>IF($N228="","",INDEX('Per Line'!$A$2:$A$3001,$N228))</f>
        <v/>
      </c>
      <c r="H228">
        <f>IF($N228="","",INDEX('Per Line'!$V$2:$V$3001,$N228))</f>
        <v/>
      </c>
      <c r="I228" s="5">
        <f>IF($N228="","",SUMIFS('Per Line'!$X$2:$X$3001,'Per Line'!$D$2:$D$3001,$C228))</f>
        <v/>
      </c>
      <c r="J228" s="5">
        <f>IF($N228="","",SUMIFS('Per Line'!$Y$2:$Y$3001,'Per Line'!$D$2:$D$3001,$C228))</f>
        <v/>
      </c>
      <c r="K228" s="5">
        <f>IF($N228="","",SUMIFS('Per Line'!$Z$2:$Z$3001,'Per Line'!$D$2:$D$3001,$C228))</f>
        <v/>
      </c>
      <c r="L228" s="5">
        <f>IF($N228="","",I228-J228)</f>
        <v/>
      </c>
      <c r="M228" s="5">
        <f>IF($N228="","",L228-K228)</f>
        <v/>
      </c>
      <c r="N228">
        <f>IF(ROWS($N$2:$N228)&lt;=MAX('Per Line'!$AG$2:$AG$3001),MATCH(ROWS($N$2:$N228),'Per Line'!$AG$2:$AG$3001,0),"")</f>
        <v/>
      </c>
      <c r="O228">
        <f>IF(B228="Above Claim Form",COUNTIF($B$2:B228,"Above Claim Form"),"")</f>
        <v/>
      </c>
      <c r="P228">
        <f>IF(B228="Below Claim Form",COUNTIF($B$2:B228,"Below Claim Form"),"")</f>
        <v/>
      </c>
    </row>
    <row r="229">
      <c r="B229">
        <f>IF($N229="","",IFERROR(INDEX(Settings!$C$27:$C$36,MATCH(E229,Settings!$B$27:$B$36,0)),"Unassigned"))</f>
        <v/>
      </c>
      <c r="C229">
        <f>IF($N229="","",INDEX('Per Line'!$D$2:$D$3001,$N229))</f>
        <v/>
      </c>
      <c r="D229">
        <f>IF($N229="","",INDEX('Per Line'!$C$2:$C$3001,$N229))</f>
        <v/>
      </c>
      <c r="E229">
        <f>IF($N229="","",INDEX('Per Line'!$A$2:$A$3001,$N229))</f>
        <v/>
      </c>
      <c r="H229">
        <f>IF($N229="","",INDEX('Per Line'!$V$2:$V$3001,$N229))</f>
        <v/>
      </c>
      <c r="I229" s="5">
        <f>IF($N229="","",SUMIFS('Per Line'!$X$2:$X$3001,'Per Line'!$D$2:$D$3001,$C229))</f>
        <v/>
      </c>
      <c r="J229" s="5">
        <f>IF($N229="","",SUMIFS('Per Line'!$Y$2:$Y$3001,'Per Line'!$D$2:$D$3001,$C229))</f>
        <v/>
      </c>
      <c r="K229" s="5">
        <f>IF($N229="","",SUMIFS('Per Line'!$Z$2:$Z$3001,'Per Line'!$D$2:$D$3001,$C229))</f>
        <v/>
      </c>
      <c r="L229" s="5">
        <f>IF($N229="","",I229-J229)</f>
        <v/>
      </c>
      <c r="M229" s="5">
        <f>IF($N229="","",L229-K229)</f>
        <v/>
      </c>
      <c r="N229">
        <f>IF(ROWS($N$2:$N229)&lt;=MAX('Per Line'!$AG$2:$AG$3001),MATCH(ROWS($N$2:$N229),'Per Line'!$AG$2:$AG$3001,0),"")</f>
        <v/>
      </c>
      <c r="O229">
        <f>IF(B229="Above Claim Form",COUNTIF($B$2:B229,"Above Claim Form"),"")</f>
        <v/>
      </c>
      <c r="P229">
        <f>IF(B229="Below Claim Form",COUNTIF($B$2:B229,"Below Claim Form"),"")</f>
        <v/>
      </c>
    </row>
    <row r="230">
      <c r="B230">
        <f>IF($N230="","",IFERROR(INDEX(Settings!$C$27:$C$36,MATCH(E230,Settings!$B$27:$B$36,0)),"Unassigned"))</f>
        <v/>
      </c>
      <c r="C230">
        <f>IF($N230="","",INDEX('Per Line'!$D$2:$D$3001,$N230))</f>
        <v/>
      </c>
      <c r="D230">
        <f>IF($N230="","",INDEX('Per Line'!$C$2:$C$3001,$N230))</f>
        <v/>
      </c>
      <c r="E230">
        <f>IF($N230="","",INDEX('Per Line'!$A$2:$A$3001,$N230))</f>
        <v/>
      </c>
      <c r="H230">
        <f>IF($N230="","",INDEX('Per Line'!$V$2:$V$3001,$N230))</f>
        <v/>
      </c>
      <c r="I230" s="5">
        <f>IF($N230="","",SUMIFS('Per Line'!$X$2:$X$3001,'Per Line'!$D$2:$D$3001,$C230))</f>
        <v/>
      </c>
      <c r="J230" s="5">
        <f>IF($N230="","",SUMIFS('Per Line'!$Y$2:$Y$3001,'Per Line'!$D$2:$D$3001,$C230))</f>
        <v/>
      </c>
      <c r="K230" s="5">
        <f>IF($N230="","",SUMIFS('Per Line'!$Z$2:$Z$3001,'Per Line'!$D$2:$D$3001,$C230))</f>
        <v/>
      </c>
      <c r="L230" s="5">
        <f>IF($N230="","",I230-J230)</f>
        <v/>
      </c>
      <c r="M230" s="5">
        <f>IF($N230="","",L230-K230)</f>
        <v/>
      </c>
      <c r="N230">
        <f>IF(ROWS($N$2:$N230)&lt;=MAX('Per Line'!$AG$2:$AG$3001),MATCH(ROWS($N$2:$N230),'Per Line'!$AG$2:$AG$3001,0),"")</f>
        <v/>
      </c>
      <c r="O230">
        <f>IF(B230="Above Claim Form",COUNTIF($B$2:B230,"Above Claim Form"),"")</f>
        <v/>
      </c>
      <c r="P230">
        <f>IF(B230="Below Claim Form",COUNTIF($B$2:B230,"Below Claim Form"),"")</f>
        <v/>
      </c>
    </row>
    <row r="231">
      <c r="B231">
        <f>IF($N231="","",IFERROR(INDEX(Settings!$C$27:$C$36,MATCH(E231,Settings!$B$27:$B$36,0)),"Unassigned"))</f>
        <v/>
      </c>
      <c r="C231">
        <f>IF($N231="","",INDEX('Per Line'!$D$2:$D$3001,$N231))</f>
        <v/>
      </c>
      <c r="D231">
        <f>IF($N231="","",INDEX('Per Line'!$C$2:$C$3001,$N231))</f>
        <v/>
      </c>
      <c r="E231">
        <f>IF($N231="","",INDEX('Per Line'!$A$2:$A$3001,$N231))</f>
        <v/>
      </c>
      <c r="H231">
        <f>IF($N231="","",INDEX('Per Line'!$V$2:$V$3001,$N231))</f>
        <v/>
      </c>
      <c r="I231" s="5">
        <f>IF($N231="","",SUMIFS('Per Line'!$X$2:$X$3001,'Per Line'!$D$2:$D$3001,$C231))</f>
        <v/>
      </c>
      <c r="J231" s="5">
        <f>IF($N231="","",SUMIFS('Per Line'!$Y$2:$Y$3001,'Per Line'!$D$2:$D$3001,$C231))</f>
        <v/>
      </c>
      <c r="K231" s="5">
        <f>IF($N231="","",SUMIFS('Per Line'!$Z$2:$Z$3001,'Per Line'!$D$2:$D$3001,$C231))</f>
        <v/>
      </c>
      <c r="L231" s="5">
        <f>IF($N231="","",I231-J231)</f>
        <v/>
      </c>
      <c r="M231" s="5">
        <f>IF($N231="","",L231-K231)</f>
        <v/>
      </c>
      <c r="N231">
        <f>IF(ROWS($N$2:$N231)&lt;=MAX('Per Line'!$AG$2:$AG$3001),MATCH(ROWS($N$2:$N231),'Per Line'!$AG$2:$AG$3001,0),"")</f>
        <v/>
      </c>
      <c r="O231">
        <f>IF(B231="Above Claim Form",COUNTIF($B$2:B231,"Above Claim Form"),"")</f>
        <v/>
      </c>
      <c r="P231">
        <f>IF(B231="Below Claim Form",COUNTIF($B$2:B231,"Below Claim Form"),"")</f>
        <v/>
      </c>
    </row>
    <row r="232">
      <c r="B232">
        <f>IF($N232="","",IFERROR(INDEX(Settings!$C$27:$C$36,MATCH(E232,Settings!$B$27:$B$36,0)),"Unassigned"))</f>
        <v/>
      </c>
      <c r="C232">
        <f>IF($N232="","",INDEX('Per Line'!$D$2:$D$3001,$N232))</f>
        <v/>
      </c>
      <c r="D232">
        <f>IF($N232="","",INDEX('Per Line'!$C$2:$C$3001,$N232))</f>
        <v/>
      </c>
      <c r="E232">
        <f>IF($N232="","",INDEX('Per Line'!$A$2:$A$3001,$N232))</f>
        <v/>
      </c>
      <c r="H232">
        <f>IF($N232="","",INDEX('Per Line'!$V$2:$V$3001,$N232))</f>
        <v/>
      </c>
      <c r="I232" s="5">
        <f>IF($N232="","",SUMIFS('Per Line'!$X$2:$X$3001,'Per Line'!$D$2:$D$3001,$C232))</f>
        <v/>
      </c>
      <c r="J232" s="5">
        <f>IF($N232="","",SUMIFS('Per Line'!$Y$2:$Y$3001,'Per Line'!$D$2:$D$3001,$C232))</f>
        <v/>
      </c>
      <c r="K232" s="5">
        <f>IF($N232="","",SUMIFS('Per Line'!$Z$2:$Z$3001,'Per Line'!$D$2:$D$3001,$C232))</f>
        <v/>
      </c>
      <c r="L232" s="5">
        <f>IF($N232="","",I232-J232)</f>
        <v/>
      </c>
      <c r="M232" s="5">
        <f>IF($N232="","",L232-K232)</f>
        <v/>
      </c>
      <c r="N232">
        <f>IF(ROWS($N$2:$N232)&lt;=MAX('Per Line'!$AG$2:$AG$3001),MATCH(ROWS($N$2:$N232),'Per Line'!$AG$2:$AG$3001,0),"")</f>
        <v/>
      </c>
      <c r="O232">
        <f>IF(B232="Above Claim Form",COUNTIF($B$2:B232,"Above Claim Form"),"")</f>
        <v/>
      </c>
      <c r="P232">
        <f>IF(B232="Below Claim Form",COUNTIF($B$2:B232,"Below Claim Form"),"")</f>
        <v/>
      </c>
    </row>
    <row r="233">
      <c r="B233">
        <f>IF($N233="","",IFERROR(INDEX(Settings!$C$27:$C$36,MATCH(E233,Settings!$B$27:$B$36,0)),"Unassigned"))</f>
        <v/>
      </c>
      <c r="C233">
        <f>IF($N233="","",INDEX('Per Line'!$D$2:$D$3001,$N233))</f>
        <v/>
      </c>
      <c r="D233">
        <f>IF($N233="","",INDEX('Per Line'!$C$2:$C$3001,$N233))</f>
        <v/>
      </c>
      <c r="E233">
        <f>IF($N233="","",INDEX('Per Line'!$A$2:$A$3001,$N233))</f>
        <v/>
      </c>
      <c r="H233">
        <f>IF($N233="","",INDEX('Per Line'!$V$2:$V$3001,$N233))</f>
        <v/>
      </c>
      <c r="I233" s="5">
        <f>IF($N233="","",SUMIFS('Per Line'!$X$2:$X$3001,'Per Line'!$D$2:$D$3001,$C233))</f>
        <v/>
      </c>
      <c r="J233" s="5">
        <f>IF($N233="","",SUMIFS('Per Line'!$Y$2:$Y$3001,'Per Line'!$D$2:$D$3001,$C233))</f>
        <v/>
      </c>
      <c r="K233" s="5">
        <f>IF($N233="","",SUMIFS('Per Line'!$Z$2:$Z$3001,'Per Line'!$D$2:$D$3001,$C233))</f>
        <v/>
      </c>
      <c r="L233" s="5">
        <f>IF($N233="","",I233-J233)</f>
        <v/>
      </c>
      <c r="M233" s="5">
        <f>IF($N233="","",L233-K233)</f>
        <v/>
      </c>
      <c r="N233">
        <f>IF(ROWS($N$2:$N233)&lt;=MAX('Per Line'!$AG$2:$AG$3001),MATCH(ROWS($N$2:$N233),'Per Line'!$AG$2:$AG$3001,0),"")</f>
        <v/>
      </c>
      <c r="O233">
        <f>IF(B233="Above Claim Form",COUNTIF($B$2:B233,"Above Claim Form"),"")</f>
        <v/>
      </c>
      <c r="P233">
        <f>IF(B233="Below Claim Form",COUNTIF($B$2:B233,"Below Claim Form"),"")</f>
        <v/>
      </c>
    </row>
    <row r="234">
      <c r="B234">
        <f>IF($N234="","",IFERROR(INDEX(Settings!$C$27:$C$36,MATCH(E234,Settings!$B$27:$B$36,0)),"Unassigned"))</f>
        <v/>
      </c>
      <c r="C234">
        <f>IF($N234="","",INDEX('Per Line'!$D$2:$D$3001,$N234))</f>
        <v/>
      </c>
      <c r="D234">
        <f>IF($N234="","",INDEX('Per Line'!$C$2:$C$3001,$N234))</f>
        <v/>
      </c>
      <c r="E234">
        <f>IF($N234="","",INDEX('Per Line'!$A$2:$A$3001,$N234))</f>
        <v/>
      </c>
      <c r="H234">
        <f>IF($N234="","",INDEX('Per Line'!$V$2:$V$3001,$N234))</f>
        <v/>
      </c>
      <c r="I234" s="5">
        <f>IF($N234="","",SUMIFS('Per Line'!$X$2:$X$3001,'Per Line'!$D$2:$D$3001,$C234))</f>
        <v/>
      </c>
      <c r="J234" s="5">
        <f>IF($N234="","",SUMIFS('Per Line'!$Y$2:$Y$3001,'Per Line'!$D$2:$D$3001,$C234))</f>
        <v/>
      </c>
      <c r="K234" s="5">
        <f>IF($N234="","",SUMIFS('Per Line'!$Z$2:$Z$3001,'Per Line'!$D$2:$D$3001,$C234))</f>
        <v/>
      </c>
      <c r="L234" s="5">
        <f>IF($N234="","",I234-J234)</f>
        <v/>
      </c>
      <c r="M234" s="5">
        <f>IF($N234="","",L234-K234)</f>
        <v/>
      </c>
      <c r="N234">
        <f>IF(ROWS($N$2:$N234)&lt;=MAX('Per Line'!$AG$2:$AG$3001),MATCH(ROWS($N$2:$N234),'Per Line'!$AG$2:$AG$3001,0),"")</f>
        <v/>
      </c>
      <c r="O234">
        <f>IF(B234="Above Claim Form",COUNTIF($B$2:B234,"Above Claim Form"),"")</f>
        <v/>
      </c>
      <c r="P234">
        <f>IF(B234="Below Claim Form",COUNTIF($B$2:B234,"Below Claim Form"),"")</f>
        <v/>
      </c>
    </row>
    <row r="235">
      <c r="B235">
        <f>IF($N235="","",IFERROR(INDEX(Settings!$C$27:$C$36,MATCH(E235,Settings!$B$27:$B$36,0)),"Unassigned"))</f>
        <v/>
      </c>
      <c r="C235">
        <f>IF($N235="","",INDEX('Per Line'!$D$2:$D$3001,$N235))</f>
        <v/>
      </c>
      <c r="D235">
        <f>IF($N235="","",INDEX('Per Line'!$C$2:$C$3001,$N235))</f>
        <v/>
      </c>
      <c r="E235">
        <f>IF($N235="","",INDEX('Per Line'!$A$2:$A$3001,$N235))</f>
        <v/>
      </c>
      <c r="H235">
        <f>IF($N235="","",INDEX('Per Line'!$V$2:$V$3001,$N235))</f>
        <v/>
      </c>
      <c r="I235" s="5">
        <f>IF($N235="","",SUMIFS('Per Line'!$X$2:$X$3001,'Per Line'!$D$2:$D$3001,$C235))</f>
        <v/>
      </c>
      <c r="J235" s="5">
        <f>IF($N235="","",SUMIFS('Per Line'!$Y$2:$Y$3001,'Per Line'!$D$2:$D$3001,$C235))</f>
        <v/>
      </c>
      <c r="K235" s="5">
        <f>IF($N235="","",SUMIFS('Per Line'!$Z$2:$Z$3001,'Per Line'!$D$2:$D$3001,$C235))</f>
        <v/>
      </c>
      <c r="L235" s="5">
        <f>IF($N235="","",I235-J235)</f>
        <v/>
      </c>
      <c r="M235" s="5">
        <f>IF($N235="","",L235-K235)</f>
        <v/>
      </c>
      <c r="N235">
        <f>IF(ROWS($N$2:$N235)&lt;=MAX('Per Line'!$AG$2:$AG$3001),MATCH(ROWS($N$2:$N235),'Per Line'!$AG$2:$AG$3001,0),"")</f>
        <v/>
      </c>
      <c r="O235">
        <f>IF(B235="Above Claim Form",COUNTIF($B$2:B235,"Above Claim Form"),"")</f>
        <v/>
      </c>
      <c r="P235">
        <f>IF(B235="Below Claim Form",COUNTIF($B$2:B235,"Below Claim Form"),"")</f>
        <v/>
      </c>
    </row>
    <row r="236">
      <c r="B236">
        <f>IF($N236="","",IFERROR(INDEX(Settings!$C$27:$C$36,MATCH(E236,Settings!$B$27:$B$36,0)),"Unassigned"))</f>
        <v/>
      </c>
      <c r="C236">
        <f>IF($N236="","",INDEX('Per Line'!$D$2:$D$3001,$N236))</f>
        <v/>
      </c>
      <c r="D236">
        <f>IF($N236="","",INDEX('Per Line'!$C$2:$C$3001,$N236))</f>
        <v/>
      </c>
      <c r="E236">
        <f>IF($N236="","",INDEX('Per Line'!$A$2:$A$3001,$N236))</f>
        <v/>
      </c>
      <c r="H236">
        <f>IF($N236="","",INDEX('Per Line'!$V$2:$V$3001,$N236))</f>
        <v/>
      </c>
      <c r="I236" s="5">
        <f>IF($N236="","",SUMIFS('Per Line'!$X$2:$X$3001,'Per Line'!$D$2:$D$3001,$C236))</f>
        <v/>
      </c>
      <c r="J236" s="5">
        <f>IF($N236="","",SUMIFS('Per Line'!$Y$2:$Y$3001,'Per Line'!$D$2:$D$3001,$C236))</f>
        <v/>
      </c>
      <c r="K236" s="5">
        <f>IF($N236="","",SUMIFS('Per Line'!$Z$2:$Z$3001,'Per Line'!$D$2:$D$3001,$C236))</f>
        <v/>
      </c>
      <c r="L236" s="5">
        <f>IF($N236="","",I236-J236)</f>
        <v/>
      </c>
      <c r="M236" s="5">
        <f>IF($N236="","",L236-K236)</f>
        <v/>
      </c>
      <c r="N236">
        <f>IF(ROWS($N$2:$N236)&lt;=MAX('Per Line'!$AG$2:$AG$3001),MATCH(ROWS($N$2:$N236),'Per Line'!$AG$2:$AG$3001,0),"")</f>
        <v/>
      </c>
      <c r="O236">
        <f>IF(B236="Above Claim Form",COUNTIF($B$2:B236,"Above Claim Form"),"")</f>
        <v/>
      </c>
      <c r="P236">
        <f>IF(B236="Below Claim Form",COUNTIF($B$2:B236,"Below Claim Form"),"")</f>
        <v/>
      </c>
    </row>
    <row r="237">
      <c r="B237">
        <f>IF($N237="","",IFERROR(INDEX(Settings!$C$27:$C$36,MATCH(E237,Settings!$B$27:$B$36,0)),"Unassigned"))</f>
        <v/>
      </c>
      <c r="C237">
        <f>IF($N237="","",INDEX('Per Line'!$D$2:$D$3001,$N237))</f>
        <v/>
      </c>
      <c r="D237">
        <f>IF($N237="","",INDEX('Per Line'!$C$2:$C$3001,$N237))</f>
        <v/>
      </c>
      <c r="E237">
        <f>IF($N237="","",INDEX('Per Line'!$A$2:$A$3001,$N237))</f>
        <v/>
      </c>
      <c r="H237">
        <f>IF($N237="","",INDEX('Per Line'!$V$2:$V$3001,$N237))</f>
        <v/>
      </c>
      <c r="I237" s="5">
        <f>IF($N237="","",SUMIFS('Per Line'!$X$2:$X$3001,'Per Line'!$D$2:$D$3001,$C237))</f>
        <v/>
      </c>
      <c r="J237" s="5">
        <f>IF($N237="","",SUMIFS('Per Line'!$Y$2:$Y$3001,'Per Line'!$D$2:$D$3001,$C237))</f>
        <v/>
      </c>
      <c r="K237" s="5">
        <f>IF($N237="","",SUMIFS('Per Line'!$Z$2:$Z$3001,'Per Line'!$D$2:$D$3001,$C237))</f>
        <v/>
      </c>
      <c r="L237" s="5">
        <f>IF($N237="","",I237-J237)</f>
        <v/>
      </c>
      <c r="M237" s="5">
        <f>IF($N237="","",L237-K237)</f>
        <v/>
      </c>
      <c r="N237">
        <f>IF(ROWS($N$2:$N237)&lt;=MAX('Per Line'!$AG$2:$AG$3001),MATCH(ROWS($N$2:$N237),'Per Line'!$AG$2:$AG$3001,0),"")</f>
        <v/>
      </c>
      <c r="O237">
        <f>IF(B237="Above Claim Form",COUNTIF($B$2:B237,"Above Claim Form"),"")</f>
        <v/>
      </c>
      <c r="P237">
        <f>IF(B237="Below Claim Form",COUNTIF($B$2:B237,"Below Claim Form"),"")</f>
        <v/>
      </c>
    </row>
    <row r="238">
      <c r="B238">
        <f>IF($N238="","",IFERROR(INDEX(Settings!$C$27:$C$36,MATCH(E238,Settings!$B$27:$B$36,0)),"Unassigned"))</f>
        <v/>
      </c>
      <c r="C238">
        <f>IF($N238="","",INDEX('Per Line'!$D$2:$D$3001,$N238))</f>
        <v/>
      </c>
      <c r="D238">
        <f>IF($N238="","",INDEX('Per Line'!$C$2:$C$3001,$N238))</f>
        <v/>
      </c>
      <c r="E238">
        <f>IF($N238="","",INDEX('Per Line'!$A$2:$A$3001,$N238))</f>
        <v/>
      </c>
      <c r="H238">
        <f>IF($N238="","",INDEX('Per Line'!$V$2:$V$3001,$N238))</f>
        <v/>
      </c>
      <c r="I238" s="5">
        <f>IF($N238="","",SUMIFS('Per Line'!$X$2:$X$3001,'Per Line'!$D$2:$D$3001,$C238))</f>
        <v/>
      </c>
      <c r="J238" s="5">
        <f>IF($N238="","",SUMIFS('Per Line'!$Y$2:$Y$3001,'Per Line'!$D$2:$D$3001,$C238))</f>
        <v/>
      </c>
      <c r="K238" s="5">
        <f>IF($N238="","",SUMIFS('Per Line'!$Z$2:$Z$3001,'Per Line'!$D$2:$D$3001,$C238))</f>
        <v/>
      </c>
      <c r="L238" s="5">
        <f>IF($N238="","",I238-J238)</f>
        <v/>
      </c>
      <c r="M238" s="5">
        <f>IF($N238="","",L238-K238)</f>
        <v/>
      </c>
      <c r="N238">
        <f>IF(ROWS($N$2:$N238)&lt;=MAX('Per Line'!$AG$2:$AG$3001),MATCH(ROWS($N$2:$N238),'Per Line'!$AG$2:$AG$3001,0),"")</f>
        <v/>
      </c>
      <c r="O238">
        <f>IF(B238="Above Claim Form",COUNTIF($B$2:B238,"Above Claim Form"),"")</f>
        <v/>
      </c>
      <c r="P238">
        <f>IF(B238="Below Claim Form",COUNTIF($B$2:B238,"Below Claim Form"),"")</f>
        <v/>
      </c>
    </row>
    <row r="239">
      <c r="B239">
        <f>IF($N239="","",IFERROR(INDEX(Settings!$C$27:$C$36,MATCH(E239,Settings!$B$27:$B$36,0)),"Unassigned"))</f>
        <v/>
      </c>
      <c r="C239">
        <f>IF($N239="","",INDEX('Per Line'!$D$2:$D$3001,$N239))</f>
        <v/>
      </c>
      <c r="D239">
        <f>IF($N239="","",INDEX('Per Line'!$C$2:$C$3001,$N239))</f>
        <v/>
      </c>
      <c r="E239">
        <f>IF($N239="","",INDEX('Per Line'!$A$2:$A$3001,$N239))</f>
        <v/>
      </c>
      <c r="H239">
        <f>IF($N239="","",INDEX('Per Line'!$V$2:$V$3001,$N239))</f>
        <v/>
      </c>
      <c r="I239" s="5">
        <f>IF($N239="","",SUMIFS('Per Line'!$X$2:$X$3001,'Per Line'!$D$2:$D$3001,$C239))</f>
        <v/>
      </c>
      <c r="J239" s="5">
        <f>IF($N239="","",SUMIFS('Per Line'!$Y$2:$Y$3001,'Per Line'!$D$2:$D$3001,$C239))</f>
        <v/>
      </c>
      <c r="K239" s="5">
        <f>IF($N239="","",SUMIFS('Per Line'!$Z$2:$Z$3001,'Per Line'!$D$2:$D$3001,$C239))</f>
        <v/>
      </c>
      <c r="L239" s="5">
        <f>IF($N239="","",I239-J239)</f>
        <v/>
      </c>
      <c r="M239" s="5">
        <f>IF($N239="","",L239-K239)</f>
        <v/>
      </c>
      <c r="N239">
        <f>IF(ROWS($N$2:$N239)&lt;=MAX('Per Line'!$AG$2:$AG$3001),MATCH(ROWS($N$2:$N239),'Per Line'!$AG$2:$AG$3001,0),"")</f>
        <v/>
      </c>
      <c r="O239">
        <f>IF(B239="Above Claim Form",COUNTIF($B$2:B239,"Above Claim Form"),"")</f>
        <v/>
      </c>
      <c r="P239">
        <f>IF(B239="Below Claim Form",COUNTIF($B$2:B239,"Below Claim Form"),"")</f>
        <v/>
      </c>
    </row>
    <row r="240">
      <c r="B240">
        <f>IF($N240="","",IFERROR(INDEX(Settings!$C$27:$C$36,MATCH(E240,Settings!$B$27:$B$36,0)),"Unassigned"))</f>
        <v/>
      </c>
      <c r="C240">
        <f>IF($N240="","",INDEX('Per Line'!$D$2:$D$3001,$N240))</f>
        <v/>
      </c>
      <c r="D240">
        <f>IF($N240="","",INDEX('Per Line'!$C$2:$C$3001,$N240))</f>
        <v/>
      </c>
      <c r="E240">
        <f>IF($N240="","",INDEX('Per Line'!$A$2:$A$3001,$N240))</f>
        <v/>
      </c>
      <c r="H240">
        <f>IF($N240="","",INDEX('Per Line'!$V$2:$V$3001,$N240))</f>
        <v/>
      </c>
      <c r="I240" s="5">
        <f>IF($N240="","",SUMIFS('Per Line'!$X$2:$X$3001,'Per Line'!$D$2:$D$3001,$C240))</f>
        <v/>
      </c>
      <c r="J240" s="5">
        <f>IF($N240="","",SUMIFS('Per Line'!$Y$2:$Y$3001,'Per Line'!$D$2:$D$3001,$C240))</f>
        <v/>
      </c>
      <c r="K240" s="5">
        <f>IF($N240="","",SUMIFS('Per Line'!$Z$2:$Z$3001,'Per Line'!$D$2:$D$3001,$C240))</f>
        <v/>
      </c>
      <c r="L240" s="5">
        <f>IF($N240="","",I240-J240)</f>
        <v/>
      </c>
      <c r="M240" s="5">
        <f>IF($N240="","",L240-K240)</f>
        <v/>
      </c>
      <c r="N240">
        <f>IF(ROWS($N$2:$N240)&lt;=MAX('Per Line'!$AG$2:$AG$3001),MATCH(ROWS($N$2:$N240),'Per Line'!$AG$2:$AG$3001,0),"")</f>
        <v/>
      </c>
      <c r="O240">
        <f>IF(B240="Above Claim Form",COUNTIF($B$2:B240,"Above Claim Form"),"")</f>
        <v/>
      </c>
      <c r="P240">
        <f>IF(B240="Below Claim Form",COUNTIF($B$2:B240,"Below Claim Form"),"")</f>
        <v/>
      </c>
    </row>
    <row r="241">
      <c r="B241">
        <f>IF($N241="","",IFERROR(INDEX(Settings!$C$27:$C$36,MATCH(E241,Settings!$B$27:$B$36,0)),"Unassigned"))</f>
        <v/>
      </c>
      <c r="C241">
        <f>IF($N241="","",INDEX('Per Line'!$D$2:$D$3001,$N241))</f>
        <v/>
      </c>
      <c r="D241">
        <f>IF($N241="","",INDEX('Per Line'!$C$2:$C$3001,$N241))</f>
        <v/>
      </c>
      <c r="E241">
        <f>IF($N241="","",INDEX('Per Line'!$A$2:$A$3001,$N241))</f>
        <v/>
      </c>
      <c r="H241">
        <f>IF($N241="","",INDEX('Per Line'!$V$2:$V$3001,$N241))</f>
        <v/>
      </c>
      <c r="I241" s="5">
        <f>IF($N241="","",SUMIFS('Per Line'!$X$2:$X$3001,'Per Line'!$D$2:$D$3001,$C241))</f>
        <v/>
      </c>
      <c r="J241" s="5">
        <f>IF($N241="","",SUMIFS('Per Line'!$Y$2:$Y$3001,'Per Line'!$D$2:$D$3001,$C241))</f>
        <v/>
      </c>
      <c r="K241" s="5">
        <f>IF($N241="","",SUMIFS('Per Line'!$Z$2:$Z$3001,'Per Line'!$D$2:$D$3001,$C241))</f>
        <v/>
      </c>
      <c r="L241" s="5">
        <f>IF($N241="","",I241-J241)</f>
        <v/>
      </c>
      <c r="M241" s="5">
        <f>IF($N241="","",L241-K241)</f>
        <v/>
      </c>
      <c r="N241">
        <f>IF(ROWS($N$2:$N241)&lt;=MAX('Per Line'!$AG$2:$AG$3001),MATCH(ROWS($N$2:$N241),'Per Line'!$AG$2:$AG$3001,0),"")</f>
        <v/>
      </c>
      <c r="O241">
        <f>IF(B241="Above Claim Form",COUNTIF($B$2:B241,"Above Claim Form"),"")</f>
        <v/>
      </c>
      <c r="P241">
        <f>IF(B241="Below Claim Form",COUNTIF($B$2:B241,"Below Claim Form"),"")</f>
        <v/>
      </c>
    </row>
    <row r="242">
      <c r="B242">
        <f>IF($N242="","",IFERROR(INDEX(Settings!$C$27:$C$36,MATCH(E242,Settings!$B$27:$B$36,0)),"Unassigned"))</f>
        <v/>
      </c>
      <c r="C242">
        <f>IF($N242="","",INDEX('Per Line'!$D$2:$D$3001,$N242))</f>
        <v/>
      </c>
      <c r="D242">
        <f>IF($N242="","",INDEX('Per Line'!$C$2:$C$3001,$N242))</f>
        <v/>
      </c>
      <c r="E242">
        <f>IF($N242="","",INDEX('Per Line'!$A$2:$A$3001,$N242))</f>
        <v/>
      </c>
      <c r="H242">
        <f>IF($N242="","",INDEX('Per Line'!$V$2:$V$3001,$N242))</f>
        <v/>
      </c>
      <c r="I242" s="5">
        <f>IF($N242="","",SUMIFS('Per Line'!$X$2:$X$3001,'Per Line'!$D$2:$D$3001,$C242))</f>
        <v/>
      </c>
      <c r="J242" s="5">
        <f>IF($N242="","",SUMIFS('Per Line'!$Y$2:$Y$3001,'Per Line'!$D$2:$D$3001,$C242))</f>
        <v/>
      </c>
      <c r="K242" s="5">
        <f>IF($N242="","",SUMIFS('Per Line'!$Z$2:$Z$3001,'Per Line'!$D$2:$D$3001,$C242))</f>
        <v/>
      </c>
      <c r="L242" s="5">
        <f>IF($N242="","",I242-J242)</f>
        <v/>
      </c>
      <c r="M242" s="5">
        <f>IF($N242="","",L242-K242)</f>
        <v/>
      </c>
      <c r="N242">
        <f>IF(ROWS($N$2:$N242)&lt;=MAX('Per Line'!$AG$2:$AG$3001),MATCH(ROWS($N$2:$N242),'Per Line'!$AG$2:$AG$3001,0),"")</f>
        <v/>
      </c>
      <c r="O242">
        <f>IF(B242="Above Claim Form",COUNTIF($B$2:B242,"Above Claim Form"),"")</f>
        <v/>
      </c>
      <c r="P242">
        <f>IF(B242="Below Claim Form",COUNTIF($B$2:B242,"Below Claim Form"),"")</f>
        <v/>
      </c>
    </row>
    <row r="243">
      <c r="B243">
        <f>IF($N243="","",IFERROR(INDEX(Settings!$C$27:$C$36,MATCH(E243,Settings!$B$27:$B$36,0)),"Unassigned"))</f>
        <v/>
      </c>
      <c r="C243">
        <f>IF($N243="","",INDEX('Per Line'!$D$2:$D$3001,$N243))</f>
        <v/>
      </c>
      <c r="D243">
        <f>IF($N243="","",INDEX('Per Line'!$C$2:$C$3001,$N243))</f>
        <v/>
      </c>
      <c r="E243">
        <f>IF($N243="","",INDEX('Per Line'!$A$2:$A$3001,$N243))</f>
        <v/>
      </c>
      <c r="H243">
        <f>IF($N243="","",INDEX('Per Line'!$V$2:$V$3001,$N243))</f>
        <v/>
      </c>
      <c r="I243" s="5">
        <f>IF($N243="","",SUMIFS('Per Line'!$X$2:$X$3001,'Per Line'!$D$2:$D$3001,$C243))</f>
        <v/>
      </c>
      <c r="J243" s="5">
        <f>IF($N243="","",SUMIFS('Per Line'!$Y$2:$Y$3001,'Per Line'!$D$2:$D$3001,$C243))</f>
        <v/>
      </c>
      <c r="K243" s="5">
        <f>IF($N243="","",SUMIFS('Per Line'!$Z$2:$Z$3001,'Per Line'!$D$2:$D$3001,$C243))</f>
        <v/>
      </c>
      <c r="L243" s="5">
        <f>IF($N243="","",I243-J243)</f>
        <v/>
      </c>
      <c r="M243" s="5">
        <f>IF($N243="","",L243-K243)</f>
        <v/>
      </c>
      <c r="N243">
        <f>IF(ROWS($N$2:$N243)&lt;=MAX('Per Line'!$AG$2:$AG$3001),MATCH(ROWS($N$2:$N243),'Per Line'!$AG$2:$AG$3001,0),"")</f>
        <v/>
      </c>
      <c r="O243">
        <f>IF(B243="Above Claim Form",COUNTIF($B$2:B243,"Above Claim Form"),"")</f>
        <v/>
      </c>
      <c r="P243">
        <f>IF(B243="Below Claim Form",COUNTIF($B$2:B243,"Below Claim Form"),"")</f>
        <v/>
      </c>
    </row>
    <row r="244">
      <c r="B244">
        <f>IF($N244="","",IFERROR(INDEX(Settings!$C$27:$C$36,MATCH(E244,Settings!$B$27:$B$36,0)),"Unassigned"))</f>
        <v/>
      </c>
      <c r="C244">
        <f>IF($N244="","",INDEX('Per Line'!$D$2:$D$3001,$N244))</f>
        <v/>
      </c>
      <c r="D244">
        <f>IF($N244="","",INDEX('Per Line'!$C$2:$C$3001,$N244))</f>
        <v/>
      </c>
      <c r="E244">
        <f>IF($N244="","",INDEX('Per Line'!$A$2:$A$3001,$N244))</f>
        <v/>
      </c>
      <c r="H244">
        <f>IF($N244="","",INDEX('Per Line'!$V$2:$V$3001,$N244))</f>
        <v/>
      </c>
      <c r="I244" s="5">
        <f>IF($N244="","",SUMIFS('Per Line'!$X$2:$X$3001,'Per Line'!$D$2:$D$3001,$C244))</f>
        <v/>
      </c>
      <c r="J244" s="5">
        <f>IF($N244="","",SUMIFS('Per Line'!$Y$2:$Y$3001,'Per Line'!$D$2:$D$3001,$C244))</f>
        <v/>
      </c>
      <c r="K244" s="5">
        <f>IF($N244="","",SUMIFS('Per Line'!$Z$2:$Z$3001,'Per Line'!$D$2:$D$3001,$C244))</f>
        <v/>
      </c>
      <c r="L244" s="5">
        <f>IF($N244="","",I244-J244)</f>
        <v/>
      </c>
      <c r="M244" s="5">
        <f>IF($N244="","",L244-K244)</f>
        <v/>
      </c>
      <c r="N244">
        <f>IF(ROWS($N$2:$N244)&lt;=MAX('Per Line'!$AG$2:$AG$3001),MATCH(ROWS($N$2:$N244),'Per Line'!$AG$2:$AG$3001,0),"")</f>
        <v/>
      </c>
      <c r="O244">
        <f>IF(B244="Above Claim Form",COUNTIF($B$2:B244,"Above Claim Form"),"")</f>
        <v/>
      </c>
      <c r="P244">
        <f>IF(B244="Below Claim Form",COUNTIF($B$2:B244,"Below Claim Form"),"")</f>
        <v/>
      </c>
    </row>
    <row r="245">
      <c r="B245">
        <f>IF($N245="","",IFERROR(INDEX(Settings!$C$27:$C$36,MATCH(E245,Settings!$B$27:$B$36,0)),"Unassigned"))</f>
        <v/>
      </c>
      <c r="C245">
        <f>IF($N245="","",INDEX('Per Line'!$D$2:$D$3001,$N245))</f>
        <v/>
      </c>
      <c r="D245">
        <f>IF($N245="","",INDEX('Per Line'!$C$2:$C$3001,$N245))</f>
        <v/>
      </c>
      <c r="E245">
        <f>IF($N245="","",INDEX('Per Line'!$A$2:$A$3001,$N245))</f>
        <v/>
      </c>
      <c r="H245">
        <f>IF($N245="","",INDEX('Per Line'!$V$2:$V$3001,$N245))</f>
        <v/>
      </c>
      <c r="I245" s="5">
        <f>IF($N245="","",SUMIFS('Per Line'!$X$2:$X$3001,'Per Line'!$D$2:$D$3001,$C245))</f>
        <v/>
      </c>
      <c r="J245" s="5">
        <f>IF($N245="","",SUMIFS('Per Line'!$Y$2:$Y$3001,'Per Line'!$D$2:$D$3001,$C245))</f>
        <v/>
      </c>
      <c r="K245" s="5">
        <f>IF($N245="","",SUMIFS('Per Line'!$Z$2:$Z$3001,'Per Line'!$D$2:$D$3001,$C245))</f>
        <v/>
      </c>
      <c r="L245" s="5">
        <f>IF($N245="","",I245-J245)</f>
        <v/>
      </c>
      <c r="M245" s="5">
        <f>IF($N245="","",L245-K245)</f>
        <v/>
      </c>
      <c r="N245">
        <f>IF(ROWS($N$2:$N245)&lt;=MAX('Per Line'!$AG$2:$AG$3001),MATCH(ROWS($N$2:$N245),'Per Line'!$AG$2:$AG$3001,0),"")</f>
        <v/>
      </c>
      <c r="O245">
        <f>IF(B245="Above Claim Form",COUNTIF($B$2:B245,"Above Claim Form"),"")</f>
        <v/>
      </c>
      <c r="P245">
        <f>IF(B245="Below Claim Form",COUNTIF($B$2:B245,"Below Claim Form"),"")</f>
        <v/>
      </c>
    </row>
    <row r="246">
      <c r="B246">
        <f>IF($N246="","",IFERROR(INDEX(Settings!$C$27:$C$36,MATCH(E246,Settings!$B$27:$B$36,0)),"Unassigned"))</f>
        <v/>
      </c>
      <c r="C246">
        <f>IF($N246="","",INDEX('Per Line'!$D$2:$D$3001,$N246))</f>
        <v/>
      </c>
      <c r="D246">
        <f>IF($N246="","",INDEX('Per Line'!$C$2:$C$3001,$N246))</f>
        <v/>
      </c>
      <c r="E246">
        <f>IF($N246="","",INDEX('Per Line'!$A$2:$A$3001,$N246))</f>
        <v/>
      </c>
      <c r="H246">
        <f>IF($N246="","",INDEX('Per Line'!$V$2:$V$3001,$N246))</f>
        <v/>
      </c>
      <c r="I246" s="5">
        <f>IF($N246="","",SUMIFS('Per Line'!$X$2:$X$3001,'Per Line'!$D$2:$D$3001,$C246))</f>
        <v/>
      </c>
      <c r="J246" s="5">
        <f>IF($N246="","",SUMIFS('Per Line'!$Y$2:$Y$3001,'Per Line'!$D$2:$D$3001,$C246))</f>
        <v/>
      </c>
      <c r="K246" s="5">
        <f>IF($N246="","",SUMIFS('Per Line'!$Z$2:$Z$3001,'Per Line'!$D$2:$D$3001,$C246))</f>
        <v/>
      </c>
      <c r="L246" s="5">
        <f>IF($N246="","",I246-J246)</f>
        <v/>
      </c>
      <c r="M246" s="5">
        <f>IF($N246="","",L246-K246)</f>
        <v/>
      </c>
      <c r="N246">
        <f>IF(ROWS($N$2:$N246)&lt;=MAX('Per Line'!$AG$2:$AG$3001),MATCH(ROWS($N$2:$N246),'Per Line'!$AG$2:$AG$3001,0),"")</f>
        <v/>
      </c>
      <c r="O246">
        <f>IF(B246="Above Claim Form",COUNTIF($B$2:B246,"Above Claim Form"),"")</f>
        <v/>
      </c>
      <c r="P246">
        <f>IF(B246="Below Claim Form",COUNTIF($B$2:B246,"Below Claim Form"),"")</f>
        <v/>
      </c>
    </row>
    <row r="247">
      <c r="B247">
        <f>IF($N247="","",IFERROR(INDEX(Settings!$C$27:$C$36,MATCH(E247,Settings!$B$27:$B$36,0)),"Unassigned"))</f>
        <v/>
      </c>
      <c r="C247">
        <f>IF($N247="","",INDEX('Per Line'!$D$2:$D$3001,$N247))</f>
        <v/>
      </c>
      <c r="D247">
        <f>IF($N247="","",INDEX('Per Line'!$C$2:$C$3001,$N247))</f>
        <v/>
      </c>
      <c r="E247">
        <f>IF($N247="","",INDEX('Per Line'!$A$2:$A$3001,$N247))</f>
        <v/>
      </c>
      <c r="H247">
        <f>IF($N247="","",INDEX('Per Line'!$V$2:$V$3001,$N247))</f>
        <v/>
      </c>
      <c r="I247" s="5">
        <f>IF($N247="","",SUMIFS('Per Line'!$X$2:$X$3001,'Per Line'!$D$2:$D$3001,$C247))</f>
        <v/>
      </c>
      <c r="J247" s="5">
        <f>IF($N247="","",SUMIFS('Per Line'!$Y$2:$Y$3001,'Per Line'!$D$2:$D$3001,$C247))</f>
        <v/>
      </c>
      <c r="K247" s="5">
        <f>IF($N247="","",SUMIFS('Per Line'!$Z$2:$Z$3001,'Per Line'!$D$2:$D$3001,$C247))</f>
        <v/>
      </c>
      <c r="L247" s="5">
        <f>IF($N247="","",I247-J247)</f>
        <v/>
      </c>
      <c r="M247" s="5">
        <f>IF($N247="","",L247-K247)</f>
        <v/>
      </c>
      <c r="N247">
        <f>IF(ROWS($N$2:$N247)&lt;=MAX('Per Line'!$AG$2:$AG$3001),MATCH(ROWS($N$2:$N247),'Per Line'!$AG$2:$AG$3001,0),"")</f>
        <v/>
      </c>
      <c r="O247">
        <f>IF(B247="Above Claim Form",COUNTIF($B$2:B247,"Above Claim Form"),"")</f>
        <v/>
      </c>
      <c r="P247">
        <f>IF(B247="Below Claim Form",COUNTIF($B$2:B247,"Below Claim Form"),"")</f>
        <v/>
      </c>
    </row>
    <row r="248">
      <c r="B248">
        <f>IF($N248="","",IFERROR(INDEX(Settings!$C$27:$C$36,MATCH(E248,Settings!$B$27:$B$36,0)),"Unassigned"))</f>
        <v/>
      </c>
      <c r="C248">
        <f>IF($N248="","",INDEX('Per Line'!$D$2:$D$3001,$N248))</f>
        <v/>
      </c>
      <c r="D248">
        <f>IF($N248="","",INDEX('Per Line'!$C$2:$C$3001,$N248))</f>
        <v/>
      </c>
      <c r="E248">
        <f>IF($N248="","",INDEX('Per Line'!$A$2:$A$3001,$N248))</f>
        <v/>
      </c>
      <c r="H248">
        <f>IF($N248="","",INDEX('Per Line'!$V$2:$V$3001,$N248))</f>
        <v/>
      </c>
      <c r="I248" s="5">
        <f>IF($N248="","",SUMIFS('Per Line'!$X$2:$X$3001,'Per Line'!$D$2:$D$3001,$C248))</f>
        <v/>
      </c>
      <c r="J248" s="5">
        <f>IF($N248="","",SUMIFS('Per Line'!$Y$2:$Y$3001,'Per Line'!$D$2:$D$3001,$C248))</f>
        <v/>
      </c>
      <c r="K248" s="5">
        <f>IF($N248="","",SUMIFS('Per Line'!$Z$2:$Z$3001,'Per Line'!$D$2:$D$3001,$C248))</f>
        <v/>
      </c>
      <c r="L248" s="5">
        <f>IF($N248="","",I248-J248)</f>
        <v/>
      </c>
      <c r="M248" s="5">
        <f>IF($N248="","",L248-K248)</f>
        <v/>
      </c>
      <c r="N248">
        <f>IF(ROWS($N$2:$N248)&lt;=MAX('Per Line'!$AG$2:$AG$3001),MATCH(ROWS($N$2:$N248),'Per Line'!$AG$2:$AG$3001,0),"")</f>
        <v/>
      </c>
      <c r="O248">
        <f>IF(B248="Above Claim Form",COUNTIF($B$2:B248,"Above Claim Form"),"")</f>
        <v/>
      </c>
      <c r="P248">
        <f>IF(B248="Below Claim Form",COUNTIF($B$2:B248,"Below Claim Form"),"")</f>
        <v/>
      </c>
    </row>
    <row r="249">
      <c r="B249">
        <f>IF($N249="","",IFERROR(INDEX(Settings!$C$27:$C$36,MATCH(E249,Settings!$B$27:$B$36,0)),"Unassigned"))</f>
        <v/>
      </c>
      <c r="C249">
        <f>IF($N249="","",INDEX('Per Line'!$D$2:$D$3001,$N249))</f>
        <v/>
      </c>
      <c r="D249">
        <f>IF($N249="","",INDEX('Per Line'!$C$2:$C$3001,$N249))</f>
        <v/>
      </c>
      <c r="E249">
        <f>IF($N249="","",INDEX('Per Line'!$A$2:$A$3001,$N249))</f>
        <v/>
      </c>
      <c r="H249">
        <f>IF($N249="","",INDEX('Per Line'!$V$2:$V$3001,$N249))</f>
        <v/>
      </c>
      <c r="I249" s="5">
        <f>IF($N249="","",SUMIFS('Per Line'!$X$2:$X$3001,'Per Line'!$D$2:$D$3001,$C249))</f>
        <v/>
      </c>
      <c r="J249" s="5">
        <f>IF($N249="","",SUMIFS('Per Line'!$Y$2:$Y$3001,'Per Line'!$D$2:$D$3001,$C249))</f>
        <v/>
      </c>
      <c r="K249" s="5">
        <f>IF($N249="","",SUMIFS('Per Line'!$Z$2:$Z$3001,'Per Line'!$D$2:$D$3001,$C249))</f>
        <v/>
      </c>
      <c r="L249" s="5">
        <f>IF($N249="","",I249-J249)</f>
        <v/>
      </c>
      <c r="M249" s="5">
        <f>IF($N249="","",L249-K249)</f>
        <v/>
      </c>
      <c r="N249">
        <f>IF(ROWS($N$2:$N249)&lt;=MAX('Per Line'!$AG$2:$AG$3001),MATCH(ROWS($N$2:$N249),'Per Line'!$AG$2:$AG$3001,0),"")</f>
        <v/>
      </c>
      <c r="O249">
        <f>IF(B249="Above Claim Form",COUNTIF($B$2:B249,"Above Claim Form"),"")</f>
        <v/>
      </c>
      <c r="P249">
        <f>IF(B249="Below Claim Form",COUNTIF($B$2:B249,"Below Claim Form"),"")</f>
        <v/>
      </c>
    </row>
    <row r="250">
      <c r="B250">
        <f>IF($N250="","",IFERROR(INDEX(Settings!$C$27:$C$36,MATCH(E250,Settings!$B$27:$B$36,0)),"Unassigned"))</f>
        <v/>
      </c>
      <c r="C250">
        <f>IF($N250="","",INDEX('Per Line'!$D$2:$D$3001,$N250))</f>
        <v/>
      </c>
      <c r="D250">
        <f>IF($N250="","",INDEX('Per Line'!$C$2:$C$3001,$N250))</f>
        <v/>
      </c>
      <c r="E250">
        <f>IF($N250="","",INDEX('Per Line'!$A$2:$A$3001,$N250))</f>
        <v/>
      </c>
      <c r="H250">
        <f>IF($N250="","",INDEX('Per Line'!$V$2:$V$3001,$N250))</f>
        <v/>
      </c>
      <c r="I250" s="5">
        <f>IF($N250="","",SUMIFS('Per Line'!$X$2:$X$3001,'Per Line'!$D$2:$D$3001,$C250))</f>
        <v/>
      </c>
      <c r="J250" s="5">
        <f>IF($N250="","",SUMIFS('Per Line'!$Y$2:$Y$3001,'Per Line'!$D$2:$D$3001,$C250))</f>
        <v/>
      </c>
      <c r="K250" s="5">
        <f>IF($N250="","",SUMIFS('Per Line'!$Z$2:$Z$3001,'Per Line'!$D$2:$D$3001,$C250))</f>
        <v/>
      </c>
      <c r="L250" s="5">
        <f>IF($N250="","",I250-J250)</f>
        <v/>
      </c>
      <c r="M250" s="5">
        <f>IF($N250="","",L250-K250)</f>
        <v/>
      </c>
      <c r="N250">
        <f>IF(ROWS($N$2:$N250)&lt;=MAX('Per Line'!$AG$2:$AG$3001),MATCH(ROWS($N$2:$N250),'Per Line'!$AG$2:$AG$3001,0),"")</f>
        <v/>
      </c>
      <c r="O250">
        <f>IF(B250="Above Claim Form",COUNTIF($B$2:B250,"Above Claim Form"),"")</f>
        <v/>
      </c>
      <c r="P250">
        <f>IF(B250="Below Claim Form",COUNTIF($B$2:B250,"Below Claim Form"),"")</f>
        <v/>
      </c>
    </row>
    <row r="251">
      <c r="B251">
        <f>IF($N251="","",IFERROR(INDEX(Settings!$C$27:$C$36,MATCH(E251,Settings!$B$27:$B$36,0)),"Unassigned"))</f>
        <v/>
      </c>
      <c r="C251">
        <f>IF($N251="","",INDEX('Per Line'!$D$2:$D$3001,$N251))</f>
        <v/>
      </c>
      <c r="D251">
        <f>IF($N251="","",INDEX('Per Line'!$C$2:$C$3001,$N251))</f>
        <v/>
      </c>
      <c r="E251">
        <f>IF($N251="","",INDEX('Per Line'!$A$2:$A$3001,$N251))</f>
        <v/>
      </c>
      <c r="H251">
        <f>IF($N251="","",INDEX('Per Line'!$V$2:$V$3001,$N251))</f>
        <v/>
      </c>
      <c r="I251" s="5">
        <f>IF($N251="","",SUMIFS('Per Line'!$X$2:$X$3001,'Per Line'!$D$2:$D$3001,$C251))</f>
        <v/>
      </c>
      <c r="J251" s="5">
        <f>IF($N251="","",SUMIFS('Per Line'!$Y$2:$Y$3001,'Per Line'!$D$2:$D$3001,$C251))</f>
        <v/>
      </c>
      <c r="K251" s="5">
        <f>IF($N251="","",SUMIFS('Per Line'!$Z$2:$Z$3001,'Per Line'!$D$2:$D$3001,$C251))</f>
        <v/>
      </c>
      <c r="L251" s="5">
        <f>IF($N251="","",I251-J251)</f>
        <v/>
      </c>
      <c r="M251" s="5">
        <f>IF($N251="","",L251-K251)</f>
        <v/>
      </c>
      <c r="N251">
        <f>IF(ROWS($N$2:$N251)&lt;=MAX('Per Line'!$AG$2:$AG$3001),MATCH(ROWS($N$2:$N251),'Per Line'!$AG$2:$AG$3001,0),"")</f>
        <v/>
      </c>
      <c r="O251">
        <f>IF(B251="Above Claim Form",COUNTIF($B$2:B251,"Above Claim Form"),"")</f>
        <v/>
      </c>
      <c r="P251">
        <f>IF(B251="Below Claim Form",COUNTIF($B$2:B251,"Below Claim Form"),"")</f>
        <v/>
      </c>
    </row>
    <row r="252">
      <c r="B252">
        <f>IF($N252="","",IFERROR(INDEX(Settings!$C$27:$C$36,MATCH(E252,Settings!$B$27:$B$36,0)),"Unassigned"))</f>
        <v/>
      </c>
      <c r="C252">
        <f>IF($N252="","",INDEX('Per Line'!$D$2:$D$3001,$N252))</f>
        <v/>
      </c>
      <c r="D252">
        <f>IF($N252="","",INDEX('Per Line'!$C$2:$C$3001,$N252))</f>
        <v/>
      </c>
      <c r="E252">
        <f>IF($N252="","",INDEX('Per Line'!$A$2:$A$3001,$N252))</f>
        <v/>
      </c>
      <c r="H252">
        <f>IF($N252="","",INDEX('Per Line'!$V$2:$V$3001,$N252))</f>
        <v/>
      </c>
      <c r="I252" s="5">
        <f>IF($N252="","",SUMIFS('Per Line'!$X$2:$X$3001,'Per Line'!$D$2:$D$3001,$C252))</f>
        <v/>
      </c>
      <c r="J252" s="5">
        <f>IF($N252="","",SUMIFS('Per Line'!$Y$2:$Y$3001,'Per Line'!$D$2:$D$3001,$C252))</f>
        <v/>
      </c>
      <c r="K252" s="5">
        <f>IF($N252="","",SUMIFS('Per Line'!$Z$2:$Z$3001,'Per Line'!$D$2:$D$3001,$C252))</f>
        <v/>
      </c>
      <c r="L252" s="5">
        <f>IF($N252="","",I252-J252)</f>
        <v/>
      </c>
      <c r="M252" s="5">
        <f>IF($N252="","",L252-K252)</f>
        <v/>
      </c>
      <c r="N252">
        <f>IF(ROWS($N$2:$N252)&lt;=MAX('Per Line'!$AG$2:$AG$3001),MATCH(ROWS($N$2:$N252),'Per Line'!$AG$2:$AG$3001,0),"")</f>
        <v/>
      </c>
      <c r="O252">
        <f>IF(B252="Above Claim Form",COUNTIF($B$2:B252,"Above Claim Form"),"")</f>
        <v/>
      </c>
      <c r="P252">
        <f>IF(B252="Below Claim Form",COUNTIF($B$2:B252,"Below Claim Form"),"")</f>
        <v/>
      </c>
    </row>
    <row r="253">
      <c r="B253">
        <f>IF($N253="","",IFERROR(INDEX(Settings!$C$27:$C$36,MATCH(E253,Settings!$B$27:$B$36,0)),"Unassigned"))</f>
        <v/>
      </c>
      <c r="C253">
        <f>IF($N253="","",INDEX('Per Line'!$D$2:$D$3001,$N253))</f>
        <v/>
      </c>
      <c r="D253">
        <f>IF($N253="","",INDEX('Per Line'!$C$2:$C$3001,$N253))</f>
        <v/>
      </c>
      <c r="E253">
        <f>IF($N253="","",INDEX('Per Line'!$A$2:$A$3001,$N253))</f>
        <v/>
      </c>
      <c r="H253">
        <f>IF($N253="","",INDEX('Per Line'!$V$2:$V$3001,$N253))</f>
        <v/>
      </c>
      <c r="I253" s="5">
        <f>IF($N253="","",SUMIFS('Per Line'!$X$2:$X$3001,'Per Line'!$D$2:$D$3001,$C253))</f>
        <v/>
      </c>
      <c r="J253" s="5">
        <f>IF($N253="","",SUMIFS('Per Line'!$Y$2:$Y$3001,'Per Line'!$D$2:$D$3001,$C253))</f>
        <v/>
      </c>
      <c r="K253" s="5">
        <f>IF($N253="","",SUMIFS('Per Line'!$Z$2:$Z$3001,'Per Line'!$D$2:$D$3001,$C253))</f>
        <v/>
      </c>
      <c r="L253" s="5">
        <f>IF($N253="","",I253-J253)</f>
        <v/>
      </c>
      <c r="M253" s="5">
        <f>IF($N253="","",L253-K253)</f>
        <v/>
      </c>
      <c r="N253">
        <f>IF(ROWS($N$2:$N253)&lt;=MAX('Per Line'!$AG$2:$AG$3001),MATCH(ROWS($N$2:$N253),'Per Line'!$AG$2:$AG$3001,0),"")</f>
        <v/>
      </c>
      <c r="O253">
        <f>IF(B253="Above Claim Form",COUNTIF($B$2:B253,"Above Claim Form"),"")</f>
        <v/>
      </c>
      <c r="P253">
        <f>IF(B253="Below Claim Form",COUNTIF($B$2:B253,"Below Claim Form"),"")</f>
        <v/>
      </c>
    </row>
    <row r="254">
      <c r="B254">
        <f>IF($N254="","",IFERROR(INDEX(Settings!$C$27:$C$36,MATCH(E254,Settings!$B$27:$B$36,0)),"Unassigned"))</f>
        <v/>
      </c>
      <c r="C254">
        <f>IF($N254="","",INDEX('Per Line'!$D$2:$D$3001,$N254))</f>
        <v/>
      </c>
      <c r="D254">
        <f>IF($N254="","",INDEX('Per Line'!$C$2:$C$3001,$N254))</f>
        <v/>
      </c>
      <c r="E254">
        <f>IF($N254="","",INDEX('Per Line'!$A$2:$A$3001,$N254))</f>
        <v/>
      </c>
      <c r="H254">
        <f>IF($N254="","",INDEX('Per Line'!$V$2:$V$3001,$N254))</f>
        <v/>
      </c>
      <c r="I254" s="5">
        <f>IF($N254="","",SUMIFS('Per Line'!$X$2:$X$3001,'Per Line'!$D$2:$D$3001,$C254))</f>
        <v/>
      </c>
      <c r="J254" s="5">
        <f>IF($N254="","",SUMIFS('Per Line'!$Y$2:$Y$3001,'Per Line'!$D$2:$D$3001,$C254))</f>
        <v/>
      </c>
      <c r="K254" s="5">
        <f>IF($N254="","",SUMIFS('Per Line'!$Z$2:$Z$3001,'Per Line'!$D$2:$D$3001,$C254))</f>
        <v/>
      </c>
      <c r="L254" s="5">
        <f>IF($N254="","",I254-J254)</f>
        <v/>
      </c>
      <c r="M254" s="5">
        <f>IF($N254="","",L254-K254)</f>
        <v/>
      </c>
      <c r="N254">
        <f>IF(ROWS($N$2:$N254)&lt;=MAX('Per Line'!$AG$2:$AG$3001),MATCH(ROWS($N$2:$N254),'Per Line'!$AG$2:$AG$3001,0),"")</f>
        <v/>
      </c>
      <c r="O254">
        <f>IF(B254="Above Claim Form",COUNTIF($B$2:B254,"Above Claim Form"),"")</f>
        <v/>
      </c>
      <c r="P254">
        <f>IF(B254="Below Claim Form",COUNTIF($B$2:B254,"Below Claim Form"),"")</f>
        <v/>
      </c>
    </row>
    <row r="255">
      <c r="B255">
        <f>IF($N255="","",IFERROR(INDEX(Settings!$C$27:$C$36,MATCH(E255,Settings!$B$27:$B$36,0)),"Unassigned"))</f>
        <v/>
      </c>
      <c r="C255">
        <f>IF($N255="","",INDEX('Per Line'!$D$2:$D$3001,$N255))</f>
        <v/>
      </c>
      <c r="D255">
        <f>IF($N255="","",INDEX('Per Line'!$C$2:$C$3001,$N255))</f>
        <v/>
      </c>
      <c r="E255">
        <f>IF($N255="","",INDEX('Per Line'!$A$2:$A$3001,$N255))</f>
        <v/>
      </c>
      <c r="H255">
        <f>IF($N255="","",INDEX('Per Line'!$V$2:$V$3001,$N255))</f>
        <v/>
      </c>
      <c r="I255" s="5">
        <f>IF($N255="","",SUMIFS('Per Line'!$X$2:$X$3001,'Per Line'!$D$2:$D$3001,$C255))</f>
        <v/>
      </c>
      <c r="J255" s="5">
        <f>IF($N255="","",SUMIFS('Per Line'!$Y$2:$Y$3001,'Per Line'!$D$2:$D$3001,$C255))</f>
        <v/>
      </c>
      <c r="K255" s="5">
        <f>IF($N255="","",SUMIFS('Per Line'!$Z$2:$Z$3001,'Per Line'!$D$2:$D$3001,$C255))</f>
        <v/>
      </c>
      <c r="L255" s="5">
        <f>IF($N255="","",I255-J255)</f>
        <v/>
      </c>
      <c r="M255" s="5">
        <f>IF($N255="","",L255-K255)</f>
        <v/>
      </c>
      <c r="N255">
        <f>IF(ROWS($N$2:$N255)&lt;=MAX('Per Line'!$AG$2:$AG$3001),MATCH(ROWS($N$2:$N255),'Per Line'!$AG$2:$AG$3001,0),"")</f>
        <v/>
      </c>
      <c r="O255">
        <f>IF(B255="Above Claim Form",COUNTIF($B$2:B255,"Above Claim Form"),"")</f>
        <v/>
      </c>
      <c r="P255">
        <f>IF(B255="Below Claim Form",COUNTIF($B$2:B255,"Below Claim Form"),"")</f>
        <v/>
      </c>
    </row>
    <row r="256">
      <c r="B256">
        <f>IF($N256="","",IFERROR(INDEX(Settings!$C$27:$C$36,MATCH(E256,Settings!$B$27:$B$36,0)),"Unassigned"))</f>
        <v/>
      </c>
      <c r="C256">
        <f>IF($N256="","",INDEX('Per Line'!$D$2:$D$3001,$N256))</f>
        <v/>
      </c>
      <c r="D256">
        <f>IF($N256="","",INDEX('Per Line'!$C$2:$C$3001,$N256))</f>
        <v/>
      </c>
      <c r="E256">
        <f>IF($N256="","",INDEX('Per Line'!$A$2:$A$3001,$N256))</f>
        <v/>
      </c>
      <c r="H256">
        <f>IF($N256="","",INDEX('Per Line'!$V$2:$V$3001,$N256))</f>
        <v/>
      </c>
      <c r="I256" s="5">
        <f>IF($N256="","",SUMIFS('Per Line'!$X$2:$X$3001,'Per Line'!$D$2:$D$3001,$C256))</f>
        <v/>
      </c>
      <c r="J256" s="5">
        <f>IF($N256="","",SUMIFS('Per Line'!$Y$2:$Y$3001,'Per Line'!$D$2:$D$3001,$C256))</f>
        <v/>
      </c>
      <c r="K256" s="5">
        <f>IF($N256="","",SUMIFS('Per Line'!$Z$2:$Z$3001,'Per Line'!$D$2:$D$3001,$C256))</f>
        <v/>
      </c>
      <c r="L256" s="5">
        <f>IF($N256="","",I256-J256)</f>
        <v/>
      </c>
      <c r="M256" s="5">
        <f>IF($N256="","",L256-K256)</f>
        <v/>
      </c>
      <c r="N256">
        <f>IF(ROWS($N$2:$N256)&lt;=MAX('Per Line'!$AG$2:$AG$3001),MATCH(ROWS($N$2:$N256),'Per Line'!$AG$2:$AG$3001,0),"")</f>
        <v/>
      </c>
      <c r="O256">
        <f>IF(B256="Above Claim Form",COUNTIF($B$2:B256,"Above Claim Form"),"")</f>
        <v/>
      </c>
      <c r="P256">
        <f>IF(B256="Below Claim Form",COUNTIF($B$2:B256,"Below Claim Form"),"")</f>
        <v/>
      </c>
    </row>
    <row r="257">
      <c r="B257">
        <f>IF($N257="","",IFERROR(INDEX(Settings!$C$27:$C$36,MATCH(E257,Settings!$B$27:$B$36,0)),"Unassigned"))</f>
        <v/>
      </c>
      <c r="C257">
        <f>IF($N257="","",INDEX('Per Line'!$D$2:$D$3001,$N257))</f>
        <v/>
      </c>
      <c r="D257">
        <f>IF($N257="","",INDEX('Per Line'!$C$2:$C$3001,$N257))</f>
        <v/>
      </c>
      <c r="E257">
        <f>IF($N257="","",INDEX('Per Line'!$A$2:$A$3001,$N257))</f>
        <v/>
      </c>
      <c r="H257">
        <f>IF($N257="","",INDEX('Per Line'!$V$2:$V$3001,$N257))</f>
        <v/>
      </c>
      <c r="I257" s="5">
        <f>IF($N257="","",SUMIFS('Per Line'!$X$2:$X$3001,'Per Line'!$D$2:$D$3001,$C257))</f>
        <v/>
      </c>
      <c r="J257" s="5">
        <f>IF($N257="","",SUMIFS('Per Line'!$Y$2:$Y$3001,'Per Line'!$D$2:$D$3001,$C257))</f>
        <v/>
      </c>
      <c r="K257" s="5">
        <f>IF($N257="","",SUMIFS('Per Line'!$Z$2:$Z$3001,'Per Line'!$D$2:$D$3001,$C257))</f>
        <v/>
      </c>
      <c r="L257" s="5">
        <f>IF($N257="","",I257-J257)</f>
        <v/>
      </c>
      <c r="M257" s="5">
        <f>IF($N257="","",L257-K257)</f>
        <v/>
      </c>
      <c r="N257">
        <f>IF(ROWS($N$2:$N257)&lt;=MAX('Per Line'!$AG$2:$AG$3001),MATCH(ROWS($N$2:$N257),'Per Line'!$AG$2:$AG$3001,0),"")</f>
        <v/>
      </c>
      <c r="O257">
        <f>IF(B257="Above Claim Form",COUNTIF($B$2:B257,"Above Claim Form"),"")</f>
        <v/>
      </c>
      <c r="P257">
        <f>IF(B257="Below Claim Form",COUNTIF($B$2:B257,"Below Claim Form"),"")</f>
        <v/>
      </c>
    </row>
    <row r="258">
      <c r="B258">
        <f>IF($N258="","",IFERROR(INDEX(Settings!$C$27:$C$36,MATCH(E258,Settings!$B$27:$B$36,0)),"Unassigned"))</f>
        <v/>
      </c>
      <c r="C258">
        <f>IF($N258="","",INDEX('Per Line'!$D$2:$D$3001,$N258))</f>
        <v/>
      </c>
      <c r="D258">
        <f>IF($N258="","",INDEX('Per Line'!$C$2:$C$3001,$N258))</f>
        <v/>
      </c>
      <c r="E258">
        <f>IF($N258="","",INDEX('Per Line'!$A$2:$A$3001,$N258))</f>
        <v/>
      </c>
      <c r="H258">
        <f>IF($N258="","",INDEX('Per Line'!$V$2:$V$3001,$N258))</f>
        <v/>
      </c>
      <c r="I258" s="5">
        <f>IF($N258="","",SUMIFS('Per Line'!$X$2:$X$3001,'Per Line'!$D$2:$D$3001,$C258))</f>
        <v/>
      </c>
      <c r="J258" s="5">
        <f>IF($N258="","",SUMIFS('Per Line'!$Y$2:$Y$3001,'Per Line'!$D$2:$D$3001,$C258))</f>
        <v/>
      </c>
      <c r="K258" s="5">
        <f>IF($N258="","",SUMIFS('Per Line'!$Z$2:$Z$3001,'Per Line'!$D$2:$D$3001,$C258))</f>
        <v/>
      </c>
      <c r="L258" s="5">
        <f>IF($N258="","",I258-J258)</f>
        <v/>
      </c>
      <c r="M258" s="5">
        <f>IF($N258="","",L258-K258)</f>
        <v/>
      </c>
      <c r="N258">
        <f>IF(ROWS($N$2:$N258)&lt;=MAX('Per Line'!$AG$2:$AG$3001),MATCH(ROWS($N$2:$N258),'Per Line'!$AG$2:$AG$3001,0),"")</f>
        <v/>
      </c>
      <c r="O258">
        <f>IF(B258="Above Claim Form",COUNTIF($B$2:B258,"Above Claim Form"),"")</f>
        <v/>
      </c>
      <c r="P258">
        <f>IF(B258="Below Claim Form",COUNTIF($B$2:B258,"Below Claim Form"),"")</f>
        <v/>
      </c>
    </row>
    <row r="259">
      <c r="B259">
        <f>IF($N259="","",IFERROR(INDEX(Settings!$C$27:$C$36,MATCH(E259,Settings!$B$27:$B$36,0)),"Unassigned"))</f>
        <v/>
      </c>
      <c r="C259">
        <f>IF($N259="","",INDEX('Per Line'!$D$2:$D$3001,$N259))</f>
        <v/>
      </c>
      <c r="D259">
        <f>IF($N259="","",INDEX('Per Line'!$C$2:$C$3001,$N259))</f>
        <v/>
      </c>
      <c r="E259">
        <f>IF($N259="","",INDEX('Per Line'!$A$2:$A$3001,$N259))</f>
        <v/>
      </c>
      <c r="H259">
        <f>IF($N259="","",INDEX('Per Line'!$V$2:$V$3001,$N259))</f>
        <v/>
      </c>
      <c r="I259" s="5">
        <f>IF($N259="","",SUMIFS('Per Line'!$X$2:$X$3001,'Per Line'!$D$2:$D$3001,$C259))</f>
        <v/>
      </c>
      <c r="J259" s="5">
        <f>IF($N259="","",SUMIFS('Per Line'!$Y$2:$Y$3001,'Per Line'!$D$2:$D$3001,$C259))</f>
        <v/>
      </c>
      <c r="K259" s="5">
        <f>IF($N259="","",SUMIFS('Per Line'!$Z$2:$Z$3001,'Per Line'!$D$2:$D$3001,$C259))</f>
        <v/>
      </c>
      <c r="L259" s="5">
        <f>IF($N259="","",I259-J259)</f>
        <v/>
      </c>
      <c r="M259" s="5">
        <f>IF($N259="","",L259-K259)</f>
        <v/>
      </c>
      <c r="N259">
        <f>IF(ROWS($N$2:$N259)&lt;=MAX('Per Line'!$AG$2:$AG$3001),MATCH(ROWS($N$2:$N259),'Per Line'!$AG$2:$AG$3001,0),"")</f>
        <v/>
      </c>
      <c r="O259">
        <f>IF(B259="Above Claim Form",COUNTIF($B$2:B259,"Above Claim Form"),"")</f>
        <v/>
      </c>
      <c r="P259">
        <f>IF(B259="Below Claim Form",COUNTIF($B$2:B259,"Below Claim Form"),"")</f>
        <v/>
      </c>
    </row>
    <row r="260">
      <c r="B260">
        <f>IF($N260="","",IFERROR(INDEX(Settings!$C$27:$C$36,MATCH(E260,Settings!$B$27:$B$36,0)),"Unassigned"))</f>
        <v/>
      </c>
      <c r="C260">
        <f>IF($N260="","",INDEX('Per Line'!$D$2:$D$3001,$N260))</f>
        <v/>
      </c>
      <c r="D260">
        <f>IF($N260="","",INDEX('Per Line'!$C$2:$C$3001,$N260))</f>
        <v/>
      </c>
      <c r="E260">
        <f>IF($N260="","",INDEX('Per Line'!$A$2:$A$3001,$N260))</f>
        <v/>
      </c>
      <c r="H260">
        <f>IF($N260="","",INDEX('Per Line'!$V$2:$V$3001,$N260))</f>
        <v/>
      </c>
      <c r="I260" s="5">
        <f>IF($N260="","",SUMIFS('Per Line'!$X$2:$X$3001,'Per Line'!$D$2:$D$3001,$C260))</f>
        <v/>
      </c>
      <c r="J260" s="5">
        <f>IF($N260="","",SUMIFS('Per Line'!$Y$2:$Y$3001,'Per Line'!$D$2:$D$3001,$C260))</f>
        <v/>
      </c>
      <c r="K260" s="5">
        <f>IF($N260="","",SUMIFS('Per Line'!$Z$2:$Z$3001,'Per Line'!$D$2:$D$3001,$C260))</f>
        <v/>
      </c>
      <c r="L260" s="5">
        <f>IF($N260="","",I260-J260)</f>
        <v/>
      </c>
      <c r="M260" s="5">
        <f>IF($N260="","",L260-K260)</f>
        <v/>
      </c>
      <c r="N260">
        <f>IF(ROWS($N$2:$N260)&lt;=MAX('Per Line'!$AG$2:$AG$3001),MATCH(ROWS($N$2:$N260),'Per Line'!$AG$2:$AG$3001,0),"")</f>
        <v/>
      </c>
      <c r="O260">
        <f>IF(B260="Above Claim Form",COUNTIF($B$2:B260,"Above Claim Form"),"")</f>
        <v/>
      </c>
      <c r="P260">
        <f>IF(B260="Below Claim Form",COUNTIF($B$2:B260,"Below Claim Form"),"")</f>
        <v/>
      </c>
    </row>
    <row r="261">
      <c r="B261">
        <f>IF($N261="","",IFERROR(INDEX(Settings!$C$27:$C$36,MATCH(E261,Settings!$B$27:$B$36,0)),"Unassigned"))</f>
        <v/>
      </c>
      <c r="C261">
        <f>IF($N261="","",INDEX('Per Line'!$D$2:$D$3001,$N261))</f>
        <v/>
      </c>
      <c r="D261">
        <f>IF($N261="","",INDEX('Per Line'!$C$2:$C$3001,$N261))</f>
        <v/>
      </c>
      <c r="E261">
        <f>IF($N261="","",INDEX('Per Line'!$A$2:$A$3001,$N261))</f>
        <v/>
      </c>
      <c r="H261">
        <f>IF($N261="","",INDEX('Per Line'!$V$2:$V$3001,$N261))</f>
        <v/>
      </c>
      <c r="I261" s="5">
        <f>IF($N261="","",SUMIFS('Per Line'!$X$2:$X$3001,'Per Line'!$D$2:$D$3001,$C261))</f>
        <v/>
      </c>
      <c r="J261" s="5">
        <f>IF($N261="","",SUMIFS('Per Line'!$Y$2:$Y$3001,'Per Line'!$D$2:$D$3001,$C261))</f>
        <v/>
      </c>
      <c r="K261" s="5">
        <f>IF($N261="","",SUMIFS('Per Line'!$Z$2:$Z$3001,'Per Line'!$D$2:$D$3001,$C261))</f>
        <v/>
      </c>
      <c r="L261" s="5">
        <f>IF($N261="","",I261-J261)</f>
        <v/>
      </c>
      <c r="M261" s="5">
        <f>IF($N261="","",L261-K261)</f>
        <v/>
      </c>
      <c r="N261">
        <f>IF(ROWS($N$2:$N261)&lt;=MAX('Per Line'!$AG$2:$AG$3001),MATCH(ROWS($N$2:$N261),'Per Line'!$AG$2:$AG$3001,0),"")</f>
        <v/>
      </c>
      <c r="O261">
        <f>IF(B261="Above Claim Form",COUNTIF($B$2:B261,"Above Claim Form"),"")</f>
        <v/>
      </c>
      <c r="P261">
        <f>IF(B261="Below Claim Form",COUNTIF($B$2:B261,"Below Claim Form"),"")</f>
        <v/>
      </c>
    </row>
    <row r="262">
      <c r="B262">
        <f>IF($N262="","",IFERROR(INDEX(Settings!$C$27:$C$36,MATCH(E262,Settings!$B$27:$B$36,0)),"Unassigned"))</f>
        <v/>
      </c>
      <c r="C262">
        <f>IF($N262="","",INDEX('Per Line'!$D$2:$D$3001,$N262))</f>
        <v/>
      </c>
      <c r="D262">
        <f>IF($N262="","",INDEX('Per Line'!$C$2:$C$3001,$N262))</f>
        <v/>
      </c>
      <c r="E262">
        <f>IF($N262="","",INDEX('Per Line'!$A$2:$A$3001,$N262))</f>
        <v/>
      </c>
      <c r="H262">
        <f>IF($N262="","",INDEX('Per Line'!$V$2:$V$3001,$N262))</f>
        <v/>
      </c>
      <c r="I262" s="5">
        <f>IF($N262="","",SUMIFS('Per Line'!$X$2:$X$3001,'Per Line'!$D$2:$D$3001,$C262))</f>
        <v/>
      </c>
      <c r="J262" s="5">
        <f>IF($N262="","",SUMIFS('Per Line'!$Y$2:$Y$3001,'Per Line'!$D$2:$D$3001,$C262))</f>
        <v/>
      </c>
      <c r="K262" s="5">
        <f>IF($N262="","",SUMIFS('Per Line'!$Z$2:$Z$3001,'Per Line'!$D$2:$D$3001,$C262))</f>
        <v/>
      </c>
      <c r="L262" s="5">
        <f>IF($N262="","",I262-J262)</f>
        <v/>
      </c>
      <c r="M262" s="5">
        <f>IF($N262="","",L262-K262)</f>
        <v/>
      </c>
      <c r="N262">
        <f>IF(ROWS($N$2:$N262)&lt;=MAX('Per Line'!$AG$2:$AG$3001),MATCH(ROWS($N$2:$N262),'Per Line'!$AG$2:$AG$3001,0),"")</f>
        <v/>
      </c>
      <c r="O262">
        <f>IF(B262="Above Claim Form",COUNTIF($B$2:B262,"Above Claim Form"),"")</f>
        <v/>
      </c>
      <c r="P262">
        <f>IF(B262="Below Claim Form",COUNTIF($B$2:B262,"Below Claim Form"),"")</f>
        <v/>
      </c>
    </row>
    <row r="263">
      <c r="B263">
        <f>IF($N263="","",IFERROR(INDEX(Settings!$C$27:$C$36,MATCH(E263,Settings!$B$27:$B$36,0)),"Unassigned"))</f>
        <v/>
      </c>
      <c r="C263">
        <f>IF($N263="","",INDEX('Per Line'!$D$2:$D$3001,$N263))</f>
        <v/>
      </c>
      <c r="D263">
        <f>IF($N263="","",INDEX('Per Line'!$C$2:$C$3001,$N263))</f>
        <v/>
      </c>
      <c r="E263">
        <f>IF($N263="","",INDEX('Per Line'!$A$2:$A$3001,$N263))</f>
        <v/>
      </c>
      <c r="H263">
        <f>IF($N263="","",INDEX('Per Line'!$V$2:$V$3001,$N263))</f>
        <v/>
      </c>
      <c r="I263" s="5">
        <f>IF($N263="","",SUMIFS('Per Line'!$X$2:$X$3001,'Per Line'!$D$2:$D$3001,$C263))</f>
        <v/>
      </c>
      <c r="J263" s="5">
        <f>IF($N263="","",SUMIFS('Per Line'!$Y$2:$Y$3001,'Per Line'!$D$2:$D$3001,$C263))</f>
        <v/>
      </c>
      <c r="K263" s="5">
        <f>IF($N263="","",SUMIFS('Per Line'!$Z$2:$Z$3001,'Per Line'!$D$2:$D$3001,$C263))</f>
        <v/>
      </c>
      <c r="L263" s="5">
        <f>IF($N263="","",I263-J263)</f>
        <v/>
      </c>
      <c r="M263" s="5">
        <f>IF($N263="","",L263-K263)</f>
        <v/>
      </c>
      <c r="N263">
        <f>IF(ROWS($N$2:$N263)&lt;=MAX('Per Line'!$AG$2:$AG$3001),MATCH(ROWS($N$2:$N263),'Per Line'!$AG$2:$AG$3001,0),"")</f>
        <v/>
      </c>
      <c r="O263">
        <f>IF(B263="Above Claim Form",COUNTIF($B$2:B263,"Above Claim Form"),"")</f>
        <v/>
      </c>
      <c r="P263">
        <f>IF(B263="Below Claim Form",COUNTIF($B$2:B263,"Below Claim Form"),"")</f>
        <v/>
      </c>
    </row>
    <row r="264">
      <c r="B264">
        <f>IF($N264="","",IFERROR(INDEX(Settings!$C$27:$C$36,MATCH(E264,Settings!$B$27:$B$36,0)),"Unassigned"))</f>
        <v/>
      </c>
      <c r="C264">
        <f>IF($N264="","",INDEX('Per Line'!$D$2:$D$3001,$N264))</f>
        <v/>
      </c>
      <c r="D264">
        <f>IF($N264="","",INDEX('Per Line'!$C$2:$C$3001,$N264))</f>
        <v/>
      </c>
      <c r="E264">
        <f>IF($N264="","",INDEX('Per Line'!$A$2:$A$3001,$N264))</f>
        <v/>
      </c>
      <c r="H264">
        <f>IF($N264="","",INDEX('Per Line'!$V$2:$V$3001,$N264))</f>
        <v/>
      </c>
      <c r="I264" s="5">
        <f>IF($N264="","",SUMIFS('Per Line'!$X$2:$X$3001,'Per Line'!$D$2:$D$3001,$C264))</f>
        <v/>
      </c>
      <c r="J264" s="5">
        <f>IF($N264="","",SUMIFS('Per Line'!$Y$2:$Y$3001,'Per Line'!$D$2:$D$3001,$C264))</f>
        <v/>
      </c>
      <c r="K264" s="5">
        <f>IF($N264="","",SUMIFS('Per Line'!$Z$2:$Z$3001,'Per Line'!$D$2:$D$3001,$C264))</f>
        <v/>
      </c>
      <c r="L264" s="5">
        <f>IF($N264="","",I264-J264)</f>
        <v/>
      </c>
      <c r="M264" s="5">
        <f>IF($N264="","",L264-K264)</f>
        <v/>
      </c>
      <c r="N264">
        <f>IF(ROWS($N$2:$N264)&lt;=MAX('Per Line'!$AG$2:$AG$3001),MATCH(ROWS($N$2:$N264),'Per Line'!$AG$2:$AG$3001,0),"")</f>
        <v/>
      </c>
      <c r="O264">
        <f>IF(B264="Above Claim Form",COUNTIF($B$2:B264,"Above Claim Form"),"")</f>
        <v/>
      </c>
      <c r="P264">
        <f>IF(B264="Below Claim Form",COUNTIF($B$2:B264,"Below Claim Form"),"")</f>
        <v/>
      </c>
    </row>
    <row r="265">
      <c r="B265">
        <f>IF($N265="","",IFERROR(INDEX(Settings!$C$27:$C$36,MATCH(E265,Settings!$B$27:$B$36,0)),"Unassigned"))</f>
        <v/>
      </c>
      <c r="C265">
        <f>IF($N265="","",INDEX('Per Line'!$D$2:$D$3001,$N265))</f>
        <v/>
      </c>
      <c r="D265">
        <f>IF($N265="","",INDEX('Per Line'!$C$2:$C$3001,$N265))</f>
        <v/>
      </c>
      <c r="E265">
        <f>IF($N265="","",INDEX('Per Line'!$A$2:$A$3001,$N265))</f>
        <v/>
      </c>
      <c r="H265">
        <f>IF($N265="","",INDEX('Per Line'!$V$2:$V$3001,$N265))</f>
        <v/>
      </c>
      <c r="I265" s="5">
        <f>IF($N265="","",SUMIFS('Per Line'!$X$2:$X$3001,'Per Line'!$D$2:$D$3001,$C265))</f>
        <v/>
      </c>
      <c r="J265" s="5">
        <f>IF($N265="","",SUMIFS('Per Line'!$Y$2:$Y$3001,'Per Line'!$D$2:$D$3001,$C265))</f>
        <v/>
      </c>
      <c r="K265" s="5">
        <f>IF($N265="","",SUMIFS('Per Line'!$Z$2:$Z$3001,'Per Line'!$D$2:$D$3001,$C265))</f>
        <v/>
      </c>
      <c r="L265" s="5">
        <f>IF($N265="","",I265-J265)</f>
        <v/>
      </c>
      <c r="M265" s="5">
        <f>IF($N265="","",L265-K265)</f>
        <v/>
      </c>
      <c r="N265">
        <f>IF(ROWS($N$2:$N265)&lt;=MAX('Per Line'!$AG$2:$AG$3001),MATCH(ROWS($N$2:$N265),'Per Line'!$AG$2:$AG$3001,0),"")</f>
        <v/>
      </c>
      <c r="O265">
        <f>IF(B265="Above Claim Form",COUNTIF($B$2:B265,"Above Claim Form"),"")</f>
        <v/>
      </c>
      <c r="P265">
        <f>IF(B265="Below Claim Form",COUNTIF($B$2:B265,"Below Claim Form"),"")</f>
        <v/>
      </c>
    </row>
    <row r="266">
      <c r="B266">
        <f>IF($N266="","",IFERROR(INDEX(Settings!$C$27:$C$36,MATCH(E266,Settings!$B$27:$B$36,0)),"Unassigned"))</f>
        <v/>
      </c>
      <c r="C266">
        <f>IF($N266="","",INDEX('Per Line'!$D$2:$D$3001,$N266))</f>
        <v/>
      </c>
      <c r="D266">
        <f>IF($N266="","",INDEX('Per Line'!$C$2:$C$3001,$N266))</f>
        <v/>
      </c>
      <c r="E266">
        <f>IF($N266="","",INDEX('Per Line'!$A$2:$A$3001,$N266))</f>
        <v/>
      </c>
      <c r="H266">
        <f>IF($N266="","",INDEX('Per Line'!$V$2:$V$3001,$N266))</f>
        <v/>
      </c>
      <c r="I266" s="5">
        <f>IF($N266="","",SUMIFS('Per Line'!$X$2:$X$3001,'Per Line'!$D$2:$D$3001,$C266))</f>
        <v/>
      </c>
      <c r="J266" s="5">
        <f>IF($N266="","",SUMIFS('Per Line'!$Y$2:$Y$3001,'Per Line'!$D$2:$D$3001,$C266))</f>
        <v/>
      </c>
      <c r="K266" s="5">
        <f>IF($N266="","",SUMIFS('Per Line'!$Z$2:$Z$3001,'Per Line'!$D$2:$D$3001,$C266))</f>
        <v/>
      </c>
      <c r="L266" s="5">
        <f>IF($N266="","",I266-J266)</f>
        <v/>
      </c>
      <c r="M266" s="5">
        <f>IF($N266="","",L266-K266)</f>
        <v/>
      </c>
      <c r="N266">
        <f>IF(ROWS($N$2:$N266)&lt;=MAX('Per Line'!$AG$2:$AG$3001),MATCH(ROWS($N$2:$N266),'Per Line'!$AG$2:$AG$3001,0),"")</f>
        <v/>
      </c>
      <c r="O266">
        <f>IF(B266="Above Claim Form",COUNTIF($B$2:B266,"Above Claim Form"),"")</f>
        <v/>
      </c>
      <c r="P266">
        <f>IF(B266="Below Claim Form",COUNTIF($B$2:B266,"Below Claim Form"),"")</f>
        <v/>
      </c>
    </row>
    <row r="267">
      <c r="B267">
        <f>IF($N267="","",IFERROR(INDEX(Settings!$C$27:$C$36,MATCH(E267,Settings!$B$27:$B$36,0)),"Unassigned"))</f>
        <v/>
      </c>
      <c r="C267">
        <f>IF($N267="","",INDEX('Per Line'!$D$2:$D$3001,$N267))</f>
        <v/>
      </c>
      <c r="D267">
        <f>IF($N267="","",INDEX('Per Line'!$C$2:$C$3001,$N267))</f>
        <v/>
      </c>
      <c r="E267">
        <f>IF($N267="","",INDEX('Per Line'!$A$2:$A$3001,$N267))</f>
        <v/>
      </c>
      <c r="H267">
        <f>IF($N267="","",INDEX('Per Line'!$V$2:$V$3001,$N267))</f>
        <v/>
      </c>
      <c r="I267" s="5">
        <f>IF($N267="","",SUMIFS('Per Line'!$X$2:$X$3001,'Per Line'!$D$2:$D$3001,$C267))</f>
        <v/>
      </c>
      <c r="J267" s="5">
        <f>IF($N267="","",SUMIFS('Per Line'!$Y$2:$Y$3001,'Per Line'!$D$2:$D$3001,$C267))</f>
        <v/>
      </c>
      <c r="K267" s="5">
        <f>IF($N267="","",SUMIFS('Per Line'!$Z$2:$Z$3001,'Per Line'!$D$2:$D$3001,$C267))</f>
        <v/>
      </c>
      <c r="L267" s="5">
        <f>IF($N267="","",I267-J267)</f>
        <v/>
      </c>
      <c r="M267" s="5">
        <f>IF($N267="","",L267-K267)</f>
        <v/>
      </c>
      <c r="N267">
        <f>IF(ROWS($N$2:$N267)&lt;=MAX('Per Line'!$AG$2:$AG$3001),MATCH(ROWS($N$2:$N267),'Per Line'!$AG$2:$AG$3001,0),"")</f>
        <v/>
      </c>
      <c r="O267">
        <f>IF(B267="Above Claim Form",COUNTIF($B$2:B267,"Above Claim Form"),"")</f>
        <v/>
      </c>
      <c r="P267">
        <f>IF(B267="Below Claim Form",COUNTIF($B$2:B267,"Below Claim Form"),"")</f>
        <v/>
      </c>
    </row>
    <row r="268">
      <c r="B268">
        <f>IF($N268="","",IFERROR(INDEX(Settings!$C$27:$C$36,MATCH(E268,Settings!$B$27:$B$36,0)),"Unassigned"))</f>
        <v/>
      </c>
      <c r="C268">
        <f>IF($N268="","",INDEX('Per Line'!$D$2:$D$3001,$N268))</f>
        <v/>
      </c>
      <c r="D268">
        <f>IF($N268="","",INDEX('Per Line'!$C$2:$C$3001,$N268))</f>
        <v/>
      </c>
      <c r="E268">
        <f>IF($N268="","",INDEX('Per Line'!$A$2:$A$3001,$N268))</f>
        <v/>
      </c>
      <c r="H268">
        <f>IF($N268="","",INDEX('Per Line'!$V$2:$V$3001,$N268))</f>
        <v/>
      </c>
      <c r="I268" s="5">
        <f>IF($N268="","",SUMIFS('Per Line'!$X$2:$X$3001,'Per Line'!$D$2:$D$3001,$C268))</f>
        <v/>
      </c>
      <c r="J268" s="5">
        <f>IF($N268="","",SUMIFS('Per Line'!$Y$2:$Y$3001,'Per Line'!$D$2:$D$3001,$C268))</f>
        <v/>
      </c>
      <c r="K268" s="5">
        <f>IF($N268="","",SUMIFS('Per Line'!$Z$2:$Z$3001,'Per Line'!$D$2:$D$3001,$C268))</f>
        <v/>
      </c>
      <c r="L268" s="5">
        <f>IF($N268="","",I268-J268)</f>
        <v/>
      </c>
      <c r="M268" s="5">
        <f>IF($N268="","",L268-K268)</f>
        <v/>
      </c>
      <c r="N268">
        <f>IF(ROWS($N$2:$N268)&lt;=MAX('Per Line'!$AG$2:$AG$3001),MATCH(ROWS($N$2:$N268),'Per Line'!$AG$2:$AG$3001,0),"")</f>
        <v/>
      </c>
      <c r="O268">
        <f>IF(B268="Above Claim Form",COUNTIF($B$2:B268,"Above Claim Form"),"")</f>
        <v/>
      </c>
      <c r="P268">
        <f>IF(B268="Below Claim Form",COUNTIF($B$2:B268,"Below Claim Form"),"")</f>
        <v/>
      </c>
    </row>
    <row r="269">
      <c r="B269">
        <f>IF($N269="","",IFERROR(INDEX(Settings!$C$27:$C$36,MATCH(E269,Settings!$B$27:$B$36,0)),"Unassigned"))</f>
        <v/>
      </c>
      <c r="C269">
        <f>IF($N269="","",INDEX('Per Line'!$D$2:$D$3001,$N269))</f>
        <v/>
      </c>
      <c r="D269">
        <f>IF($N269="","",INDEX('Per Line'!$C$2:$C$3001,$N269))</f>
        <v/>
      </c>
      <c r="E269">
        <f>IF($N269="","",INDEX('Per Line'!$A$2:$A$3001,$N269))</f>
        <v/>
      </c>
      <c r="H269">
        <f>IF($N269="","",INDEX('Per Line'!$V$2:$V$3001,$N269))</f>
        <v/>
      </c>
      <c r="I269" s="5">
        <f>IF($N269="","",SUMIFS('Per Line'!$X$2:$X$3001,'Per Line'!$D$2:$D$3001,$C269))</f>
        <v/>
      </c>
      <c r="J269" s="5">
        <f>IF($N269="","",SUMIFS('Per Line'!$Y$2:$Y$3001,'Per Line'!$D$2:$D$3001,$C269))</f>
        <v/>
      </c>
      <c r="K269" s="5">
        <f>IF($N269="","",SUMIFS('Per Line'!$Z$2:$Z$3001,'Per Line'!$D$2:$D$3001,$C269))</f>
        <v/>
      </c>
      <c r="L269" s="5">
        <f>IF($N269="","",I269-J269)</f>
        <v/>
      </c>
      <c r="M269" s="5">
        <f>IF($N269="","",L269-K269)</f>
        <v/>
      </c>
      <c r="N269">
        <f>IF(ROWS($N$2:$N269)&lt;=MAX('Per Line'!$AG$2:$AG$3001),MATCH(ROWS($N$2:$N269),'Per Line'!$AG$2:$AG$3001,0),"")</f>
        <v/>
      </c>
      <c r="O269">
        <f>IF(B269="Above Claim Form",COUNTIF($B$2:B269,"Above Claim Form"),"")</f>
        <v/>
      </c>
      <c r="P269">
        <f>IF(B269="Below Claim Form",COUNTIF($B$2:B269,"Below Claim Form"),"")</f>
        <v/>
      </c>
    </row>
    <row r="270">
      <c r="B270">
        <f>IF($N270="","",IFERROR(INDEX(Settings!$C$27:$C$36,MATCH(E270,Settings!$B$27:$B$36,0)),"Unassigned"))</f>
        <v/>
      </c>
      <c r="C270">
        <f>IF($N270="","",INDEX('Per Line'!$D$2:$D$3001,$N270))</f>
        <v/>
      </c>
      <c r="D270">
        <f>IF($N270="","",INDEX('Per Line'!$C$2:$C$3001,$N270))</f>
        <v/>
      </c>
      <c r="E270">
        <f>IF($N270="","",INDEX('Per Line'!$A$2:$A$3001,$N270))</f>
        <v/>
      </c>
      <c r="H270">
        <f>IF($N270="","",INDEX('Per Line'!$V$2:$V$3001,$N270))</f>
        <v/>
      </c>
      <c r="I270" s="5">
        <f>IF($N270="","",SUMIFS('Per Line'!$X$2:$X$3001,'Per Line'!$D$2:$D$3001,$C270))</f>
        <v/>
      </c>
      <c r="J270" s="5">
        <f>IF($N270="","",SUMIFS('Per Line'!$Y$2:$Y$3001,'Per Line'!$D$2:$D$3001,$C270))</f>
        <v/>
      </c>
      <c r="K270" s="5">
        <f>IF($N270="","",SUMIFS('Per Line'!$Z$2:$Z$3001,'Per Line'!$D$2:$D$3001,$C270))</f>
        <v/>
      </c>
      <c r="L270" s="5">
        <f>IF($N270="","",I270-J270)</f>
        <v/>
      </c>
      <c r="M270" s="5">
        <f>IF($N270="","",L270-K270)</f>
        <v/>
      </c>
      <c r="N270">
        <f>IF(ROWS($N$2:$N270)&lt;=MAX('Per Line'!$AG$2:$AG$3001),MATCH(ROWS($N$2:$N270),'Per Line'!$AG$2:$AG$3001,0),"")</f>
        <v/>
      </c>
      <c r="O270">
        <f>IF(B270="Above Claim Form",COUNTIF($B$2:B270,"Above Claim Form"),"")</f>
        <v/>
      </c>
      <c r="P270">
        <f>IF(B270="Below Claim Form",COUNTIF($B$2:B270,"Below Claim Form"),"")</f>
        <v/>
      </c>
    </row>
    <row r="271">
      <c r="B271">
        <f>IF($N271="","",IFERROR(INDEX(Settings!$C$27:$C$36,MATCH(E271,Settings!$B$27:$B$36,0)),"Unassigned"))</f>
        <v/>
      </c>
      <c r="C271">
        <f>IF($N271="","",INDEX('Per Line'!$D$2:$D$3001,$N271))</f>
        <v/>
      </c>
      <c r="D271">
        <f>IF($N271="","",INDEX('Per Line'!$C$2:$C$3001,$N271))</f>
        <v/>
      </c>
      <c r="E271">
        <f>IF($N271="","",INDEX('Per Line'!$A$2:$A$3001,$N271))</f>
        <v/>
      </c>
      <c r="H271">
        <f>IF($N271="","",INDEX('Per Line'!$V$2:$V$3001,$N271))</f>
        <v/>
      </c>
      <c r="I271" s="5">
        <f>IF($N271="","",SUMIFS('Per Line'!$X$2:$X$3001,'Per Line'!$D$2:$D$3001,$C271))</f>
        <v/>
      </c>
      <c r="J271" s="5">
        <f>IF($N271="","",SUMIFS('Per Line'!$Y$2:$Y$3001,'Per Line'!$D$2:$D$3001,$C271))</f>
        <v/>
      </c>
      <c r="K271" s="5">
        <f>IF($N271="","",SUMIFS('Per Line'!$Z$2:$Z$3001,'Per Line'!$D$2:$D$3001,$C271))</f>
        <v/>
      </c>
      <c r="L271" s="5">
        <f>IF($N271="","",I271-J271)</f>
        <v/>
      </c>
      <c r="M271" s="5">
        <f>IF($N271="","",L271-K271)</f>
        <v/>
      </c>
      <c r="N271">
        <f>IF(ROWS($N$2:$N271)&lt;=MAX('Per Line'!$AG$2:$AG$3001),MATCH(ROWS($N$2:$N271),'Per Line'!$AG$2:$AG$3001,0),"")</f>
        <v/>
      </c>
      <c r="O271">
        <f>IF(B271="Above Claim Form",COUNTIF($B$2:B271,"Above Claim Form"),"")</f>
        <v/>
      </c>
      <c r="P271">
        <f>IF(B271="Below Claim Form",COUNTIF($B$2:B271,"Below Claim Form"),"")</f>
        <v/>
      </c>
    </row>
    <row r="272">
      <c r="B272">
        <f>IF($N272="","",IFERROR(INDEX(Settings!$C$27:$C$36,MATCH(E272,Settings!$B$27:$B$36,0)),"Unassigned"))</f>
        <v/>
      </c>
      <c r="C272">
        <f>IF($N272="","",INDEX('Per Line'!$D$2:$D$3001,$N272))</f>
        <v/>
      </c>
      <c r="D272">
        <f>IF($N272="","",INDEX('Per Line'!$C$2:$C$3001,$N272))</f>
        <v/>
      </c>
      <c r="E272">
        <f>IF($N272="","",INDEX('Per Line'!$A$2:$A$3001,$N272))</f>
        <v/>
      </c>
      <c r="H272">
        <f>IF($N272="","",INDEX('Per Line'!$V$2:$V$3001,$N272))</f>
        <v/>
      </c>
      <c r="I272" s="5">
        <f>IF($N272="","",SUMIFS('Per Line'!$X$2:$X$3001,'Per Line'!$D$2:$D$3001,$C272))</f>
        <v/>
      </c>
      <c r="J272" s="5">
        <f>IF($N272="","",SUMIFS('Per Line'!$Y$2:$Y$3001,'Per Line'!$D$2:$D$3001,$C272))</f>
        <v/>
      </c>
      <c r="K272" s="5">
        <f>IF($N272="","",SUMIFS('Per Line'!$Z$2:$Z$3001,'Per Line'!$D$2:$D$3001,$C272))</f>
        <v/>
      </c>
      <c r="L272" s="5">
        <f>IF($N272="","",I272-J272)</f>
        <v/>
      </c>
      <c r="M272" s="5">
        <f>IF($N272="","",L272-K272)</f>
        <v/>
      </c>
      <c r="N272">
        <f>IF(ROWS($N$2:$N272)&lt;=MAX('Per Line'!$AG$2:$AG$3001),MATCH(ROWS($N$2:$N272),'Per Line'!$AG$2:$AG$3001,0),"")</f>
        <v/>
      </c>
      <c r="O272">
        <f>IF(B272="Above Claim Form",COUNTIF($B$2:B272,"Above Claim Form"),"")</f>
        <v/>
      </c>
      <c r="P272">
        <f>IF(B272="Below Claim Form",COUNTIF($B$2:B272,"Below Claim Form"),"")</f>
        <v/>
      </c>
    </row>
    <row r="273">
      <c r="B273">
        <f>IF($N273="","",IFERROR(INDEX(Settings!$C$27:$C$36,MATCH(E273,Settings!$B$27:$B$36,0)),"Unassigned"))</f>
        <v/>
      </c>
      <c r="C273">
        <f>IF($N273="","",INDEX('Per Line'!$D$2:$D$3001,$N273))</f>
        <v/>
      </c>
      <c r="D273">
        <f>IF($N273="","",INDEX('Per Line'!$C$2:$C$3001,$N273))</f>
        <v/>
      </c>
      <c r="E273">
        <f>IF($N273="","",INDEX('Per Line'!$A$2:$A$3001,$N273))</f>
        <v/>
      </c>
      <c r="H273">
        <f>IF($N273="","",INDEX('Per Line'!$V$2:$V$3001,$N273))</f>
        <v/>
      </c>
      <c r="I273" s="5">
        <f>IF($N273="","",SUMIFS('Per Line'!$X$2:$X$3001,'Per Line'!$D$2:$D$3001,$C273))</f>
        <v/>
      </c>
      <c r="J273" s="5">
        <f>IF($N273="","",SUMIFS('Per Line'!$Y$2:$Y$3001,'Per Line'!$D$2:$D$3001,$C273))</f>
        <v/>
      </c>
      <c r="K273" s="5">
        <f>IF($N273="","",SUMIFS('Per Line'!$Z$2:$Z$3001,'Per Line'!$D$2:$D$3001,$C273))</f>
        <v/>
      </c>
      <c r="L273" s="5">
        <f>IF($N273="","",I273-J273)</f>
        <v/>
      </c>
      <c r="M273" s="5">
        <f>IF($N273="","",L273-K273)</f>
        <v/>
      </c>
      <c r="N273">
        <f>IF(ROWS($N$2:$N273)&lt;=MAX('Per Line'!$AG$2:$AG$3001),MATCH(ROWS($N$2:$N273),'Per Line'!$AG$2:$AG$3001,0),"")</f>
        <v/>
      </c>
      <c r="O273">
        <f>IF(B273="Above Claim Form",COUNTIF($B$2:B273,"Above Claim Form"),"")</f>
        <v/>
      </c>
      <c r="P273">
        <f>IF(B273="Below Claim Form",COUNTIF($B$2:B273,"Below Claim Form"),"")</f>
        <v/>
      </c>
    </row>
    <row r="274">
      <c r="B274">
        <f>IF($N274="","",IFERROR(INDEX(Settings!$C$27:$C$36,MATCH(E274,Settings!$B$27:$B$36,0)),"Unassigned"))</f>
        <v/>
      </c>
      <c r="C274">
        <f>IF($N274="","",INDEX('Per Line'!$D$2:$D$3001,$N274))</f>
        <v/>
      </c>
      <c r="D274">
        <f>IF($N274="","",INDEX('Per Line'!$C$2:$C$3001,$N274))</f>
        <v/>
      </c>
      <c r="E274">
        <f>IF($N274="","",INDEX('Per Line'!$A$2:$A$3001,$N274))</f>
        <v/>
      </c>
      <c r="H274">
        <f>IF($N274="","",INDEX('Per Line'!$V$2:$V$3001,$N274))</f>
        <v/>
      </c>
      <c r="I274" s="5">
        <f>IF($N274="","",SUMIFS('Per Line'!$X$2:$X$3001,'Per Line'!$D$2:$D$3001,$C274))</f>
        <v/>
      </c>
      <c r="J274" s="5">
        <f>IF($N274="","",SUMIFS('Per Line'!$Y$2:$Y$3001,'Per Line'!$D$2:$D$3001,$C274))</f>
        <v/>
      </c>
      <c r="K274" s="5">
        <f>IF($N274="","",SUMIFS('Per Line'!$Z$2:$Z$3001,'Per Line'!$D$2:$D$3001,$C274))</f>
        <v/>
      </c>
      <c r="L274" s="5">
        <f>IF($N274="","",I274-J274)</f>
        <v/>
      </c>
      <c r="M274" s="5">
        <f>IF($N274="","",L274-K274)</f>
        <v/>
      </c>
      <c r="N274">
        <f>IF(ROWS($N$2:$N274)&lt;=MAX('Per Line'!$AG$2:$AG$3001),MATCH(ROWS($N$2:$N274),'Per Line'!$AG$2:$AG$3001,0),"")</f>
        <v/>
      </c>
      <c r="O274">
        <f>IF(B274="Above Claim Form",COUNTIF($B$2:B274,"Above Claim Form"),"")</f>
        <v/>
      </c>
      <c r="P274">
        <f>IF(B274="Below Claim Form",COUNTIF($B$2:B274,"Below Claim Form"),"")</f>
        <v/>
      </c>
    </row>
    <row r="275">
      <c r="B275">
        <f>IF($N275="","",IFERROR(INDEX(Settings!$C$27:$C$36,MATCH(E275,Settings!$B$27:$B$36,0)),"Unassigned"))</f>
        <v/>
      </c>
      <c r="C275">
        <f>IF($N275="","",INDEX('Per Line'!$D$2:$D$3001,$N275))</f>
        <v/>
      </c>
      <c r="D275">
        <f>IF($N275="","",INDEX('Per Line'!$C$2:$C$3001,$N275))</f>
        <v/>
      </c>
      <c r="E275">
        <f>IF($N275="","",INDEX('Per Line'!$A$2:$A$3001,$N275))</f>
        <v/>
      </c>
      <c r="H275">
        <f>IF($N275="","",INDEX('Per Line'!$V$2:$V$3001,$N275))</f>
        <v/>
      </c>
      <c r="I275" s="5">
        <f>IF($N275="","",SUMIFS('Per Line'!$X$2:$X$3001,'Per Line'!$D$2:$D$3001,$C275))</f>
        <v/>
      </c>
      <c r="J275" s="5">
        <f>IF($N275="","",SUMIFS('Per Line'!$Y$2:$Y$3001,'Per Line'!$D$2:$D$3001,$C275))</f>
        <v/>
      </c>
      <c r="K275" s="5">
        <f>IF($N275="","",SUMIFS('Per Line'!$Z$2:$Z$3001,'Per Line'!$D$2:$D$3001,$C275))</f>
        <v/>
      </c>
      <c r="L275" s="5">
        <f>IF($N275="","",I275-J275)</f>
        <v/>
      </c>
      <c r="M275" s="5">
        <f>IF($N275="","",L275-K275)</f>
        <v/>
      </c>
      <c r="N275">
        <f>IF(ROWS($N$2:$N275)&lt;=MAX('Per Line'!$AG$2:$AG$3001),MATCH(ROWS($N$2:$N275),'Per Line'!$AG$2:$AG$3001,0),"")</f>
        <v/>
      </c>
      <c r="O275">
        <f>IF(B275="Above Claim Form",COUNTIF($B$2:B275,"Above Claim Form"),"")</f>
        <v/>
      </c>
      <c r="P275">
        <f>IF(B275="Below Claim Form",COUNTIF($B$2:B275,"Below Claim Form"),"")</f>
        <v/>
      </c>
    </row>
    <row r="276">
      <c r="B276">
        <f>IF($N276="","",IFERROR(INDEX(Settings!$C$27:$C$36,MATCH(E276,Settings!$B$27:$B$36,0)),"Unassigned"))</f>
        <v/>
      </c>
      <c r="C276">
        <f>IF($N276="","",INDEX('Per Line'!$D$2:$D$3001,$N276))</f>
        <v/>
      </c>
      <c r="D276">
        <f>IF($N276="","",INDEX('Per Line'!$C$2:$C$3001,$N276))</f>
        <v/>
      </c>
      <c r="E276">
        <f>IF($N276="","",INDEX('Per Line'!$A$2:$A$3001,$N276))</f>
        <v/>
      </c>
      <c r="H276">
        <f>IF($N276="","",INDEX('Per Line'!$V$2:$V$3001,$N276))</f>
        <v/>
      </c>
      <c r="I276" s="5">
        <f>IF($N276="","",SUMIFS('Per Line'!$X$2:$X$3001,'Per Line'!$D$2:$D$3001,$C276))</f>
        <v/>
      </c>
      <c r="J276" s="5">
        <f>IF($N276="","",SUMIFS('Per Line'!$Y$2:$Y$3001,'Per Line'!$D$2:$D$3001,$C276))</f>
        <v/>
      </c>
      <c r="K276" s="5">
        <f>IF($N276="","",SUMIFS('Per Line'!$Z$2:$Z$3001,'Per Line'!$D$2:$D$3001,$C276))</f>
        <v/>
      </c>
      <c r="L276" s="5">
        <f>IF($N276="","",I276-J276)</f>
        <v/>
      </c>
      <c r="M276" s="5">
        <f>IF($N276="","",L276-K276)</f>
        <v/>
      </c>
      <c r="N276">
        <f>IF(ROWS($N$2:$N276)&lt;=MAX('Per Line'!$AG$2:$AG$3001),MATCH(ROWS($N$2:$N276),'Per Line'!$AG$2:$AG$3001,0),"")</f>
        <v/>
      </c>
      <c r="O276">
        <f>IF(B276="Above Claim Form",COUNTIF($B$2:B276,"Above Claim Form"),"")</f>
        <v/>
      </c>
      <c r="P276">
        <f>IF(B276="Below Claim Form",COUNTIF($B$2:B276,"Below Claim Form"),"")</f>
        <v/>
      </c>
    </row>
    <row r="277">
      <c r="B277">
        <f>IF($N277="","",IFERROR(INDEX(Settings!$C$27:$C$36,MATCH(E277,Settings!$B$27:$B$36,0)),"Unassigned"))</f>
        <v/>
      </c>
      <c r="C277">
        <f>IF($N277="","",INDEX('Per Line'!$D$2:$D$3001,$N277))</f>
        <v/>
      </c>
      <c r="D277">
        <f>IF($N277="","",INDEX('Per Line'!$C$2:$C$3001,$N277))</f>
        <v/>
      </c>
      <c r="E277">
        <f>IF($N277="","",INDEX('Per Line'!$A$2:$A$3001,$N277))</f>
        <v/>
      </c>
      <c r="H277">
        <f>IF($N277="","",INDEX('Per Line'!$V$2:$V$3001,$N277))</f>
        <v/>
      </c>
      <c r="I277" s="5">
        <f>IF($N277="","",SUMIFS('Per Line'!$X$2:$X$3001,'Per Line'!$D$2:$D$3001,$C277))</f>
        <v/>
      </c>
      <c r="J277" s="5">
        <f>IF($N277="","",SUMIFS('Per Line'!$Y$2:$Y$3001,'Per Line'!$D$2:$D$3001,$C277))</f>
        <v/>
      </c>
      <c r="K277" s="5">
        <f>IF($N277="","",SUMIFS('Per Line'!$Z$2:$Z$3001,'Per Line'!$D$2:$D$3001,$C277))</f>
        <v/>
      </c>
      <c r="L277" s="5">
        <f>IF($N277="","",I277-J277)</f>
        <v/>
      </c>
      <c r="M277" s="5">
        <f>IF($N277="","",L277-K277)</f>
        <v/>
      </c>
      <c r="N277">
        <f>IF(ROWS($N$2:$N277)&lt;=MAX('Per Line'!$AG$2:$AG$3001),MATCH(ROWS($N$2:$N277),'Per Line'!$AG$2:$AG$3001,0),"")</f>
        <v/>
      </c>
      <c r="O277">
        <f>IF(B277="Above Claim Form",COUNTIF($B$2:B277,"Above Claim Form"),"")</f>
        <v/>
      </c>
      <c r="P277">
        <f>IF(B277="Below Claim Form",COUNTIF($B$2:B277,"Below Claim Form"),"")</f>
        <v/>
      </c>
    </row>
    <row r="278">
      <c r="B278">
        <f>IF($N278="","",IFERROR(INDEX(Settings!$C$27:$C$36,MATCH(E278,Settings!$B$27:$B$36,0)),"Unassigned"))</f>
        <v/>
      </c>
      <c r="C278">
        <f>IF($N278="","",INDEX('Per Line'!$D$2:$D$3001,$N278))</f>
        <v/>
      </c>
      <c r="D278">
        <f>IF($N278="","",INDEX('Per Line'!$C$2:$C$3001,$N278))</f>
        <v/>
      </c>
      <c r="E278">
        <f>IF($N278="","",INDEX('Per Line'!$A$2:$A$3001,$N278))</f>
        <v/>
      </c>
      <c r="H278">
        <f>IF($N278="","",INDEX('Per Line'!$V$2:$V$3001,$N278))</f>
        <v/>
      </c>
      <c r="I278" s="5">
        <f>IF($N278="","",SUMIFS('Per Line'!$X$2:$X$3001,'Per Line'!$D$2:$D$3001,$C278))</f>
        <v/>
      </c>
      <c r="J278" s="5">
        <f>IF($N278="","",SUMIFS('Per Line'!$Y$2:$Y$3001,'Per Line'!$D$2:$D$3001,$C278))</f>
        <v/>
      </c>
      <c r="K278" s="5">
        <f>IF($N278="","",SUMIFS('Per Line'!$Z$2:$Z$3001,'Per Line'!$D$2:$D$3001,$C278))</f>
        <v/>
      </c>
      <c r="L278" s="5">
        <f>IF($N278="","",I278-J278)</f>
        <v/>
      </c>
      <c r="M278" s="5">
        <f>IF($N278="","",L278-K278)</f>
        <v/>
      </c>
      <c r="N278">
        <f>IF(ROWS($N$2:$N278)&lt;=MAX('Per Line'!$AG$2:$AG$3001),MATCH(ROWS($N$2:$N278),'Per Line'!$AG$2:$AG$3001,0),"")</f>
        <v/>
      </c>
      <c r="O278">
        <f>IF(B278="Above Claim Form",COUNTIF($B$2:B278,"Above Claim Form"),"")</f>
        <v/>
      </c>
      <c r="P278">
        <f>IF(B278="Below Claim Form",COUNTIF($B$2:B278,"Below Claim Form"),"")</f>
        <v/>
      </c>
    </row>
    <row r="279">
      <c r="B279">
        <f>IF($N279="","",IFERROR(INDEX(Settings!$C$27:$C$36,MATCH(E279,Settings!$B$27:$B$36,0)),"Unassigned"))</f>
        <v/>
      </c>
      <c r="C279">
        <f>IF($N279="","",INDEX('Per Line'!$D$2:$D$3001,$N279))</f>
        <v/>
      </c>
      <c r="D279">
        <f>IF($N279="","",INDEX('Per Line'!$C$2:$C$3001,$N279))</f>
        <v/>
      </c>
      <c r="E279">
        <f>IF($N279="","",INDEX('Per Line'!$A$2:$A$3001,$N279))</f>
        <v/>
      </c>
      <c r="H279">
        <f>IF($N279="","",INDEX('Per Line'!$V$2:$V$3001,$N279))</f>
        <v/>
      </c>
      <c r="I279" s="5">
        <f>IF($N279="","",SUMIFS('Per Line'!$X$2:$X$3001,'Per Line'!$D$2:$D$3001,$C279))</f>
        <v/>
      </c>
      <c r="J279" s="5">
        <f>IF($N279="","",SUMIFS('Per Line'!$Y$2:$Y$3001,'Per Line'!$D$2:$D$3001,$C279))</f>
        <v/>
      </c>
      <c r="K279" s="5">
        <f>IF($N279="","",SUMIFS('Per Line'!$Z$2:$Z$3001,'Per Line'!$D$2:$D$3001,$C279))</f>
        <v/>
      </c>
      <c r="L279" s="5">
        <f>IF($N279="","",I279-J279)</f>
        <v/>
      </c>
      <c r="M279" s="5">
        <f>IF($N279="","",L279-K279)</f>
        <v/>
      </c>
      <c r="N279">
        <f>IF(ROWS($N$2:$N279)&lt;=MAX('Per Line'!$AG$2:$AG$3001),MATCH(ROWS($N$2:$N279),'Per Line'!$AG$2:$AG$3001,0),"")</f>
        <v/>
      </c>
      <c r="O279">
        <f>IF(B279="Above Claim Form",COUNTIF($B$2:B279,"Above Claim Form"),"")</f>
        <v/>
      </c>
      <c r="P279">
        <f>IF(B279="Below Claim Form",COUNTIF($B$2:B279,"Below Claim Form"),"")</f>
        <v/>
      </c>
    </row>
    <row r="280">
      <c r="B280">
        <f>IF($N280="","",IFERROR(INDEX(Settings!$C$27:$C$36,MATCH(E280,Settings!$B$27:$B$36,0)),"Unassigned"))</f>
        <v/>
      </c>
      <c r="C280">
        <f>IF($N280="","",INDEX('Per Line'!$D$2:$D$3001,$N280))</f>
        <v/>
      </c>
      <c r="D280">
        <f>IF($N280="","",INDEX('Per Line'!$C$2:$C$3001,$N280))</f>
        <v/>
      </c>
      <c r="E280">
        <f>IF($N280="","",INDEX('Per Line'!$A$2:$A$3001,$N280))</f>
        <v/>
      </c>
      <c r="H280">
        <f>IF($N280="","",INDEX('Per Line'!$V$2:$V$3001,$N280))</f>
        <v/>
      </c>
      <c r="I280" s="5">
        <f>IF($N280="","",SUMIFS('Per Line'!$X$2:$X$3001,'Per Line'!$D$2:$D$3001,$C280))</f>
        <v/>
      </c>
      <c r="J280" s="5">
        <f>IF($N280="","",SUMIFS('Per Line'!$Y$2:$Y$3001,'Per Line'!$D$2:$D$3001,$C280))</f>
        <v/>
      </c>
      <c r="K280" s="5">
        <f>IF($N280="","",SUMIFS('Per Line'!$Z$2:$Z$3001,'Per Line'!$D$2:$D$3001,$C280))</f>
        <v/>
      </c>
      <c r="L280" s="5">
        <f>IF($N280="","",I280-J280)</f>
        <v/>
      </c>
      <c r="M280" s="5">
        <f>IF($N280="","",L280-K280)</f>
        <v/>
      </c>
      <c r="N280">
        <f>IF(ROWS($N$2:$N280)&lt;=MAX('Per Line'!$AG$2:$AG$3001),MATCH(ROWS($N$2:$N280),'Per Line'!$AG$2:$AG$3001,0),"")</f>
        <v/>
      </c>
      <c r="O280">
        <f>IF(B280="Above Claim Form",COUNTIF($B$2:B280,"Above Claim Form"),"")</f>
        <v/>
      </c>
      <c r="P280">
        <f>IF(B280="Below Claim Form",COUNTIF($B$2:B280,"Below Claim Form"),"")</f>
        <v/>
      </c>
    </row>
    <row r="281">
      <c r="B281">
        <f>IF($N281="","",IFERROR(INDEX(Settings!$C$27:$C$36,MATCH(E281,Settings!$B$27:$B$36,0)),"Unassigned"))</f>
        <v/>
      </c>
      <c r="C281">
        <f>IF($N281="","",INDEX('Per Line'!$D$2:$D$3001,$N281))</f>
        <v/>
      </c>
      <c r="D281">
        <f>IF($N281="","",INDEX('Per Line'!$C$2:$C$3001,$N281))</f>
        <v/>
      </c>
      <c r="E281">
        <f>IF($N281="","",INDEX('Per Line'!$A$2:$A$3001,$N281))</f>
        <v/>
      </c>
      <c r="H281">
        <f>IF($N281="","",INDEX('Per Line'!$V$2:$V$3001,$N281))</f>
        <v/>
      </c>
      <c r="I281" s="5">
        <f>IF($N281="","",SUMIFS('Per Line'!$X$2:$X$3001,'Per Line'!$D$2:$D$3001,$C281))</f>
        <v/>
      </c>
      <c r="J281" s="5">
        <f>IF($N281="","",SUMIFS('Per Line'!$Y$2:$Y$3001,'Per Line'!$D$2:$D$3001,$C281))</f>
        <v/>
      </c>
      <c r="K281" s="5">
        <f>IF($N281="","",SUMIFS('Per Line'!$Z$2:$Z$3001,'Per Line'!$D$2:$D$3001,$C281))</f>
        <v/>
      </c>
      <c r="L281" s="5">
        <f>IF($N281="","",I281-J281)</f>
        <v/>
      </c>
      <c r="M281" s="5">
        <f>IF($N281="","",L281-K281)</f>
        <v/>
      </c>
      <c r="N281">
        <f>IF(ROWS($N$2:$N281)&lt;=MAX('Per Line'!$AG$2:$AG$3001),MATCH(ROWS($N$2:$N281),'Per Line'!$AG$2:$AG$3001,0),"")</f>
        <v/>
      </c>
      <c r="O281">
        <f>IF(B281="Above Claim Form",COUNTIF($B$2:B281,"Above Claim Form"),"")</f>
        <v/>
      </c>
      <c r="P281">
        <f>IF(B281="Below Claim Form",COUNTIF($B$2:B281,"Below Claim Form"),"")</f>
        <v/>
      </c>
    </row>
    <row r="282">
      <c r="B282">
        <f>IF($N282="","",IFERROR(INDEX(Settings!$C$27:$C$36,MATCH(E282,Settings!$B$27:$B$36,0)),"Unassigned"))</f>
        <v/>
      </c>
      <c r="C282">
        <f>IF($N282="","",INDEX('Per Line'!$D$2:$D$3001,$N282))</f>
        <v/>
      </c>
      <c r="D282">
        <f>IF($N282="","",INDEX('Per Line'!$C$2:$C$3001,$N282))</f>
        <v/>
      </c>
      <c r="E282">
        <f>IF($N282="","",INDEX('Per Line'!$A$2:$A$3001,$N282))</f>
        <v/>
      </c>
      <c r="H282">
        <f>IF($N282="","",INDEX('Per Line'!$V$2:$V$3001,$N282))</f>
        <v/>
      </c>
      <c r="I282" s="5">
        <f>IF($N282="","",SUMIFS('Per Line'!$X$2:$X$3001,'Per Line'!$D$2:$D$3001,$C282))</f>
        <v/>
      </c>
      <c r="J282" s="5">
        <f>IF($N282="","",SUMIFS('Per Line'!$Y$2:$Y$3001,'Per Line'!$D$2:$D$3001,$C282))</f>
        <v/>
      </c>
      <c r="K282" s="5">
        <f>IF($N282="","",SUMIFS('Per Line'!$Z$2:$Z$3001,'Per Line'!$D$2:$D$3001,$C282))</f>
        <v/>
      </c>
      <c r="L282" s="5">
        <f>IF($N282="","",I282-J282)</f>
        <v/>
      </c>
      <c r="M282" s="5">
        <f>IF($N282="","",L282-K282)</f>
        <v/>
      </c>
      <c r="N282">
        <f>IF(ROWS($N$2:$N282)&lt;=MAX('Per Line'!$AG$2:$AG$3001),MATCH(ROWS($N$2:$N282),'Per Line'!$AG$2:$AG$3001,0),"")</f>
        <v/>
      </c>
      <c r="O282">
        <f>IF(B282="Above Claim Form",COUNTIF($B$2:B282,"Above Claim Form"),"")</f>
        <v/>
      </c>
      <c r="P282">
        <f>IF(B282="Below Claim Form",COUNTIF($B$2:B282,"Below Claim Form"),"")</f>
        <v/>
      </c>
    </row>
    <row r="283">
      <c r="B283">
        <f>IF($N283="","",IFERROR(INDEX(Settings!$C$27:$C$36,MATCH(E283,Settings!$B$27:$B$36,0)),"Unassigned"))</f>
        <v/>
      </c>
      <c r="C283">
        <f>IF($N283="","",INDEX('Per Line'!$D$2:$D$3001,$N283))</f>
        <v/>
      </c>
      <c r="D283">
        <f>IF($N283="","",INDEX('Per Line'!$C$2:$C$3001,$N283))</f>
        <v/>
      </c>
      <c r="E283">
        <f>IF($N283="","",INDEX('Per Line'!$A$2:$A$3001,$N283))</f>
        <v/>
      </c>
      <c r="H283">
        <f>IF($N283="","",INDEX('Per Line'!$V$2:$V$3001,$N283))</f>
        <v/>
      </c>
      <c r="I283" s="5">
        <f>IF($N283="","",SUMIFS('Per Line'!$X$2:$X$3001,'Per Line'!$D$2:$D$3001,$C283))</f>
        <v/>
      </c>
      <c r="J283" s="5">
        <f>IF($N283="","",SUMIFS('Per Line'!$Y$2:$Y$3001,'Per Line'!$D$2:$D$3001,$C283))</f>
        <v/>
      </c>
      <c r="K283" s="5">
        <f>IF($N283="","",SUMIFS('Per Line'!$Z$2:$Z$3001,'Per Line'!$D$2:$D$3001,$C283))</f>
        <v/>
      </c>
      <c r="L283" s="5">
        <f>IF($N283="","",I283-J283)</f>
        <v/>
      </c>
      <c r="M283" s="5">
        <f>IF($N283="","",L283-K283)</f>
        <v/>
      </c>
      <c r="N283">
        <f>IF(ROWS($N$2:$N283)&lt;=MAX('Per Line'!$AG$2:$AG$3001),MATCH(ROWS($N$2:$N283),'Per Line'!$AG$2:$AG$3001,0),"")</f>
        <v/>
      </c>
      <c r="O283">
        <f>IF(B283="Above Claim Form",COUNTIF($B$2:B283,"Above Claim Form"),"")</f>
        <v/>
      </c>
      <c r="P283">
        <f>IF(B283="Below Claim Form",COUNTIF($B$2:B283,"Below Claim Form"),"")</f>
        <v/>
      </c>
    </row>
    <row r="284">
      <c r="B284">
        <f>IF($N284="","",IFERROR(INDEX(Settings!$C$27:$C$36,MATCH(E284,Settings!$B$27:$B$36,0)),"Unassigned"))</f>
        <v/>
      </c>
      <c r="C284">
        <f>IF($N284="","",INDEX('Per Line'!$D$2:$D$3001,$N284))</f>
        <v/>
      </c>
      <c r="D284">
        <f>IF($N284="","",INDEX('Per Line'!$C$2:$C$3001,$N284))</f>
        <v/>
      </c>
      <c r="E284">
        <f>IF($N284="","",INDEX('Per Line'!$A$2:$A$3001,$N284))</f>
        <v/>
      </c>
      <c r="H284">
        <f>IF($N284="","",INDEX('Per Line'!$V$2:$V$3001,$N284))</f>
        <v/>
      </c>
      <c r="I284" s="5">
        <f>IF($N284="","",SUMIFS('Per Line'!$X$2:$X$3001,'Per Line'!$D$2:$D$3001,$C284))</f>
        <v/>
      </c>
      <c r="J284" s="5">
        <f>IF($N284="","",SUMIFS('Per Line'!$Y$2:$Y$3001,'Per Line'!$D$2:$D$3001,$C284))</f>
        <v/>
      </c>
      <c r="K284" s="5">
        <f>IF($N284="","",SUMIFS('Per Line'!$Z$2:$Z$3001,'Per Line'!$D$2:$D$3001,$C284))</f>
        <v/>
      </c>
      <c r="L284" s="5">
        <f>IF($N284="","",I284-J284)</f>
        <v/>
      </c>
      <c r="M284" s="5">
        <f>IF($N284="","",L284-K284)</f>
        <v/>
      </c>
      <c r="N284">
        <f>IF(ROWS($N$2:$N284)&lt;=MAX('Per Line'!$AG$2:$AG$3001),MATCH(ROWS($N$2:$N284),'Per Line'!$AG$2:$AG$3001,0),"")</f>
        <v/>
      </c>
      <c r="O284">
        <f>IF(B284="Above Claim Form",COUNTIF($B$2:B284,"Above Claim Form"),"")</f>
        <v/>
      </c>
      <c r="P284">
        <f>IF(B284="Below Claim Form",COUNTIF($B$2:B284,"Below Claim Form"),"")</f>
        <v/>
      </c>
    </row>
    <row r="285">
      <c r="B285">
        <f>IF($N285="","",IFERROR(INDEX(Settings!$C$27:$C$36,MATCH(E285,Settings!$B$27:$B$36,0)),"Unassigned"))</f>
        <v/>
      </c>
      <c r="C285">
        <f>IF($N285="","",INDEX('Per Line'!$D$2:$D$3001,$N285))</f>
        <v/>
      </c>
      <c r="D285">
        <f>IF($N285="","",INDEX('Per Line'!$C$2:$C$3001,$N285))</f>
        <v/>
      </c>
      <c r="E285">
        <f>IF($N285="","",INDEX('Per Line'!$A$2:$A$3001,$N285))</f>
        <v/>
      </c>
      <c r="H285">
        <f>IF($N285="","",INDEX('Per Line'!$V$2:$V$3001,$N285))</f>
        <v/>
      </c>
      <c r="I285" s="5">
        <f>IF($N285="","",SUMIFS('Per Line'!$X$2:$X$3001,'Per Line'!$D$2:$D$3001,$C285))</f>
        <v/>
      </c>
      <c r="J285" s="5">
        <f>IF($N285="","",SUMIFS('Per Line'!$Y$2:$Y$3001,'Per Line'!$D$2:$D$3001,$C285))</f>
        <v/>
      </c>
      <c r="K285" s="5">
        <f>IF($N285="","",SUMIFS('Per Line'!$Z$2:$Z$3001,'Per Line'!$D$2:$D$3001,$C285))</f>
        <v/>
      </c>
      <c r="L285" s="5">
        <f>IF($N285="","",I285-J285)</f>
        <v/>
      </c>
      <c r="M285" s="5">
        <f>IF($N285="","",L285-K285)</f>
        <v/>
      </c>
      <c r="N285">
        <f>IF(ROWS($N$2:$N285)&lt;=MAX('Per Line'!$AG$2:$AG$3001),MATCH(ROWS($N$2:$N285),'Per Line'!$AG$2:$AG$3001,0),"")</f>
        <v/>
      </c>
      <c r="O285">
        <f>IF(B285="Above Claim Form",COUNTIF($B$2:B285,"Above Claim Form"),"")</f>
        <v/>
      </c>
      <c r="P285">
        <f>IF(B285="Below Claim Form",COUNTIF($B$2:B285,"Below Claim Form"),"")</f>
        <v/>
      </c>
    </row>
    <row r="286">
      <c r="B286">
        <f>IF($N286="","",IFERROR(INDEX(Settings!$C$27:$C$36,MATCH(E286,Settings!$B$27:$B$36,0)),"Unassigned"))</f>
        <v/>
      </c>
      <c r="C286">
        <f>IF($N286="","",INDEX('Per Line'!$D$2:$D$3001,$N286))</f>
        <v/>
      </c>
      <c r="D286">
        <f>IF($N286="","",INDEX('Per Line'!$C$2:$C$3001,$N286))</f>
        <v/>
      </c>
      <c r="E286">
        <f>IF($N286="","",INDEX('Per Line'!$A$2:$A$3001,$N286))</f>
        <v/>
      </c>
      <c r="H286">
        <f>IF($N286="","",INDEX('Per Line'!$V$2:$V$3001,$N286))</f>
        <v/>
      </c>
      <c r="I286" s="5">
        <f>IF($N286="","",SUMIFS('Per Line'!$X$2:$X$3001,'Per Line'!$D$2:$D$3001,$C286))</f>
        <v/>
      </c>
      <c r="J286" s="5">
        <f>IF($N286="","",SUMIFS('Per Line'!$Y$2:$Y$3001,'Per Line'!$D$2:$D$3001,$C286))</f>
        <v/>
      </c>
      <c r="K286" s="5">
        <f>IF($N286="","",SUMIFS('Per Line'!$Z$2:$Z$3001,'Per Line'!$D$2:$D$3001,$C286))</f>
        <v/>
      </c>
      <c r="L286" s="5">
        <f>IF($N286="","",I286-J286)</f>
        <v/>
      </c>
      <c r="M286" s="5">
        <f>IF($N286="","",L286-K286)</f>
        <v/>
      </c>
      <c r="N286">
        <f>IF(ROWS($N$2:$N286)&lt;=MAX('Per Line'!$AG$2:$AG$3001),MATCH(ROWS($N$2:$N286),'Per Line'!$AG$2:$AG$3001,0),"")</f>
        <v/>
      </c>
      <c r="O286">
        <f>IF(B286="Above Claim Form",COUNTIF($B$2:B286,"Above Claim Form"),"")</f>
        <v/>
      </c>
      <c r="P286">
        <f>IF(B286="Below Claim Form",COUNTIF($B$2:B286,"Below Claim Form"),"")</f>
        <v/>
      </c>
    </row>
    <row r="287">
      <c r="B287">
        <f>IF($N287="","",IFERROR(INDEX(Settings!$C$27:$C$36,MATCH(E287,Settings!$B$27:$B$36,0)),"Unassigned"))</f>
        <v/>
      </c>
      <c r="C287">
        <f>IF($N287="","",INDEX('Per Line'!$D$2:$D$3001,$N287))</f>
        <v/>
      </c>
      <c r="D287">
        <f>IF($N287="","",INDEX('Per Line'!$C$2:$C$3001,$N287))</f>
        <v/>
      </c>
      <c r="E287">
        <f>IF($N287="","",INDEX('Per Line'!$A$2:$A$3001,$N287))</f>
        <v/>
      </c>
      <c r="H287">
        <f>IF($N287="","",INDEX('Per Line'!$V$2:$V$3001,$N287))</f>
        <v/>
      </c>
      <c r="I287" s="5">
        <f>IF($N287="","",SUMIFS('Per Line'!$X$2:$X$3001,'Per Line'!$D$2:$D$3001,$C287))</f>
        <v/>
      </c>
      <c r="J287" s="5">
        <f>IF($N287="","",SUMIFS('Per Line'!$Y$2:$Y$3001,'Per Line'!$D$2:$D$3001,$C287))</f>
        <v/>
      </c>
      <c r="K287" s="5">
        <f>IF($N287="","",SUMIFS('Per Line'!$Z$2:$Z$3001,'Per Line'!$D$2:$D$3001,$C287))</f>
        <v/>
      </c>
      <c r="L287" s="5">
        <f>IF($N287="","",I287-J287)</f>
        <v/>
      </c>
      <c r="M287" s="5">
        <f>IF($N287="","",L287-K287)</f>
        <v/>
      </c>
      <c r="N287">
        <f>IF(ROWS($N$2:$N287)&lt;=MAX('Per Line'!$AG$2:$AG$3001),MATCH(ROWS($N$2:$N287),'Per Line'!$AG$2:$AG$3001,0),"")</f>
        <v/>
      </c>
      <c r="O287">
        <f>IF(B287="Above Claim Form",COUNTIF($B$2:B287,"Above Claim Form"),"")</f>
        <v/>
      </c>
      <c r="P287">
        <f>IF(B287="Below Claim Form",COUNTIF($B$2:B287,"Below Claim Form"),"")</f>
        <v/>
      </c>
    </row>
    <row r="288">
      <c r="B288">
        <f>IF($N288="","",IFERROR(INDEX(Settings!$C$27:$C$36,MATCH(E288,Settings!$B$27:$B$36,0)),"Unassigned"))</f>
        <v/>
      </c>
      <c r="C288">
        <f>IF($N288="","",INDEX('Per Line'!$D$2:$D$3001,$N288))</f>
        <v/>
      </c>
      <c r="D288">
        <f>IF($N288="","",INDEX('Per Line'!$C$2:$C$3001,$N288))</f>
        <v/>
      </c>
      <c r="E288">
        <f>IF($N288="","",INDEX('Per Line'!$A$2:$A$3001,$N288))</f>
        <v/>
      </c>
      <c r="H288">
        <f>IF($N288="","",INDEX('Per Line'!$V$2:$V$3001,$N288))</f>
        <v/>
      </c>
      <c r="I288" s="5">
        <f>IF($N288="","",SUMIFS('Per Line'!$X$2:$X$3001,'Per Line'!$D$2:$D$3001,$C288))</f>
        <v/>
      </c>
      <c r="J288" s="5">
        <f>IF($N288="","",SUMIFS('Per Line'!$Y$2:$Y$3001,'Per Line'!$D$2:$D$3001,$C288))</f>
        <v/>
      </c>
      <c r="K288" s="5">
        <f>IF($N288="","",SUMIFS('Per Line'!$Z$2:$Z$3001,'Per Line'!$D$2:$D$3001,$C288))</f>
        <v/>
      </c>
      <c r="L288" s="5">
        <f>IF($N288="","",I288-J288)</f>
        <v/>
      </c>
      <c r="M288" s="5">
        <f>IF($N288="","",L288-K288)</f>
        <v/>
      </c>
      <c r="N288">
        <f>IF(ROWS($N$2:$N288)&lt;=MAX('Per Line'!$AG$2:$AG$3001),MATCH(ROWS($N$2:$N288),'Per Line'!$AG$2:$AG$3001,0),"")</f>
        <v/>
      </c>
      <c r="O288">
        <f>IF(B288="Above Claim Form",COUNTIF($B$2:B288,"Above Claim Form"),"")</f>
        <v/>
      </c>
      <c r="P288">
        <f>IF(B288="Below Claim Form",COUNTIF($B$2:B288,"Below Claim Form"),"")</f>
        <v/>
      </c>
    </row>
    <row r="289">
      <c r="B289">
        <f>IF($N289="","",IFERROR(INDEX(Settings!$C$27:$C$36,MATCH(E289,Settings!$B$27:$B$36,0)),"Unassigned"))</f>
        <v/>
      </c>
      <c r="C289">
        <f>IF($N289="","",INDEX('Per Line'!$D$2:$D$3001,$N289))</f>
        <v/>
      </c>
      <c r="D289">
        <f>IF($N289="","",INDEX('Per Line'!$C$2:$C$3001,$N289))</f>
        <v/>
      </c>
      <c r="E289">
        <f>IF($N289="","",INDEX('Per Line'!$A$2:$A$3001,$N289))</f>
        <v/>
      </c>
      <c r="H289">
        <f>IF($N289="","",INDEX('Per Line'!$V$2:$V$3001,$N289))</f>
        <v/>
      </c>
      <c r="I289" s="5">
        <f>IF($N289="","",SUMIFS('Per Line'!$X$2:$X$3001,'Per Line'!$D$2:$D$3001,$C289))</f>
        <v/>
      </c>
      <c r="J289" s="5">
        <f>IF($N289="","",SUMIFS('Per Line'!$Y$2:$Y$3001,'Per Line'!$D$2:$D$3001,$C289))</f>
        <v/>
      </c>
      <c r="K289" s="5">
        <f>IF($N289="","",SUMIFS('Per Line'!$Z$2:$Z$3001,'Per Line'!$D$2:$D$3001,$C289))</f>
        <v/>
      </c>
      <c r="L289" s="5">
        <f>IF($N289="","",I289-J289)</f>
        <v/>
      </c>
      <c r="M289" s="5">
        <f>IF($N289="","",L289-K289)</f>
        <v/>
      </c>
      <c r="N289">
        <f>IF(ROWS($N$2:$N289)&lt;=MAX('Per Line'!$AG$2:$AG$3001),MATCH(ROWS($N$2:$N289),'Per Line'!$AG$2:$AG$3001,0),"")</f>
        <v/>
      </c>
      <c r="O289">
        <f>IF(B289="Above Claim Form",COUNTIF($B$2:B289,"Above Claim Form"),"")</f>
        <v/>
      </c>
      <c r="P289">
        <f>IF(B289="Below Claim Form",COUNTIF($B$2:B289,"Below Claim Form"),"")</f>
        <v/>
      </c>
    </row>
    <row r="290">
      <c r="B290">
        <f>IF($N290="","",IFERROR(INDEX(Settings!$C$27:$C$36,MATCH(E290,Settings!$B$27:$B$36,0)),"Unassigned"))</f>
        <v/>
      </c>
      <c r="C290">
        <f>IF($N290="","",INDEX('Per Line'!$D$2:$D$3001,$N290))</f>
        <v/>
      </c>
      <c r="D290">
        <f>IF($N290="","",INDEX('Per Line'!$C$2:$C$3001,$N290))</f>
        <v/>
      </c>
      <c r="E290">
        <f>IF($N290="","",INDEX('Per Line'!$A$2:$A$3001,$N290))</f>
        <v/>
      </c>
      <c r="H290">
        <f>IF($N290="","",INDEX('Per Line'!$V$2:$V$3001,$N290))</f>
        <v/>
      </c>
      <c r="I290" s="5">
        <f>IF($N290="","",SUMIFS('Per Line'!$X$2:$X$3001,'Per Line'!$D$2:$D$3001,$C290))</f>
        <v/>
      </c>
      <c r="J290" s="5">
        <f>IF($N290="","",SUMIFS('Per Line'!$Y$2:$Y$3001,'Per Line'!$D$2:$D$3001,$C290))</f>
        <v/>
      </c>
      <c r="K290" s="5">
        <f>IF($N290="","",SUMIFS('Per Line'!$Z$2:$Z$3001,'Per Line'!$D$2:$D$3001,$C290))</f>
        <v/>
      </c>
      <c r="L290" s="5">
        <f>IF($N290="","",I290-J290)</f>
        <v/>
      </c>
      <c r="M290" s="5">
        <f>IF($N290="","",L290-K290)</f>
        <v/>
      </c>
      <c r="N290">
        <f>IF(ROWS($N$2:$N290)&lt;=MAX('Per Line'!$AG$2:$AG$3001),MATCH(ROWS($N$2:$N290),'Per Line'!$AG$2:$AG$3001,0),"")</f>
        <v/>
      </c>
      <c r="O290">
        <f>IF(B290="Above Claim Form",COUNTIF($B$2:B290,"Above Claim Form"),"")</f>
        <v/>
      </c>
      <c r="P290">
        <f>IF(B290="Below Claim Form",COUNTIF($B$2:B290,"Below Claim Form"),"")</f>
        <v/>
      </c>
    </row>
    <row r="291">
      <c r="B291">
        <f>IF($N291="","",IFERROR(INDEX(Settings!$C$27:$C$36,MATCH(E291,Settings!$B$27:$B$36,0)),"Unassigned"))</f>
        <v/>
      </c>
      <c r="C291">
        <f>IF($N291="","",INDEX('Per Line'!$D$2:$D$3001,$N291))</f>
        <v/>
      </c>
      <c r="D291">
        <f>IF($N291="","",INDEX('Per Line'!$C$2:$C$3001,$N291))</f>
        <v/>
      </c>
      <c r="E291">
        <f>IF($N291="","",INDEX('Per Line'!$A$2:$A$3001,$N291))</f>
        <v/>
      </c>
      <c r="H291">
        <f>IF($N291="","",INDEX('Per Line'!$V$2:$V$3001,$N291))</f>
        <v/>
      </c>
      <c r="I291" s="5">
        <f>IF($N291="","",SUMIFS('Per Line'!$X$2:$X$3001,'Per Line'!$D$2:$D$3001,$C291))</f>
        <v/>
      </c>
      <c r="J291" s="5">
        <f>IF($N291="","",SUMIFS('Per Line'!$Y$2:$Y$3001,'Per Line'!$D$2:$D$3001,$C291))</f>
        <v/>
      </c>
      <c r="K291" s="5">
        <f>IF($N291="","",SUMIFS('Per Line'!$Z$2:$Z$3001,'Per Line'!$D$2:$D$3001,$C291))</f>
        <v/>
      </c>
      <c r="L291" s="5">
        <f>IF($N291="","",I291-J291)</f>
        <v/>
      </c>
      <c r="M291" s="5">
        <f>IF($N291="","",L291-K291)</f>
        <v/>
      </c>
      <c r="N291">
        <f>IF(ROWS($N$2:$N291)&lt;=MAX('Per Line'!$AG$2:$AG$3001),MATCH(ROWS($N$2:$N291),'Per Line'!$AG$2:$AG$3001,0),"")</f>
        <v/>
      </c>
      <c r="O291">
        <f>IF(B291="Above Claim Form",COUNTIF($B$2:B291,"Above Claim Form"),"")</f>
        <v/>
      </c>
      <c r="P291">
        <f>IF(B291="Below Claim Form",COUNTIF($B$2:B291,"Below Claim Form"),"")</f>
        <v/>
      </c>
    </row>
    <row r="292">
      <c r="B292">
        <f>IF($N292="","",IFERROR(INDEX(Settings!$C$27:$C$36,MATCH(E292,Settings!$B$27:$B$36,0)),"Unassigned"))</f>
        <v/>
      </c>
      <c r="C292">
        <f>IF($N292="","",INDEX('Per Line'!$D$2:$D$3001,$N292))</f>
        <v/>
      </c>
      <c r="D292">
        <f>IF($N292="","",INDEX('Per Line'!$C$2:$C$3001,$N292))</f>
        <v/>
      </c>
      <c r="E292">
        <f>IF($N292="","",INDEX('Per Line'!$A$2:$A$3001,$N292))</f>
        <v/>
      </c>
      <c r="H292">
        <f>IF($N292="","",INDEX('Per Line'!$V$2:$V$3001,$N292))</f>
        <v/>
      </c>
      <c r="I292" s="5">
        <f>IF($N292="","",SUMIFS('Per Line'!$X$2:$X$3001,'Per Line'!$D$2:$D$3001,$C292))</f>
        <v/>
      </c>
      <c r="J292" s="5">
        <f>IF($N292="","",SUMIFS('Per Line'!$Y$2:$Y$3001,'Per Line'!$D$2:$D$3001,$C292))</f>
        <v/>
      </c>
      <c r="K292" s="5">
        <f>IF($N292="","",SUMIFS('Per Line'!$Z$2:$Z$3001,'Per Line'!$D$2:$D$3001,$C292))</f>
        <v/>
      </c>
      <c r="L292" s="5">
        <f>IF($N292="","",I292-J292)</f>
        <v/>
      </c>
      <c r="M292" s="5">
        <f>IF($N292="","",L292-K292)</f>
        <v/>
      </c>
      <c r="N292">
        <f>IF(ROWS($N$2:$N292)&lt;=MAX('Per Line'!$AG$2:$AG$3001),MATCH(ROWS($N$2:$N292),'Per Line'!$AG$2:$AG$3001,0),"")</f>
        <v/>
      </c>
      <c r="O292">
        <f>IF(B292="Above Claim Form",COUNTIF($B$2:B292,"Above Claim Form"),"")</f>
        <v/>
      </c>
      <c r="P292">
        <f>IF(B292="Below Claim Form",COUNTIF($B$2:B292,"Below Claim Form"),"")</f>
        <v/>
      </c>
    </row>
    <row r="293">
      <c r="B293">
        <f>IF($N293="","",IFERROR(INDEX(Settings!$C$27:$C$36,MATCH(E293,Settings!$B$27:$B$36,0)),"Unassigned"))</f>
        <v/>
      </c>
      <c r="C293">
        <f>IF($N293="","",INDEX('Per Line'!$D$2:$D$3001,$N293))</f>
        <v/>
      </c>
      <c r="D293">
        <f>IF($N293="","",INDEX('Per Line'!$C$2:$C$3001,$N293))</f>
        <v/>
      </c>
      <c r="E293">
        <f>IF($N293="","",INDEX('Per Line'!$A$2:$A$3001,$N293))</f>
        <v/>
      </c>
      <c r="H293">
        <f>IF($N293="","",INDEX('Per Line'!$V$2:$V$3001,$N293))</f>
        <v/>
      </c>
      <c r="I293" s="5">
        <f>IF($N293="","",SUMIFS('Per Line'!$X$2:$X$3001,'Per Line'!$D$2:$D$3001,$C293))</f>
        <v/>
      </c>
      <c r="J293" s="5">
        <f>IF($N293="","",SUMIFS('Per Line'!$Y$2:$Y$3001,'Per Line'!$D$2:$D$3001,$C293))</f>
        <v/>
      </c>
      <c r="K293" s="5">
        <f>IF($N293="","",SUMIFS('Per Line'!$Z$2:$Z$3001,'Per Line'!$D$2:$D$3001,$C293))</f>
        <v/>
      </c>
      <c r="L293" s="5">
        <f>IF($N293="","",I293-J293)</f>
        <v/>
      </c>
      <c r="M293" s="5">
        <f>IF($N293="","",L293-K293)</f>
        <v/>
      </c>
      <c r="N293">
        <f>IF(ROWS($N$2:$N293)&lt;=MAX('Per Line'!$AG$2:$AG$3001),MATCH(ROWS($N$2:$N293),'Per Line'!$AG$2:$AG$3001,0),"")</f>
        <v/>
      </c>
      <c r="O293">
        <f>IF(B293="Above Claim Form",COUNTIF($B$2:B293,"Above Claim Form"),"")</f>
        <v/>
      </c>
      <c r="P293">
        <f>IF(B293="Below Claim Form",COUNTIF($B$2:B293,"Below Claim Form"),"")</f>
        <v/>
      </c>
    </row>
    <row r="294">
      <c r="B294">
        <f>IF($N294="","",IFERROR(INDEX(Settings!$C$27:$C$36,MATCH(E294,Settings!$B$27:$B$36,0)),"Unassigned"))</f>
        <v/>
      </c>
      <c r="C294">
        <f>IF($N294="","",INDEX('Per Line'!$D$2:$D$3001,$N294))</f>
        <v/>
      </c>
      <c r="D294">
        <f>IF($N294="","",INDEX('Per Line'!$C$2:$C$3001,$N294))</f>
        <v/>
      </c>
      <c r="E294">
        <f>IF($N294="","",INDEX('Per Line'!$A$2:$A$3001,$N294))</f>
        <v/>
      </c>
      <c r="H294">
        <f>IF($N294="","",INDEX('Per Line'!$V$2:$V$3001,$N294))</f>
        <v/>
      </c>
      <c r="I294" s="5">
        <f>IF($N294="","",SUMIFS('Per Line'!$X$2:$X$3001,'Per Line'!$D$2:$D$3001,$C294))</f>
        <v/>
      </c>
      <c r="J294" s="5">
        <f>IF($N294="","",SUMIFS('Per Line'!$Y$2:$Y$3001,'Per Line'!$D$2:$D$3001,$C294))</f>
        <v/>
      </c>
      <c r="K294" s="5">
        <f>IF($N294="","",SUMIFS('Per Line'!$Z$2:$Z$3001,'Per Line'!$D$2:$D$3001,$C294))</f>
        <v/>
      </c>
      <c r="L294" s="5">
        <f>IF($N294="","",I294-J294)</f>
        <v/>
      </c>
      <c r="M294" s="5">
        <f>IF($N294="","",L294-K294)</f>
        <v/>
      </c>
      <c r="N294">
        <f>IF(ROWS($N$2:$N294)&lt;=MAX('Per Line'!$AG$2:$AG$3001),MATCH(ROWS($N$2:$N294),'Per Line'!$AG$2:$AG$3001,0),"")</f>
        <v/>
      </c>
      <c r="O294">
        <f>IF(B294="Above Claim Form",COUNTIF($B$2:B294,"Above Claim Form"),"")</f>
        <v/>
      </c>
      <c r="P294">
        <f>IF(B294="Below Claim Form",COUNTIF($B$2:B294,"Below Claim Form"),"")</f>
        <v/>
      </c>
    </row>
    <row r="295">
      <c r="B295">
        <f>IF($N295="","",IFERROR(INDEX(Settings!$C$27:$C$36,MATCH(E295,Settings!$B$27:$B$36,0)),"Unassigned"))</f>
        <v/>
      </c>
      <c r="C295">
        <f>IF($N295="","",INDEX('Per Line'!$D$2:$D$3001,$N295))</f>
        <v/>
      </c>
      <c r="D295">
        <f>IF($N295="","",INDEX('Per Line'!$C$2:$C$3001,$N295))</f>
        <v/>
      </c>
      <c r="E295">
        <f>IF($N295="","",INDEX('Per Line'!$A$2:$A$3001,$N295))</f>
        <v/>
      </c>
      <c r="H295">
        <f>IF($N295="","",INDEX('Per Line'!$V$2:$V$3001,$N295))</f>
        <v/>
      </c>
      <c r="I295" s="5">
        <f>IF($N295="","",SUMIFS('Per Line'!$X$2:$X$3001,'Per Line'!$D$2:$D$3001,$C295))</f>
        <v/>
      </c>
      <c r="J295" s="5">
        <f>IF($N295="","",SUMIFS('Per Line'!$Y$2:$Y$3001,'Per Line'!$D$2:$D$3001,$C295))</f>
        <v/>
      </c>
      <c r="K295" s="5">
        <f>IF($N295="","",SUMIFS('Per Line'!$Z$2:$Z$3001,'Per Line'!$D$2:$D$3001,$C295))</f>
        <v/>
      </c>
      <c r="L295" s="5">
        <f>IF($N295="","",I295-J295)</f>
        <v/>
      </c>
      <c r="M295" s="5">
        <f>IF($N295="","",L295-K295)</f>
        <v/>
      </c>
      <c r="N295">
        <f>IF(ROWS($N$2:$N295)&lt;=MAX('Per Line'!$AG$2:$AG$3001),MATCH(ROWS($N$2:$N295),'Per Line'!$AG$2:$AG$3001,0),"")</f>
        <v/>
      </c>
      <c r="O295">
        <f>IF(B295="Above Claim Form",COUNTIF($B$2:B295,"Above Claim Form"),"")</f>
        <v/>
      </c>
      <c r="P295">
        <f>IF(B295="Below Claim Form",COUNTIF($B$2:B295,"Below Claim Form"),"")</f>
        <v/>
      </c>
    </row>
    <row r="296">
      <c r="B296">
        <f>IF($N296="","",IFERROR(INDEX(Settings!$C$27:$C$36,MATCH(E296,Settings!$B$27:$B$36,0)),"Unassigned"))</f>
        <v/>
      </c>
      <c r="C296">
        <f>IF($N296="","",INDEX('Per Line'!$D$2:$D$3001,$N296))</f>
        <v/>
      </c>
      <c r="D296">
        <f>IF($N296="","",INDEX('Per Line'!$C$2:$C$3001,$N296))</f>
        <v/>
      </c>
      <c r="E296">
        <f>IF($N296="","",INDEX('Per Line'!$A$2:$A$3001,$N296))</f>
        <v/>
      </c>
      <c r="H296">
        <f>IF($N296="","",INDEX('Per Line'!$V$2:$V$3001,$N296))</f>
        <v/>
      </c>
      <c r="I296" s="5">
        <f>IF($N296="","",SUMIFS('Per Line'!$X$2:$X$3001,'Per Line'!$D$2:$D$3001,$C296))</f>
        <v/>
      </c>
      <c r="J296" s="5">
        <f>IF($N296="","",SUMIFS('Per Line'!$Y$2:$Y$3001,'Per Line'!$D$2:$D$3001,$C296))</f>
        <v/>
      </c>
      <c r="K296" s="5">
        <f>IF($N296="","",SUMIFS('Per Line'!$Z$2:$Z$3001,'Per Line'!$D$2:$D$3001,$C296))</f>
        <v/>
      </c>
      <c r="L296" s="5">
        <f>IF($N296="","",I296-J296)</f>
        <v/>
      </c>
      <c r="M296" s="5">
        <f>IF($N296="","",L296-K296)</f>
        <v/>
      </c>
      <c r="N296">
        <f>IF(ROWS($N$2:$N296)&lt;=MAX('Per Line'!$AG$2:$AG$3001),MATCH(ROWS($N$2:$N296),'Per Line'!$AG$2:$AG$3001,0),"")</f>
        <v/>
      </c>
      <c r="O296">
        <f>IF(B296="Above Claim Form",COUNTIF($B$2:B296,"Above Claim Form"),"")</f>
        <v/>
      </c>
      <c r="P296">
        <f>IF(B296="Below Claim Form",COUNTIF($B$2:B296,"Below Claim Form"),"")</f>
        <v/>
      </c>
    </row>
    <row r="297">
      <c r="B297">
        <f>IF($N297="","",IFERROR(INDEX(Settings!$C$27:$C$36,MATCH(E297,Settings!$B$27:$B$36,0)),"Unassigned"))</f>
        <v/>
      </c>
      <c r="C297">
        <f>IF($N297="","",INDEX('Per Line'!$D$2:$D$3001,$N297))</f>
        <v/>
      </c>
      <c r="D297">
        <f>IF($N297="","",INDEX('Per Line'!$C$2:$C$3001,$N297))</f>
        <v/>
      </c>
      <c r="E297">
        <f>IF($N297="","",INDEX('Per Line'!$A$2:$A$3001,$N297))</f>
        <v/>
      </c>
      <c r="H297">
        <f>IF($N297="","",INDEX('Per Line'!$V$2:$V$3001,$N297))</f>
        <v/>
      </c>
      <c r="I297" s="5">
        <f>IF($N297="","",SUMIFS('Per Line'!$X$2:$X$3001,'Per Line'!$D$2:$D$3001,$C297))</f>
        <v/>
      </c>
      <c r="J297" s="5">
        <f>IF($N297="","",SUMIFS('Per Line'!$Y$2:$Y$3001,'Per Line'!$D$2:$D$3001,$C297))</f>
        <v/>
      </c>
      <c r="K297" s="5">
        <f>IF($N297="","",SUMIFS('Per Line'!$Z$2:$Z$3001,'Per Line'!$D$2:$D$3001,$C297))</f>
        <v/>
      </c>
      <c r="L297" s="5">
        <f>IF($N297="","",I297-J297)</f>
        <v/>
      </c>
      <c r="M297" s="5">
        <f>IF($N297="","",L297-K297)</f>
        <v/>
      </c>
      <c r="N297">
        <f>IF(ROWS($N$2:$N297)&lt;=MAX('Per Line'!$AG$2:$AG$3001),MATCH(ROWS($N$2:$N297),'Per Line'!$AG$2:$AG$3001,0),"")</f>
        <v/>
      </c>
      <c r="O297">
        <f>IF(B297="Above Claim Form",COUNTIF($B$2:B297,"Above Claim Form"),"")</f>
        <v/>
      </c>
      <c r="P297">
        <f>IF(B297="Below Claim Form",COUNTIF($B$2:B297,"Below Claim Form"),"")</f>
        <v/>
      </c>
    </row>
    <row r="298">
      <c r="B298">
        <f>IF($N298="","",IFERROR(INDEX(Settings!$C$27:$C$36,MATCH(E298,Settings!$B$27:$B$36,0)),"Unassigned"))</f>
        <v/>
      </c>
      <c r="C298">
        <f>IF($N298="","",INDEX('Per Line'!$D$2:$D$3001,$N298))</f>
        <v/>
      </c>
      <c r="D298">
        <f>IF($N298="","",INDEX('Per Line'!$C$2:$C$3001,$N298))</f>
        <v/>
      </c>
      <c r="E298">
        <f>IF($N298="","",INDEX('Per Line'!$A$2:$A$3001,$N298))</f>
        <v/>
      </c>
      <c r="H298">
        <f>IF($N298="","",INDEX('Per Line'!$V$2:$V$3001,$N298))</f>
        <v/>
      </c>
      <c r="I298" s="5">
        <f>IF($N298="","",SUMIFS('Per Line'!$X$2:$X$3001,'Per Line'!$D$2:$D$3001,$C298))</f>
        <v/>
      </c>
      <c r="J298" s="5">
        <f>IF($N298="","",SUMIFS('Per Line'!$Y$2:$Y$3001,'Per Line'!$D$2:$D$3001,$C298))</f>
        <v/>
      </c>
      <c r="K298" s="5">
        <f>IF($N298="","",SUMIFS('Per Line'!$Z$2:$Z$3001,'Per Line'!$D$2:$D$3001,$C298))</f>
        <v/>
      </c>
      <c r="L298" s="5">
        <f>IF($N298="","",I298-J298)</f>
        <v/>
      </c>
      <c r="M298" s="5">
        <f>IF($N298="","",L298-K298)</f>
        <v/>
      </c>
      <c r="N298">
        <f>IF(ROWS($N$2:$N298)&lt;=MAX('Per Line'!$AG$2:$AG$3001),MATCH(ROWS($N$2:$N298),'Per Line'!$AG$2:$AG$3001,0),"")</f>
        <v/>
      </c>
      <c r="O298">
        <f>IF(B298="Above Claim Form",COUNTIF($B$2:B298,"Above Claim Form"),"")</f>
        <v/>
      </c>
      <c r="P298">
        <f>IF(B298="Below Claim Form",COUNTIF($B$2:B298,"Below Claim Form"),"")</f>
        <v/>
      </c>
    </row>
    <row r="299">
      <c r="B299">
        <f>IF($N299="","",IFERROR(INDEX(Settings!$C$27:$C$36,MATCH(E299,Settings!$B$27:$B$36,0)),"Unassigned"))</f>
        <v/>
      </c>
      <c r="C299">
        <f>IF($N299="","",INDEX('Per Line'!$D$2:$D$3001,$N299))</f>
        <v/>
      </c>
      <c r="D299">
        <f>IF($N299="","",INDEX('Per Line'!$C$2:$C$3001,$N299))</f>
        <v/>
      </c>
      <c r="E299">
        <f>IF($N299="","",INDEX('Per Line'!$A$2:$A$3001,$N299))</f>
        <v/>
      </c>
      <c r="H299">
        <f>IF($N299="","",INDEX('Per Line'!$V$2:$V$3001,$N299))</f>
        <v/>
      </c>
      <c r="I299" s="5">
        <f>IF($N299="","",SUMIFS('Per Line'!$X$2:$X$3001,'Per Line'!$D$2:$D$3001,$C299))</f>
        <v/>
      </c>
      <c r="J299" s="5">
        <f>IF($N299="","",SUMIFS('Per Line'!$Y$2:$Y$3001,'Per Line'!$D$2:$D$3001,$C299))</f>
        <v/>
      </c>
      <c r="K299" s="5">
        <f>IF($N299="","",SUMIFS('Per Line'!$Z$2:$Z$3001,'Per Line'!$D$2:$D$3001,$C299))</f>
        <v/>
      </c>
      <c r="L299" s="5">
        <f>IF($N299="","",I299-J299)</f>
        <v/>
      </c>
      <c r="M299" s="5">
        <f>IF($N299="","",L299-K299)</f>
        <v/>
      </c>
      <c r="N299">
        <f>IF(ROWS($N$2:$N299)&lt;=MAX('Per Line'!$AG$2:$AG$3001),MATCH(ROWS($N$2:$N299),'Per Line'!$AG$2:$AG$3001,0),"")</f>
        <v/>
      </c>
      <c r="O299">
        <f>IF(B299="Above Claim Form",COUNTIF($B$2:B299,"Above Claim Form"),"")</f>
        <v/>
      </c>
      <c r="P299">
        <f>IF(B299="Below Claim Form",COUNTIF($B$2:B299,"Below Claim Form"),"")</f>
        <v/>
      </c>
    </row>
    <row r="300">
      <c r="B300">
        <f>IF($N300="","",IFERROR(INDEX(Settings!$C$27:$C$36,MATCH(E300,Settings!$B$27:$B$36,0)),"Unassigned"))</f>
        <v/>
      </c>
      <c r="C300">
        <f>IF($N300="","",INDEX('Per Line'!$D$2:$D$3001,$N300))</f>
        <v/>
      </c>
      <c r="D300">
        <f>IF($N300="","",INDEX('Per Line'!$C$2:$C$3001,$N300))</f>
        <v/>
      </c>
      <c r="E300">
        <f>IF($N300="","",INDEX('Per Line'!$A$2:$A$3001,$N300))</f>
        <v/>
      </c>
      <c r="H300">
        <f>IF($N300="","",INDEX('Per Line'!$V$2:$V$3001,$N300))</f>
        <v/>
      </c>
      <c r="I300" s="5">
        <f>IF($N300="","",SUMIFS('Per Line'!$X$2:$X$3001,'Per Line'!$D$2:$D$3001,$C300))</f>
        <v/>
      </c>
      <c r="J300" s="5">
        <f>IF($N300="","",SUMIFS('Per Line'!$Y$2:$Y$3001,'Per Line'!$D$2:$D$3001,$C300))</f>
        <v/>
      </c>
      <c r="K300" s="5">
        <f>IF($N300="","",SUMIFS('Per Line'!$Z$2:$Z$3001,'Per Line'!$D$2:$D$3001,$C300))</f>
        <v/>
      </c>
      <c r="L300" s="5">
        <f>IF($N300="","",I300-J300)</f>
        <v/>
      </c>
      <c r="M300" s="5">
        <f>IF($N300="","",L300-K300)</f>
        <v/>
      </c>
      <c r="N300">
        <f>IF(ROWS($N$2:$N300)&lt;=MAX('Per Line'!$AG$2:$AG$3001),MATCH(ROWS($N$2:$N300),'Per Line'!$AG$2:$AG$3001,0),"")</f>
        <v/>
      </c>
      <c r="O300">
        <f>IF(B300="Above Claim Form",COUNTIF($B$2:B300,"Above Claim Form"),"")</f>
        <v/>
      </c>
      <c r="P300">
        <f>IF(B300="Below Claim Form",COUNTIF($B$2:B300,"Below Claim Form"),"")</f>
        <v/>
      </c>
    </row>
    <row r="301">
      <c r="B301">
        <f>IF($N301="","",IFERROR(INDEX(Settings!$C$27:$C$36,MATCH(E301,Settings!$B$27:$B$36,0)),"Unassigned"))</f>
        <v/>
      </c>
      <c r="C301">
        <f>IF($N301="","",INDEX('Per Line'!$D$2:$D$3001,$N301))</f>
        <v/>
      </c>
      <c r="D301">
        <f>IF($N301="","",INDEX('Per Line'!$C$2:$C$3001,$N301))</f>
        <v/>
      </c>
      <c r="E301">
        <f>IF($N301="","",INDEX('Per Line'!$A$2:$A$3001,$N301))</f>
        <v/>
      </c>
      <c r="H301">
        <f>IF($N301="","",INDEX('Per Line'!$V$2:$V$3001,$N301))</f>
        <v/>
      </c>
      <c r="I301" s="5">
        <f>IF($N301="","",SUMIFS('Per Line'!$X$2:$X$3001,'Per Line'!$D$2:$D$3001,$C301))</f>
        <v/>
      </c>
      <c r="J301" s="5">
        <f>IF($N301="","",SUMIFS('Per Line'!$Y$2:$Y$3001,'Per Line'!$D$2:$D$3001,$C301))</f>
        <v/>
      </c>
      <c r="K301" s="5">
        <f>IF($N301="","",SUMIFS('Per Line'!$Z$2:$Z$3001,'Per Line'!$D$2:$D$3001,$C301))</f>
        <v/>
      </c>
      <c r="L301" s="5">
        <f>IF($N301="","",I301-J301)</f>
        <v/>
      </c>
      <c r="M301" s="5">
        <f>IF($N301="","",L301-K301)</f>
        <v/>
      </c>
      <c r="N301">
        <f>IF(ROWS($N$2:$N301)&lt;=MAX('Per Line'!$AG$2:$AG$3001),MATCH(ROWS($N$2:$N301),'Per Line'!$AG$2:$AG$3001,0),"")</f>
        <v/>
      </c>
      <c r="O301">
        <f>IF(B301="Above Claim Form",COUNTIF($B$2:B301,"Above Claim Form"),"")</f>
        <v/>
      </c>
      <c r="P301">
        <f>IF(B301="Below Claim Form",COUNTIF($B$2:B301,"Below Claim Form"),"")</f>
        <v/>
      </c>
    </row>
    <row r="302">
      <c r="B302">
        <f>IF($N302="","",IFERROR(INDEX(Settings!$C$27:$C$36,MATCH(E302,Settings!$B$27:$B$36,0)),"Unassigned"))</f>
        <v/>
      </c>
      <c r="C302">
        <f>IF($N302="","",INDEX('Per Line'!$D$2:$D$3001,$N302))</f>
        <v/>
      </c>
      <c r="D302">
        <f>IF($N302="","",INDEX('Per Line'!$C$2:$C$3001,$N302))</f>
        <v/>
      </c>
      <c r="E302">
        <f>IF($N302="","",INDEX('Per Line'!$A$2:$A$3001,$N302))</f>
        <v/>
      </c>
      <c r="H302">
        <f>IF($N302="","",INDEX('Per Line'!$V$2:$V$3001,$N302))</f>
        <v/>
      </c>
      <c r="I302" s="5">
        <f>IF($N302="","",SUMIFS('Per Line'!$X$2:$X$3001,'Per Line'!$D$2:$D$3001,$C302))</f>
        <v/>
      </c>
      <c r="J302" s="5">
        <f>IF($N302="","",SUMIFS('Per Line'!$Y$2:$Y$3001,'Per Line'!$D$2:$D$3001,$C302))</f>
        <v/>
      </c>
      <c r="K302" s="5">
        <f>IF($N302="","",SUMIFS('Per Line'!$Z$2:$Z$3001,'Per Line'!$D$2:$D$3001,$C302))</f>
        <v/>
      </c>
      <c r="L302" s="5">
        <f>IF($N302="","",I302-J302)</f>
        <v/>
      </c>
      <c r="M302" s="5">
        <f>IF($N302="","",L302-K302)</f>
        <v/>
      </c>
      <c r="N302">
        <f>IF(ROWS($N$2:$N302)&lt;=MAX('Per Line'!$AG$2:$AG$3001),MATCH(ROWS($N$2:$N302),'Per Line'!$AG$2:$AG$3001,0),"")</f>
        <v/>
      </c>
      <c r="O302">
        <f>IF(B302="Above Claim Form",COUNTIF($B$2:B302,"Above Claim Form"),"")</f>
        <v/>
      </c>
      <c r="P302">
        <f>IF(B302="Below Claim Form",COUNTIF($B$2:B302,"Below Claim Form"),"")</f>
        <v/>
      </c>
    </row>
    <row r="303">
      <c r="B303">
        <f>IF($N303="","",IFERROR(INDEX(Settings!$C$27:$C$36,MATCH(E303,Settings!$B$27:$B$36,0)),"Unassigned"))</f>
        <v/>
      </c>
      <c r="C303">
        <f>IF($N303="","",INDEX('Per Line'!$D$2:$D$3001,$N303))</f>
        <v/>
      </c>
      <c r="D303">
        <f>IF($N303="","",INDEX('Per Line'!$C$2:$C$3001,$N303))</f>
        <v/>
      </c>
      <c r="E303">
        <f>IF($N303="","",INDEX('Per Line'!$A$2:$A$3001,$N303))</f>
        <v/>
      </c>
      <c r="H303">
        <f>IF($N303="","",INDEX('Per Line'!$V$2:$V$3001,$N303))</f>
        <v/>
      </c>
      <c r="I303" s="5">
        <f>IF($N303="","",SUMIFS('Per Line'!$X$2:$X$3001,'Per Line'!$D$2:$D$3001,$C303))</f>
        <v/>
      </c>
      <c r="J303" s="5">
        <f>IF($N303="","",SUMIFS('Per Line'!$Y$2:$Y$3001,'Per Line'!$D$2:$D$3001,$C303))</f>
        <v/>
      </c>
      <c r="K303" s="5">
        <f>IF($N303="","",SUMIFS('Per Line'!$Z$2:$Z$3001,'Per Line'!$D$2:$D$3001,$C303))</f>
        <v/>
      </c>
      <c r="L303" s="5">
        <f>IF($N303="","",I303-J303)</f>
        <v/>
      </c>
      <c r="M303" s="5">
        <f>IF($N303="","",L303-K303)</f>
        <v/>
      </c>
      <c r="N303">
        <f>IF(ROWS($N$2:$N303)&lt;=MAX('Per Line'!$AG$2:$AG$3001),MATCH(ROWS($N$2:$N303),'Per Line'!$AG$2:$AG$3001,0),"")</f>
        <v/>
      </c>
      <c r="O303">
        <f>IF(B303="Above Claim Form",COUNTIF($B$2:B303,"Above Claim Form"),"")</f>
        <v/>
      </c>
      <c r="P303">
        <f>IF(B303="Below Claim Form",COUNTIF($B$2:B303,"Below Claim Form"),"")</f>
        <v/>
      </c>
    </row>
    <row r="304">
      <c r="B304">
        <f>IF($N304="","",IFERROR(INDEX(Settings!$C$27:$C$36,MATCH(E304,Settings!$B$27:$B$36,0)),"Unassigned"))</f>
        <v/>
      </c>
      <c r="C304">
        <f>IF($N304="","",INDEX('Per Line'!$D$2:$D$3001,$N304))</f>
        <v/>
      </c>
      <c r="D304">
        <f>IF($N304="","",INDEX('Per Line'!$C$2:$C$3001,$N304))</f>
        <v/>
      </c>
      <c r="E304">
        <f>IF($N304="","",INDEX('Per Line'!$A$2:$A$3001,$N304))</f>
        <v/>
      </c>
      <c r="H304">
        <f>IF($N304="","",INDEX('Per Line'!$V$2:$V$3001,$N304))</f>
        <v/>
      </c>
      <c r="I304" s="5">
        <f>IF($N304="","",SUMIFS('Per Line'!$X$2:$X$3001,'Per Line'!$D$2:$D$3001,$C304))</f>
        <v/>
      </c>
      <c r="J304" s="5">
        <f>IF($N304="","",SUMIFS('Per Line'!$Y$2:$Y$3001,'Per Line'!$D$2:$D$3001,$C304))</f>
        <v/>
      </c>
      <c r="K304" s="5">
        <f>IF($N304="","",SUMIFS('Per Line'!$Z$2:$Z$3001,'Per Line'!$D$2:$D$3001,$C304))</f>
        <v/>
      </c>
      <c r="L304" s="5">
        <f>IF($N304="","",I304-J304)</f>
        <v/>
      </c>
      <c r="M304" s="5">
        <f>IF($N304="","",L304-K304)</f>
        <v/>
      </c>
      <c r="N304">
        <f>IF(ROWS($N$2:$N304)&lt;=MAX('Per Line'!$AG$2:$AG$3001),MATCH(ROWS($N$2:$N304),'Per Line'!$AG$2:$AG$3001,0),"")</f>
        <v/>
      </c>
      <c r="O304">
        <f>IF(B304="Above Claim Form",COUNTIF($B$2:B304,"Above Claim Form"),"")</f>
        <v/>
      </c>
      <c r="P304">
        <f>IF(B304="Below Claim Form",COUNTIF($B$2:B304,"Below Claim Form"),"")</f>
        <v/>
      </c>
    </row>
    <row r="305">
      <c r="B305">
        <f>IF($N305="","",IFERROR(INDEX(Settings!$C$27:$C$36,MATCH(E305,Settings!$B$27:$B$36,0)),"Unassigned"))</f>
        <v/>
      </c>
      <c r="C305">
        <f>IF($N305="","",INDEX('Per Line'!$D$2:$D$3001,$N305))</f>
        <v/>
      </c>
      <c r="D305">
        <f>IF($N305="","",INDEX('Per Line'!$C$2:$C$3001,$N305))</f>
        <v/>
      </c>
      <c r="E305">
        <f>IF($N305="","",INDEX('Per Line'!$A$2:$A$3001,$N305))</f>
        <v/>
      </c>
      <c r="H305">
        <f>IF($N305="","",INDEX('Per Line'!$V$2:$V$3001,$N305))</f>
        <v/>
      </c>
      <c r="I305" s="5">
        <f>IF($N305="","",SUMIFS('Per Line'!$X$2:$X$3001,'Per Line'!$D$2:$D$3001,$C305))</f>
        <v/>
      </c>
      <c r="J305" s="5">
        <f>IF($N305="","",SUMIFS('Per Line'!$Y$2:$Y$3001,'Per Line'!$D$2:$D$3001,$C305))</f>
        <v/>
      </c>
      <c r="K305" s="5">
        <f>IF($N305="","",SUMIFS('Per Line'!$Z$2:$Z$3001,'Per Line'!$D$2:$D$3001,$C305))</f>
        <v/>
      </c>
      <c r="L305" s="5">
        <f>IF($N305="","",I305-J305)</f>
        <v/>
      </c>
      <c r="M305" s="5">
        <f>IF($N305="","",L305-K305)</f>
        <v/>
      </c>
      <c r="N305">
        <f>IF(ROWS($N$2:$N305)&lt;=MAX('Per Line'!$AG$2:$AG$3001),MATCH(ROWS($N$2:$N305),'Per Line'!$AG$2:$AG$3001,0),"")</f>
        <v/>
      </c>
      <c r="O305">
        <f>IF(B305="Above Claim Form",COUNTIF($B$2:B305,"Above Claim Form"),"")</f>
        <v/>
      </c>
      <c r="P305">
        <f>IF(B305="Below Claim Form",COUNTIF($B$2:B305,"Below Claim Form"),"")</f>
        <v/>
      </c>
    </row>
    <row r="306">
      <c r="B306">
        <f>IF($N306="","",IFERROR(INDEX(Settings!$C$27:$C$36,MATCH(E306,Settings!$B$27:$B$36,0)),"Unassigned"))</f>
        <v/>
      </c>
      <c r="C306">
        <f>IF($N306="","",INDEX('Per Line'!$D$2:$D$3001,$N306))</f>
        <v/>
      </c>
      <c r="D306">
        <f>IF($N306="","",INDEX('Per Line'!$C$2:$C$3001,$N306))</f>
        <v/>
      </c>
      <c r="E306">
        <f>IF($N306="","",INDEX('Per Line'!$A$2:$A$3001,$N306))</f>
        <v/>
      </c>
      <c r="H306">
        <f>IF($N306="","",INDEX('Per Line'!$V$2:$V$3001,$N306))</f>
        <v/>
      </c>
      <c r="I306" s="5">
        <f>IF($N306="","",SUMIFS('Per Line'!$X$2:$X$3001,'Per Line'!$D$2:$D$3001,$C306))</f>
        <v/>
      </c>
      <c r="J306" s="5">
        <f>IF($N306="","",SUMIFS('Per Line'!$Y$2:$Y$3001,'Per Line'!$D$2:$D$3001,$C306))</f>
        <v/>
      </c>
      <c r="K306" s="5">
        <f>IF($N306="","",SUMIFS('Per Line'!$Z$2:$Z$3001,'Per Line'!$D$2:$D$3001,$C306))</f>
        <v/>
      </c>
      <c r="L306" s="5">
        <f>IF($N306="","",I306-J306)</f>
        <v/>
      </c>
      <c r="M306" s="5">
        <f>IF($N306="","",L306-K306)</f>
        <v/>
      </c>
      <c r="N306">
        <f>IF(ROWS($N$2:$N306)&lt;=MAX('Per Line'!$AG$2:$AG$3001),MATCH(ROWS($N$2:$N306),'Per Line'!$AG$2:$AG$3001,0),"")</f>
        <v/>
      </c>
      <c r="O306">
        <f>IF(B306="Above Claim Form",COUNTIF($B$2:B306,"Above Claim Form"),"")</f>
        <v/>
      </c>
      <c r="P306">
        <f>IF(B306="Below Claim Form",COUNTIF($B$2:B306,"Below Claim Form"),"")</f>
        <v/>
      </c>
    </row>
    <row r="307">
      <c r="B307">
        <f>IF($N307="","",IFERROR(INDEX(Settings!$C$27:$C$36,MATCH(E307,Settings!$B$27:$B$36,0)),"Unassigned"))</f>
        <v/>
      </c>
      <c r="C307">
        <f>IF($N307="","",INDEX('Per Line'!$D$2:$D$3001,$N307))</f>
        <v/>
      </c>
      <c r="D307">
        <f>IF($N307="","",INDEX('Per Line'!$C$2:$C$3001,$N307))</f>
        <v/>
      </c>
      <c r="E307">
        <f>IF($N307="","",INDEX('Per Line'!$A$2:$A$3001,$N307))</f>
        <v/>
      </c>
      <c r="H307">
        <f>IF($N307="","",INDEX('Per Line'!$V$2:$V$3001,$N307))</f>
        <v/>
      </c>
      <c r="I307" s="5">
        <f>IF($N307="","",SUMIFS('Per Line'!$X$2:$X$3001,'Per Line'!$D$2:$D$3001,$C307))</f>
        <v/>
      </c>
      <c r="J307" s="5">
        <f>IF($N307="","",SUMIFS('Per Line'!$Y$2:$Y$3001,'Per Line'!$D$2:$D$3001,$C307))</f>
        <v/>
      </c>
      <c r="K307" s="5">
        <f>IF($N307="","",SUMIFS('Per Line'!$Z$2:$Z$3001,'Per Line'!$D$2:$D$3001,$C307))</f>
        <v/>
      </c>
      <c r="L307" s="5">
        <f>IF($N307="","",I307-J307)</f>
        <v/>
      </c>
      <c r="M307" s="5">
        <f>IF($N307="","",L307-K307)</f>
        <v/>
      </c>
      <c r="N307">
        <f>IF(ROWS($N$2:$N307)&lt;=MAX('Per Line'!$AG$2:$AG$3001),MATCH(ROWS($N$2:$N307),'Per Line'!$AG$2:$AG$3001,0),"")</f>
        <v/>
      </c>
      <c r="O307">
        <f>IF(B307="Above Claim Form",COUNTIF($B$2:B307,"Above Claim Form"),"")</f>
        <v/>
      </c>
      <c r="P307">
        <f>IF(B307="Below Claim Form",COUNTIF($B$2:B307,"Below Claim Form"),"")</f>
        <v/>
      </c>
    </row>
    <row r="308">
      <c r="B308">
        <f>IF($N308="","",IFERROR(INDEX(Settings!$C$27:$C$36,MATCH(E308,Settings!$B$27:$B$36,0)),"Unassigned"))</f>
        <v/>
      </c>
      <c r="C308">
        <f>IF($N308="","",INDEX('Per Line'!$D$2:$D$3001,$N308))</f>
        <v/>
      </c>
      <c r="D308">
        <f>IF($N308="","",INDEX('Per Line'!$C$2:$C$3001,$N308))</f>
        <v/>
      </c>
      <c r="E308">
        <f>IF($N308="","",INDEX('Per Line'!$A$2:$A$3001,$N308))</f>
        <v/>
      </c>
      <c r="H308">
        <f>IF($N308="","",INDEX('Per Line'!$V$2:$V$3001,$N308))</f>
        <v/>
      </c>
      <c r="I308" s="5">
        <f>IF($N308="","",SUMIFS('Per Line'!$X$2:$X$3001,'Per Line'!$D$2:$D$3001,$C308))</f>
        <v/>
      </c>
      <c r="J308" s="5">
        <f>IF($N308="","",SUMIFS('Per Line'!$Y$2:$Y$3001,'Per Line'!$D$2:$D$3001,$C308))</f>
        <v/>
      </c>
      <c r="K308" s="5">
        <f>IF($N308="","",SUMIFS('Per Line'!$Z$2:$Z$3001,'Per Line'!$D$2:$D$3001,$C308))</f>
        <v/>
      </c>
      <c r="L308" s="5">
        <f>IF($N308="","",I308-J308)</f>
        <v/>
      </c>
      <c r="M308" s="5">
        <f>IF($N308="","",L308-K308)</f>
        <v/>
      </c>
      <c r="N308">
        <f>IF(ROWS($N$2:$N308)&lt;=MAX('Per Line'!$AG$2:$AG$3001),MATCH(ROWS($N$2:$N308),'Per Line'!$AG$2:$AG$3001,0),"")</f>
        <v/>
      </c>
      <c r="O308">
        <f>IF(B308="Above Claim Form",COUNTIF($B$2:B308,"Above Claim Form"),"")</f>
        <v/>
      </c>
      <c r="P308">
        <f>IF(B308="Below Claim Form",COUNTIF($B$2:B308,"Below Claim Form"),"")</f>
        <v/>
      </c>
    </row>
    <row r="309">
      <c r="B309">
        <f>IF($N309="","",IFERROR(INDEX(Settings!$C$27:$C$36,MATCH(E309,Settings!$B$27:$B$36,0)),"Unassigned"))</f>
        <v/>
      </c>
      <c r="C309">
        <f>IF($N309="","",INDEX('Per Line'!$D$2:$D$3001,$N309))</f>
        <v/>
      </c>
      <c r="D309">
        <f>IF($N309="","",INDEX('Per Line'!$C$2:$C$3001,$N309))</f>
        <v/>
      </c>
      <c r="E309">
        <f>IF($N309="","",INDEX('Per Line'!$A$2:$A$3001,$N309))</f>
        <v/>
      </c>
      <c r="H309">
        <f>IF($N309="","",INDEX('Per Line'!$V$2:$V$3001,$N309))</f>
        <v/>
      </c>
      <c r="I309" s="5">
        <f>IF($N309="","",SUMIFS('Per Line'!$X$2:$X$3001,'Per Line'!$D$2:$D$3001,$C309))</f>
        <v/>
      </c>
      <c r="J309" s="5">
        <f>IF($N309="","",SUMIFS('Per Line'!$Y$2:$Y$3001,'Per Line'!$D$2:$D$3001,$C309))</f>
        <v/>
      </c>
      <c r="K309" s="5">
        <f>IF($N309="","",SUMIFS('Per Line'!$Z$2:$Z$3001,'Per Line'!$D$2:$D$3001,$C309))</f>
        <v/>
      </c>
      <c r="L309" s="5">
        <f>IF($N309="","",I309-J309)</f>
        <v/>
      </c>
      <c r="M309" s="5">
        <f>IF($N309="","",L309-K309)</f>
        <v/>
      </c>
      <c r="N309">
        <f>IF(ROWS($N$2:$N309)&lt;=MAX('Per Line'!$AG$2:$AG$3001),MATCH(ROWS($N$2:$N309),'Per Line'!$AG$2:$AG$3001,0),"")</f>
        <v/>
      </c>
      <c r="O309">
        <f>IF(B309="Above Claim Form",COUNTIF($B$2:B309,"Above Claim Form"),"")</f>
        <v/>
      </c>
      <c r="P309">
        <f>IF(B309="Below Claim Form",COUNTIF($B$2:B309,"Below Claim Form"),"")</f>
        <v/>
      </c>
    </row>
    <row r="310">
      <c r="B310">
        <f>IF($N310="","",IFERROR(INDEX(Settings!$C$27:$C$36,MATCH(E310,Settings!$B$27:$B$36,0)),"Unassigned"))</f>
        <v/>
      </c>
      <c r="C310">
        <f>IF($N310="","",INDEX('Per Line'!$D$2:$D$3001,$N310))</f>
        <v/>
      </c>
      <c r="D310">
        <f>IF($N310="","",INDEX('Per Line'!$C$2:$C$3001,$N310))</f>
        <v/>
      </c>
      <c r="E310">
        <f>IF($N310="","",INDEX('Per Line'!$A$2:$A$3001,$N310))</f>
        <v/>
      </c>
      <c r="H310">
        <f>IF($N310="","",INDEX('Per Line'!$V$2:$V$3001,$N310))</f>
        <v/>
      </c>
      <c r="I310" s="5">
        <f>IF($N310="","",SUMIFS('Per Line'!$X$2:$X$3001,'Per Line'!$D$2:$D$3001,$C310))</f>
        <v/>
      </c>
      <c r="J310" s="5">
        <f>IF($N310="","",SUMIFS('Per Line'!$Y$2:$Y$3001,'Per Line'!$D$2:$D$3001,$C310))</f>
        <v/>
      </c>
      <c r="K310" s="5">
        <f>IF($N310="","",SUMIFS('Per Line'!$Z$2:$Z$3001,'Per Line'!$D$2:$D$3001,$C310))</f>
        <v/>
      </c>
      <c r="L310" s="5">
        <f>IF($N310="","",I310-J310)</f>
        <v/>
      </c>
      <c r="M310" s="5">
        <f>IF($N310="","",L310-K310)</f>
        <v/>
      </c>
      <c r="N310">
        <f>IF(ROWS($N$2:$N310)&lt;=MAX('Per Line'!$AG$2:$AG$3001),MATCH(ROWS($N$2:$N310),'Per Line'!$AG$2:$AG$3001,0),"")</f>
        <v/>
      </c>
      <c r="O310">
        <f>IF(B310="Above Claim Form",COUNTIF($B$2:B310,"Above Claim Form"),"")</f>
        <v/>
      </c>
      <c r="P310">
        <f>IF(B310="Below Claim Form",COUNTIF($B$2:B310,"Below Claim Form"),"")</f>
        <v/>
      </c>
    </row>
    <row r="311">
      <c r="B311">
        <f>IF($N311="","",IFERROR(INDEX(Settings!$C$27:$C$36,MATCH(E311,Settings!$B$27:$B$36,0)),"Unassigned"))</f>
        <v/>
      </c>
      <c r="C311">
        <f>IF($N311="","",INDEX('Per Line'!$D$2:$D$3001,$N311))</f>
        <v/>
      </c>
      <c r="D311">
        <f>IF($N311="","",INDEX('Per Line'!$C$2:$C$3001,$N311))</f>
        <v/>
      </c>
      <c r="E311">
        <f>IF($N311="","",INDEX('Per Line'!$A$2:$A$3001,$N311))</f>
        <v/>
      </c>
      <c r="H311">
        <f>IF($N311="","",INDEX('Per Line'!$V$2:$V$3001,$N311))</f>
        <v/>
      </c>
      <c r="I311" s="5">
        <f>IF($N311="","",SUMIFS('Per Line'!$X$2:$X$3001,'Per Line'!$D$2:$D$3001,$C311))</f>
        <v/>
      </c>
      <c r="J311" s="5">
        <f>IF($N311="","",SUMIFS('Per Line'!$Y$2:$Y$3001,'Per Line'!$D$2:$D$3001,$C311))</f>
        <v/>
      </c>
      <c r="K311" s="5">
        <f>IF($N311="","",SUMIFS('Per Line'!$Z$2:$Z$3001,'Per Line'!$D$2:$D$3001,$C311))</f>
        <v/>
      </c>
      <c r="L311" s="5">
        <f>IF($N311="","",I311-J311)</f>
        <v/>
      </c>
      <c r="M311" s="5">
        <f>IF($N311="","",L311-K311)</f>
        <v/>
      </c>
      <c r="N311">
        <f>IF(ROWS($N$2:$N311)&lt;=MAX('Per Line'!$AG$2:$AG$3001),MATCH(ROWS($N$2:$N311),'Per Line'!$AG$2:$AG$3001,0),"")</f>
        <v/>
      </c>
      <c r="O311">
        <f>IF(B311="Above Claim Form",COUNTIF($B$2:B311,"Above Claim Form"),"")</f>
        <v/>
      </c>
      <c r="P311">
        <f>IF(B311="Below Claim Form",COUNTIF($B$2:B311,"Below Claim Form"),"")</f>
        <v/>
      </c>
    </row>
    <row r="312">
      <c r="B312">
        <f>IF($N312="","",IFERROR(INDEX(Settings!$C$27:$C$36,MATCH(E312,Settings!$B$27:$B$36,0)),"Unassigned"))</f>
        <v/>
      </c>
      <c r="C312">
        <f>IF($N312="","",INDEX('Per Line'!$D$2:$D$3001,$N312))</f>
        <v/>
      </c>
      <c r="D312">
        <f>IF($N312="","",INDEX('Per Line'!$C$2:$C$3001,$N312))</f>
        <v/>
      </c>
      <c r="E312">
        <f>IF($N312="","",INDEX('Per Line'!$A$2:$A$3001,$N312))</f>
        <v/>
      </c>
      <c r="H312">
        <f>IF($N312="","",INDEX('Per Line'!$V$2:$V$3001,$N312))</f>
        <v/>
      </c>
      <c r="I312" s="5">
        <f>IF($N312="","",SUMIFS('Per Line'!$X$2:$X$3001,'Per Line'!$D$2:$D$3001,$C312))</f>
        <v/>
      </c>
      <c r="J312" s="5">
        <f>IF($N312="","",SUMIFS('Per Line'!$Y$2:$Y$3001,'Per Line'!$D$2:$D$3001,$C312))</f>
        <v/>
      </c>
      <c r="K312" s="5">
        <f>IF($N312="","",SUMIFS('Per Line'!$Z$2:$Z$3001,'Per Line'!$D$2:$D$3001,$C312))</f>
        <v/>
      </c>
      <c r="L312" s="5">
        <f>IF($N312="","",I312-J312)</f>
        <v/>
      </c>
      <c r="M312" s="5">
        <f>IF($N312="","",L312-K312)</f>
        <v/>
      </c>
      <c r="N312">
        <f>IF(ROWS($N$2:$N312)&lt;=MAX('Per Line'!$AG$2:$AG$3001),MATCH(ROWS($N$2:$N312),'Per Line'!$AG$2:$AG$3001,0),"")</f>
        <v/>
      </c>
      <c r="O312">
        <f>IF(B312="Above Claim Form",COUNTIF($B$2:B312,"Above Claim Form"),"")</f>
        <v/>
      </c>
      <c r="P312">
        <f>IF(B312="Below Claim Form",COUNTIF($B$2:B312,"Below Claim Form"),"")</f>
        <v/>
      </c>
    </row>
    <row r="313">
      <c r="B313">
        <f>IF($N313="","",IFERROR(INDEX(Settings!$C$27:$C$36,MATCH(E313,Settings!$B$27:$B$36,0)),"Unassigned"))</f>
        <v/>
      </c>
      <c r="C313">
        <f>IF($N313="","",INDEX('Per Line'!$D$2:$D$3001,$N313))</f>
        <v/>
      </c>
      <c r="D313">
        <f>IF($N313="","",INDEX('Per Line'!$C$2:$C$3001,$N313))</f>
        <v/>
      </c>
      <c r="E313">
        <f>IF($N313="","",INDEX('Per Line'!$A$2:$A$3001,$N313))</f>
        <v/>
      </c>
      <c r="H313">
        <f>IF($N313="","",INDEX('Per Line'!$V$2:$V$3001,$N313))</f>
        <v/>
      </c>
      <c r="I313" s="5">
        <f>IF($N313="","",SUMIFS('Per Line'!$X$2:$X$3001,'Per Line'!$D$2:$D$3001,$C313))</f>
        <v/>
      </c>
      <c r="J313" s="5">
        <f>IF($N313="","",SUMIFS('Per Line'!$Y$2:$Y$3001,'Per Line'!$D$2:$D$3001,$C313))</f>
        <v/>
      </c>
      <c r="K313" s="5">
        <f>IF($N313="","",SUMIFS('Per Line'!$Z$2:$Z$3001,'Per Line'!$D$2:$D$3001,$C313))</f>
        <v/>
      </c>
      <c r="L313" s="5">
        <f>IF($N313="","",I313-J313)</f>
        <v/>
      </c>
      <c r="M313" s="5">
        <f>IF($N313="","",L313-K313)</f>
        <v/>
      </c>
      <c r="N313">
        <f>IF(ROWS($N$2:$N313)&lt;=MAX('Per Line'!$AG$2:$AG$3001),MATCH(ROWS($N$2:$N313),'Per Line'!$AG$2:$AG$3001,0),"")</f>
        <v/>
      </c>
      <c r="O313">
        <f>IF(B313="Above Claim Form",COUNTIF($B$2:B313,"Above Claim Form"),"")</f>
        <v/>
      </c>
      <c r="P313">
        <f>IF(B313="Below Claim Form",COUNTIF($B$2:B313,"Below Claim Form"),"")</f>
        <v/>
      </c>
    </row>
    <row r="314">
      <c r="B314">
        <f>IF($N314="","",IFERROR(INDEX(Settings!$C$27:$C$36,MATCH(E314,Settings!$B$27:$B$36,0)),"Unassigned"))</f>
        <v/>
      </c>
      <c r="C314">
        <f>IF($N314="","",INDEX('Per Line'!$D$2:$D$3001,$N314))</f>
        <v/>
      </c>
      <c r="D314">
        <f>IF($N314="","",INDEX('Per Line'!$C$2:$C$3001,$N314))</f>
        <v/>
      </c>
      <c r="E314">
        <f>IF($N314="","",INDEX('Per Line'!$A$2:$A$3001,$N314))</f>
        <v/>
      </c>
      <c r="H314">
        <f>IF($N314="","",INDEX('Per Line'!$V$2:$V$3001,$N314))</f>
        <v/>
      </c>
      <c r="I314" s="5">
        <f>IF($N314="","",SUMIFS('Per Line'!$X$2:$X$3001,'Per Line'!$D$2:$D$3001,$C314))</f>
        <v/>
      </c>
      <c r="J314" s="5">
        <f>IF($N314="","",SUMIFS('Per Line'!$Y$2:$Y$3001,'Per Line'!$D$2:$D$3001,$C314))</f>
        <v/>
      </c>
      <c r="K314" s="5">
        <f>IF($N314="","",SUMIFS('Per Line'!$Z$2:$Z$3001,'Per Line'!$D$2:$D$3001,$C314))</f>
        <v/>
      </c>
      <c r="L314" s="5">
        <f>IF($N314="","",I314-J314)</f>
        <v/>
      </c>
      <c r="M314" s="5">
        <f>IF($N314="","",L314-K314)</f>
        <v/>
      </c>
      <c r="N314">
        <f>IF(ROWS($N$2:$N314)&lt;=MAX('Per Line'!$AG$2:$AG$3001),MATCH(ROWS($N$2:$N314),'Per Line'!$AG$2:$AG$3001,0),"")</f>
        <v/>
      </c>
      <c r="O314">
        <f>IF(B314="Above Claim Form",COUNTIF($B$2:B314,"Above Claim Form"),"")</f>
        <v/>
      </c>
      <c r="P314">
        <f>IF(B314="Below Claim Form",COUNTIF($B$2:B314,"Below Claim Form"),"")</f>
        <v/>
      </c>
    </row>
    <row r="315">
      <c r="B315">
        <f>IF($N315="","",IFERROR(INDEX(Settings!$C$27:$C$36,MATCH(E315,Settings!$B$27:$B$36,0)),"Unassigned"))</f>
        <v/>
      </c>
      <c r="C315">
        <f>IF($N315="","",INDEX('Per Line'!$D$2:$D$3001,$N315))</f>
        <v/>
      </c>
      <c r="D315">
        <f>IF($N315="","",INDEX('Per Line'!$C$2:$C$3001,$N315))</f>
        <v/>
      </c>
      <c r="E315">
        <f>IF($N315="","",INDEX('Per Line'!$A$2:$A$3001,$N315))</f>
        <v/>
      </c>
      <c r="H315">
        <f>IF($N315="","",INDEX('Per Line'!$V$2:$V$3001,$N315))</f>
        <v/>
      </c>
      <c r="I315" s="5">
        <f>IF($N315="","",SUMIFS('Per Line'!$X$2:$X$3001,'Per Line'!$D$2:$D$3001,$C315))</f>
        <v/>
      </c>
      <c r="J315" s="5">
        <f>IF($N315="","",SUMIFS('Per Line'!$Y$2:$Y$3001,'Per Line'!$D$2:$D$3001,$C315))</f>
        <v/>
      </c>
      <c r="K315" s="5">
        <f>IF($N315="","",SUMIFS('Per Line'!$Z$2:$Z$3001,'Per Line'!$D$2:$D$3001,$C315))</f>
        <v/>
      </c>
      <c r="L315" s="5">
        <f>IF($N315="","",I315-J315)</f>
        <v/>
      </c>
      <c r="M315" s="5">
        <f>IF($N315="","",L315-K315)</f>
        <v/>
      </c>
      <c r="N315">
        <f>IF(ROWS($N$2:$N315)&lt;=MAX('Per Line'!$AG$2:$AG$3001),MATCH(ROWS($N$2:$N315),'Per Line'!$AG$2:$AG$3001,0),"")</f>
        <v/>
      </c>
      <c r="O315">
        <f>IF(B315="Above Claim Form",COUNTIF($B$2:B315,"Above Claim Form"),"")</f>
        <v/>
      </c>
      <c r="P315">
        <f>IF(B315="Below Claim Form",COUNTIF($B$2:B315,"Below Claim Form"),"")</f>
        <v/>
      </c>
    </row>
    <row r="316">
      <c r="B316">
        <f>IF($N316="","",IFERROR(INDEX(Settings!$C$27:$C$36,MATCH(E316,Settings!$B$27:$B$36,0)),"Unassigned"))</f>
        <v/>
      </c>
      <c r="C316">
        <f>IF($N316="","",INDEX('Per Line'!$D$2:$D$3001,$N316))</f>
        <v/>
      </c>
      <c r="D316">
        <f>IF($N316="","",INDEX('Per Line'!$C$2:$C$3001,$N316))</f>
        <v/>
      </c>
      <c r="E316">
        <f>IF($N316="","",INDEX('Per Line'!$A$2:$A$3001,$N316))</f>
        <v/>
      </c>
      <c r="H316">
        <f>IF($N316="","",INDEX('Per Line'!$V$2:$V$3001,$N316))</f>
        <v/>
      </c>
      <c r="I316" s="5">
        <f>IF($N316="","",SUMIFS('Per Line'!$X$2:$X$3001,'Per Line'!$D$2:$D$3001,$C316))</f>
        <v/>
      </c>
      <c r="J316" s="5">
        <f>IF($N316="","",SUMIFS('Per Line'!$Y$2:$Y$3001,'Per Line'!$D$2:$D$3001,$C316))</f>
        <v/>
      </c>
      <c r="K316" s="5">
        <f>IF($N316="","",SUMIFS('Per Line'!$Z$2:$Z$3001,'Per Line'!$D$2:$D$3001,$C316))</f>
        <v/>
      </c>
      <c r="L316" s="5">
        <f>IF($N316="","",I316-J316)</f>
        <v/>
      </c>
      <c r="M316" s="5">
        <f>IF($N316="","",L316-K316)</f>
        <v/>
      </c>
      <c r="N316">
        <f>IF(ROWS($N$2:$N316)&lt;=MAX('Per Line'!$AG$2:$AG$3001),MATCH(ROWS($N$2:$N316),'Per Line'!$AG$2:$AG$3001,0),"")</f>
        <v/>
      </c>
      <c r="O316">
        <f>IF(B316="Above Claim Form",COUNTIF($B$2:B316,"Above Claim Form"),"")</f>
        <v/>
      </c>
      <c r="P316">
        <f>IF(B316="Below Claim Form",COUNTIF($B$2:B316,"Below Claim Form"),"")</f>
        <v/>
      </c>
    </row>
    <row r="317">
      <c r="B317">
        <f>IF($N317="","",IFERROR(INDEX(Settings!$C$27:$C$36,MATCH(E317,Settings!$B$27:$B$36,0)),"Unassigned"))</f>
        <v/>
      </c>
      <c r="C317">
        <f>IF($N317="","",INDEX('Per Line'!$D$2:$D$3001,$N317))</f>
        <v/>
      </c>
      <c r="D317">
        <f>IF($N317="","",INDEX('Per Line'!$C$2:$C$3001,$N317))</f>
        <v/>
      </c>
      <c r="E317">
        <f>IF($N317="","",INDEX('Per Line'!$A$2:$A$3001,$N317))</f>
        <v/>
      </c>
      <c r="H317">
        <f>IF($N317="","",INDEX('Per Line'!$V$2:$V$3001,$N317))</f>
        <v/>
      </c>
      <c r="I317" s="5">
        <f>IF($N317="","",SUMIFS('Per Line'!$X$2:$X$3001,'Per Line'!$D$2:$D$3001,$C317))</f>
        <v/>
      </c>
      <c r="J317" s="5">
        <f>IF($N317="","",SUMIFS('Per Line'!$Y$2:$Y$3001,'Per Line'!$D$2:$D$3001,$C317))</f>
        <v/>
      </c>
      <c r="K317" s="5">
        <f>IF($N317="","",SUMIFS('Per Line'!$Z$2:$Z$3001,'Per Line'!$D$2:$D$3001,$C317))</f>
        <v/>
      </c>
      <c r="L317" s="5">
        <f>IF($N317="","",I317-J317)</f>
        <v/>
      </c>
      <c r="M317" s="5">
        <f>IF($N317="","",L317-K317)</f>
        <v/>
      </c>
      <c r="N317">
        <f>IF(ROWS($N$2:$N317)&lt;=MAX('Per Line'!$AG$2:$AG$3001),MATCH(ROWS($N$2:$N317),'Per Line'!$AG$2:$AG$3001,0),"")</f>
        <v/>
      </c>
      <c r="O317">
        <f>IF(B317="Above Claim Form",COUNTIF($B$2:B317,"Above Claim Form"),"")</f>
        <v/>
      </c>
      <c r="P317">
        <f>IF(B317="Below Claim Form",COUNTIF($B$2:B317,"Below Claim Form"),"")</f>
        <v/>
      </c>
    </row>
    <row r="318">
      <c r="B318">
        <f>IF($N318="","",IFERROR(INDEX(Settings!$C$27:$C$36,MATCH(E318,Settings!$B$27:$B$36,0)),"Unassigned"))</f>
        <v/>
      </c>
      <c r="C318">
        <f>IF($N318="","",INDEX('Per Line'!$D$2:$D$3001,$N318))</f>
        <v/>
      </c>
      <c r="D318">
        <f>IF($N318="","",INDEX('Per Line'!$C$2:$C$3001,$N318))</f>
        <v/>
      </c>
      <c r="E318">
        <f>IF($N318="","",INDEX('Per Line'!$A$2:$A$3001,$N318))</f>
        <v/>
      </c>
      <c r="H318">
        <f>IF($N318="","",INDEX('Per Line'!$V$2:$V$3001,$N318))</f>
        <v/>
      </c>
      <c r="I318" s="5">
        <f>IF($N318="","",SUMIFS('Per Line'!$X$2:$X$3001,'Per Line'!$D$2:$D$3001,$C318))</f>
        <v/>
      </c>
      <c r="J318" s="5">
        <f>IF($N318="","",SUMIFS('Per Line'!$Y$2:$Y$3001,'Per Line'!$D$2:$D$3001,$C318))</f>
        <v/>
      </c>
      <c r="K318" s="5">
        <f>IF($N318="","",SUMIFS('Per Line'!$Z$2:$Z$3001,'Per Line'!$D$2:$D$3001,$C318))</f>
        <v/>
      </c>
      <c r="L318" s="5">
        <f>IF($N318="","",I318-J318)</f>
        <v/>
      </c>
      <c r="M318" s="5">
        <f>IF($N318="","",L318-K318)</f>
        <v/>
      </c>
      <c r="N318">
        <f>IF(ROWS($N$2:$N318)&lt;=MAX('Per Line'!$AG$2:$AG$3001),MATCH(ROWS($N$2:$N318),'Per Line'!$AG$2:$AG$3001,0),"")</f>
        <v/>
      </c>
      <c r="O318">
        <f>IF(B318="Above Claim Form",COUNTIF($B$2:B318,"Above Claim Form"),"")</f>
        <v/>
      </c>
      <c r="P318">
        <f>IF(B318="Below Claim Form",COUNTIF($B$2:B318,"Below Claim Form"),"")</f>
        <v/>
      </c>
    </row>
    <row r="319">
      <c r="B319">
        <f>IF($N319="","",IFERROR(INDEX(Settings!$C$27:$C$36,MATCH(E319,Settings!$B$27:$B$36,0)),"Unassigned"))</f>
        <v/>
      </c>
      <c r="C319">
        <f>IF($N319="","",INDEX('Per Line'!$D$2:$D$3001,$N319))</f>
        <v/>
      </c>
      <c r="D319">
        <f>IF($N319="","",INDEX('Per Line'!$C$2:$C$3001,$N319))</f>
        <v/>
      </c>
      <c r="E319">
        <f>IF($N319="","",INDEX('Per Line'!$A$2:$A$3001,$N319))</f>
        <v/>
      </c>
      <c r="H319">
        <f>IF($N319="","",INDEX('Per Line'!$V$2:$V$3001,$N319))</f>
        <v/>
      </c>
      <c r="I319" s="5">
        <f>IF($N319="","",SUMIFS('Per Line'!$X$2:$X$3001,'Per Line'!$D$2:$D$3001,$C319))</f>
        <v/>
      </c>
      <c r="J319" s="5">
        <f>IF($N319="","",SUMIFS('Per Line'!$Y$2:$Y$3001,'Per Line'!$D$2:$D$3001,$C319))</f>
        <v/>
      </c>
      <c r="K319" s="5">
        <f>IF($N319="","",SUMIFS('Per Line'!$Z$2:$Z$3001,'Per Line'!$D$2:$D$3001,$C319))</f>
        <v/>
      </c>
      <c r="L319" s="5">
        <f>IF($N319="","",I319-J319)</f>
        <v/>
      </c>
      <c r="M319" s="5">
        <f>IF($N319="","",L319-K319)</f>
        <v/>
      </c>
      <c r="N319">
        <f>IF(ROWS($N$2:$N319)&lt;=MAX('Per Line'!$AG$2:$AG$3001),MATCH(ROWS($N$2:$N319),'Per Line'!$AG$2:$AG$3001,0),"")</f>
        <v/>
      </c>
      <c r="O319">
        <f>IF(B319="Above Claim Form",COUNTIF($B$2:B319,"Above Claim Form"),"")</f>
        <v/>
      </c>
      <c r="P319">
        <f>IF(B319="Below Claim Form",COUNTIF($B$2:B319,"Below Claim Form"),"")</f>
        <v/>
      </c>
    </row>
    <row r="320">
      <c r="B320">
        <f>IF($N320="","",IFERROR(INDEX(Settings!$C$27:$C$36,MATCH(E320,Settings!$B$27:$B$36,0)),"Unassigned"))</f>
        <v/>
      </c>
      <c r="C320">
        <f>IF($N320="","",INDEX('Per Line'!$D$2:$D$3001,$N320))</f>
        <v/>
      </c>
      <c r="D320">
        <f>IF($N320="","",INDEX('Per Line'!$C$2:$C$3001,$N320))</f>
        <v/>
      </c>
      <c r="E320">
        <f>IF($N320="","",INDEX('Per Line'!$A$2:$A$3001,$N320))</f>
        <v/>
      </c>
      <c r="H320">
        <f>IF($N320="","",INDEX('Per Line'!$V$2:$V$3001,$N320))</f>
        <v/>
      </c>
      <c r="I320" s="5">
        <f>IF($N320="","",SUMIFS('Per Line'!$X$2:$X$3001,'Per Line'!$D$2:$D$3001,$C320))</f>
        <v/>
      </c>
      <c r="J320" s="5">
        <f>IF($N320="","",SUMIFS('Per Line'!$Y$2:$Y$3001,'Per Line'!$D$2:$D$3001,$C320))</f>
        <v/>
      </c>
      <c r="K320" s="5">
        <f>IF($N320="","",SUMIFS('Per Line'!$Z$2:$Z$3001,'Per Line'!$D$2:$D$3001,$C320))</f>
        <v/>
      </c>
      <c r="L320" s="5">
        <f>IF($N320="","",I320-J320)</f>
        <v/>
      </c>
      <c r="M320" s="5">
        <f>IF($N320="","",L320-K320)</f>
        <v/>
      </c>
      <c r="N320">
        <f>IF(ROWS($N$2:$N320)&lt;=MAX('Per Line'!$AG$2:$AG$3001),MATCH(ROWS($N$2:$N320),'Per Line'!$AG$2:$AG$3001,0),"")</f>
        <v/>
      </c>
      <c r="O320">
        <f>IF(B320="Above Claim Form",COUNTIF($B$2:B320,"Above Claim Form"),"")</f>
        <v/>
      </c>
      <c r="P320">
        <f>IF(B320="Below Claim Form",COUNTIF($B$2:B320,"Below Claim Form"),"")</f>
        <v/>
      </c>
    </row>
    <row r="321">
      <c r="B321">
        <f>IF($N321="","",IFERROR(INDEX(Settings!$C$27:$C$36,MATCH(E321,Settings!$B$27:$B$36,0)),"Unassigned"))</f>
        <v/>
      </c>
      <c r="C321">
        <f>IF($N321="","",INDEX('Per Line'!$D$2:$D$3001,$N321))</f>
        <v/>
      </c>
      <c r="D321">
        <f>IF($N321="","",INDEX('Per Line'!$C$2:$C$3001,$N321))</f>
        <v/>
      </c>
      <c r="E321">
        <f>IF($N321="","",INDEX('Per Line'!$A$2:$A$3001,$N321))</f>
        <v/>
      </c>
      <c r="H321">
        <f>IF($N321="","",INDEX('Per Line'!$V$2:$V$3001,$N321))</f>
        <v/>
      </c>
      <c r="I321" s="5">
        <f>IF($N321="","",SUMIFS('Per Line'!$X$2:$X$3001,'Per Line'!$D$2:$D$3001,$C321))</f>
        <v/>
      </c>
      <c r="J321" s="5">
        <f>IF($N321="","",SUMIFS('Per Line'!$Y$2:$Y$3001,'Per Line'!$D$2:$D$3001,$C321))</f>
        <v/>
      </c>
      <c r="K321" s="5">
        <f>IF($N321="","",SUMIFS('Per Line'!$Z$2:$Z$3001,'Per Line'!$D$2:$D$3001,$C321))</f>
        <v/>
      </c>
      <c r="L321" s="5">
        <f>IF($N321="","",I321-J321)</f>
        <v/>
      </c>
      <c r="M321" s="5">
        <f>IF($N321="","",L321-K321)</f>
        <v/>
      </c>
      <c r="N321">
        <f>IF(ROWS($N$2:$N321)&lt;=MAX('Per Line'!$AG$2:$AG$3001),MATCH(ROWS($N$2:$N321),'Per Line'!$AG$2:$AG$3001,0),"")</f>
        <v/>
      </c>
      <c r="O321">
        <f>IF(B321="Above Claim Form",COUNTIF($B$2:B321,"Above Claim Form"),"")</f>
        <v/>
      </c>
      <c r="P321">
        <f>IF(B321="Below Claim Form",COUNTIF($B$2:B321,"Below Claim Form"),"")</f>
        <v/>
      </c>
    </row>
    <row r="322">
      <c r="B322">
        <f>IF($N322="","",IFERROR(INDEX(Settings!$C$27:$C$36,MATCH(E322,Settings!$B$27:$B$36,0)),"Unassigned"))</f>
        <v/>
      </c>
      <c r="C322">
        <f>IF($N322="","",INDEX('Per Line'!$D$2:$D$3001,$N322))</f>
        <v/>
      </c>
      <c r="D322">
        <f>IF($N322="","",INDEX('Per Line'!$C$2:$C$3001,$N322))</f>
        <v/>
      </c>
      <c r="E322">
        <f>IF($N322="","",INDEX('Per Line'!$A$2:$A$3001,$N322))</f>
        <v/>
      </c>
      <c r="H322">
        <f>IF($N322="","",INDEX('Per Line'!$V$2:$V$3001,$N322))</f>
        <v/>
      </c>
      <c r="I322" s="5">
        <f>IF($N322="","",SUMIFS('Per Line'!$X$2:$X$3001,'Per Line'!$D$2:$D$3001,$C322))</f>
        <v/>
      </c>
      <c r="J322" s="5">
        <f>IF($N322="","",SUMIFS('Per Line'!$Y$2:$Y$3001,'Per Line'!$D$2:$D$3001,$C322))</f>
        <v/>
      </c>
      <c r="K322" s="5">
        <f>IF($N322="","",SUMIFS('Per Line'!$Z$2:$Z$3001,'Per Line'!$D$2:$D$3001,$C322))</f>
        <v/>
      </c>
      <c r="L322" s="5">
        <f>IF($N322="","",I322-J322)</f>
        <v/>
      </c>
      <c r="M322" s="5">
        <f>IF($N322="","",L322-K322)</f>
        <v/>
      </c>
      <c r="N322">
        <f>IF(ROWS($N$2:$N322)&lt;=MAX('Per Line'!$AG$2:$AG$3001),MATCH(ROWS($N$2:$N322),'Per Line'!$AG$2:$AG$3001,0),"")</f>
        <v/>
      </c>
      <c r="O322">
        <f>IF(B322="Above Claim Form",COUNTIF($B$2:B322,"Above Claim Form"),"")</f>
        <v/>
      </c>
      <c r="P322">
        <f>IF(B322="Below Claim Form",COUNTIF($B$2:B322,"Below Claim Form"),"")</f>
        <v/>
      </c>
    </row>
    <row r="323">
      <c r="B323">
        <f>IF($N323="","",IFERROR(INDEX(Settings!$C$27:$C$36,MATCH(E323,Settings!$B$27:$B$36,0)),"Unassigned"))</f>
        <v/>
      </c>
      <c r="C323">
        <f>IF($N323="","",INDEX('Per Line'!$D$2:$D$3001,$N323))</f>
        <v/>
      </c>
      <c r="D323">
        <f>IF($N323="","",INDEX('Per Line'!$C$2:$C$3001,$N323))</f>
        <v/>
      </c>
      <c r="E323">
        <f>IF($N323="","",INDEX('Per Line'!$A$2:$A$3001,$N323))</f>
        <v/>
      </c>
      <c r="H323">
        <f>IF($N323="","",INDEX('Per Line'!$V$2:$V$3001,$N323))</f>
        <v/>
      </c>
      <c r="I323" s="5">
        <f>IF($N323="","",SUMIFS('Per Line'!$X$2:$X$3001,'Per Line'!$D$2:$D$3001,$C323))</f>
        <v/>
      </c>
      <c r="J323" s="5">
        <f>IF($N323="","",SUMIFS('Per Line'!$Y$2:$Y$3001,'Per Line'!$D$2:$D$3001,$C323))</f>
        <v/>
      </c>
      <c r="K323" s="5">
        <f>IF($N323="","",SUMIFS('Per Line'!$Z$2:$Z$3001,'Per Line'!$D$2:$D$3001,$C323))</f>
        <v/>
      </c>
      <c r="L323" s="5">
        <f>IF($N323="","",I323-J323)</f>
        <v/>
      </c>
      <c r="M323" s="5">
        <f>IF($N323="","",L323-K323)</f>
        <v/>
      </c>
      <c r="N323">
        <f>IF(ROWS($N$2:$N323)&lt;=MAX('Per Line'!$AG$2:$AG$3001),MATCH(ROWS($N$2:$N323),'Per Line'!$AG$2:$AG$3001,0),"")</f>
        <v/>
      </c>
      <c r="O323">
        <f>IF(B323="Above Claim Form",COUNTIF($B$2:B323,"Above Claim Form"),"")</f>
        <v/>
      </c>
      <c r="P323">
        <f>IF(B323="Below Claim Form",COUNTIF($B$2:B323,"Below Claim Form"),"")</f>
        <v/>
      </c>
    </row>
    <row r="324">
      <c r="B324">
        <f>IF($N324="","",IFERROR(INDEX(Settings!$C$27:$C$36,MATCH(E324,Settings!$B$27:$B$36,0)),"Unassigned"))</f>
        <v/>
      </c>
      <c r="C324">
        <f>IF($N324="","",INDEX('Per Line'!$D$2:$D$3001,$N324))</f>
        <v/>
      </c>
      <c r="D324">
        <f>IF($N324="","",INDEX('Per Line'!$C$2:$C$3001,$N324))</f>
        <v/>
      </c>
      <c r="E324">
        <f>IF($N324="","",INDEX('Per Line'!$A$2:$A$3001,$N324))</f>
        <v/>
      </c>
      <c r="H324">
        <f>IF($N324="","",INDEX('Per Line'!$V$2:$V$3001,$N324))</f>
        <v/>
      </c>
      <c r="I324" s="5">
        <f>IF($N324="","",SUMIFS('Per Line'!$X$2:$X$3001,'Per Line'!$D$2:$D$3001,$C324))</f>
        <v/>
      </c>
      <c r="J324" s="5">
        <f>IF($N324="","",SUMIFS('Per Line'!$Y$2:$Y$3001,'Per Line'!$D$2:$D$3001,$C324))</f>
        <v/>
      </c>
      <c r="K324" s="5">
        <f>IF($N324="","",SUMIFS('Per Line'!$Z$2:$Z$3001,'Per Line'!$D$2:$D$3001,$C324))</f>
        <v/>
      </c>
      <c r="L324" s="5">
        <f>IF($N324="","",I324-J324)</f>
        <v/>
      </c>
      <c r="M324" s="5">
        <f>IF($N324="","",L324-K324)</f>
        <v/>
      </c>
      <c r="N324">
        <f>IF(ROWS($N$2:$N324)&lt;=MAX('Per Line'!$AG$2:$AG$3001),MATCH(ROWS($N$2:$N324),'Per Line'!$AG$2:$AG$3001,0),"")</f>
        <v/>
      </c>
      <c r="O324">
        <f>IF(B324="Above Claim Form",COUNTIF($B$2:B324,"Above Claim Form"),"")</f>
        <v/>
      </c>
      <c r="P324">
        <f>IF(B324="Below Claim Form",COUNTIF($B$2:B324,"Below Claim Form"),"")</f>
        <v/>
      </c>
    </row>
    <row r="325">
      <c r="B325">
        <f>IF($N325="","",IFERROR(INDEX(Settings!$C$27:$C$36,MATCH(E325,Settings!$B$27:$B$36,0)),"Unassigned"))</f>
        <v/>
      </c>
      <c r="C325">
        <f>IF($N325="","",INDEX('Per Line'!$D$2:$D$3001,$N325))</f>
        <v/>
      </c>
      <c r="D325">
        <f>IF($N325="","",INDEX('Per Line'!$C$2:$C$3001,$N325))</f>
        <v/>
      </c>
      <c r="E325">
        <f>IF($N325="","",INDEX('Per Line'!$A$2:$A$3001,$N325))</f>
        <v/>
      </c>
      <c r="H325">
        <f>IF($N325="","",INDEX('Per Line'!$V$2:$V$3001,$N325))</f>
        <v/>
      </c>
      <c r="I325" s="5">
        <f>IF($N325="","",SUMIFS('Per Line'!$X$2:$X$3001,'Per Line'!$D$2:$D$3001,$C325))</f>
        <v/>
      </c>
      <c r="J325" s="5">
        <f>IF($N325="","",SUMIFS('Per Line'!$Y$2:$Y$3001,'Per Line'!$D$2:$D$3001,$C325))</f>
        <v/>
      </c>
      <c r="K325" s="5">
        <f>IF($N325="","",SUMIFS('Per Line'!$Z$2:$Z$3001,'Per Line'!$D$2:$D$3001,$C325))</f>
        <v/>
      </c>
      <c r="L325" s="5">
        <f>IF($N325="","",I325-J325)</f>
        <v/>
      </c>
      <c r="M325" s="5">
        <f>IF($N325="","",L325-K325)</f>
        <v/>
      </c>
      <c r="N325">
        <f>IF(ROWS($N$2:$N325)&lt;=MAX('Per Line'!$AG$2:$AG$3001),MATCH(ROWS($N$2:$N325),'Per Line'!$AG$2:$AG$3001,0),"")</f>
        <v/>
      </c>
      <c r="O325">
        <f>IF(B325="Above Claim Form",COUNTIF($B$2:B325,"Above Claim Form"),"")</f>
        <v/>
      </c>
      <c r="P325">
        <f>IF(B325="Below Claim Form",COUNTIF($B$2:B325,"Below Claim Form"),"")</f>
        <v/>
      </c>
    </row>
    <row r="326">
      <c r="B326">
        <f>IF($N326="","",IFERROR(INDEX(Settings!$C$27:$C$36,MATCH(E326,Settings!$B$27:$B$36,0)),"Unassigned"))</f>
        <v/>
      </c>
      <c r="C326">
        <f>IF($N326="","",INDEX('Per Line'!$D$2:$D$3001,$N326))</f>
        <v/>
      </c>
      <c r="D326">
        <f>IF($N326="","",INDEX('Per Line'!$C$2:$C$3001,$N326))</f>
        <v/>
      </c>
      <c r="E326">
        <f>IF($N326="","",INDEX('Per Line'!$A$2:$A$3001,$N326))</f>
        <v/>
      </c>
      <c r="H326">
        <f>IF($N326="","",INDEX('Per Line'!$V$2:$V$3001,$N326))</f>
        <v/>
      </c>
      <c r="I326" s="5">
        <f>IF($N326="","",SUMIFS('Per Line'!$X$2:$X$3001,'Per Line'!$D$2:$D$3001,$C326))</f>
        <v/>
      </c>
      <c r="J326" s="5">
        <f>IF($N326="","",SUMIFS('Per Line'!$Y$2:$Y$3001,'Per Line'!$D$2:$D$3001,$C326))</f>
        <v/>
      </c>
      <c r="K326" s="5">
        <f>IF($N326="","",SUMIFS('Per Line'!$Z$2:$Z$3001,'Per Line'!$D$2:$D$3001,$C326))</f>
        <v/>
      </c>
      <c r="L326" s="5">
        <f>IF($N326="","",I326-J326)</f>
        <v/>
      </c>
      <c r="M326" s="5">
        <f>IF($N326="","",L326-K326)</f>
        <v/>
      </c>
      <c r="N326">
        <f>IF(ROWS($N$2:$N326)&lt;=MAX('Per Line'!$AG$2:$AG$3001),MATCH(ROWS($N$2:$N326),'Per Line'!$AG$2:$AG$3001,0),"")</f>
        <v/>
      </c>
      <c r="O326">
        <f>IF(B326="Above Claim Form",COUNTIF($B$2:B326,"Above Claim Form"),"")</f>
        <v/>
      </c>
      <c r="P326">
        <f>IF(B326="Below Claim Form",COUNTIF($B$2:B326,"Below Claim Form"),"")</f>
        <v/>
      </c>
    </row>
    <row r="327">
      <c r="B327">
        <f>IF($N327="","",IFERROR(INDEX(Settings!$C$27:$C$36,MATCH(E327,Settings!$B$27:$B$36,0)),"Unassigned"))</f>
        <v/>
      </c>
      <c r="C327">
        <f>IF($N327="","",INDEX('Per Line'!$D$2:$D$3001,$N327))</f>
        <v/>
      </c>
      <c r="D327">
        <f>IF($N327="","",INDEX('Per Line'!$C$2:$C$3001,$N327))</f>
        <v/>
      </c>
      <c r="E327">
        <f>IF($N327="","",INDEX('Per Line'!$A$2:$A$3001,$N327))</f>
        <v/>
      </c>
      <c r="H327">
        <f>IF($N327="","",INDEX('Per Line'!$V$2:$V$3001,$N327))</f>
        <v/>
      </c>
      <c r="I327" s="5">
        <f>IF($N327="","",SUMIFS('Per Line'!$X$2:$X$3001,'Per Line'!$D$2:$D$3001,$C327))</f>
        <v/>
      </c>
      <c r="J327" s="5">
        <f>IF($N327="","",SUMIFS('Per Line'!$Y$2:$Y$3001,'Per Line'!$D$2:$D$3001,$C327))</f>
        <v/>
      </c>
      <c r="K327" s="5">
        <f>IF($N327="","",SUMIFS('Per Line'!$Z$2:$Z$3001,'Per Line'!$D$2:$D$3001,$C327))</f>
        <v/>
      </c>
      <c r="L327" s="5">
        <f>IF($N327="","",I327-J327)</f>
        <v/>
      </c>
      <c r="M327" s="5">
        <f>IF($N327="","",L327-K327)</f>
        <v/>
      </c>
      <c r="N327">
        <f>IF(ROWS($N$2:$N327)&lt;=MAX('Per Line'!$AG$2:$AG$3001),MATCH(ROWS($N$2:$N327),'Per Line'!$AG$2:$AG$3001,0),"")</f>
        <v/>
      </c>
      <c r="O327">
        <f>IF(B327="Above Claim Form",COUNTIF($B$2:B327,"Above Claim Form"),"")</f>
        <v/>
      </c>
      <c r="P327">
        <f>IF(B327="Below Claim Form",COUNTIF($B$2:B327,"Below Claim Form"),"")</f>
        <v/>
      </c>
    </row>
    <row r="328">
      <c r="B328">
        <f>IF($N328="","",IFERROR(INDEX(Settings!$C$27:$C$36,MATCH(E328,Settings!$B$27:$B$36,0)),"Unassigned"))</f>
        <v/>
      </c>
      <c r="C328">
        <f>IF($N328="","",INDEX('Per Line'!$D$2:$D$3001,$N328))</f>
        <v/>
      </c>
      <c r="D328">
        <f>IF($N328="","",INDEX('Per Line'!$C$2:$C$3001,$N328))</f>
        <v/>
      </c>
      <c r="E328">
        <f>IF($N328="","",INDEX('Per Line'!$A$2:$A$3001,$N328))</f>
        <v/>
      </c>
      <c r="H328">
        <f>IF($N328="","",INDEX('Per Line'!$V$2:$V$3001,$N328))</f>
        <v/>
      </c>
      <c r="I328" s="5">
        <f>IF($N328="","",SUMIFS('Per Line'!$X$2:$X$3001,'Per Line'!$D$2:$D$3001,$C328))</f>
        <v/>
      </c>
      <c r="J328" s="5">
        <f>IF($N328="","",SUMIFS('Per Line'!$Y$2:$Y$3001,'Per Line'!$D$2:$D$3001,$C328))</f>
        <v/>
      </c>
      <c r="K328" s="5">
        <f>IF($N328="","",SUMIFS('Per Line'!$Z$2:$Z$3001,'Per Line'!$D$2:$D$3001,$C328))</f>
        <v/>
      </c>
      <c r="L328" s="5">
        <f>IF($N328="","",I328-J328)</f>
        <v/>
      </c>
      <c r="M328" s="5">
        <f>IF($N328="","",L328-K328)</f>
        <v/>
      </c>
      <c r="N328">
        <f>IF(ROWS($N$2:$N328)&lt;=MAX('Per Line'!$AG$2:$AG$3001),MATCH(ROWS($N$2:$N328),'Per Line'!$AG$2:$AG$3001,0),"")</f>
        <v/>
      </c>
      <c r="O328">
        <f>IF(B328="Above Claim Form",COUNTIF($B$2:B328,"Above Claim Form"),"")</f>
        <v/>
      </c>
      <c r="P328">
        <f>IF(B328="Below Claim Form",COUNTIF($B$2:B328,"Below Claim Form"),"")</f>
        <v/>
      </c>
    </row>
    <row r="329">
      <c r="B329">
        <f>IF($N329="","",IFERROR(INDEX(Settings!$C$27:$C$36,MATCH(E329,Settings!$B$27:$B$36,0)),"Unassigned"))</f>
        <v/>
      </c>
      <c r="C329">
        <f>IF($N329="","",INDEX('Per Line'!$D$2:$D$3001,$N329))</f>
        <v/>
      </c>
      <c r="D329">
        <f>IF($N329="","",INDEX('Per Line'!$C$2:$C$3001,$N329))</f>
        <v/>
      </c>
      <c r="E329">
        <f>IF($N329="","",INDEX('Per Line'!$A$2:$A$3001,$N329))</f>
        <v/>
      </c>
      <c r="H329">
        <f>IF($N329="","",INDEX('Per Line'!$V$2:$V$3001,$N329))</f>
        <v/>
      </c>
      <c r="I329" s="5">
        <f>IF($N329="","",SUMIFS('Per Line'!$X$2:$X$3001,'Per Line'!$D$2:$D$3001,$C329))</f>
        <v/>
      </c>
      <c r="J329" s="5">
        <f>IF($N329="","",SUMIFS('Per Line'!$Y$2:$Y$3001,'Per Line'!$D$2:$D$3001,$C329))</f>
        <v/>
      </c>
      <c r="K329" s="5">
        <f>IF($N329="","",SUMIFS('Per Line'!$Z$2:$Z$3001,'Per Line'!$D$2:$D$3001,$C329))</f>
        <v/>
      </c>
      <c r="L329" s="5">
        <f>IF($N329="","",I329-J329)</f>
        <v/>
      </c>
      <c r="M329" s="5">
        <f>IF($N329="","",L329-K329)</f>
        <v/>
      </c>
      <c r="N329">
        <f>IF(ROWS($N$2:$N329)&lt;=MAX('Per Line'!$AG$2:$AG$3001),MATCH(ROWS($N$2:$N329),'Per Line'!$AG$2:$AG$3001,0),"")</f>
        <v/>
      </c>
      <c r="O329">
        <f>IF(B329="Above Claim Form",COUNTIF($B$2:B329,"Above Claim Form"),"")</f>
        <v/>
      </c>
      <c r="P329">
        <f>IF(B329="Below Claim Form",COUNTIF($B$2:B329,"Below Claim Form"),"")</f>
        <v/>
      </c>
    </row>
    <row r="330">
      <c r="B330">
        <f>IF($N330="","",IFERROR(INDEX(Settings!$C$27:$C$36,MATCH(E330,Settings!$B$27:$B$36,0)),"Unassigned"))</f>
        <v/>
      </c>
      <c r="C330">
        <f>IF($N330="","",INDEX('Per Line'!$D$2:$D$3001,$N330))</f>
        <v/>
      </c>
      <c r="D330">
        <f>IF($N330="","",INDEX('Per Line'!$C$2:$C$3001,$N330))</f>
        <v/>
      </c>
      <c r="E330">
        <f>IF($N330="","",INDEX('Per Line'!$A$2:$A$3001,$N330))</f>
        <v/>
      </c>
      <c r="H330">
        <f>IF($N330="","",INDEX('Per Line'!$V$2:$V$3001,$N330))</f>
        <v/>
      </c>
      <c r="I330" s="5">
        <f>IF($N330="","",SUMIFS('Per Line'!$X$2:$X$3001,'Per Line'!$D$2:$D$3001,$C330))</f>
        <v/>
      </c>
      <c r="J330" s="5">
        <f>IF($N330="","",SUMIFS('Per Line'!$Y$2:$Y$3001,'Per Line'!$D$2:$D$3001,$C330))</f>
        <v/>
      </c>
      <c r="K330" s="5">
        <f>IF($N330="","",SUMIFS('Per Line'!$Z$2:$Z$3001,'Per Line'!$D$2:$D$3001,$C330))</f>
        <v/>
      </c>
      <c r="L330" s="5">
        <f>IF($N330="","",I330-J330)</f>
        <v/>
      </c>
      <c r="M330" s="5">
        <f>IF($N330="","",L330-K330)</f>
        <v/>
      </c>
      <c r="N330">
        <f>IF(ROWS($N$2:$N330)&lt;=MAX('Per Line'!$AG$2:$AG$3001),MATCH(ROWS($N$2:$N330),'Per Line'!$AG$2:$AG$3001,0),"")</f>
        <v/>
      </c>
      <c r="O330">
        <f>IF(B330="Above Claim Form",COUNTIF($B$2:B330,"Above Claim Form"),"")</f>
        <v/>
      </c>
      <c r="P330">
        <f>IF(B330="Below Claim Form",COUNTIF($B$2:B330,"Below Claim Form"),"")</f>
        <v/>
      </c>
    </row>
    <row r="331">
      <c r="B331">
        <f>IF($N331="","",IFERROR(INDEX(Settings!$C$27:$C$36,MATCH(E331,Settings!$B$27:$B$36,0)),"Unassigned"))</f>
        <v/>
      </c>
      <c r="C331">
        <f>IF($N331="","",INDEX('Per Line'!$D$2:$D$3001,$N331))</f>
        <v/>
      </c>
      <c r="D331">
        <f>IF($N331="","",INDEX('Per Line'!$C$2:$C$3001,$N331))</f>
        <v/>
      </c>
      <c r="E331">
        <f>IF($N331="","",INDEX('Per Line'!$A$2:$A$3001,$N331))</f>
        <v/>
      </c>
      <c r="H331">
        <f>IF($N331="","",INDEX('Per Line'!$V$2:$V$3001,$N331))</f>
        <v/>
      </c>
      <c r="I331" s="5">
        <f>IF($N331="","",SUMIFS('Per Line'!$X$2:$X$3001,'Per Line'!$D$2:$D$3001,$C331))</f>
        <v/>
      </c>
      <c r="J331" s="5">
        <f>IF($N331="","",SUMIFS('Per Line'!$Y$2:$Y$3001,'Per Line'!$D$2:$D$3001,$C331))</f>
        <v/>
      </c>
      <c r="K331" s="5">
        <f>IF($N331="","",SUMIFS('Per Line'!$Z$2:$Z$3001,'Per Line'!$D$2:$D$3001,$C331))</f>
        <v/>
      </c>
      <c r="L331" s="5">
        <f>IF($N331="","",I331-J331)</f>
        <v/>
      </c>
      <c r="M331" s="5">
        <f>IF($N331="","",L331-K331)</f>
        <v/>
      </c>
      <c r="N331">
        <f>IF(ROWS($N$2:$N331)&lt;=MAX('Per Line'!$AG$2:$AG$3001),MATCH(ROWS($N$2:$N331),'Per Line'!$AG$2:$AG$3001,0),"")</f>
        <v/>
      </c>
      <c r="O331">
        <f>IF(B331="Above Claim Form",COUNTIF($B$2:B331,"Above Claim Form"),"")</f>
        <v/>
      </c>
      <c r="P331">
        <f>IF(B331="Below Claim Form",COUNTIF($B$2:B331,"Below Claim Form"),"")</f>
        <v/>
      </c>
    </row>
    <row r="332">
      <c r="B332">
        <f>IF($N332="","",IFERROR(INDEX(Settings!$C$27:$C$36,MATCH(E332,Settings!$B$27:$B$36,0)),"Unassigned"))</f>
        <v/>
      </c>
      <c r="C332">
        <f>IF($N332="","",INDEX('Per Line'!$D$2:$D$3001,$N332))</f>
        <v/>
      </c>
      <c r="D332">
        <f>IF($N332="","",INDEX('Per Line'!$C$2:$C$3001,$N332))</f>
        <v/>
      </c>
      <c r="E332">
        <f>IF($N332="","",INDEX('Per Line'!$A$2:$A$3001,$N332))</f>
        <v/>
      </c>
      <c r="H332">
        <f>IF($N332="","",INDEX('Per Line'!$V$2:$V$3001,$N332))</f>
        <v/>
      </c>
      <c r="I332" s="5">
        <f>IF($N332="","",SUMIFS('Per Line'!$X$2:$X$3001,'Per Line'!$D$2:$D$3001,$C332))</f>
        <v/>
      </c>
      <c r="J332" s="5">
        <f>IF($N332="","",SUMIFS('Per Line'!$Y$2:$Y$3001,'Per Line'!$D$2:$D$3001,$C332))</f>
        <v/>
      </c>
      <c r="K332" s="5">
        <f>IF($N332="","",SUMIFS('Per Line'!$Z$2:$Z$3001,'Per Line'!$D$2:$D$3001,$C332))</f>
        <v/>
      </c>
      <c r="L332" s="5">
        <f>IF($N332="","",I332-J332)</f>
        <v/>
      </c>
      <c r="M332" s="5">
        <f>IF($N332="","",L332-K332)</f>
        <v/>
      </c>
      <c r="N332">
        <f>IF(ROWS($N$2:$N332)&lt;=MAX('Per Line'!$AG$2:$AG$3001),MATCH(ROWS($N$2:$N332),'Per Line'!$AG$2:$AG$3001,0),"")</f>
        <v/>
      </c>
      <c r="O332">
        <f>IF(B332="Above Claim Form",COUNTIF($B$2:B332,"Above Claim Form"),"")</f>
        <v/>
      </c>
      <c r="P332">
        <f>IF(B332="Below Claim Form",COUNTIF($B$2:B332,"Below Claim Form"),"")</f>
        <v/>
      </c>
    </row>
    <row r="333">
      <c r="B333">
        <f>IF($N333="","",IFERROR(INDEX(Settings!$C$27:$C$36,MATCH(E333,Settings!$B$27:$B$36,0)),"Unassigned"))</f>
        <v/>
      </c>
      <c r="C333">
        <f>IF($N333="","",INDEX('Per Line'!$D$2:$D$3001,$N333))</f>
        <v/>
      </c>
      <c r="D333">
        <f>IF($N333="","",INDEX('Per Line'!$C$2:$C$3001,$N333))</f>
        <v/>
      </c>
      <c r="E333">
        <f>IF($N333="","",INDEX('Per Line'!$A$2:$A$3001,$N333))</f>
        <v/>
      </c>
      <c r="H333">
        <f>IF($N333="","",INDEX('Per Line'!$V$2:$V$3001,$N333))</f>
        <v/>
      </c>
      <c r="I333" s="5">
        <f>IF($N333="","",SUMIFS('Per Line'!$X$2:$X$3001,'Per Line'!$D$2:$D$3001,$C333))</f>
        <v/>
      </c>
      <c r="J333" s="5">
        <f>IF($N333="","",SUMIFS('Per Line'!$Y$2:$Y$3001,'Per Line'!$D$2:$D$3001,$C333))</f>
        <v/>
      </c>
      <c r="K333" s="5">
        <f>IF($N333="","",SUMIFS('Per Line'!$Z$2:$Z$3001,'Per Line'!$D$2:$D$3001,$C333))</f>
        <v/>
      </c>
      <c r="L333" s="5">
        <f>IF($N333="","",I333-J333)</f>
        <v/>
      </c>
      <c r="M333" s="5">
        <f>IF($N333="","",L333-K333)</f>
        <v/>
      </c>
      <c r="N333">
        <f>IF(ROWS($N$2:$N333)&lt;=MAX('Per Line'!$AG$2:$AG$3001),MATCH(ROWS($N$2:$N333),'Per Line'!$AG$2:$AG$3001,0),"")</f>
        <v/>
      </c>
      <c r="O333">
        <f>IF(B333="Above Claim Form",COUNTIF($B$2:B333,"Above Claim Form"),"")</f>
        <v/>
      </c>
      <c r="P333">
        <f>IF(B333="Below Claim Form",COUNTIF($B$2:B333,"Below Claim Form"),"")</f>
        <v/>
      </c>
    </row>
    <row r="334">
      <c r="B334">
        <f>IF($N334="","",IFERROR(INDEX(Settings!$C$27:$C$36,MATCH(E334,Settings!$B$27:$B$36,0)),"Unassigned"))</f>
        <v/>
      </c>
      <c r="C334">
        <f>IF($N334="","",INDEX('Per Line'!$D$2:$D$3001,$N334))</f>
        <v/>
      </c>
      <c r="D334">
        <f>IF($N334="","",INDEX('Per Line'!$C$2:$C$3001,$N334))</f>
        <v/>
      </c>
      <c r="E334">
        <f>IF($N334="","",INDEX('Per Line'!$A$2:$A$3001,$N334))</f>
        <v/>
      </c>
      <c r="H334">
        <f>IF($N334="","",INDEX('Per Line'!$V$2:$V$3001,$N334))</f>
        <v/>
      </c>
      <c r="I334" s="5">
        <f>IF($N334="","",SUMIFS('Per Line'!$X$2:$X$3001,'Per Line'!$D$2:$D$3001,$C334))</f>
        <v/>
      </c>
      <c r="J334" s="5">
        <f>IF($N334="","",SUMIFS('Per Line'!$Y$2:$Y$3001,'Per Line'!$D$2:$D$3001,$C334))</f>
        <v/>
      </c>
      <c r="K334" s="5">
        <f>IF($N334="","",SUMIFS('Per Line'!$Z$2:$Z$3001,'Per Line'!$D$2:$D$3001,$C334))</f>
        <v/>
      </c>
      <c r="L334" s="5">
        <f>IF($N334="","",I334-J334)</f>
        <v/>
      </c>
      <c r="M334" s="5">
        <f>IF($N334="","",L334-K334)</f>
        <v/>
      </c>
      <c r="N334">
        <f>IF(ROWS($N$2:$N334)&lt;=MAX('Per Line'!$AG$2:$AG$3001),MATCH(ROWS($N$2:$N334),'Per Line'!$AG$2:$AG$3001,0),"")</f>
        <v/>
      </c>
      <c r="O334">
        <f>IF(B334="Above Claim Form",COUNTIF($B$2:B334,"Above Claim Form"),"")</f>
        <v/>
      </c>
      <c r="P334">
        <f>IF(B334="Below Claim Form",COUNTIF($B$2:B334,"Below Claim Form"),"")</f>
        <v/>
      </c>
    </row>
    <row r="335">
      <c r="B335">
        <f>IF($N335="","",IFERROR(INDEX(Settings!$C$27:$C$36,MATCH(E335,Settings!$B$27:$B$36,0)),"Unassigned"))</f>
        <v/>
      </c>
      <c r="C335">
        <f>IF($N335="","",INDEX('Per Line'!$D$2:$D$3001,$N335))</f>
        <v/>
      </c>
      <c r="D335">
        <f>IF($N335="","",INDEX('Per Line'!$C$2:$C$3001,$N335))</f>
        <v/>
      </c>
      <c r="E335">
        <f>IF($N335="","",INDEX('Per Line'!$A$2:$A$3001,$N335))</f>
        <v/>
      </c>
      <c r="H335">
        <f>IF($N335="","",INDEX('Per Line'!$V$2:$V$3001,$N335))</f>
        <v/>
      </c>
      <c r="I335" s="5">
        <f>IF($N335="","",SUMIFS('Per Line'!$X$2:$X$3001,'Per Line'!$D$2:$D$3001,$C335))</f>
        <v/>
      </c>
      <c r="J335" s="5">
        <f>IF($N335="","",SUMIFS('Per Line'!$Y$2:$Y$3001,'Per Line'!$D$2:$D$3001,$C335))</f>
        <v/>
      </c>
      <c r="K335" s="5">
        <f>IF($N335="","",SUMIFS('Per Line'!$Z$2:$Z$3001,'Per Line'!$D$2:$D$3001,$C335))</f>
        <v/>
      </c>
      <c r="L335" s="5">
        <f>IF($N335="","",I335-J335)</f>
        <v/>
      </c>
      <c r="M335" s="5">
        <f>IF($N335="","",L335-K335)</f>
        <v/>
      </c>
      <c r="N335">
        <f>IF(ROWS($N$2:$N335)&lt;=MAX('Per Line'!$AG$2:$AG$3001),MATCH(ROWS($N$2:$N335),'Per Line'!$AG$2:$AG$3001,0),"")</f>
        <v/>
      </c>
      <c r="O335">
        <f>IF(B335="Above Claim Form",COUNTIF($B$2:B335,"Above Claim Form"),"")</f>
        <v/>
      </c>
      <c r="P335">
        <f>IF(B335="Below Claim Form",COUNTIF($B$2:B335,"Below Claim Form"),"")</f>
        <v/>
      </c>
    </row>
    <row r="336">
      <c r="B336">
        <f>IF($N336="","",IFERROR(INDEX(Settings!$C$27:$C$36,MATCH(E336,Settings!$B$27:$B$36,0)),"Unassigned"))</f>
        <v/>
      </c>
      <c r="C336">
        <f>IF($N336="","",INDEX('Per Line'!$D$2:$D$3001,$N336))</f>
        <v/>
      </c>
      <c r="D336">
        <f>IF($N336="","",INDEX('Per Line'!$C$2:$C$3001,$N336))</f>
        <v/>
      </c>
      <c r="E336">
        <f>IF($N336="","",INDEX('Per Line'!$A$2:$A$3001,$N336))</f>
        <v/>
      </c>
      <c r="H336">
        <f>IF($N336="","",INDEX('Per Line'!$V$2:$V$3001,$N336))</f>
        <v/>
      </c>
      <c r="I336" s="5">
        <f>IF($N336="","",SUMIFS('Per Line'!$X$2:$X$3001,'Per Line'!$D$2:$D$3001,$C336))</f>
        <v/>
      </c>
      <c r="J336" s="5">
        <f>IF($N336="","",SUMIFS('Per Line'!$Y$2:$Y$3001,'Per Line'!$D$2:$D$3001,$C336))</f>
        <v/>
      </c>
      <c r="K336" s="5">
        <f>IF($N336="","",SUMIFS('Per Line'!$Z$2:$Z$3001,'Per Line'!$D$2:$D$3001,$C336))</f>
        <v/>
      </c>
      <c r="L336" s="5">
        <f>IF($N336="","",I336-J336)</f>
        <v/>
      </c>
      <c r="M336" s="5">
        <f>IF($N336="","",L336-K336)</f>
        <v/>
      </c>
      <c r="N336">
        <f>IF(ROWS($N$2:$N336)&lt;=MAX('Per Line'!$AG$2:$AG$3001),MATCH(ROWS($N$2:$N336),'Per Line'!$AG$2:$AG$3001,0),"")</f>
        <v/>
      </c>
      <c r="O336">
        <f>IF(B336="Above Claim Form",COUNTIF($B$2:B336,"Above Claim Form"),"")</f>
        <v/>
      </c>
      <c r="P336">
        <f>IF(B336="Below Claim Form",COUNTIF($B$2:B336,"Below Claim Form"),"")</f>
        <v/>
      </c>
    </row>
    <row r="337">
      <c r="B337">
        <f>IF($N337="","",IFERROR(INDEX(Settings!$C$27:$C$36,MATCH(E337,Settings!$B$27:$B$36,0)),"Unassigned"))</f>
        <v/>
      </c>
      <c r="C337">
        <f>IF($N337="","",INDEX('Per Line'!$D$2:$D$3001,$N337))</f>
        <v/>
      </c>
      <c r="D337">
        <f>IF($N337="","",INDEX('Per Line'!$C$2:$C$3001,$N337))</f>
        <v/>
      </c>
      <c r="E337">
        <f>IF($N337="","",INDEX('Per Line'!$A$2:$A$3001,$N337))</f>
        <v/>
      </c>
      <c r="H337">
        <f>IF($N337="","",INDEX('Per Line'!$V$2:$V$3001,$N337))</f>
        <v/>
      </c>
      <c r="I337" s="5">
        <f>IF($N337="","",SUMIFS('Per Line'!$X$2:$X$3001,'Per Line'!$D$2:$D$3001,$C337))</f>
        <v/>
      </c>
      <c r="J337" s="5">
        <f>IF($N337="","",SUMIFS('Per Line'!$Y$2:$Y$3001,'Per Line'!$D$2:$D$3001,$C337))</f>
        <v/>
      </c>
      <c r="K337" s="5">
        <f>IF($N337="","",SUMIFS('Per Line'!$Z$2:$Z$3001,'Per Line'!$D$2:$D$3001,$C337))</f>
        <v/>
      </c>
      <c r="L337" s="5">
        <f>IF($N337="","",I337-J337)</f>
        <v/>
      </c>
      <c r="M337" s="5">
        <f>IF($N337="","",L337-K337)</f>
        <v/>
      </c>
      <c r="N337">
        <f>IF(ROWS($N$2:$N337)&lt;=MAX('Per Line'!$AG$2:$AG$3001),MATCH(ROWS($N$2:$N337),'Per Line'!$AG$2:$AG$3001,0),"")</f>
        <v/>
      </c>
      <c r="O337">
        <f>IF(B337="Above Claim Form",COUNTIF($B$2:B337,"Above Claim Form"),"")</f>
        <v/>
      </c>
      <c r="P337">
        <f>IF(B337="Below Claim Form",COUNTIF($B$2:B337,"Below Claim Form"),"")</f>
        <v/>
      </c>
    </row>
    <row r="338">
      <c r="B338">
        <f>IF($N338="","",IFERROR(INDEX(Settings!$C$27:$C$36,MATCH(E338,Settings!$B$27:$B$36,0)),"Unassigned"))</f>
        <v/>
      </c>
      <c r="C338">
        <f>IF($N338="","",INDEX('Per Line'!$D$2:$D$3001,$N338))</f>
        <v/>
      </c>
      <c r="D338">
        <f>IF($N338="","",INDEX('Per Line'!$C$2:$C$3001,$N338))</f>
        <v/>
      </c>
      <c r="E338">
        <f>IF($N338="","",INDEX('Per Line'!$A$2:$A$3001,$N338))</f>
        <v/>
      </c>
      <c r="H338">
        <f>IF($N338="","",INDEX('Per Line'!$V$2:$V$3001,$N338))</f>
        <v/>
      </c>
      <c r="I338" s="5">
        <f>IF($N338="","",SUMIFS('Per Line'!$X$2:$X$3001,'Per Line'!$D$2:$D$3001,$C338))</f>
        <v/>
      </c>
      <c r="J338" s="5">
        <f>IF($N338="","",SUMIFS('Per Line'!$Y$2:$Y$3001,'Per Line'!$D$2:$D$3001,$C338))</f>
        <v/>
      </c>
      <c r="K338" s="5">
        <f>IF($N338="","",SUMIFS('Per Line'!$Z$2:$Z$3001,'Per Line'!$D$2:$D$3001,$C338))</f>
        <v/>
      </c>
      <c r="L338" s="5">
        <f>IF($N338="","",I338-J338)</f>
        <v/>
      </c>
      <c r="M338" s="5">
        <f>IF($N338="","",L338-K338)</f>
        <v/>
      </c>
      <c r="N338">
        <f>IF(ROWS($N$2:$N338)&lt;=MAX('Per Line'!$AG$2:$AG$3001),MATCH(ROWS($N$2:$N338),'Per Line'!$AG$2:$AG$3001,0),"")</f>
        <v/>
      </c>
      <c r="O338">
        <f>IF(B338="Above Claim Form",COUNTIF($B$2:B338,"Above Claim Form"),"")</f>
        <v/>
      </c>
      <c r="P338">
        <f>IF(B338="Below Claim Form",COUNTIF($B$2:B338,"Below Claim Form"),"")</f>
        <v/>
      </c>
    </row>
    <row r="339">
      <c r="B339">
        <f>IF($N339="","",IFERROR(INDEX(Settings!$C$27:$C$36,MATCH(E339,Settings!$B$27:$B$36,0)),"Unassigned"))</f>
        <v/>
      </c>
      <c r="C339">
        <f>IF($N339="","",INDEX('Per Line'!$D$2:$D$3001,$N339))</f>
        <v/>
      </c>
      <c r="D339">
        <f>IF($N339="","",INDEX('Per Line'!$C$2:$C$3001,$N339))</f>
        <v/>
      </c>
      <c r="E339">
        <f>IF($N339="","",INDEX('Per Line'!$A$2:$A$3001,$N339))</f>
        <v/>
      </c>
      <c r="H339">
        <f>IF($N339="","",INDEX('Per Line'!$V$2:$V$3001,$N339))</f>
        <v/>
      </c>
      <c r="I339" s="5">
        <f>IF($N339="","",SUMIFS('Per Line'!$X$2:$X$3001,'Per Line'!$D$2:$D$3001,$C339))</f>
        <v/>
      </c>
      <c r="J339" s="5">
        <f>IF($N339="","",SUMIFS('Per Line'!$Y$2:$Y$3001,'Per Line'!$D$2:$D$3001,$C339))</f>
        <v/>
      </c>
      <c r="K339" s="5">
        <f>IF($N339="","",SUMIFS('Per Line'!$Z$2:$Z$3001,'Per Line'!$D$2:$D$3001,$C339))</f>
        <v/>
      </c>
      <c r="L339" s="5">
        <f>IF($N339="","",I339-J339)</f>
        <v/>
      </c>
      <c r="M339" s="5">
        <f>IF($N339="","",L339-K339)</f>
        <v/>
      </c>
      <c r="N339">
        <f>IF(ROWS($N$2:$N339)&lt;=MAX('Per Line'!$AG$2:$AG$3001),MATCH(ROWS($N$2:$N339),'Per Line'!$AG$2:$AG$3001,0),"")</f>
        <v/>
      </c>
      <c r="O339">
        <f>IF(B339="Above Claim Form",COUNTIF($B$2:B339,"Above Claim Form"),"")</f>
        <v/>
      </c>
      <c r="P339">
        <f>IF(B339="Below Claim Form",COUNTIF($B$2:B339,"Below Claim Form"),"")</f>
        <v/>
      </c>
    </row>
    <row r="340">
      <c r="B340">
        <f>IF($N340="","",IFERROR(INDEX(Settings!$C$27:$C$36,MATCH(E340,Settings!$B$27:$B$36,0)),"Unassigned"))</f>
        <v/>
      </c>
      <c r="C340">
        <f>IF($N340="","",INDEX('Per Line'!$D$2:$D$3001,$N340))</f>
        <v/>
      </c>
      <c r="D340">
        <f>IF($N340="","",INDEX('Per Line'!$C$2:$C$3001,$N340))</f>
        <v/>
      </c>
      <c r="E340">
        <f>IF($N340="","",INDEX('Per Line'!$A$2:$A$3001,$N340))</f>
        <v/>
      </c>
      <c r="H340">
        <f>IF($N340="","",INDEX('Per Line'!$V$2:$V$3001,$N340))</f>
        <v/>
      </c>
      <c r="I340" s="5">
        <f>IF($N340="","",SUMIFS('Per Line'!$X$2:$X$3001,'Per Line'!$D$2:$D$3001,$C340))</f>
        <v/>
      </c>
      <c r="J340" s="5">
        <f>IF($N340="","",SUMIFS('Per Line'!$Y$2:$Y$3001,'Per Line'!$D$2:$D$3001,$C340))</f>
        <v/>
      </c>
      <c r="K340" s="5">
        <f>IF($N340="","",SUMIFS('Per Line'!$Z$2:$Z$3001,'Per Line'!$D$2:$D$3001,$C340))</f>
        <v/>
      </c>
      <c r="L340" s="5">
        <f>IF($N340="","",I340-J340)</f>
        <v/>
      </c>
      <c r="M340" s="5">
        <f>IF($N340="","",L340-K340)</f>
        <v/>
      </c>
      <c r="N340">
        <f>IF(ROWS($N$2:$N340)&lt;=MAX('Per Line'!$AG$2:$AG$3001),MATCH(ROWS($N$2:$N340),'Per Line'!$AG$2:$AG$3001,0),"")</f>
        <v/>
      </c>
      <c r="O340">
        <f>IF(B340="Above Claim Form",COUNTIF($B$2:B340,"Above Claim Form"),"")</f>
        <v/>
      </c>
      <c r="P340">
        <f>IF(B340="Below Claim Form",COUNTIF($B$2:B340,"Below Claim Form"),"")</f>
        <v/>
      </c>
    </row>
    <row r="341">
      <c r="B341">
        <f>IF($N341="","",IFERROR(INDEX(Settings!$C$27:$C$36,MATCH(E341,Settings!$B$27:$B$36,0)),"Unassigned"))</f>
        <v/>
      </c>
      <c r="C341">
        <f>IF($N341="","",INDEX('Per Line'!$D$2:$D$3001,$N341))</f>
        <v/>
      </c>
      <c r="D341">
        <f>IF($N341="","",INDEX('Per Line'!$C$2:$C$3001,$N341))</f>
        <v/>
      </c>
      <c r="E341">
        <f>IF($N341="","",INDEX('Per Line'!$A$2:$A$3001,$N341))</f>
        <v/>
      </c>
      <c r="H341">
        <f>IF($N341="","",INDEX('Per Line'!$V$2:$V$3001,$N341))</f>
        <v/>
      </c>
      <c r="I341" s="5">
        <f>IF($N341="","",SUMIFS('Per Line'!$X$2:$X$3001,'Per Line'!$D$2:$D$3001,$C341))</f>
        <v/>
      </c>
      <c r="J341" s="5">
        <f>IF($N341="","",SUMIFS('Per Line'!$Y$2:$Y$3001,'Per Line'!$D$2:$D$3001,$C341))</f>
        <v/>
      </c>
      <c r="K341" s="5">
        <f>IF($N341="","",SUMIFS('Per Line'!$Z$2:$Z$3001,'Per Line'!$D$2:$D$3001,$C341))</f>
        <v/>
      </c>
      <c r="L341" s="5">
        <f>IF($N341="","",I341-J341)</f>
        <v/>
      </c>
      <c r="M341" s="5">
        <f>IF($N341="","",L341-K341)</f>
        <v/>
      </c>
      <c r="N341">
        <f>IF(ROWS($N$2:$N341)&lt;=MAX('Per Line'!$AG$2:$AG$3001),MATCH(ROWS($N$2:$N341),'Per Line'!$AG$2:$AG$3001,0),"")</f>
        <v/>
      </c>
      <c r="O341">
        <f>IF(B341="Above Claim Form",COUNTIF($B$2:B341,"Above Claim Form"),"")</f>
        <v/>
      </c>
      <c r="P341">
        <f>IF(B341="Below Claim Form",COUNTIF($B$2:B341,"Below Claim Form"),"")</f>
        <v/>
      </c>
    </row>
    <row r="342">
      <c r="B342">
        <f>IF($N342="","",IFERROR(INDEX(Settings!$C$27:$C$36,MATCH(E342,Settings!$B$27:$B$36,0)),"Unassigned"))</f>
        <v/>
      </c>
      <c r="C342">
        <f>IF($N342="","",INDEX('Per Line'!$D$2:$D$3001,$N342))</f>
        <v/>
      </c>
      <c r="D342">
        <f>IF($N342="","",INDEX('Per Line'!$C$2:$C$3001,$N342))</f>
        <v/>
      </c>
      <c r="E342">
        <f>IF($N342="","",INDEX('Per Line'!$A$2:$A$3001,$N342))</f>
        <v/>
      </c>
      <c r="H342">
        <f>IF($N342="","",INDEX('Per Line'!$V$2:$V$3001,$N342))</f>
        <v/>
      </c>
      <c r="I342" s="5">
        <f>IF($N342="","",SUMIFS('Per Line'!$X$2:$X$3001,'Per Line'!$D$2:$D$3001,$C342))</f>
        <v/>
      </c>
      <c r="J342" s="5">
        <f>IF($N342="","",SUMIFS('Per Line'!$Y$2:$Y$3001,'Per Line'!$D$2:$D$3001,$C342))</f>
        <v/>
      </c>
      <c r="K342" s="5">
        <f>IF($N342="","",SUMIFS('Per Line'!$Z$2:$Z$3001,'Per Line'!$D$2:$D$3001,$C342))</f>
        <v/>
      </c>
      <c r="L342" s="5">
        <f>IF($N342="","",I342-J342)</f>
        <v/>
      </c>
      <c r="M342" s="5">
        <f>IF($N342="","",L342-K342)</f>
        <v/>
      </c>
      <c r="N342">
        <f>IF(ROWS($N$2:$N342)&lt;=MAX('Per Line'!$AG$2:$AG$3001),MATCH(ROWS($N$2:$N342),'Per Line'!$AG$2:$AG$3001,0),"")</f>
        <v/>
      </c>
      <c r="O342">
        <f>IF(B342="Above Claim Form",COUNTIF($B$2:B342,"Above Claim Form"),"")</f>
        <v/>
      </c>
      <c r="P342">
        <f>IF(B342="Below Claim Form",COUNTIF($B$2:B342,"Below Claim Form"),"")</f>
        <v/>
      </c>
    </row>
    <row r="343">
      <c r="B343">
        <f>IF($N343="","",IFERROR(INDEX(Settings!$C$27:$C$36,MATCH(E343,Settings!$B$27:$B$36,0)),"Unassigned"))</f>
        <v/>
      </c>
      <c r="C343">
        <f>IF($N343="","",INDEX('Per Line'!$D$2:$D$3001,$N343))</f>
        <v/>
      </c>
      <c r="D343">
        <f>IF($N343="","",INDEX('Per Line'!$C$2:$C$3001,$N343))</f>
        <v/>
      </c>
      <c r="E343">
        <f>IF($N343="","",INDEX('Per Line'!$A$2:$A$3001,$N343))</f>
        <v/>
      </c>
      <c r="H343">
        <f>IF($N343="","",INDEX('Per Line'!$V$2:$V$3001,$N343))</f>
        <v/>
      </c>
      <c r="I343" s="5">
        <f>IF($N343="","",SUMIFS('Per Line'!$X$2:$X$3001,'Per Line'!$D$2:$D$3001,$C343))</f>
        <v/>
      </c>
      <c r="J343" s="5">
        <f>IF($N343="","",SUMIFS('Per Line'!$Y$2:$Y$3001,'Per Line'!$D$2:$D$3001,$C343))</f>
        <v/>
      </c>
      <c r="K343" s="5">
        <f>IF($N343="","",SUMIFS('Per Line'!$Z$2:$Z$3001,'Per Line'!$D$2:$D$3001,$C343))</f>
        <v/>
      </c>
      <c r="L343" s="5">
        <f>IF($N343="","",I343-J343)</f>
        <v/>
      </c>
      <c r="M343" s="5">
        <f>IF($N343="","",L343-K343)</f>
        <v/>
      </c>
      <c r="N343">
        <f>IF(ROWS($N$2:$N343)&lt;=MAX('Per Line'!$AG$2:$AG$3001),MATCH(ROWS($N$2:$N343),'Per Line'!$AG$2:$AG$3001,0),"")</f>
        <v/>
      </c>
      <c r="O343">
        <f>IF(B343="Above Claim Form",COUNTIF($B$2:B343,"Above Claim Form"),"")</f>
        <v/>
      </c>
      <c r="P343">
        <f>IF(B343="Below Claim Form",COUNTIF($B$2:B343,"Below Claim Form"),"")</f>
        <v/>
      </c>
    </row>
    <row r="344">
      <c r="B344">
        <f>IF($N344="","",IFERROR(INDEX(Settings!$C$27:$C$36,MATCH(E344,Settings!$B$27:$B$36,0)),"Unassigned"))</f>
        <v/>
      </c>
      <c r="C344">
        <f>IF($N344="","",INDEX('Per Line'!$D$2:$D$3001,$N344))</f>
        <v/>
      </c>
      <c r="D344">
        <f>IF($N344="","",INDEX('Per Line'!$C$2:$C$3001,$N344))</f>
        <v/>
      </c>
      <c r="E344">
        <f>IF($N344="","",INDEX('Per Line'!$A$2:$A$3001,$N344))</f>
        <v/>
      </c>
      <c r="H344">
        <f>IF($N344="","",INDEX('Per Line'!$V$2:$V$3001,$N344))</f>
        <v/>
      </c>
      <c r="I344" s="5">
        <f>IF($N344="","",SUMIFS('Per Line'!$X$2:$X$3001,'Per Line'!$D$2:$D$3001,$C344))</f>
        <v/>
      </c>
      <c r="J344" s="5">
        <f>IF($N344="","",SUMIFS('Per Line'!$Y$2:$Y$3001,'Per Line'!$D$2:$D$3001,$C344))</f>
        <v/>
      </c>
      <c r="K344" s="5">
        <f>IF($N344="","",SUMIFS('Per Line'!$Z$2:$Z$3001,'Per Line'!$D$2:$D$3001,$C344))</f>
        <v/>
      </c>
      <c r="L344" s="5">
        <f>IF($N344="","",I344-J344)</f>
        <v/>
      </c>
      <c r="M344" s="5">
        <f>IF($N344="","",L344-K344)</f>
        <v/>
      </c>
      <c r="N344">
        <f>IF(ROWS($N$2:$N344)&lt;=MAX('Per Line'!$AG$2:$AG$3001),MATCH(ROWS($N$2:$N344),'Per Line'!$AG$2:$AG$3001,0),"")</f>
        <v/>
      </c>
      <c r="O344">
        <f>IF(B344="Above Claim Form",COUNTIF($B$2:B344,"Above Claim Form"),"")</f>
        <v/>
      </c>
      <c r="P344">
        <f>IF(B344="Below Claim Form",COUNTIF($B$2:B344,"Below Claim Form"),"")</f>
        <v/>
      </c>
    </row>
    <row r="345">
      <c r="B345">
        <f>IF($N345="","",IFERROR(INDEX(Settings!$C$27:$C$36,MATCH(E345,Settings!$B$27:$B$36,0)),"Unassigned"))</f>
        <v/>
      </c>
      <c r="C345">
        <f>IF($N345="","",INDEX('Per Line'!$D$2:$D$3001,$N345))</f>
        <v/>
      </c>
      <c r="D345">
        <f>IF($N345="","",INDEX('Per Line'!$C$2:$C$3001,$N345))</f>
        <v/>
      </c>
      <c r="E345">
        <f>IF($N345="","",INDEX('Per Line'!$A$2:$A$3001,$N345))</f>
        <v/>
      </c>
      <c r="H345">
        <f>IF($N345="","",INDEX('Per Line'!$V$2:$V$3001,$N345))</f>
        <v/>
      </c>
      <c r="I345" s="5">
        <f>IF($N345="","",SUMIFS('Per Line'!$X$2:$X$3001,'Per Line'!$D$2:$D$3001,$C345))</f>
        <v/>
      </c>
      <c r="J345" s="5">
        <f>IF($N345="","",SUMIFS('Per Line'!$Y$2:$Y$3001,'Per Line'!$D$2:$D$3001,$C345))</f>
        <v/>
      </c>
      <c r="K345" s="5">
        <f>IF($N345="","",SUMIFS('Per Line'!$Z$2:$Z$3001,'Per Line'!$D$2:$D$3001,$C345))</f>
        <v/>
      </c>
      <c r="L345" s="5">
        <f>IF($N345="","",I345-J345)</f>
        <v/>
      </c>
      <c r="M345" s="5">
        <f>IF($N345="","",L345-K345)</f>
        <v/>
      </c>
      <c r="N345">
        <f>IF(ROWS($N$2:$N345)&lt;=MAX('Per Line'!$AG$2:$AG$3001),MATCH(ROWS($N$2:$N345),'Per Line'!$AG$2:$AG$3001,0),"")</f>
        <v/>
      </c>
      <c r="O345">
        <f>IF(B345="Above Claim Form",COUNTIF($B$2:B345,"Above Claim Form"),"")</f>
        <v/>
      </c>
      <c r="P345">
        <f>IF(B345="Below Claim Form",COUNTIF($B$2:B345,"Below Claim Form"),"")</f>
        <v/>
      </c>
    </row>
    <row r="346">
      <c r="B346">
        <f>IF($N346="","",IFERROR(INDEX(Settings!$C$27:$C$36,MATCH(E346,Settings!$B$27:$B$36,0)),"Unassigned"))</f>
        <v/>
      </c>
      <c r="C346">
        <f>IF($N346="","",INDEX('Per Line'!$D$2:$D$3001,$N346))</f>
        <v/>
      </c>
      <c r="D346">
        <f>IF($N346="","",INDEX('Per Line'!$C$2:$C$3001,$N346))</f>
        <v/>
      </c>
      <c r="E346">
        <f>IF($N346="","",INDEX('Per Line'!$A$2:$A$3001,$N346))</f>
        <v/>
      </c>
      <c r="H346">
        <f>IF($N346="","",INDEX('Per Line'!$V$2:$V$3001,$N346))</f>
        <v/>
      </c>
      <c r="I346" s="5">
        <f>IF($N346="","",SUMIFS('Per Line'!$X$2:$X$3001,'Per Line'!$D$2:$D$3001,$C346))</f>
        <v/>
      </c>
      <c r="J346" s="5">
        <f>IF($N346="","",SUMIFS('Per Line'!$Y$2:$Y$3001,'Per Line'!$D$2:$D$3001,$C346))</f>
        <v/>
      </c>
      <c r="K346" s="5">
        <f>IF($N346="","",SUMIFS('Per Line'!$Z$2:$Z$3001,'Per Line'!$D$2:$D$3001,$C346))</f>
        <v/>
      </c>
      <c r="L346" s="5">
        <f>IF($N346="","",I346-J346)</f>
        <v/>
      </c>
      <c r="M346" s="5">
        <f>IF($N346="","",L346-K346)</f>
        <v/>
      </c>
      <c r="N346">
        <f>IF(ROWS($N$2:$N346)&lt;=MAX('Per Line'!$AG$2:$AG$3001),MATCH(ROWS($N$2:$N346),'Per Line'!$AG$2:$AG$3001,0),"")</f>
        <v/>
      </c>
      <c r="O346">
        <f>IF(B346="Above Claim Form",COUNTIF($B$2:B346,"Above Claim Form"),"")</f>
        <v/>
      </c>
      <c r="P346">
        <f>IF(B346="Below Claim Form",COUNTIF($B$2:B346,"Below Claim Form"),"")</f>
        <v/>
      </c>
    </row>
    <row r="347">
      <c r="B347">
        <f>IF($N347="","",IFERROR(INDEX(Settings!$C$27:$C$36,MATCH(E347,Settings!$B$27:$B$36,0)),"Unassigned"))</f>
        <v/>
      </c>
      <c r="C347">
        <f>IF($N347="","",INDEX('Per Line'!$D$2:$D$3001,$N347))</f>
        <v/>
      </c>
      <c r="D347">
        <f>IF($N347="","",INDEX('Per Line'!$C$2:$C$3001,$N347))</f>
        <v/>
      </c>
      <c r="E347">
        <f>IF($N347="","",INDEX('Per Line'!$A$2:$A$3001,$N347))</f>
        <v/>
      </c>
      <c r="H347">
        <f>IF($N347="","",INDEX('Per Line'!$V$2:$V$3001,$N347))</f>
        <v/>
      </c>
      <c r="I347" s="5">
        <f>IF($N347="","",SUMIFS('Per Line'!$X$2:$X$3001,'Per Line'!$D$2:$D$3001,$C347))</f>
        <v/>
      </c>
      <c r="J347" s="5">
        <f>IF($N347="","",SUMIFS('Per Line'!$Y$2:$Y$3001,'Per Line'!$D$2:$D$3001,$C347))</f>
        <v/>
      </c>
      <c r="K347" s="5">
        <f>IF($N347="","",SUMIFS('Per Line'!$Z$2:$Z$3001,'Per Line'!$D$2:$D$3001,$C347))</f>
        <v/>
      </c>
      <c r="L347" s="5">
        <f>IF($N347="","",I347-J347)</f>
        <v/>
      </c>
      <c r="M347" s="5">
        <f>IF($N347="","",L347-K347)</f>
        <v/>
      </c>
      <c r="N347">
        <f>IF(ROWS($N$2:$N347)&lt;=MAX('Per Line'!$AG$2:$AG$3001),MATCH(ROWS($N$2:$N347),'Per Line'!$AG$2:$AG$3001,0),"")</f>
        <v/>
      </c>
      <c r="O347">
        <f>IF(B347="Above Claim Form",COUNTIF($B$2:B347,"Above Claim Form"),"")</f>
        <v/>
      </c>
      <c r="P347">
        <f>IF(B347="Below Claim Form",COUNTIF($B$2:B347,"Below Claim Form"),"")</f>
        <v/>
      </c>
    </row>
    <row r="348">
      <c r="B348">
        <f>IF($N348="","",IFERROR(INDEX(Settings!$C$27:$C$36,MATCH(E348,Settings!$B$27:$B$36,0)),"Unassigned"))</f>
        <v/>
      </c>
      <c r="C348">
        <f>IF($N348="","",INDEX('Per Line'!$D$2:$D$3001,$N348))</f>
        <v/>
      </c>
      <c r="D348">
        <f>IF($N348="","",INDEX('Per Line'!$C$2:$C$3001,$N348))</f>
        <v/>
      </c>
      <c r="E348">
        <f>IF($N348="","",INDEX('Per Line'!$A$2:$A$3001,$N348))</f>
        <v/>
      </c>
      <c r="H348">
        <f>IF($N348="","",INDEX('Per Line'!$V$2:$V$3001,$N348))</f>
        <v/>
      </c>
      <c r="I348" s="5">
        <f>IF($N348="","",SUMIFS('Per Line'!$X$2:$X$3001,'Per Line'!$D$2:$D$3001,$C348))</f>
        <v/>
      </c>
      <c r="J348" s="5">
        <f>IF($N348="","",SUMIFS('Per Line'!$Y$2:$Y$3001,'Per Line'!$D$2:$D$3001,$C348))</f>
        <v/>
      </c>
      <c r="K348" s="5">
        <f>IF($N348="","",SUMIFS('Per Line'!$Z$2:$Z$3001,'Per Line'!$D$2:$D$3001,$C348))</f>
        <v/>
      </c>
      <c r="L348" s="5">
        <f>IF($N348="","",I348-J348)</f>
        <v/>
      </c>
      <c r="M348" s="5">
        <f>IF($N348="","",L348-K348)</f>
        <v/>
      </c>
      <c r="N348">
        <f>IF(ROWS($N$2:$N348)&lt;=MAX('Per Line'!$AG$2:$AG$3001),MATCH(ROWS($N$2:$N348),'Per Line'!$AG$2:$AG$3001,0),"")</f>
        <v/>
      </c>
      <c r="O348">
        <f>IF(B348="Above Claim Form",COUNTIF($B$2:B348,"Above Claim Form"),"")</f>
        <v/>
      </c>
      <c r="P348">
        <f>IF(B348="Below Claim Form",COUNTIF($B$2:B348,"Below Claim Form"),"")</f>
        <v/>
      </c>
    </row>
    <row r="349">
      <c r="B349">
        <f>IF($N349="","",IFERROR(INDEX(Settings!$C$27:$C$36,MATCH(E349,Settings!$B$27:$B$36,0)),"Unassigned"))</f>
        <v/>
      </c>
      <c r="C349">
        <f>IF($N349="","",INDEX('Per Line'!$D$2:$D$3001,$N349))</f>
        <v/>
      </c>
      <c r="D349">
        <f>IF($N349="","",INDEX('Per Line'!$C$2:$C$3001,$N349))</f>
        <v/>
      </c>
      <c r="E349">
        <f>IF($N349="","",INDEX('Per Line'!$A$2:$A$3001,$N349))</f>
        <v/>
      </c>
      <c r="H349">
        <f>IF($N349="","",INDEX('Per Line'!$V$2:$V$3001,$N349))</f>
        <v/>
      </c>
      <c r="I349" s="5">
        <f>IF($N349="","",SUMIFS('Per Line'!$X$2:$X$3001,'Per Line'!$D$2:$D$3001,$C349))</f>
        <v/>
      </c>
      <c r="J349" s="5">
        <f>IF($N349="","",SUMIFS('Per Line'!$Y$2:$Y$3001,'Per Line'!$D$2:$D$3001,$C349))</f>
        <v/>
      </c>
      <c r="K349" s="5">
        <f>IF($N349="","",SUMIFS('Per Line'!$Z$2:$Z$3001,'Per Line'!$D$2:$D$3001,$C349))</f>
        <v/>
      </c>
      <c r="L349" s="5">
        <f>IF($N349="","",I349-J349)</f>
        <v/>
      </c>
      <c r="M349" s="5">
        <f>IF($N349="","",L349-K349)</f>
        <v/>
      </c>
      <c r="N349">
        <f>IF(ROWS($N$2:$N349)&lt;=MAX('Per Line'!$AG$2:$AG$3001),MATCH(ROWS($N$2:$N349),'Per Line'!$AG$2:$AG$3001,0),"")</f>
        <v/>
      </c>
      <c r="O349">
        <f>IF(B349="Above Claim Form",COUNTIF($B$2:B349,"Above Claim Form"),"")</f>
        <v/>
      </c>
      <c r="P349">
        <f>IF(B349="Below Claim Form",COUNTIF($B$2:B349,"Below Claim Form"),"")</f>
        <v/>
      </c>
    </row>
    <row r="350">
      <c r="B350">
        <f>IF($N350="","",IFERROR(INDEX(Settings!$C$27:$C$36,MATCH(E350,Settings!$B$27:$B$36,0)),"Unassigned"))</f>
        <v/>
      </c>
      <c r="C350">
        <f>IF($N350="","",INDEX('Per Line'!$D$2:$D$3001,$N350))</f>
        <v/>
      </c>
      <c r="D350">
        <f>IF($N350="","",INDEX('Per Line'!$C$2:$C$3001,$N350))</f>
        <v/>
      </c>
      <c r="E350">
        <f>IF($N350="","",INDEX('Per Line'!$A$2:$A$3001,$N350))</f>
        <v/>
      </c>
      <c r="H350">
        <f>IF($N350="","",INDEX('Per Line'!$V$2:$V$3001,$N350))</f>
        <v/>
      </c>
      <c r="I350" s="5">
        <f>IF($N350="","",SUMIFS('Per Line'!$X$2:$X$3001,'Per Line'!$D$2:$D$3001,$C350))</f>
        <v/>
      </c>
      <c r="J350" s="5">
        <f>IF($N350="","",SUMIFS('Per Line'!$Y$2:$Y$3001,'Per Line'!$D$2:$D$3001,$C350))</f>
        <v/>
      </c>
      <c r="K350" s="5">
        <f>IF($N350="","",SUMIFS('Per Line'!$Z$2:$Z$3001,'Per Line'!$D$2:$D$3001,$C350))</f>
        <v/>
      </c>
      <c r="L350" s="5">
        <f>IF($N350="","",I350-J350)</f>
        <v/>
      </c>
      <c r="M350" s="5">
        <f>IF($N350="","",L350-K350)</f>
        <v/>
      </c>
      <c r="N350">
        <f>IF(ROWS($N$2:$N350)&lt;=MAX('Per Line'!$AG$2:$AG$3001),MATCH(ROWS($N$2:$N350),'Per Line'!$AG$2:$AG$3001,0),"")</f>
        <v/>
      </c>
      <c r="O350">
        <f>IF(B350="Above Claim Form",COUNTIF($B$2:B350,"Above Claim Form"),"")</f>
        <v/>
      </c>
      <c r="P350">
        <f>IF(B350="Below Claim Form",COUNTIF($B$2:B350,"Below Claim Form"),"")</f>
        <v/>
      </c>
    </row>
    <row r="351">
      <c r="B351">
        <f>IF($N351="","",IFERROR(INDEX(Settings!$C$27:$C$36,MATCH(E351,Settings!$B$27:$B$36,0)),"Unassigned"))</f>
        <v/>
      </c>
      <c r="C351">
        <f>IF($N351="","",INDEX('Per Line'!$D$2:$D$3001,$N351))</f>
        <v/>
      </c>
      <c r="D351">
        <f>IF($N351="","",INDEX('Per Line'!$C$2:$C$3001,$N351))</f>
        <v/>
      </c>
      <c r="E351">
        <f>IF($N351="","",INDEX('Per Line'!$A$2:$A$3001,$N351))</f>
        <v/>
      </c>
      <c r="H351">
        <f>IF($N351="","",INDEX('Per Line'!$V$2:$V$3001,$N351))</f>
        <v/>
      </c>
      <c r="I351" s="5">
        <f>IF($N351="","",SUMIFS('Per Line'!$X$2:$X$3001,'Per Line'!$D$2:$D$3001,$C351))</f>
        <v/>
      </c>
      <c r="J351" s="5">
        <f>IF($N351="","",SUMIFS('Per Line'!$Y$2:$Y$3001,'Per Line'!$D$2:$D$3001,$C351))</f>
        <v/>
      </c>
      <c r="K351" s="5">
        <f>IF($N351="","",SUMIFS('Per Line'!$Z$2:$Z$3001,'Per Line'!$D$2:$D$3001,$C351))</f>
        <v/>
      </c>
      <c r="L351" s="5">
        <f>IF($N351="","",I351-J351)</f>
        <v/>
      </c>
      <c r="M351" s="5">
        <f>IF($N351="","",L351-K351)</f>
        <v/>
      </c>
      <c r="N351">
        <f>IF(ROWS($N$2:$N351)&lt;=MAX('Per Line'!$AG$2:$AG$3001),MATCH(ROWS($N$2:$N351),'Per Line'!$AG$2:$AG$3001,0),"")</f>
        <v/>
      </c>
      <c r="O351">
        <f>IF(B351="Above Claim Form",COUNTIF($B$2:B351,"Above Claim Form"),"")</f>
        <v/>
      </c>
      <c r="P351">
        <f>IF(B351="Below Claim Form",COUNTIF($B$2:B351,"Below Claim Form"),"")</f>
        <v/>
      </c>
    </row>
    <row r="352">
      <c r="B352">
        <f>IF($N352="","",IFERROR(INDEX(Settings!$C$27:$C$36,MATCH(E352,Settings!$B$27:$B$36,0)),"Unassigned"))</f>
        <v/>
      </c>
      <c r="C352">
        <f>IF($N352="","",INDEX('Per Line'!$D$2:$D$3001,$N352))</f>
        <v/>
      </c>
      <c r="D352">
        <f>IF($N352="","",INDEX('Per Line'!$C$2:$C$3001,$N352))</f>
        <v/>
      </c>
      <c r="E352">
        <f>IF($N352="","",INDEX('Per Line'!$A$2:$A$3001,$N352))</f>
        <v/>
      </c>
      <c r="H352">
        <f>IF($N352="","",INDEX('Per Line'!$V$2:$V$3001,$N352))</f>
        <v/>
      </c>
      <c r="I352" s="5">
        <f>IF($N352="","",SUMIFS('Per Line'!$X$2:$X$3001,'Per Line'!$D$2:$D$3001,$C352))</f>
        <v/>
      </c>
      <c r="J352" s="5">
        <f>IF($N352="","",SUMIFS('Per Line'!$Y$2:$Y$3001,'Per Line'!$D$2:$D$3001,$C352))</f>
        <v/>
      </c>
      <c r="K352" s="5">
        <f>IF($N352="","",SUMIFS('Per Line'!$Z$2:$Z$3001,'Per Line'!$D$2:$D$3001,$C352))</f>
        <v/>
      </c>
      <c r="L352" s="5">
        <f>IF($N352="","",I352-J352)</f>
        <v/>
      </c>
      <c r="M352" s="5">
        <f>IF($N352="","",L352-K352)</f>
        <v/>
      </c>
      <c r="N352">
        <f>IF(ROWS($N$2:$N352)&lt;=MAX('Per Line'!$AG$2:$AG$3001),MATCH(ROWS($N$2:$N352),'Per Line'!$AG$2:$AG$3001,0),"")</f>
        <v/>
      </c>
      <c r="O352">
        <f>IF(B352="Above Claim Form",COUNTIF($B$2:B352,"Above Claim Form"),"")</f>
        <v/>
      </c>
      <c r="P352">
        <f>IF(B352="Below Claim Form",COUNTIF($B$2:B352,"Below Claim Form"),"")</f>
        <v/>
      </c>
    </row>
    <row r="353">
      <c r="B353">
        <f>IF($N353="","",IFERROR(INDEX(Settings!$C$27:$C$36,MATCH(E353,Settings!$B$27:$B$36,0)),"Unassigned"))</f>
        <v/>
      </c>
      <c r="C353">
        <f>IF($N353="","",INDEX('Per Line'!$D$2:$D$3001,$N353))</f>
        <v/>
      </c>
      <c r="D353">
        <f>IF($N353="","",INDEX('Per Line'!$C$2:$C$3001,$N353))</f>
        <v/>
      </c>
      <c r="E353">
        <f>IF($N353="","",INDEX('Per Line'!$A$2:$A$3001,$N353))</f>
        <v/>
      </c>
      <c r="H353">
        <f>IF($N353="","",INDEX('Per Line'!$V$2:$V$3001,$N353))</f>
        <v/>
      </c>
      <c r="I353" s="5">
        <f>IF($N353="","",SUMIFS('Per Line'!$X$2:$X$3001,'Per Line'!$D$2:$D$3001,$C353))</f>
        <v/>
      </c>
      <c r="J353" s="5">
        <f>IF($N353="","",SUMIFS('Per Line'!$Y$2:$Y$3001,'Per Line'!$D$2:$D$3001,$C353))</f>
        <v/>
      </c>
      <c r="K353" s="5">
        <f>IF($N353="","",SUMIFS('Per Line'!$Z$2:$Z$3001,'Per Line'!$D$2:$D$3001,$C353))</f>
        <v/>
      </c>
      <c r="L353" s="5">
        <f>IF($N353="","",I353-J353)</f>
        <v/>
      </c>
      <c r="M353" s="5">
        <f>IF($N353="","",L353-K353)</f>
        <v/>
      </c>
      <c r="N353">
        <f>IF(ROWS($N$2:$N353)&lt;=MAX('Per Line'!$AG$2:$AG$3001),MATCH(ROWS($N$2:$N353),'Per Line'!$AG$2:$AG$3001,0),"")</f>
        <v/>
      </c>
      <c r="O353">
        <f>IF(B353="Above Claim Form",COUNTIF($B$2:B353,"Above Claim Form"),"")</f>
        <v/>
      </c>
      <c r="P353">
        <f>IF(B353="Below Claim Form",COUNTIF($B$2:B353,"Below Claim Form"),"")</f>
        <v/>
      </c>
    </row>
    <row r="354">
      <c r="B354">
        <f>IF($N354="","",IFERROR(INDEX(Settings!$C$27:$C$36,MATCH(E354,Settings!$B$27:$B$36,0)),"Unassigned"))</f>
        <v/>
      </c>
      <c r="C354">
        <f>IF($N354="","",INDEX('Per Line'!$D$2:$D$3001,$N354))</f>
        <v/>
      </c>
      <c r="D354">
        <f>IF($N354="","",INDEX('Per Line'!$C$2:$C$3001,$N354))</f>
        <v/>
      </c>
      <c r="E354">
        <f>IF($N354="","",INDEX('Per Line'!$A$2:$A$3001,$N354))</f>
        <v/>
      </c>
      <c r="H354">
        <f>IF($N354="","",INDEX('Per Line'!$V$2:$V$3001,$N354))</f>
        <v/>
      </c>
      <c r="I354" s="5">
        <f>IF($N354="","",SUMIFS('Per Line'!$X$2:$X$3001,'Per Line'!$D$2:$D$3001,$C354))</f>
        <v/>
      </c>
      <c r="J354" s="5">
        <f>IF($N354="","",SUMIFS('Per Line'!$Y$2:$Y$3001,'Per Line'!$D$2:$D$3001,$C354))</f>
        <v/>
      </c>
      <c r="K354" s="5">
        <f>IF($N354="","",SUMIFS('Per Line'!$Z$2:$Z$3001,'Per Line'!$D$2:$D$3001,$C354))</f>
        <v/>
      </c>
      <c r="L354" s="5">
        <f>IF($N354="","",I354-J354)</f>
        <v/>
      </c>
      <c r="M354" s="5">
        <f>IF($N354="","",L354-K354)</f>
        <v/>
      </c>
      <c r="N354">
        <f>IF(ROWS($N$2:$N354)&lt;=MAX('Per Line'!$AG$2:$AG$3001),MATCH(ROWS($N$2:$N354),'Per Line'!$AG$2:$AG$3001,0),"")</f>
        <v/>
      </c>
      <c r="O354">
        <f>IF(B354="Above Claim Form",COUNTIF($B$2:B354,"Above Claim Form"),"")</f>
        <v/>
      </c>
      <c r="P354">
        <f>IF(B354="Below Claim Form",COUNTIF($B$2:B354,"Below Claim Form"),"")</f>
        <v/>
      </c>
    </row>
    <row r="355">
      <c r="B355">
        <f>IF($N355="","",IFERROR(INDEX(Settings!$C$27:$C$36,MATCH(E355,Settings!$B$27:$B$36,0)),"Unassigned"))</f>
        <v/>
      </c>
      <c r="C355">
        <f>IF($N355="","",INDEX('Per Line'!$D$2:$D$3001,$N355))</f>
        <v/>
      </c>
      <c r="D355">
        <f>IF($N355="","",INDEX('Per Line'!$C$2:$C$3001,$N355))</f>
        <v/>
      </c>
      <c r="E355">
        <f>IF($N355="","",INDEX('Per Line'!$A$2:$A$3001,$N355))</f>
        <v/>
      </c>
      <c r="H355">
        <f>IF($N355="","",INDEX('Per Line'!$V$2:$V$3001,$N355))</f>
        <v/>
      </c>
      <c r="I355" s="5">
        <f>IF($N355="","",SUMIFS('Per Line'!$X$2:$X$3001,'Per Line'!$D$2:$D$3001,$C355))</f>
        <v/>
      </c>
      <c r="J355" s="5">
        <f>IF($N355="","",SUMIFS('Per Line'!$Y$2:$Y$3001,'Per Line'!$D$2:$D$3001,$C355))</f>
        <v/>
      </c>
      <c r="K355" s="5">
        <f>IF($N355="","",SUMIFS('Per Line'!$Z$2:$Z$3001,'Per Line'!$D$2:$D$3001,$C355))</f>
        <v/>
      </c>
      <c r="L355" s="5">
        <f>IF($N355="","",I355-J355)</f>
        <v/>
      </c>
      <c r="M355" s="5">
        <f>IF($N355="","",L355-K355)</f>
        <v/>
      </c>
      <c r="N355">
        <f>IF(ROWS($N$2:$N355)&lt;=MAX('Per Line'!$AG$2:$AG$3001),MATCH(ROWS($N$2:$N355),'Per Line'!$AG$2:$AG$3001,0),"")</f>
        <v/>
      </c>
      <c r="O355">
        <f>IF(B355="Above Claim Form",COUNTIF($B$2:B355,"Above Claim Form"),"")</f>
        <v/>
      </c>
      <c r="P355">
        <f>IF(B355="Below Claim Form",COUNTIF($B$2:B355,"Below Claim Form"),"")</f>
        <v/>
      </c>
    </row>
    <row r="356">
      <c r="B356">
        <f>IF($N356="","",IFERROR(INDEX(Settings!$C$27:$C$36,MATCH(E356,Settings!$B$27:$B$36,0)),"Unassigned"))</f>
        <v/>
      </c>
      <c r="C356">
        <f>IF($N356="","",INDEX('Per Line'!$D$2:$D$3001,$N356))</f>
        <v/>
      </c>
      <c r="D356">
        <f>IF($N356="","",INDEX('Per Line'!$C$2:$C$3001,$N356))</f>
        <v/>
      </c>
      <c r="E356">
        <f>IF($N356="","",INDEX('Per Line'!$A$2:$A$3001,$N356))</f>
        <v/>
      </c>
      <c r="H356">
        <f>IF($N356="","",INDEX('Per Line'!$V$2:$V$3001,$N356))</f>
        <v/>
      </c>
      <c r="I356" s="5">
        <f>IF($N356="","",SUMIFS('Per Line'!$X$2:$X$3001,'Per Line'!$D$2:$D$3001,$C356))</f>
        <v/>
      </c>
      <c r="J356" s="5">
        <f>IF($N356="","",SUMIFS('Per Line'!$Y$2:$Y$3001,'Per Line'!$D$2:$D$3001,$C356))</f>
        <v/>
      </c>
      <c r="K356" s="5">
        <f>IF($N356="","",SUMIFS('Per Line'!$Z$2:$Z$3001,'Per Line'!$D$2:$D$3001,$C356))</f>
        <v/>
      </c>
      <c r="L356" s="5">
        <f>IF($N356="","",I356-J356)</f>
        <v/>
      </c>
      <c r="M356" s="5">
        <f>IF($N356="","",L356-K356)</f>
        <v/>
      </c>
      <c r="N356">
        <f>IF(ROWS($N$2:$N356)&lt;=MAX('Per Line'!$AG$2:$AG$3001),MATCH(ROWS($N$2:$N356),'Per Line'!$AG$2:$AG$3001,0),"")</f>
        <v/>
      </c>
      <c r="O356">
        <f>IF(B356="Above Claim Form",COUNTIF($B$2:B356,"Above Claim Form"),"")</f>
        <v/>
      </c>
      <c r="P356">
        <f>IF(B356="Below Claim Form",COUNTIF($B$2:B356,"Below Claim Form"),"")</f>
        <v/>
      </c>
    </row>
    <row r="357">
      <c r="B357">
        <f>IF($N357="","",IFERROR(INDEX(Settings!$C$27:$C$36,MATCH(E357,Settings!$B$27:$B$36,0)),"Unassigned"))</f>
        <v/>
      </c>
      <c r="C357">
        <f>IF($N357="","",INDEX('Per Line'!$D$2:$D$3001,$N357))</f>
        <v/>
      </c>
      <c r="D357">
        <f>IF($N357="","",INDEX('Per Line'!$C$2:$C$3001,$N357))</f>
        <v/>
      </c>
      <c r="E357">
        <f>IF($N357="","",INDEX('Per Line'!$A$2:$A$3001,$N357))</f>
        <v/>
      </c>
      <c r="H357">
        <f>IF($N357="","",INDEX('Per Line'!$V$2:$V$3001,$N357))</f>
        <v/>
      </c>
      <c r="I357" s="5">
        <f>IF($N357="","",SUMIFS('Per Line'!$X$2:$X$3001,'Per Line'!$D$2:$D$3001,$C357))</f>
        <v/>
      </c>
      <c r="J357" s="5">
        <f>IF($N357="","",SUMIFS('Per Line'!$Y$2:$Y$3001,'Per Line'!$D$2:$D$3001,$C357))</f>
        <v/>
      </c>
      <c r="K357" s="5">
        <f>IF($N357="","",SUMIFS('Per Line'!$Z$2:$Z$3001,'Per Line'!$D$2:$D$3001,$C357))</f>
        <v/>
      </c>
      <c r="L357" s="5">
        <f>IF($N357="","",I357-J357)</f>
        <v/>
      </c>
      <c r="M357" s="5">
        <f>IF($N357="","",L357-K357)</f>
        <v/>
      </c>
      <c r="N357">
        <f>IF(ROWS($N$2:$N357)&lt;=MAX('Per Line'!$AG$2:$AG$3001),MATCH(ROWS($N$2:$N357),'Per Line'!$AG$2:$AG$3001,0),"")</f>
        <v/>
      </c>
      <c r="O357">
        <f>IF(B357="Above Claim Form",COUNTIF($B$2:B357,"Above Claim Form"),"")</f>
        <v/>
      </c>
      <c r="P357">
        <f>IF(B357="Below Claim Form",COUNTIF($B$2:B357,"Below Claim Form"),"")</f>
        <v/>
      </c>
    </row>
    <row r="358">
      <c r="B358">
        <f>IF($N358="","",IFERROR(INDEX(Settings!$C$27:$C$36,MATCH(E358,Settings!$B$27:$B$36,0)),"Unassigned"))</f>
        <v/>
      </c>
      <c r="C358">
        <f>IF($N358="","",INDEX('Per Line'!$D$2:$D$3001,$N358))</f>
        <v/>
      </c>
      <c r="D358">
        <f>IF($N358="","",INDEX('Per Line'!$C$2:$C$3001,$N358))</f>
        <v/>
      </c>
      <c r="E358">
        <f>IF($N358="","",INDEX('Per Line'!$A$2:$A$3001,$N358))</f>
        <v/>
      </c>
      <c r="H358">
        <f>IF($N358="","",INDEX('Per Line'!$V$2:$V$3001,$N358))</f>
        <v/>
      </c>
      <c r="I358" s="5">
        <f>IF($N358="","",SUMIFS('Per Line'!$X$2:$X$3001,'Per Line'!$D$2:$D$3001,$C358))</f>
        <v/>
      </c>
      <c r="J358" s="5">
        <f>IF($N358="","",SUMIFS('Per Line'!$Y$2:$Y$3001,'Per Line'!$D$2:$D$3001,$C358))</f>
        <v/>
      </c>
      <c r="K358" s="5">
        <f>IF($N358="","",SUMIFS('Per Line'!$Z$2:$Z$3001,'Per Line'!$D$2:$D$3001,$C358))</f>
        <v/>
      </c>
      <c r="L358" s="5">
        <f>IF($N358="","",I358-J358)</f>
        <v/>
      </c>
      <c r="M358" s="5">
        <f>IF($N358="","",L358-K358)</f>
        <v/>
      </c>
      <c r="N358">
        <f>IF(ROWS($N$2:$N358)&lt;=MAX('Per Line'!$AG$2:$AG$3001),MATCH(ROWS($N$2:$N358),'Per Line'!$AG$2:$AG$3001,0),"")</f>
        <v/>
      </c>
      <c r="O358">
        <f>IF(B358="Above Claim Form",COUNTIF($B$2:B358,"Above Claim Form"),"")</f>
        <v/>
      </c>
      <c r="P358">
        <f>IF(B358="Below Claim Form",COUNTIF($B$2:B358,"Below Claim Form"),"")</f>
        <v/>
      </c>
    </row>
    <row r="359">
      <c r="B359">
        <f>IF($N359="","",IFERROR(INDEX(Settings!$C$27:$C$36,MATCH(E359,Settings!$B$27:$B$36,0)),"Unassigned"))</f>
        <v/>
      </c>
      <c r="C359">
        <f>IF($N359="","",INDEX('Per Line'!$D$2:$D$3001,$N359))</f>
        <v/>
      </c>
      <c r="D359">
        <f>IF($N359="","",INDEX('Per Line'!$C$2:$C$3001,$N359))</f>
        <v/>
      </c>
      <c r="E359">
        <f>IF($N359="","",INDEX('Per Line'!$A$2:$A$3001,$N359))</f>
        <v/>
      </c>
      <c r="H359">
        <f>IF($N359="","",INDEX('Per Line'!$V$2:$V$3001,$N359))</f>
        <v/>
      </c>
      <c r="I359" s="5">
        <f>IF($N359="","",SUMIFS('Per Line'!$X$2:$X$3001,'Per Line'!$D$2:$D$3001,$C359))</f>
        <v/>
      </c>
      <c r="J359" s="5">
        <f>IF($N359="","",SUMIFS('Per Line'!$Y$2:$Y$3001,'Per Line'!$D$2:$D$3001,$C359))</f>
        <v/>
      </c>
      <c r="K359" s="5">
        <f>IF($N359="","",SUMIFS('Per Line'!$Z$2:$Z$3001,'Per Line'!$D$2:$D$3001,$C359))</f>
        <v/>
      </c>
      <c r="L359" s="5">
        <f>IF($N359="","",I359-J359)</f>
        <v/>
      </c>
      <c r="M359" s="5">
        <f>IF($N359="","",L359-K359)</f>
        <v/>
      </c>
      <c r="N359">
        <f>IF(ROWS($N$2:$N359)&lt;=MAX('Per Line'!$AG$2:$AG$3001),MATCH(ROWS($N$2:$N359),'Per Line'!$AG$2:$AG$3001,0),"")</f>
        <v/>
      </c>
      <c r="O359">
        <f>IF(B359="Above Claim Form",COUNTIF($B$2:B359,"Above Claim Form"),"")</f>
        <v/>
      </c>
      <c r="P359">
        <f>IF(B359="Below Claim Form",COUNTIF($B$2:B359,"Below Claim Form"),"")</f>
        <v/>
      </c>
    </row>
    <row r="360">
      <c r="B360">
        <f>IF($N360="","",IFERROR(INDEX(Settings!$C$27:$C$36,MATCH(E360,Settings!$B$27:$B$36,0)),"Unassigned"))</f>
        <v/>
      </c>
      <c r="C360">
        <f>IF($N360="","",INDEX('Per Line'!$D$2:$D$3001,$N360))</f>
        <v/>
      </c>
      <c r="D360">
        <f>IF($N360="","",INDEX('Per Line'!$C$2:$C$3001,$N360))</f>
        <v/>
      </c>
      <c r="E360">
        <f>IF($N360="","",INDEX('Per Line'!$A$2:$A$3001,$N360))</f>
        <v/>
      </c>
      <c r="H360">
        <f>IF($N360="","",INDEX('Per Line'!$V$2:$V$3001,$N360))</f>
        <v/>
      </c>
      <c r="I360" s="5">
        <f>IF($N360="","",SUMIFS('Per Line'!$X$2:$X$3001,'Per Line'!$D$2:$D$3001,$C360))</f>
        <v/>
      </c>
      <c r="J360" s="5">
        <f>IF($N360="","",SUMIFS('Per Line'!$Y$2:$Y$3001,'Per Line'!$D$2:$D$3001,$C360))</f>
        <v/>
      </c>
      <c r="K360" s="5">
        <f>IF($N360="","",SUMIFS('Per Line'!$Z$2:$Z$3001,'Per Line'!$D$2:$D$3001,$C360))</f>
        <v/>
      </c>
      <c r="L360" s="5">
        <f>IF($N360="","",I360-J360)</f>
        <v/>
      </c>
      <c r="M360" s="5">
        <f>IF($N360="","",L360-K360)</f>
        <v/>
      </c>
      <c r="N360">
        <f>IF(ROWS($N$2:$N360)&lt;=MAX('Per Line'!$AG$2:$AG$3001),MATCH(ROWS($N$2:$N360),'Per Line'!$AG$2:$AG$3001,0),"")</f>
        <v/>
      </c>
      <c r="O360">
        <f>IF(B360="Above Claim Form",COUNTIF($B$2:B360,"Above Claim Form"),"")</f>
        <v/>
      </c>
      <c r="P360">
        <f>IF(B360="Below Claim Form",COUNTIF($B$2:B360,"Below Claim Form"),"")</f>
        <v/>
      </c>
    </row>
    <row r="361">
      <c r="B361">
        <f>IF($N361="","",IFERROR(INDEX(Settings!$C$27:$C$36,MATCH(E361,Settings!$B$27:$B$36,0)),"Unassigned"))</f>
        <v/>
      </c>
      <c r="C361">
        <f>IF($N361="","",INDEX('Per Line'!$D$2:$D$3001,$N361))</f>
        <v/>
      </c>
      <c r="D361">
        <f>IF($N361="","",INDEX('Per Line'!$C$2:$C$3001,$N361))</f>
        <v/>
      </c>
      <c r="E361">
        <f>IF($N361="","",INDEX('Per Line'!$A$2:$A$3001,$N361))</f>
        <v/>
      </c>
      <c r="H361">
        <f>IF($N361="","",INDEX('Per Line'!$V$2:$V$3001,$N361))</f>
        <v/>
      </c>
      <c r="I361" s="5">
        <f>IF($N361="","",SUMIFS('Per Line'!$X$2:$X$3001,'Per Line'!$D$2:$D$3001,$C361))</f>
        <v/>
      </c>
      <c r="J361" s="5">
        <f>IF($N361="","",SUMIFS('Per Line'!$Y$2:$Y$3001,'Per Line'!$D$2:$D$3001,$C361))</f>
        <v/>
      </c>
      <c r="K361" s="5">
        <f>IF($N361="","",SUMIFS('Per Line'!$Z$2:$Z$3001,'Per Line'!$D$2:$D$3001,$C361))</f>
        <v/>
      </c>
      <c r="L361" s="5">
        <f>IF($N361="","",I361-J361)</f>
        <v/>
      </c>
      <c r="M361" s="5">
        <f>IF($N361="","",L361-K361)</f>
        <v/>
      </c>
      <c r="N361">
        <f>IF(ROWS($N$2:$N361)&lt;=MAX('Per Line'!$AG$2:$AG$3001),MATCH(ROWS($N$2:$N361),'Per Line'!$AG$2:$AG$3001,0),"")</f>
        <v/>
      </c>
      <c r="O361">
        <f>IF(B361="Above Claim Form",COUNTIF($B$2:B361,"Above Claim Form"),"")</f>
        <v/>
      </c>
      <c r="P361">
        <f>IF(B361="Below Claim Form",COUNTIF($B$2:B361,"Below Claim Form"),"")</f>
        <v/>
      </c>
    </row>
    <row r="362">
      <c r="B362">
        <f>IF($N362="","",IFERROR(INDEX(Settings!$C$27:$C$36,MATCH(E362,Settings!$B$27:$B$36,0)),"Unassigned"))</f>
        <v/>
      </c>
      <c r="C362">
        <f>IF($N362="","",INDEX('Per Line'!$D$2:$D$3001,$N362))</f>
        <v/>
      </c>
      <c r="D362">
        <f>IF($N362="","",INDEX('Per Line'!$C$2:$C$3001,$N362))</f>
        <v/>
      </c>
      <c r="E362">
        <f>IF($N362="","",INDEX('Per Line'!$A$2:$A$3001,$N362))</f>
        <v/>
      </c>
      <c r="H362">
        <f>IF($N362="","",INDEX('Per Line'!$V$2:$V$3001,$N362))</f>
        <v/>
      </c>
      <c r="I362" s="5">
        <f>IF($N362="","",SUMIFS('Per Line'!$X$2:$X$3001,'Per Line'!$D$2:$D$3001,$C362))</f>
        <v/>
      </c>
      <c r="J362" s="5">
        <f>IF($N362="","",SUMIFS('Per Line'!$Y$2:$Y$3001,'Per Line'!$D$2:$D$3001,$C362))</f>
        <v/>
      </c>
      <c r="K362" s="5">
        <f>IF($N362="","",SUMIFS('Per Line'!$Z$2:$Z$3001,'Per Line'!$D$2:$D$3001,$C362))</f>
        <v/>
      </c>
      <c r="L362" s="5">
        <f>IF($N362="","",I362-J362)</f>
        <v/>
      </c>
      <c r="M362" s="5">
        <f>IF($N362="","",L362-K362)</f>
        <v/>
      </c>
      <c r="N362">
        <f>IF(ROWS($N$2:$N362)&lt;=MAX('Per Line'!$AG$2:$AG$3001),MATCH(ROWS($N$2:$N362),'Per Line'!$AG$2:$AG$3001,0),"")</f>
        <v/>
      </c>
      <c r="O362">
        <f>IF(B362="Above Claim Form",COUNTIF($B$2:B362,"Above Claim Form"),"")</f>
        <v/>
      </c>
      <c r="P362">
        <f>IF(B362="Below Claim Form",COUNTIF($B$2:B362,"Below Claim Form"),"")</f>
        <v/>
      </c>
    </row>
    <row r="363">
      <c r="B363">
        <f>IF($N363="","",IFERROR(INDEX(Settings!$C$27:$C$36,MATCH(E363,Settings!$B$27:$B$36,0)),"Unassigned"))</f>
        <v/>
      </c>
      <c r="C363">
        <f>IF($N363="","",INDEX('Per Line'!$D$2:$D$3001,$N363))</f>
        <v/>
      </c>
      <c r="D363">
        <f>IF($N363="","",INDEX('Per Line'!$C$2:$C$3001,$N363))</f>
        <v/>
      </c>
      <c r="E363">
        <f>IF($N363="","",INDEX('Per Line'!$A$2:$A$3001,$N363))</f>
        <v/>
      </c>
      <c r="H363">
        <f>IF($N363="","",INDEX('Per Line'!$V$2:$V$3001,$N363))</f>
        <v/>
      </c>
      <c r="I363" s="5">
        <f>IF($N363="","",SUMIFS('Per Line'!$X$2:$X$3001,'Per Line'!$D$2:$D$3001,$C363))</f>
        <v/>
      </c>
      <c r="J363" s="5">
        <f>IF($N363="","",SUMIFS('Per Line'!$Y$2:$Y$3001,'Per Line'!$D$2:$D$3001,$C363))</f>
        <v/>
      </c>
      <c r="K363" s="5">
        <f>IF($N363="","",SUMIFS('Per Line'!$Z$2:$Z$3001,'Per Line'!$D$2:$D$3001,$C363))</f>
        <v/>
      </c>
      <c r="L363" s="5">
        <f>IF($N363="","",I363-J363)</f>
        <v/>
      </c>
      <c r="M363" s="5">
        <f>IF($N363="","",L363-K363)</f>
        <v/>
      </c>
      <c r="N363">
        <f>IF(ROWS($N$2:$N363)&lt;=MAX('Per Line'!$AG$2:$AG$3001),MATCH(ROWS($N$2:$N363),'Per Line'!$AG$2:$AG$3001,0),"")</f>
        <v/>
      </c>
      <c r="O363">
        <f>IF(B363="Above Claim Form",COUNTIF($B$2:B363,"Above Claim Form"),"")</f>
        <v/>
      </c>
      <c r="P363">
        <f>IF(B363="Below Claim Form",COUNTIF($B$2:B363,"Below Claim Form"),"")</f>
        <v/>
      </c>
    </row>
    <row r="364">
      <c r="B364">
        <f>IF($N364="","",IFERROR(INDEX(Settings!$C$27:$C$36,MATCH(E364,Settings!$B$27:$B$36,0)),"Unassigned"))</f>
        <v/>
      </c>
      <c r="C364">
        <f>IF($N364="","",INDEX('Per Line'!$D$2:$D$3001,$N364))</f>
        <v/>
      </c>
      <c r="D364">
        <f>IF($N364="","",INDEX('Per Line'!$C$2:$C$3001,$N364))</f>
        <v/>
      </c>
      <c r="E364">
        <f>IF($N364="","",INDEX('Per Line'!$A$2:$A$3001,$N364))</f>
        <v/>
      </c>
      <c r="H364">
        <f>IF($N364="","",INDEX('Per Line'!$V$2:$V$3001,$N364))</f>
        <v/>
      </c>
      <c r="I364" s="5">
        <f>IF($N364="","",SUMIFS('Per Line'!$X$2:$X$3001,'Per Line'!$D$2:$D$3001,$C364))</f>
        <v/>
      </c>
      <c r="J364" s="5">
        <f>IF($N364="","",SUMIFS('Per Line'!$Y$2:$Y$3001,'Per Line'!$D$2:$D$3001,$C364))</f>
        <v/>
      </c>
      <c r="K364" s="5">
        <f>IF($N364="","",SUMIFS('Per Line'!$Z$2:$Z$3001,'Per Line'!$D$2:$D$3001,$C364))</f>
        <v/>
      </c>
      <c r="L364" s="5">
        <f>IF($N364="","",I364-J364)</f>
        <v/>
      </c>
      <c r="M364" s="5">
        <f>IF($N364="","",L364-K364)</f>
        <v/>
      </c>
      <c r="N364">
        <f>IF(ROWS($N$2:$N364)&lt;=MAX('Per Line'!$AG$2:$AG$3001),MATCH(ROWS($N$2:$N364),'Per Line'!$AG$2:$AG$3001,0),"")</f>
        <v/>
      </c>
      <c r="O364">
        <f>IF(B364="Above Claim Form",COUNTIF($B$2:B364,"Above Claim Form"),"")</f>
        <v/>
      </c>
      <c r="P364">
        <f>IF(B364="Below Claim Form",COUNTIF($B$2:B364,"Below Claim Form"),"")</f>
        <v/>
      </c>
    </row>
    <row r="365">
      <c r="B365">
        <f>IF($N365="","",IFERROR(INDEX(Settings!$C$27:$C$36,MATCH(E365,Settings!$B$27:$B$36,0)),"Unassigned"))</f>
        <v/>
      </c>
      <c r="C365">
        <f>IF($N365="","",INDEX('Per Line'!$D$2:$D$3001,$N365))</f>
        <v/>
      </c>
      <c r="D365">
        <f>IF($N365="","",INDEX('Per Line'!$C$2:$C$3001,$N365))</f>
        <v/>
      </c>
      <c r="E365">
        <f>IF($N365="","",INDEX('Per Line'!$A$2:$A$3001,$N365))</f>
        <v/>
      </c>
      <c r="H365">
        <f>IF($N365="","",INDEX('Per Line'!$V$2:$V$3001,$N365))</f>
        <v/>
      </c>
      <c r="I365" s="5">
        <f>IF($N365="","",SUMIFS('Per Line'!$X$2:$X$3001,'Per Line'!$D$2:$D$3001,$C365))</f>
        <v/>
      </c>
      <c r="J365" s="5">
        <f>IF($N365="","",SUMIFS('Per Line'!$Y$2:$Y$3001,'Per Line'!$D$2:$D$3001,$C365))</f>
        <v/>
      </c>
      <c r="K365" s="5">
        <f>IF($N365="","",SUMIFS('Per Line'!$Z$2:$Z$3001,'Per Line'!$D$2:$D$3001,$C365))</f>
        <v/>
      </c>
      <c r="L365" s="5">
        <f>IF($N365="","",I365-J365)</f>
        <v/>
      </c>
      <c r="M365" s="5">
        <f>IF($N365="","",L365-K365)</f>
        <v/>
      </c>
      <c r="N365">
        <f>IF(ROWS($N$2:$N365)&lt;=MAX('Per Line'!$AG$2:$AG$3001),MATCH(ROWS($N$2:$N365),'Per Line'!$AG$2:$AG$3001,0),"")</f>
        <v/>
      </c>
      <c r="O365">
        <f>IF(B365="Above Claim Form",COUNTIF($B$2:B365,"Above Claim Form"),"")</f>
        <v/>
      </c>
      <c r="P365">
        <f>IF(B365="Below Claim Form",COUNTIF($B$2:B365,"Below Claim Form"),"")</f>
        <v/>
      </c>
    </row>
    <row r="366">
      <c r="B366">
        <f>IF($N366="","",IFERROR(INDEX(Settings!$C$27:$C$36,MATCH(E366,Settings!$B$27:$B$36,0)),"Unassigned"))</f>
        <v/>
      </c>
      <c r="C366">
        <f>IF($N366="","",INDEX('Per Line'!$D$2:$D$3001,$N366))</f>
        <v/>
      </c>
      <c r="D366">
        <f>IF($N366="","",INDEX('Per Line'!$C$2:$C$3001,$N366))</f>
        <v/>
      </c>
      <c r="E366">
        <f>IF($N366="","",INDEX('Per Line'!$A$2:$A$3001,$N366))</f>
        <v/>
      </c>
      <c r="H366">
        <f>IF($N366="","",INDEX('Per Line'!$V$2:$V$3001,$N366))</f>
        <v/>
      </c>
      <c r="I366" s="5">
        <f>IF($N366="","",SUMIFS('Per Line'!$X$2:$X$3001,'Per Line'!$D$2:$D$3001,$C366))</f>
        <v/>
      </c>
      <c r="J366" s="5">
        <f>IF($N366="","",SUMIFS('Per Line'!$Y$2:$Y$3001,'Per Line'!$D$2:$D$3001,$C366))</f>
        <v/>
      </c>
      <c r="K366" s="5">
        <f>IF($N366="","",SUMIFS('Per Line'!$Z$2:$Z$3001,'Per Line'!$D$2:$D$3001,$C366))</f>
        <v/>
      </c>
      <c r="L366" s="5">
        <f>IF($N366="","",I366-J366)</f>
        <v/>
      </c>
      <c r="M366" s="5">
        <f>IF($N366="","",L366-K366)</f>
        <v/>
      </c>
      <c r="N366">
        <f>IF(ROWS($N$2:$N366)&lt;=MAX('Per Line'!$AG$2:$AG$3001),MATCH(ROWS($N$2:$N366),'Per Line'!$AG$2:$AG$3001,0),"")</f>
        <v/>
      </c>
      <c r="O366">
        <f>IF(B366="Above Claim Form",COUNTIF($B$2:B366,"Above Claim Form"),"")</f>
        <v/>
      </c>
      <c r="P366">
        <f>IF(B366="Below Claim Form",COUNTIF($B$2:B366,"Below Claim Form"),"")</f>
        <v/>
      </c>
    </row>
    <row r="367">
      <c r="B367">
        <f>IF($N367="","",IFERROR(INDEX(Settings!$C$27:$C$36,MATCH(E367,Settings!$B$27:$B$36,0)),"Unassigned"))</f>
        <v/>
      </c>
      <c r="C367">
        <f>IF($N367="","",INDEX('Per Line'!$D$2:$D$3001,$N367))</f>
        <v/>
      </c>
      <c r="D367">
        <f>IF($N367="","",INDEX('Per Line'!$C$2:$C$3001,$N367))</f>
        <v/>
      </c>
      <c r="E367">
        <f>IF($N367="","",INDEX('Per Line'!$A$2:$A$3001,$N367))</f>
        <v/>
      </c>
      <c r="H367">
        <f>IF($N367="","",INDEX('Per Line'!$V$2:$V$3001,$N367))</f>
        <v/>
      </c>
      <c r="I367" s="5">
        <f>IF($N367="","",SUMIFS('Per Line'!$X$2:$X$3001,'Per Line'!$D$2:$D$3001,$C367))</f>
        <v/>
      </c>
      <c r="J367" s="5">
        <f>IF($N367="","",SUMIFS('Per Line'!$Y$2:$Y$3001,'Per Line'!$D$2:$D$3001,$C367))</f>
        <v/>
      </c>
      <c r="K367" s="5">
        <f>IF($N367="","",SUMIFS('Per Line'!$Z$2:$Z$3001,'Per Line'!$D$2:$D$3001,$C367))</f>
        <v/>
      </c>
      <c r="L367" s="5">
        <f>IF($N367="","",I367-J367)</f>
        <v/>
      </c>
      <c r="M367" s="5">
        <f>IF($N367="","",L367-K367)</f>
        <v/>
      </c>
      <c r="N367">
        <f>IF(ROWS($N$2:$N367)&lt;=MAX('Per Line'!$AG$2:$AG$3001),MATCH(ROWS($N$2:$N367),'Per Line'!$AG$2:$AG$3001,0),"")</f>
        <v/>
      </c>
      <c r="O367">
        <f>IF(B367="Above Claim Form",COUNTIF($B$2:B367,"Above Claim Form"),"")</f>
        <v/>
      </c>
      <c r="P367">
        <f>IF(B367="Below Claim Form",COUNTIF($B$2:B367,"Below Claim Form"),"")</f>
        <v/>
      </c>
    </row>
    <row r="368">
      <c r="B368">
        <f>IF($N368="","",IFERROR(INDEX(Settings!$C$27:$C$36,MATCH(E368,Settings!$B$27:$B$36,0)),"Unassigned"))</f>
        <v/>
      </c>
      <c r="C368">
        <f>IF($N368="","",INDEX('Per Line'!$D$2:$D$3001,$N368))</f>
        <v/>
      </c>
      <c r="D368">
        <f>IF($N368="","",INDEX('Per Line'!$C$2:$C$3001,$N368))</f>
        <v/>
      </c>
      <c r="E368">
        <f>IF($N368="","",INDEX('Per Line'!$A$2:$A$3001,$N368))</f>
        <v/>
      </c>
      <c r="H368">
        <f>IF($N368="","",INDEX('Per Line'!$V$2:$V$3001,$N368))</f>
        <v/>
      </c>
      <c r="I368" s="5">
        <f>IF($N368="","",SUMIFS('Per Line'!$X$2:$X$3001,'Per Line'!$D$2:$D$3001,$C368))</f>
        <v/>
      </c>
      <c r="J368" s="5">
        <f>IF($N368="","",SUMIFS('Per Line'!$Y$2:$Y$3001,'Per Line'!$D$2:$D$3001,$C368))</f>
        <v/>
      </c>
      <c r="K368" s="5">
        <f>IF($N368="","",SUMIFS('Per Line'!$Z$2:$Z$3001,'Per Line'!$D$2:$D$3001,$C368))</f>
        <v/>
      </c>
      <c r="L368" s="5">
        <f>IF($N368="","",I368-J368)</f>
        <v/>
      </c>
      <c r="M368" s="5">
        <f>IF($N368="","",L368-K368)</f>
        <v/>
      </c>
      <c r="N368">
        <f>IF(ROWS($N$2:$N368)&lt;=MAX('Per Line'!$AG$2:$AG$3001),MATCH(ROWS($N$2:$N368),'Per Line'!$AG$2:$AG$3001,0),"")</f>
        <v/>
      </c>
      <c r="O368">
        <f>IF(B368="Above Claim Form",COUNTIF($B$2:B368,"Above Claim Form"),"")</f>
        <v/>
      </c>
      <c r="P368">
        <f>IF(B368="Below Claim Form",COUNTIF($B$2:B368,"Below Claim Form"),"")</f>
        <v/>
      </c>
    </row>
    <row r="369">
      <c r="B369">
        <f>IF($N369="","",IFERROR(INDEX(Settings!$C$27:$C$36,MATCH(E369,Settings!$B$27:$B$36,0)),"Unassigned"))</f>
        <v/>
      </c>
      <c r="C369">
        <f>IF($N369="","",INDEX('Per Line'!$D$2:$D$3001,$N369))</f>
        <v/>
      </c>
      <c r="D369">
        <f>IF($N369="","",INDEX('Per Line'!$C$2:$C$3001,$N369))</f>
        <v/>
      </c>
      <c r="E369">
        <f>IF($N369="","",INDEX('Per Line'!$A$2:$A$3001,$N369))</f>
        <v/>
      </c>
      <c r="H369">
        <f>IF($N369="","",INDEX('Per Line'!$V$2:$V$3001,$N369))</f>
        <v/>
      </c>
      <c r="I369" s="5">
        <f>IF($N369="","",SUMIFS('Per Line'!$X$2:$X$3001,'Per Line'!$D$2:$D$3001,$C369))</f>
        <v/>
      </c>
      <c r="J369" s="5">
        <f>IF($N369="","",SUMIFS('Per Line'!$Y$2:$Y$3001,'Per Line'!$D$2:$D$3001,$C369))</f>
        <v/>
      </c>
      <c r="K369" s="5">
        <f>IF($N369="","",SUMIFS('Per Line'!$Z$2:$Z$3001,'Per Line'!$D$2:$D$3001,$C369))</f>
        <v/>
      </c>
      <c r="L369" s="5">
        <f>IF($N369="","",I369-J369)</f>
        <v/>
      </c>
      <c r="M369" s="5">
        <f>IF($N369="","",L369-K369)</f>
        <v/>
      </c>
      <c r="N369">
        <f>IF(ROWS($N$2:$N369)&lt;=MAX('Per Line'!$AG$2:$AG$3001),MATCH(ROWS($N$2:$N369),'Per Line'!$AG$2:$AG$3001,0),"")</f>
        <v/>
      </c>
      <c r="O369">
        <f>IF(B369="Above Claim Form",COUNTIF($B$2:B369,"Above Claim Form"),"")</f>
        <v/>
      </c>
      <c r="P369">
        <f>IF(B369="Below Claim Form",COUNTIF($B$2:B369,"Below Claim Form"),"")</f>
        <v/>
      </c>
    </row>
    <row r="370">
      <c r="B370">
        <f>IF($N370="","",IFERROR(INDEX(Settings!$C$27:$C$36,MATCH(E370,Settings!$B$27:$B$36,0)),"Unassigned"))</f>
        <v/>
      </c>
      <c r="C370">
        <f>IF($N370="","",INDEX('Per Line'!$D$2:$D$3001,$N370))</f>
        <v/>
      </c>
      <c r="D370">
        <f>IF($N370="","",INDEX('Per Line'!$C$2:$C$3001,$N370))</f>
        <v/>
      </c>
      <c r="E370">
        <f>IF($N370="","",INDEX('Per Line'!$A$2:$A$3001,$N370))</f>
        <v/>
      </c>
      <c r="H370">
        <f>IF($N370="","",INDEX('Per Line'!$V$2:$V$3001,$N370))</f>
        <v/>
      </c>
      <c r="I370" s="5">
        <f>IF($N370="","",SUMIFS('Per Line'!$X$2:$X$3001,'Per Line'!$D$2:$D$3001,$C370))</f>
        <v/>
      </c>
      <c r="J370" s="5">
        <f>IF($N370="","",SUMIFS('Per Line'!$Y$2:$Y$3001,'Per Line'!$D$2:$D$3001,$C370))</f>
        <v/>
      </c>
      <c r="K370" s="5">
        <f>IF($N370="","",SUMIFS('Per Line'!$Z$2:$Z$3001,'Per Line'!$D$2:$D$3001,$C370))</f>
        <v/>
      </c>
      <c r="L370" s="5">
        <f>IF($N370="","",I370-J370)</f>
        <v/>
      </c>
      <c r="M370" s="5">
        <f>IF($N370="","",L370-K370)</f>
        <v/>
      </c>
      <c r="N370">
        <f>IF(ROWS($N$2:$N370)&lt;=MAX('Per Line'!$AG$2:$AG$3001),MATCH(ROWS($N$2:$N370),'Per Line'!$AG$2:$AG$3001,0),"")</f>
        <v/>
      </c>
      <c r="O370">
        <f>IF(B370="Above Claim Form",COUNTIF($B$2:B370,"Above Claim Form"),"")</f>
        <v/>
      </c>
      <c r="P370">
        <f>IF(B370="Below Claim Form",COUNTIF($B$2:B370,"Below Claim Form"),"")</f>
        <v/>
      </c>
    </row>
    <row r="371">
      <c r="B371">
        <f>IF($N371="","",IFERROR(INDEX(Settings!$C$27:$C$36,MATCH(E371,Settings!$B$27:$B$36,0)),"Unassigned"))</f>
        <v/>
      </c>
      <c r="C371">
        <f>IF($N371="","",INDEX('Per Line'!$D$2:$D$3001,$N371))</f>
        <v/>
      </c>
      <c r="D371">
        <f>IF($N371="","",INDEX('Per Line'!$C$2:$C$3001,$N371))</f>
        <v/>
      </c>
      <c r="E371">
        <f>IF($N371="","",INDEX('Per Line'!$A$2:$A$3001,$N371))</f>
        <v/>
      </c>
      <c r="H371">
        <f>IF($N371="","",INDEX('Per Line'!$V$2:$V$3001,$N371))</f>
        <v/>
      </c>
      <c r="I371" s="5">
        <f>IF($N371="","",SUMIFS('Per Line'!$X$2:$X$3001,'Per Line'!$D$2:$D$3001,$C371))</f>
        <v/>
      </c>
      <c r="J371" s="5">
        <f>IF($N371="","",SUMIFS('Per Line'!$Y$2:$Y$3001,'Per Line'!$D$2:$D$3001,$C371))</f>
        <v/>
      </c>
      <c r="K371" s="5">
        <f>IF($N371="","",SUMIFS('Per Line'!$Z$2:$Z$3001,'Per Line'!$D$2:$D$3001,$C371))</f>
        <v/>
      </c>
      <c r="L371" s="5">
        <f>IF($N371="","",I371-J371)</f>
        <v/>
      </c>
      <c r="M371" s="5">
        <f>IF($N371="","",L371-K371)</f>
        <v/>
      </c>
      <c r="N371">
        <f>IF(ROWS($N$2:$N371)&lt;=MAX('Per Line'!$AG$2:$AG$3001),MATCH(ROWS($N$2:$N371),'Per Line'!$AG$2:$AG$3001,0),"")</f>
        <v/>
      </c>
      <c r="O371">
        <f>IF(B371="Above Claim Form",COUNTIF($B$2:B371,"Above Claim Form"),"")</f>
        <v/>
      </c>
      <c r="P371">
        <f>IF(B371="Below Claim Form",COUNTIF($B$2:B371,"Below Claim Form"),"")</f>
        <v/>
      </c>
    </row>
    <row r="372">
      <c r="B372">
        <f>IF($N372="","",IFERROR(INDEX(Settings!$C$27:$C$36,MATCH(E372,Settings!$B$27:$B$36,0)),"Unassigned"))</f>
        <v/>
      </c>
      <c r="C372">
        <f>IF($N372="","",INDEX('Per Line'!$D$2:$D$3001,$N372))</f>
        <v/>
      </c>
      <c r="D372">
        <f>IF($N372="","",INDEX('Per Line'!$C$2:$C$3001,$N372))</f>
        <v/>
      </c>
      <c r="E372">
        <f>IF($N372="","",INDEX('Per Line'!$A$2:$A$3001,$N372))</f>
        <v/>
      </c>
      <c r="H372">
        <f>IF($N372="","",INDEX('Per Line'!$V$2:$V$3001,$N372))</f>
        <v/>
      </c>
      <c r="I372" s="5">
        <f>IF($N372="","",SUMIFS('Per Line'!$X$2:$X$3001,'Per Line'!$D$2:$D$3001,$C372))</f>
        <v/>
      </c>
      <c r="J372" s="5">
        <f>IF($N372="","",SUMIFS('Per Line'!$Y$2:$Y$3001,'Per Line'!$D$2:$D$3001,$C372))</f>
        <v/>
      </c>
      <c r="K372" s="5">
        <f>IF($N372="","",SUMIFS('Per Line'!$Z$2:$Z$3001,'Per Line'!$D$2:$D$3001,$C372))</f>
        <v/>
      </c>
      <c r="L372" s="5">
        <f>IF($N372="","",I372-J372)</f>
        <v/>
      </c>
      <c r="M372" s="5">
        <f>IF($N372="","",L372-K372)</f>
        <v/>
      </c>
      <c r="N372">
        <f>IF(ROWS($N$2:$N372)&lt;=MAX('Per Line'!$AG$2:$AG$3001),MATCH(ROWS($N$2:$N372),'Per Line'!$AG$2:$AG$3001,0),"")</f>
        <v/>
      </c>
      <c r="O372">
        <f>IF(B372="Above Claim Form",COUNTIF($B$2:B372,"Above Claim Form"),"")</f>
        <v/>
      </c>
      <c r="P372">
        <f>IF(B372="Below Claim Form",COUNTIF($B$2:B372,"Below Claim Form"),"")</f>
        <v/>
      </c>
    </row>
    <row r="373">
      <c r="B373">
        <f>IF($N373="","",IFERROR(INDEX(Settings!$C$27:$C$36,MATCH(E373,Settings!$B$27:$B$36,0)),"Unassigned"))</f>
        <v/>
      </c>
      <c r="C373">
        <f>IF($N373="","",INDEX('Per Line'!$D$2:$D$3001,$N373))</f>
        <v/>
      </c>
      <c r="D373">
        <f>IF($N373="","",INDEX('Per Line'!$C$2:$C$3001,$N373))</f>
        <v/>
      </c>
      <c r="E373">
        <f>IF($N373="","",INDEX('Per Line'!$A$2:$A$3001,$N373))</f>
        <v/>
      </c>
      <c r="H373">
        <f>IF($N373="","",INDEX('Per Line'!$V$2:$V$3001,$N373))</f>
        <v/>
      </c>
      <c r="I373" s="5">
        <f>IF($N373="","",SUMIFS('Per Line'!$X$2:$X$3001,'Per Line'!$D$2:$D$3001,$C373))</f>
        <v/>
      </c>
      <c r="J373" s="5">
        <f>IF($N373="","",SUMIFS('Per Line'!$Y$2:$Y$3001,'Per Line'!$D$2:$D$3001,$C373))</f>
        <v/>
      </c>
      <c r="K373" s="5">
        <f>IF($N373="","",SUMIFS('Per Line'!$Z$2:$Z$3001,'Per Line'!$D$2:$D$3001,$C373))</f>
        <v/>
      </c>
      <c r="L373" s="5">
        <f>IF($N373="","",I373-J373)</f>
        <v/>
      </c>
      <c r="M373" s="5">
        <f>IF($N373="","",L373-K373)</f>
        <v/>
      </c>
      <c r="N373">
        <f>IF(ROWS($N$2:$N373)&lt;=MAX('Per Line'!$AG$2:$AG$3001),MATCH(ROWS($N$2:$N373),'Per Line'!$AG$2:$AG$3001,0),"")</f>
        <v/>
      </c>
      <c r="O373">
        <f>IF(B373="Above Claim Form",COUNTIF($B$2:B373,"Above Claim Form"),"")</f>
        <v/>
      </c>
      <c r="P373">
        <f>IF(B373="Below Claim Form",COUNTIF($B$2:B373,"Below Claim Form"),"")</f>
        <v/>
      </c>
    </row>
    <row r="374">
      <c r="B374">
        <f>IF($N374="","",IFERROR(INDEX(Settings!$C$27:$C$36,MATCH(E374,Settings!$B$27:$B$36,0)),"Unassigned"))</f>
        <v/>
      </c>
      <c r="C374">
        <f>IF($N374="","",INDEX('Per Line'!$D$2:$D$3001,$N374))</f>
        <v/>
      </c>
      <c r="D374">
        <f>IF($N374="","",INDEX('Per Line'!$C$2:$C$3001,$N374))</f>
        <v/>
      </c>
      <c r="E374">
        <f>IF($N374="","",INDEX('Per Line'!$A$2:$A$3001,$N374))</f>
        <v/>
      </c>
      <c r="H374">
        <f>IF($N374="","",INDEX('Per Line'!$V$2:$V$3001,$N374))</f>
        <v/>
      </c>
      <c r="I374" s="5">
        <f>IF($N374="","",SUMIFS('Per Line'!$X$2:$X$3001,'Per Line'!$D$2:$D$3001,$C374))</f>
        <v/>
      </c>
      <c r="J374" s="5">
        <f>IF($N374="","",SUMIFS('Per Line'!$Y$2:$Y$3001,'Per Line'!$D$2:$D$3001,$C374))</f>
        <v/>
      </c>
      <c r="K374" s="5">
        <f>IF($N374="","",SUMIFS('Per Line'!$Z$2:$Z$3001,'Per Line'!$D$2:$D$3001,$C374))</f>
        <v/>
      </c>
      <c r="L374" s="5">
        <f>IF($N374="","",I374-J374)</f>
        <v/>
      </c>
      <c r="M374" s="5">
        <f>IF($N374="","",L374-K374)</f>
        <v/>
      </c>
      <c r="N374">
        <f>IF(ROWS($N$2:$N374)&lt;=MAX('Per Line'!$AG$2:$AG$3001),MATCH(ROWS($N$2:$N374),'Per Line'!$AG$2:$AG$3001,0),"")</f>
        <v/>
      </c>
      <c r="O374">
        <f>IF(B374="Above Claim Form",COUNTIF($B$2:B374,"Above Claim Form"),"")</f>
        <v/>
      </c>
      <c r="P374">
        <f>IF(B374="Below Claim Form",COUNTIF($B$2:B374,"Below Claim Form"),"")</f>
        <v/>
      </c>
    </row>
    <row r="375">
      <c r="B375">
        <f>IF($N375="","",IFERROR(INDEX(Settings!$C$27:$C$36,MATCH(E375,Settings!$B$27:$B$36,0)),"Unassigned"))</f>
        <v/>
      </c>
      <c r="C375">
        <f>IF($N375="","",INDEX('Per Line'!$D$2:$D$3001,$N375))</f>
        <v/>
      </c>
      <c r="D375">
        <f>IF($N375="","",INDEX('Per Line'!$C$2:$C$3001,$N375))</f>
        <v/>
      </c>
      <c r="E375">
        <f>IF($N375="","",INDEX('Per Line'!$A$2:$A$3001,$N375))</f>
        <v/>
      </c>
      <c r="H375">
        <f>IF($N375="","",INDEX('Per Line'!$V$2:$V$3001,$N375))</f>
        <v/>
      </c>
      <c r="I375" s="5">
        <f>IF($N375="","",SUMIFS('Per Line'!$X$2:$X$3001,'Per Line'!$D$2:$D$3001,$C375))</f>
        <v/>
      </c>
      <c r="J375" s="5">
        <f>IF($N375="","",SUMIFS('Per Line'!$Y$2:$Y$3001,'Per Line'!$D$2:$D$3001,$C375))</f>
        <v/>
      </c>
      <c r="K375" s="5">
        <f>IF($N375="","",SUMIFS('Per Line'!$Z$2:$Z$3001,'Per Line'!$D$2:$D$3001,$C375))</f>
        <v/>
      </c>
      <c r="L375" s="5">
        <f>IF($N375="","",I375-J375)</f>
        <v/>
      </c>
      <c r="M375" s="5">
        <f>IF($N375="","",L375-K375)</f>
        <v/>
      </c>
      <c r="N375">
        <f>IF(ROWS($N$2:$N375)&lt;=MAX('Per Line'!$AG$2:$AG$3001),MATCH(ROWS($N$2:$N375),'Per Line'!$AG$2:$AG$3001,0),"")</f>
        <v/>
      </c>
      <c r="O375">
        <f>IF(B375="Above Claim Form",COUNTIF($B$2:B375,"Above Claim Form"),"")</f>
        <v/>
      </c>
      <c r="P375">
        <f>IF(B375="Below Claim Form",COUNTIF($B$2:B375,"Below Claim Form"),"")</f>
        <v/>
      </c>
    </row>
    <row r="376">
      <c r="B376">
        <f>IF($N376="","",IFERROR(INDEX(Settings!$C$27:$C$36,MATCH(E376,Settings!$B$27:$B$36,0)),"Unassigned"))</f>
        <v/>
      </c>
      <c r="C376">
        <f>IF($N376="","",INDEX('Per Line'!$D$2:$D$3001,$N376))</f>
        <v/>
      </c>
      <c r="D376">
        <f>IF($N376="","",INDEX('Per Line'!$C$2:$C$3001,$N376))</f>
        <v/>
      </c>
      <c r="E376">
        <f>IF($N376="","",INDEX('Per Line'!$A$2:$A$3001,$N376))</f>
        <v/>
      </c>
      <c r="H376">
        <f>IF($N376="","",INDEX('Per Line'!$V$2:$V$3001,$N376))</f>
        <v/>
      </c>
      <c r="I376" s="5">
        <f>IF($N376="","",SUMIFS('Per Line'!$X$2:$X$3001,'Per Line'!$D$2:$D$3001,$C376))</f>
        <v/>
      </c>
      <c r="J376" s="5">
        <f>IF($N376="","",SUMIFS('Per Line'!$Y$2:$Y$3001,'Per Line'!$D$2:$D$3001,$C376))</f>
        <v/>
      </c>
      <c r="K376" s="5">
        <f>IF($N376="","",SUMIFS('Per Line'!$Z$2:$Z$3001,'Per Line'!$D$2:$D$3001,$C376))</f>
        <v/>
      </c>
      <c r="L376" s="5">
        <f>IF($N376="","",I376-J376)</f>
        <v/>
      </c>
      <c r="M376" s="5">
        <f>IF($N376="","",L376-K376)</f>
        <v/>
      </c>
      <c r="N376">
        <f>IF(ROWS($N$2:$N376)&lt;=MAX('Per Line'!$AG$2:$AG$3001),MATCH(ROWS($N$2:$N376),'Per Line'!$AG$2:$AG$3001,0),"")</f>
        <v/>
      </c>
      <c r="O376">
        <f>IF(B376="Above Claim Form",COUNTIF($B$2:B376,"Above Claim Form"),"")</f>
        <v/>
      </c>
      <c r="P376">
        <f>IF(B376="Below Claim Form",COUNTIF($B$2:B376,"Below Claim Form"),"")</f>
        <v/>
      </c>
    </row>
    <row r="377">
      <c r="B377">
        <f>IF($N377="","",IFERROR(INDEX(Settings!$C$27:$C$36,MATCH(E377,Settings!$B$27:$B$36,0)),"Unassigned"))</f>
        <v/>
      </c>
      <c r="C377">
        <f>IF($N377="","",INDEX('Per Line'!$D$2:$D$3001,$N377))</f>
        <v/>
      </c>
      <c r="D377">
        <f>IF($N377="","",INDEX('Per Line'!$C$2:$C$3001,$N377))</f>
        <v/>
      </c>
      <c r="E377">
        <f>IF($N377="","",INDEX('Per Line'!$A$2:$A$3001,$N377))</f>
        <v/>
      </c>
      <c r="H377">
        <f>IF($N377="","",INDEX('Per Line'!$V$2:$V$3001,$N377))</f>
        <v/>
      </c>
      <c r="I377" s="5">
        <f>IF($N377="","",SUMIFS('Per Line'!$X$2:$X$3001,'Per Line'!$D$2:$D$3001,$C377))</f>
        <v/>
      </c>
      <c r="J377" s="5">
        <f>IF($N377="","",SUMIFS('Per Line'!$Y$2:$Y$3001,'Per Line'!$D$2:$D$3001,$C377))</f>
        <v/>
      </c>
      <c r="K377" s="5">
        <f>IF($N377="","",SUMIFS('Per Line'!$Z$2:$Z$3001,'Per Line'!$D$2:$D$3001,$C377))</f>
        <v/>
      </c>
      <c r="L377" s="5">
        <f>IF($N377="","",I377-J377)</f>
        <v/>
      </c>
      <c r="M377" s="5">
        <f>IF($N377="","",L377-K377)</f>
        <v/>
      </c>
      <c r="N377">
        <f>IF(ROWS($N$2:$N377)&lt;=MAX('Per Line'!$AG$2:$AG$3001),MATCH(ROWS($N$2:$N377),'Per Line'!$AG$2:$AG$3001,0),"")</f>
        <v/>
      </c>
      <c r="O377">
        <f>IF(B377="Above Claim Form",COUNTIF($B$2:B377,"Above Claim Form"),"")</f>
        <v/>
      </c>
      <c r="P377">
        <f>IF(B377="Below Claim Form",COUNTIF($B$2:B377,"Below Claim Form"),"")</f>
        <v/>
      </c>
    </row>
    <row r="378">
      <c r="B378">
        <f>IF($N378="","",IFERROR(INDEX(Settings!$C$27:$C$36,MATCH(E378,Settings!$B$27:$B$36,0)),"Unassigned"))</f>
        <v/>
      </c>
      <c r="C378">
        <f>IF($N378="","",INDEX('Per Line'!$D$2:$D$3001,$N378))</f>
        <v/>
      </c>
      <c r="D378">
        <f>IF($N378="","",INDEX('Per Line'!$C$2:$C$3001,$N378))</f>
        <v/>
      </c>
      <c r="E378">
        <f>IF($N378="","",INDEX('Per Line'!$A$2:$A$3001,$N378))</f>
        <v/>
      </c>
      <c r="H378">
        <f>IF($N378="","",INDEX('Per Line'!$V$2:$V$3001,$N378))</f>
        <v/>
      </c>
      <c r="I378" s="5">
        <f>IF($N378="","",SUMIFS('Per Line'!$X$2:$X$3001,'Per Line'!$D$2:$D$3001,$C378))</f>
        <v/>
      </c>
      <c r="J378" s="5">
        <f>IF($N378="","",SUMIFS('Per Line'!$Y$2:$Y$3001,'Per Line'!$D$2:$D$3001,$C378))</f>
        <v/>
      </c>
      <c r="K378" s="5">
        <f>IF($N378="","",SUMIFS('Per Line'!$Z$2:$Z$3001,'Per Line'!$D$2:$D$3001,$C378))</f>
        <v/>
      </c>
      <c r="L378" s="5">
        <f>IF($N378="","",I378-J378)</f>
        <v/>
      </c>
      <c r="M378" s="5">
        <f>IF($N378="","",L378-K378)</f>
        <v/>
      </c>
      <c r="N378">
        <f>IF(ROWS($N$2:$N378)&lt;=MAX('Per Line'!$AG$2:$AG$3001),MATCH(ROWS($N$2:$N378),'Per Line'!$AG$2:$AG$3001,0),"")</f>
        <v/>
      </c>
      <c r="O378">
        <f>IF(B378="Above Claim Form",COUNTIF($B$2:B378,"Above Claim Form"),"")</f>
        <v/>
      </c>
      <c r="P378">
        <f>IF(B378="Below Claim Form",COUNTIF($B$2:B378,"Below Claim Form"),"")</f>
        <v/>
      </c>
    </row>
    <row r="379">
      <c r="B379">
        <f>IF($N379="","",IFERROR(INDEX(Settings!$C$27:$C$36,MATCH(E379,Settings!$B$27:$B$36,0)),"Unassigned"))</f>
        <v/>
      </c>
      <c r="C379">
        <f>IF($N379="","",INDEX('Per Line'!$D$2:$D$3001,$N379))</f>
        <v/>
      </c>
      <c r="D379">
        <f>IF($N379="","",INDEX('Per Line'!$C$2:$C$3001,$N379))</f>
        <v/>
      </c>
      <c r="E379">
        <f>IF($N379="","",INDEX('Per Line'!$A$2:$A$3001,$N379))</f>
        <v/>
      </c>
      <c r="H379">
        <f>IF($N379="","",INDEX('Per Line'!$V$2:$V$3001,$N379))</f>
        <v/>
      </c>
      <c r="I379" s="5">
        <f>IF($N379="","",SUMIFS('Per Line'!$X$2:$X$3001,'Per Line'!$D$2:$D$3001,$C379))</f>
        <v/>
      </c>
      <c r="J379" s="5">
        <f>IF($N379="","",SUMIFS('Per Line'!$Y$2:$Y$3001,'Per Line'!$D$2:$D$3001,$C379))</f>
        <v/>
      </c>
      <c r="K379" s="5">
        <f>IF($N379="","",SUMIFS('Per Line'!$Z$2:$Z$3001,'Per Line'!$D$2:$D$3001,$C379))</f>
        <v/>
      </c>
      <c r="L379" s="5">
        <f>IF($N379="","",I379-J379)</f>
        <v/>
      </c>
      <c r="M379" s="5">
        <f>IF($N379="","",L379-K379)</f>
        <v/>
      </c>
      <c r="N379">
        <f>IF(ROWS($N$2:$N379)&lt;=MAX('Per Line'!$AG$2:$AG$3001),MATCH(ROWS($N$2:$N379),'Per Line'!$AG$2:$AG$3001,0),"")</f>
        <v/>
      </c>
      <c r="O379">
        <f>IF(B379="Above Claim Form",COUNTIF($B$2:B379,"Above Claim Form"),"")</f>
        <v/>
      </c>
      <c r="P379">
        <f>IF(B379="Below Claim Form",COUNTIF($B$2:B379,"Below Claim Form"),"")</f>
        <v/>
      </c>
    </row>
    <row r="380">
      <c r="B380">
        <f>IF($N380="","",IFERROR(INDEX(Settings!$C$27:$C$36,MATCH(E380,Settings!$B$27:$B$36,0)),"Unassigned"))</f>
        <v/>
      </c>
      <c r="C380">
        <f>IF($N380="","",INDEX('Per Line'!$D$2:$D$3001,$N380))</f>
        <v/>
      </c>
      <c r="D380">
        <f>IF($N380="","",INDEX('Per Line'!$C$2:$C$3001,$N380))</f>
        <v/>
      </c>
      <c r="E380">
        <f>IF($N380="","",INDEX('Per Line'!$A$2:$A$3001,$N380))</f>
        <v/>
      </c>
      <c r="H380">
        <f>IF($N380="","",INDEX('Per Line'!$V$2:$V$3001,$N380))</f>
        <v/>
      </c>
      <c r="I380" s="5">
        <f>IF($N380="","",SUMIFS('Per Line'!$X$2:$X$3001,'Per Line'!$D$2:$D$3001,$C380))</f>
        <v/>
      </c>
      <c r="J380" s="5">
        <f>IF($N380="","",SUMIFS('Per Line'!$Y$2:$Y$3001,'Per Line'!$D$2:$D$3001,$C380))</f>
        <v/>
      </c>
      <c r="K380" s="5">
        <f>IF($N380="","",SUMIFS('Per Line'!$Z$2:$Z$3001,'Per Line'!$D$2:$D$3001,$C380))</f>
        <v/>
      </c>
      <c r="L380" s="5">
        <f>IF($N380="","",I380-J380)</f>
        <v/>
      </c>
      <c r="M380" s="5">
        <f>IF($N380="","",L380-K380)</f>
        <v/>
      </c>
      <c r="N380">
        <f>IF(ROWS($N$2:$N380)&lt;=MAX('Per Line'!$AG$2:$AG$3001),MATCH(ROWS($N$2:$N380),'Per Line'!$AG$2:$AG$3001,0),"")</f>
        <v/>
      </c>
      <c r="O380">
        <f>IF(B380="Above Claim Form",COUNTIF($B$2:B380,"Above Claim Form"),"")</f>
        <v/>
      </c>
      <c r="P380">
        <f>IF(B380="Below Claim Form",COUNTIF($B$2:B380,"Below Claim Form"),"")</f>
        <v/>
      </c>
    </row>
    <row r="381">
      <c r="B381">
        <f>IF($N381="","",IFERROR(INDEX(Settings!$C$27:$C$36,MATCH(E381,Settings!$B$27:$B$36,0)),"Unassigned"))</f>
        <v/>
      </c>
      <c r="C381">
        <f>IF($N381="","",INDEX('Per Line'!$D$2:$D$3001,$N381))</f>
        <v/>
      </c>
      <c r="D381">
        <f>IF($N381="","",INDEX('Per Line'!$C$2:$C$3001,$N381))</f>
        <v/>
      </c>
      <c r="E381">
        <f>IF($N381="","",INDEX('Per Line'!$A$2:$A$3001,$N381))</f>
        <v/>
      </c>
      <c r="H381">
        <f>IF($N381="","",INDEX('Per Line'!$V$2:$V$3001,$N381))</f>
        <v/>
      </c>
      <c r="I381" s="5">
        <f>IF($N381="","",SUMIFS('Per Line'!$X$2:$X$3001,'Per Line'!$D$2:$D$3001,$C381))</f>
        <v/>
      </c>
      <c r="J381" s="5">
        <f>IF($N381="","",SUMIFS('Per Line'!$Y$2:$Y$3001,'Per Line'!$D$2:$D$3001,$C381))</f>
        <v/>
      </c>
      <c r="K381" s="5">
        <f>IF($N381="","",SUMIFS('Per Line'!$Z$2:$Z$3001,'Per Line'!$D$2:$D$3001,$C381))</f>
        <v/>
      </c>
      <c r="L381" s="5">
        <f>IF($N381="","",I381-J381)</f>
        <v/>
      </c>
      <c r="M381" s="5">
        <f>IF($N381="","",L381-K381)</f>
        <v/>
      </c>
      <c r="N381">
        <f>IF(ROWS($N$2:$N381)&lt;=MAX('Per Line'!$AG$2:$AG$3001),MATCH(ROWS($N$2:$N381),'Per Line'!$AG$2:$AG$3001,0),"")</f>
        <v/>
      </c>
      <c r="O381">
        <f>IF(B381="Above Claim Form",COUNTIF($B$2:B381,"Above Claim Form"),"")</f>
        <v/>
      </c>
      <c r="P381">
        <f>IF(B381="Below Claim Form",COUNTIF($B$2:B381,"Below Claim Form"),"")</f>
        <v/>
      </c>
    </row>
    <row r="382">
      <c r="B382">
        <f>IF($N382="","",IFERROR(INDEX(Settings!$C$27:$C$36,MATCH(E382,Settings!$B$27:$B$36,0)),"Unassigned"))</f>
        <v/>
      </c>
      <c r="C382">
        <f>IF($N382="","",INDEX('Per Line'!$D$2:$D$3001,$N382))</f>
        <v/>
      </c>
      <c r="D382">
        <f>IF($N382="","",INDEX('Per Line'!$C$2:$C$3001,$N382))</f>
        <v/>
      </c>
      <c r="E382">
        <f>IF($N382="","",INDEX('Per Line'!$A$2:$A$3001,$N382))</f>
        <v/>
      </c>
      <c r="H382">
        <f>IF($N382="","",INDEX('Per Line'!$V$2:$V$3001,$N382))</f>
        <v/>
      </c>
      <c r="I382" s="5">
        <f>IF($N382="","",SUMIFS('Per Line'!$X$2:$X$3001,'Per Line'!$D$2:$D$3001,$C382))</f>
        <v/>
      </c>
      <c r="J382" s="5">
        <f>IF($N382="","",SUMIFS('Per Line'!$Y$2:$Y$3001,'Per Line'!$D$2:$D$3001,$C382))</f>
        <v/>
      </c>
      <c r="K382" s="5">
        <f>IF($N382="","",SUMIFS('Per Line'!$Z$2:$Z$3001,'Per Line'!$D$2:$D$3001,$C382))</f>
        <v/>
      </c>
      <c r="L382" s="5">
        <f>IF($N382="","",I382-J382)</f>
        <v/>
      </c>
      <c r="M382" s="5">
        <f>IF($N382="","",L382-K382)</f>
        <v/>
      </c>
      <c r="N382">
        <f>IF(ROWS($N$2:$N382)&lt;=MAX('Per Line'!$AG$2:$AG$3001),MATCH(ROWS($N$2:$N382),'Per Line'!$AG$2:$AG$3001,0),"")</f>
        <v/>
      </c>
      <c r="O382">
        <f>IF(B382="Above Claim Form",COUNTIF($B$2:B382,"Above Claim Form"),"")</f>
        <v/>
      </c>
      <c r="P382">
        <f>IF(B382="Below Claim Form",COUNTIF($B$2:B382,"Below Claim Form"),"")</f>
        <v/>
      </c>
    </row>
    <row r="383">
      <c r="B383">
        <f>IF($N383="","",IFERROR(INDEX(Settings!$C$27:$C$36,MATCH(E383,Settings!$B$27:$B$36,0)),"Unassigned"))</f>
        <v/>
      </c>
      <c r="C383">
        <f>IF($N383="","",INDEX('Per Line'!$D$2:$D$3001,$N383))</f>
        <v/>
      </c>
      <c r="D383">
        <f>IF($N383="","",INDEX('Per Line'!$C$2:$C$3001,$N383))</f>
        <v/>
      </c>
      <c r="E383">
        <f>IF($N383="","",INDEX('Per Line'!$A$2:$A$3001,$N383))</f>
        <v/>
      </c>
      <c r="H383">
        <f>IF($N383="","",INDEX('Per Line'!$V$2:$V$3001,$N383))</f>
        <v/>
      </c>
      <c r="I383" s="5">
        <f>IF($N383="","",SUMIFS('Per Line'!$X$2:$X$3001,'Per Line'!$D$2:$D$3001,$C383))</f>
        <v/>
      </c>
      <c r="J383" s="5">
        <f>IF($N383="","",SUMIFS('Per Line'!$Y$2:$Y$3001,'Per Line'!$D$2:$D$3001,$C383))</f>
        <v/>
      </c>
      <c r="K383" s="5">
        <f>IF($N383="","",SUMIFS('Per Line'!$Z$2:$Z$3001,'Per Line'!$D$2:$D$3001,$C383))</f>
        <v/>
      </c>
      <c r="L383" s="5">
        <f>IF($N383="","",I383-J383)</f>
        <v/>
      </c>
      <c r="M383" s="5">
        <f>IF($N383="","",L383-K383)</f>
        <v/>
      </c>
      <c r="N383">
        <f>IF(ROWS($N$2:$N383)&lt;=MAX('Per Line'!$AG$2:$AG$3001),MATCH(ROWS($N$2:$N383),'Per Line'!$AG$2:$AG$3001,0),"")</f>
        <v/>
      </c>
      <c r="O383">
        <f>IF(B383="Above Claim Form",COUNTIF($B$2:B383,"Above Claim Form"),"")</f>
        <v/>
      </c>
      <c r="P383">
        <f>IF(B383="Below Claim Form",COUNTIF($B$2:B383,"Below Claim Form"),"")</f>
        <v/>
      </c>
    </row>
    <row r="384">
      <c r="B384">
        <f>IF($N384="","",IFERROR(INDEX(Settings!$C$27:$C$36,MATCH(E384,Settings!$B$27:$B$36,0)),"Unassigned"))</f>
        <v/>
      </c>
      <c r="C384">
        <f>IF($N384="","",INDEX('Per Line'!$D$2:$D$3001,$N384))</f>
        <v/>
      </c>
      <c r="D384">
        <f>IF($N384="","",INDEX('Per Line'!$C$2:$C$3001,$N384))</f>
        <v/>
      </c>
      <c r="E384">
        <f>IF($N384="","",INDEX('Per Line'!$A$2:$A$3001,$N384))</f>
        <v/>
      </c>
      <c r="H384">
        <f>IF($N384="","",INDEX('Per Line'!$V$2:$V$3001,$N384))</f>
        <v/>
      </c>
      <c r="I384" s="5">
        <f>IF($N384="","",SUMIFS('Per Line'!$X$2:$X$3001,'Per Line'!$D$2:$D$3001,$C384))</f>
        <v/>
      </c>
      <c r="J384" s="5">
        <f>IF($N384="","",SUMIFS('Per Line'!$Y$2:$Y$3001,'Per Line'!$D$2:$D$3001,$C384))</f>
        <v/>
      </c>
      <c r="K384" s="5">
        <f>IF($N384="","",SUMIFS('Per Line'!$Z$2:$Z$3001,'Per Line'!$D$2:$D$3001,$C384))</f>
        <v/>
      </c>
      <c r="L384" s="5">
        <f>IF($N384="","",I384-J384)</f>
        <v/>
      </c>
      <c r="M384" s="5">
        <f>IF($N384="","",L384-K384)</f>
        <v/>
      </c>
      <c r="N384">
        <f>IF(ROWS($N$2:$N384)&lt;=MAX('Per Line'!$AG$2:$AG$3001),MATCH(ROWS($N$2:$N384),'Per Line'!$AG$2:$AG$3001,0),"")</f>
        <v/>
      </c>
      <c r="O384">
        <f>IF(B384="Above Claim Form",COUNTIF($B$2:B384,"Above Claim Form"),"")</f>
        <v/>
      </c>
      <c r="P384">
        <f>IF(B384="Below Claim Form",COUNTIF($B$2:B384,"Below Claim Form"),"")</f>
        <v/>
      </c>
    </row>
    <row r="385">
      <c r="B385">
        <f>IF($N385="","",IFERROR(INDEX(Settings!$C$27:$C$36,MATCH(E385,Settings!$B$27:$B$36,0)),"Unassigned"))</f>
        <v/>
      </c>
      <c r="C385">
        <f>IF($N385="","",INDEX('Per Line'!$D$2:$D$3001,$N385))</f>
        <v/>
      </c>
      <c r="D385">
        <f>IF($N385="","",INDEX('Per Line'!$C$2:$C$3001,$N385))</f>
        <v/>
      </c>
      <c r="E385">
        <f>IF($N385="","",INDEX('Per Line'!$A$2:$A$3001,$N385))</f>
        <v/>
      </c>
      <c r="H385">
        <f>IF($N385="","",INDEX('Per Line'!$V$2:$V$3001,$N385))</f>
        <v/>
      </c>
      <c r="I385" s="5">
        <f>IF($N385="","",SUMIFS('Per Line'!$X$2:$X$3001,'Per Line'!$D$2:$D$3001,$C385))</f>
        <v/>
      </c>
      <c r="J385" s="5">
        <f>IF($N385="","",SUMIFS('Per Line'!$Y$2:$Y$3001,'Per Line'!$D$2:$D$3001,$C385))</f>
        <v/>
      </c>
      <c r="K385" s="5">
        <f>IF($N385="","",SUMIFS('Per Line'!$Z$2:$Z$3001,'Per Line'!$D$2:$D$3001,$C385))</f>
        <v/>
      </c>
      <c r="L385" s="5">
        <f>IF($N385="","",I385-J385)</f>
        <v/>
      </c>
      <c r="M385" s="5">
        <f>IF($N385="","",L385-K385)</f>
        <v/>
      </c>
      <c r="N385">
        <f>IF(ROWS($N$2:$N385)&lt;=MAX('Per Line'!$AG$2:$AG$3001),MATCH(ROWS($N$2:$N385),'Per Line'!$AG$2:$AG$3001,0),"")</f>
        <v/>
      </c>
      <c r="O385">
        <f>IF(B385="Above Claim Form",COUNTIF($B$2:B385,"Above Claim Form"),"")</f>
        <v/>
      </c>
      <c r="P385">
        <f>IF(B385="Below Claim Form",COUNTIF($B$2:B385,"Below Claim Form"),"")</f>
        <v/>
      </c>
    </row>
    <row r="386">
      <c r="B386">
        <f>IF($N386="","",IFERROR(INDEX(Settings!$C$27:$C$36,MATCH(E386,Settings!$B$27:$B$36,0)),"Unassigned"))</f>
        <v/>
      </c>
      <c r="C386">
        <f>IF($N386="","",INDEX('Per Line'!$D$2:$D$3001,$N386))</f>
        <v/>
      </c>
      <c r="D386">
        <f>IF($N386="","",INDEX('Per Line'!$C$2:$C$3001,$N386))</f>
        <v/>
      </c>
      <c r="E386">
        <f>IF($N386="","",INDEX('Per Line'!$A$2:$A$3001,$N386))</f>
        <v/>
      </c>
      <c r="H386">
        <f>IF($N386="","",INDEX('Per Line'!$V$2:$V$3001,$N386))</f>
        <v/>
      </c>
      <c r="I386" s="5">
        <f>IF($N386="","",SUMIFS('Per Line'!$X$2:$X$3001,'Per Line'!$D$2:$D$3001,$C386))</f>
        <v/>
      </c>
      <c r="J386" s="5">
        <f>IF($N386="","",SUMIFS('Per Line'!$Y$2:$Y$3001,'Per Line'!$D$2:$D$3001,$C386))</f>
        <v/>
      </c>
      <c r="K386" s="5">
        <f>IF($N386="","",SUMIFS('Per Line'!$Z$2:$Z$3001,'Per Line'!$D$2:$D$3001,$C386))</f>
        <v/>
      </c>
      <c r="L386" s="5">
        <f>IF($N386="","",I386-J386)</f>
        <v/>
      </c>
      <c r="M386" s="5">
        <f>IF($N386="","",L386-K386)</f>
        <v/>
      </c>
      <c r="N386">
        <f>IF(ROWS($N$2:$N386)&lt;=MAX('Per Line'!$AG$2:$AG$3001),MATCH(ROWS($N$2:$N386),'Per Line'!$AG$2:$AG$3001,0),"")</f>
        <v/>
      </c>
      <c r="O386">
        <f>IF(B386="Above Claim Form",COUNTIF($B$2:B386,"Above Claim Form"),"")</f>
        <v/>
      </c>
      <c r="P386">
        <f>IF(B386="Below Claim Form",COUNTIF($B$2:B386,"Below Claim Form"),"")</f>
        <v/>
      </c>
    </row>
    <row r="387">
      <c r="B387">
        <f>IF($N387="","",IFERROR(INDEX(Settings!$C$27:$C$36,MATCH(E387,Settings!$B$27:$B$36,0)),"Unassigned"))</f>
        <v/>
      </c>
      <c r="C387">
        <f>IF($N387="","",INDEX('Per Line'!$D$2:$D$3001,$N387))</f>
        <v/>
      </c>
      <c r="D387">
        <f>IF($N387="","",INDEX('Per Line'!$C$2:$C$3001,$N387))</f>
        <v/>
      </c>
      <c r="E387">
        <f>IF($N387="","",INDEX('Per Line'!$A$2:$A$3001,$N387))</f>
        <v/>
      </c>
      <c r="H387">
        <f>IF($N387="","",INDEX('Per Line'!$V$2:$V$3001,$N387))</f>
        <v/>
      </c>
      <c r="I387" s="5">
        <f>IF($N387="","",SUMIFS('Per Line'!$X$2:$X$3001,'Per Line'!$D$2:$D$3001,$C387))</f>
        <v/>
      </c>
      <c r="J387" s="5">
        <f>IF($N387="","",SUMIFS('Per Line'!$Y$2:$Y$3001,'Per Line'!$D$2:$D$3001,$C387))</f>
        <v/>
      </c>
      <c r="K387" s="5">
        <f>IF($N387="","",SUMIFS('Per Line'!$Z$2:$Z$3001,'Per Line'!$D$2:$D$3001,$C387))</f>
        <v/>
      </c>
      <c r="L387" s="5">
        <f>IF($N387="","",I387-J387)</f>
        <v/>
      </c>
      <c r="M387" s="5">
        <f>IF($N387="","",L387-K387)</f>
        <v/>
      </c>
      <c r="N387">
        <f>IF(ROWS($N$2:$N387)&lt;=MAX('Per Line'!$AG$2:$AG$3001),MATCH(ROWS($N$2:$N387),'Per Line'!$AG$2:$AG$3001,0),"")</f>
        <v/>
      </c>
      <c r="O387">
        <f>IF(B387="Above Claim Form",COUNTIF($B$2:B387,"Above Claim Form"),"")</f>
        <v/>
      </c>
      <c r="P387">
        <f>IF(B387="Below Claim Form",COUNTIF($B$2:B387,"Below Claim Form"),"")</f>
        <v/>
      </c>
    </row>
    <row r="388">
      <c r="B388">
        <f>IF($N388="","",IFERROR(INDEX(Settings!$C$27:$C$36,MATCH(E388,Settings!$B$27:$B$36,0)),"Unassigned"))</f>
        <v/>
      </c>
      <c r="C388">
        <f>IF($N388="","",INDEX('Per Line'!$D$2:$D$3001,$N388))</f>
        <v/>
      </c>
      <c r="D388">
        <f>IF($N388="","",INDEX('Per Line'!$C$2:$C$3001,$N388))</f>
        <v/>
      </c>
      <c r="E388">
        <f>IF($N388="","",INDEX('Per Line'!$A$2:$A$3001,$N388))</f>
        <v/>
      </c>
      <c r="H388">
        <f>IF($N388="","",INDEX('Per Line'!$V$2:$V$3001,$N388))</f>
        <v/>
      </c>
      <c r="I388" s="5">
        <f>IF($N388="","",SUMIFS('Per Line'!$X$2:$X$3001,'Per Line'!$D$2:$D$3001,$C388))</f>
        <v/>
      </c>
      <c r="J388" s="5">
        <f>IF($N388="","",SUMIFS('Per Line'!$Y$2:$Y$3001,'Per Line'!$D$2:$D$3001,$C388))</f>
        <v/>
      </c>
      <c r="K388" s="5">
        <f>IF($N388="","",SUMIFS('Per Line'!$Z$2:$Z$3001,'Per Line'!$D$2:$D$3001,$C388))</f>
        <v/>
      </c>
      <c r="L388" s="5">
        <f>IF($N388="","",I388-J388)</f>
        <v/>
      </c>
      <c r="M388" s="5">
        <f>IF($N388="","",L388-K388)</f>
        <v/>
      </c>
      <c r="N388">
        <f>IF(ROWS($N$2:$N388)&lt;=MAX('Per Line'!$AG$2:$AG$3001),MATCH(ROWS($N$2:$N388),'Per Line'!$AG$2:$AG$3001,0),"")</f>
        <v/>
      </c>
      <c r="O388">
        <f>IF(B388="Above Claim Form",COUNTIF($B$2:B388,"Above Claim Form"),"")</f>
        <v/>
      </c>
      <c r="P388">
        <f>IF(B388="Below Claim Form",COUNTIF($B$2:B388,"Below Claim Form"),"")</f>
        <v/>
      </c>
    </row>
    <row r="389">
      <c r="B389">
        <f>IF($N389="","",IFERROR(INDEX(Settings!$C$27:$C$36,MATCH(E389,Settings!$B$27:$B$36,0)),"Unassigned"))</f>
        <v/>
      </c>
      <c r="C389">
        <f>IF($N389="","",INDEX('Per Line'!$D$2:$D$3001,$N389))</f>
        <v/>
      </c>
      <c r="D389">
        <f>IF($N389="","",INDEX('Per Line'!$C$2:$C$3001,$N389))</f>
        <v/>
      </c>
      <c r="E389">
        <f>IF($N389="","",INDEX('Per Line'!$A$2:$A$3001,$N389))</f>
        <v/>
      </c>
      <c r="H389">
        <f>IF($N389="","",INDEX('Per Line'!$V$2:$V$3001,$N389))</f>
        <v/>
      </c>
      <c r="I389" s="5">
        <f>IF($N389="","",SUMIFS('Per Line'!$X$2:$X$3001,'Per Line'!$D$2:$D$3001,$C389))</f>
        <v/>
      </c>
      <c r="J389" s="5">
        <f>IF($N389="","",SUMIFS('Per Line'!$Y$2:$Y$3001,'Per Line'!$D$2:$D$3001,$C389))</f>
        <v/>
      </c>
      <c r="K389" s="5">
        <f>IF($N389="","",SUMIFS('Per Line'!$Z$2:$Z$3001,'Per Line'!$D$2:$D$3001,$C389))</f>
        <v/>
      </c>
      <c r="L389" s="5">
        <f>IF($N389="","",I389-J389)</f>
        <v/>
      </c>
      <c r="M389" s="5">
        <f>IF($N389="","",L389-K389)</f>
        <v/>
      </c>
      <c r="N389">
        <f>IF(ROWS($N$2:$N389)&lt;=MAX('Per Line'!$AG$2:$AG$3001),MATCH(ROWS($N$2:$N389),'Per Line'!$AG$2:$AG$3001,0),"")</f>
        <v/>
      </c>
      <c r="O389">
        <f>IF(B389="Above Claim Form",COUNTIF($B$2:B389,"Above Claim Form"),"")</f>
        <v/>
      </c>
      <c r="P389">
        <f>IF(B389="Below Claim Form",COUNTIF($B$2:B389,"Below Claim Form"),"")</f>
        <v/>
      </c>
    </row>
    <row r="390">
      <c r="B390">
        <f>IF($N390="","",IFERROR(INDEX(Settings!$C$27:$C$36,MATCH(E390,Settings!$B$27:$B$36,0)),"Unassigned"))</f>
        <v/>
      </c>
      <c r="C390">
        <f>IF($N390="","",INDEX('Per Line'!$D$2:$D$3001,$N390))</f>
        <v/>
      </c>
      <c r="D390">
        <f>IF($N390="","",INDEX('Per Line'!$C$2:$C$3001,$N390))</f>
        <v/>
      </c>
      <c r="E390">
        <f>IF($N390="","",INDEX('Per Line'!$A$2:$A$3001,$N390))</f>
        <v/>
      </c>
      <c r="H390">
        <f>IF($N390="","",INDEX('Per Line'!$V$2:$V$3001,$N390))</f>
        <v/>
      </c>
      <c r="I390" s="5">
        <f>IF($N390="","",SUMIFS('Per Line'!$X$2:$X$3001,'Per Line'!$D$2:$D$3001,$C390))</f>
        <v/>
      </c>
      <c r="J390" s="5">
        <f>IF($N390="","",SUMIFS('Per Line'!$Y$2:$Y$3001,'Per Line'!$D$2:$D$3001,$C390))</f>
        <v/>
      </c>
      <c r="K390" s="5">
        <f>IF($N390="","",SUMIFS('Per Line'!$Z$2:$Z$3001,'Per Line'!$D$2:$D$3001,$C390))</f>
        <v/>
      </c>
      <c r="L390" s="5">
        <f>IF($N390="","",I390-J390)</f>
        <v/>
      </c>
      <c r="M390" s="5">
        <f>IF($N390="","",L390-K390)</f>
        <v/>
      </c>
      <c r="N390">
        <f>IF(ROWS($N$2:$N390)&lt;=MAX('Per Line'!$AG$2:$AG$3001),MATCH(ROWS($N$2:$N390),'Per Line'!$AG$2:$AG$3001,0),"")</f>
        <v/>
      </c>
      <c r="O390">
        <f>IF(B390="Above Claim Form",COUNTIF($B$2:B390,"Above Claim Form"),"")</f>
        <v/>
      </c>
      <c r="P390">
        <f>IF(B390="Below Claim Form",COUNTIF($B$2:B390,"Below Claim Form"),"")</f>
        <v/>
      </c>
    </row>
    <row r="391">
      <c r="B391">
        <f>IF($N391="","",IFERROR(INDEX(Settings!$C$27:$C$36,MATCH(E391,Settings!$B$27:$B$36,0)),"Unassigned"))</f>
        <v/>
      </c>
      <c r="C391">
        <f>IF($N391="","",INDEX('Per Line'!$D$2:$D$3001,$N391))</f>
        <v/>
      </c>
      <c r="D391">
        <f>IF($N391="","",INDEX('Per Line'!$C$2:$C$3001,$N391))</f>
        <v/>
      </c>
      <c r="E391">
        <f>IF($N391="","",INDEX('Per Line'!$A$2:$A$3001,$N391))</f>
        <v/>
      </c>
      <c r="H391">
        <f>IF($N391="","",INDEX('Per Line'!$V$2:$V$3001,$N391))</f>
        <v/>
      </c>
      <c r="I391" s="5">
        <f>IF($N391="","",SUMIFS('Per Line'!$X$2:$X$3001,'Per Line'!$D$2:$D$3001,$C391))</f>
        <v/>
      </c>
      <c r="J391" s="5">
        <f>IF($N391="","",SUMIFS('Per Line'!$Y$2:$Y$3001,'Per Line'!$D$2:$D$3001,$C391))</f>
        <v/>
      </c>
      <c r="K391" s="5">
        <f>IF($N391="","",SUMIFS('Per Line'!$Z$2:$Z$3001,'Per Line'!$D$2:$D$3001,$C391))</f>
        <v/>
      </c>
      <c r="L391" s="5">
        <f>IF($N391="","",I391-J391)</f>
        <v/>
      </c>
      <c r="M391" s="5">
        <f>IF($N391="","",L391-K391)</f>
        <v/>
      </c>
      <c r="N391">
        <f>IF(ROWS($N$2:$N391)&lt;=MAX('Per Line'!$AG$2:$AG$3001),MATCH(ROWS($N$2:$N391),'Per Line'!$AG$2:$AG$3001,0),"")</f>
        <v/>
      </c>
      <c r="O391">
        <f>IF(B391="Above Claim Form",COUNTIF($B$2:B391,"Above Claim Form"),"")</f>
        <v/>
      </c>
      <c r="P391">
        <f>IF(B391="Below Claim Form",COUNTIF($B$2:B391,"Below Claim Form"),"")</f>
        <v/>
      </c>
    </row>
    <row r="392">
      <c r="B392">
        <f>IF($N392="","",IFERROR(INDEX(Settings!$C$27:$C$36,MATCH(E392,Settings!$B$27:$B$36,0)),"Unassigned"))</f>
        <v/>
      </c>
      <c r="C392">
        <f>IF($N392="","",INDEX('Per Line'!$D$2:$D$3001,$N392))</f>
        <v/>
      </c>
      <c r="D392">
        <f>IF($N392="","",INDEX('Per Line'!$C$2:$C$3001,$N392))</f>
        <v/>
      </c>
      <c r="E392">
        <f>IF($N392="","",INDEX('Per Line'!$A$2:$A$3001,$N392))</f>
        <v/>
      </c>
      <c r="H392">
        <f>IF($N392="","",INDEX('Per Line'!$V$2:$V$3001,$N392))</f>
        <v/>
      </c>
      <c r="I392" s="5">
        <f>IF($N392="","",SUMIFS('Per Line'!$X$2:$X$3001,'Per Line'!$D$2:$D$3001,$C392))</f>
        <v/>
      </c>
      <c r="J392" s="5">
        <f>IF($N392="","",SUMIFS('Per Line'!$Y$2:$Y$3001,'Per Line'!$D$2:$D$3001,$C392))</f>
        <v/>
      </c>
      <c r="K392" s="5">
        <f>IF($N392="","",SUMIFS('Per Line'!$Z$2:$Z$3001,'Per Line'!$D$2:$D$3001,$C392))</f>
        <v/>
      </c>
      <c r="L392" s="5">
        <f>IF($N392="","",I392-J392)</f>
        <v/>
      </c>
      <c r="M392" s="5">
        <f>IF($N392="","",L392-K392)</f>
        <v/>
      </c>
      <c r="N392">
        <f>IF(ROWS($N$2:$N392)&lt;=MAX('Per Line'!$AG$2:$AG$3001),MATCH(ROWS($N$2:$N392),'Per Line'!$AG$2:$AG$3001,0),"")</f>
        <v/>
      </c>
      <c r="O392">
        <f>IF(B392="Above Claim Form",COUNTIF($B$2:B392,"Above Claim Form"),"")</f>
        <v/>
      </c>
      <c r="P392">
        <f>IF(B392="Below Claim Form",COUNTIF($B$2:B392,"Below Claim Form"),"")</f>
        <v/>
      </c>
    </row>
    <row r="393">
      <c r="B393">
        <f>IF($N393="","",IFERROR(INDEX(Settings!$C$27:$C$36,MATCH(E393,Settings!$B$27:$B$36,0)),"Unassigned"))</f>
        <v/>
      </c>
      <c r="C393">
        <f>IF($N393="","",INDEX('Per Line'!$D$2:$D$3001,$N393))</f>
        <v/>
      </c>
      <c r="D393">
        <f>IF($N393="","",INDEX('Per Line'!$C$2:$C$3001,$N393))</f>
        <v/>
      </c>
      <c r="E393">
        <f>IF($N393="","",INDEX('Per Line'!$A$2:$A$3001,$N393))</f>
        <v/>
      </c>
      <c r="H393">
        <f>IF($N393="","",INDEX('Per Line'!$V$2:$V$3001,$N393))</f>
        <v/>
      </c>
      <c r="I393" s="5">
        <f>IF($N393="","",SUMIFS('Per Line'!$X$2:$X$3001,'Per Line'!$D$2:$D$3001,$C393))</f>
        <v/>
      </c>
      <c r="J393" s="5">
        <f>IF($N393="","",SUMIFS('Per Line'!$Y$2:$Y$3001,'Per Line'!$D$2:$D$3001,$C393))</f>
        <v/>
      </c>
      <c r="K393" s="5">
        <f>IF($N393="","",SUMIFS('Per Line'!$Z$2:$Z$3001,'Per Line'!$D$2:$D$3001,$C393))</f>
        <v/>
      </c>
      <c r="L393" s="5">
        <f>IF($N393="","",I393-J393)</f>
        <v/>
      </c>
      <c r="M393" s="5">
        <f>IF($N393="","",L393-K393)</f>
        <v/>
      </c>
      <c r="N393">
        <f>IF(ROWS($N$2:$N393)&lt;=MAX('Per Line'!$AG$2:$AG$3001),MATCH(ROWS($N$2:$N393),'Per Line'!$AG$2:$AG$3001,0),"")</f>
        <v/>
      </c>
      <c r="O393">
        <f>IF(B393="Above Claim Form",COUNTIF($B$2:B393,"Above Claim Form"),"")</f>
        <v/>
      </c>
      <c r="P393">
        <f>IF(B393="Below Claim Form",COUNTIF($B$2:B393,"Below Claim Form"),"")</f>
        <v/>
      </c>
    </row>
    <row r="394">
      <c r="B394">
        <f>IF($N394="","",IFERROR(INDEX(Settings!$C$27:$C$36,MATCH(E394,Settings!$B$27:$B$36,0)),"Unassigned"))</f>
        <v/>
      </c>
      <c r="C394">
        <f>IF($N394="","",INDEX('Per Line'!$D$2:$D$3001,$N394))</f>
        <v/>
      </c>
      <c r="D394">
        <f>IF($N394="","",INDEX('Per Line'!$C$2:$C$3001,$N394))</f>
        <v/>
      </c>
      <c r="E394">
        <f>IF($N394="","",INDEX('Per Line'!$A$2:$A$3001,$N394))</f>
        <v/>
      </c>
      <c r="H394">
        <f>IF($N394="","",INDEX('Per Line'!$V$2:$V$3001,$N394))</f>
        <v/>
      </c>
      <c r="I394" s="5">
        <f>IF($N394="","",SUMIFS('Per Line'!$X$2:$X$3001,'Per Line'!$D$2:$D$3001,$C394))</f>
        <v/>
      </c>
      <c r="J394" s="5">
        <f>IF($N394="","",SUMIFS('Per Line'!$Y$2:$Y$3001,'Per Line'!$D$2:$D$3001,$C394))</f>
        <v/>
      </c>
      <c r="K394" s="5">
        <f>IF($N394="","",SUMIFS('Per Line'!$Z$2:$Z$3001,'Per Line'!$D$2:$D$3001,$C394))</f>
        <v/>
      </c>
      <c r="L394" s="5">
        <f>IF($N394="","",I394-J394)</f>
        <v/>
      </c>
      <c r="M394" s="5">
        <f>IF($N394="","",L394-K394)</f>
        <v/>
      </c>
      <c r="N394">
        <f>IF(ROWS($N$2:$N394)&lt;=MAX('Per Line'!$AG$2:$AG$3001),MATCH(ROWS($N$2:$N394),'Per Line'!$AG$2:$AG$3001,0),"")</f>
        <v/>
      </c>
      <c r="O394">
        <f>IF(B394="Above Claim Form",COUNTIF($B$2:B394,"Above Claim Form"),"")</f>
        <v/>
      </c>
      <c r="P394">
        <f>IF(B394="Below Claim Form",COUNTIF($B$2:B394,"Below Claim Form"),"")</f>
        <v/>
      </c>
    </row>
    <row r="395">
      <c r="B395">
        <f>IF($N395="","",IFERROR(INDEX(Settings!$C$27:$C$36,MATCH(E395,Settings!$B$27:$B$36,0)),"Unassigned"))</f>
        <v/>
      </c>
      <c r="C395">
        <f>IF($N395="","",INDEX('Per Line'!$D$2:$D$3001,$N395))</f>
        <v/>
      </c>
      <c r="D395">
        <f>IF($N395="","",INDEX('Per Line'!$C$2:$C$3001,$N395))</f>
        <v/>
      </c>
      <c r="E395">
        <f>IF($N395="","",INDEX('Per Line'!$A$2:$A$3001,$N395))</f>
        <v/>
      </c>
      <c r="H395">
        <f>IF($N395="","",INDEX('Per Line'!$V$2:$V$3001,$N395))</f>
        <v/>
      </c>
      <c r="I395" s="5">
        <f>IF($N395="","",SUMIFS('Per Line'!$X$2:$X$3001,'Per Line'!$D$2:$D$3001,$C395))</f>
        <v/>
      </c>
      <c r="J395" s="5">
        <f>IF($N395="","",SUMIFS('Per Line'!$Y$2:$Y$3001,'Per Line'!$D$2:$D$3001,$C395))</f>
        <v/>
      </c>
      <c r="K395" s="5">
        <f>IF($N395="","",SUMIFS('Per Line'!$Z$2:$Z$3001,'Per Line'!$D$2:$D$3001,$C395))</f>
        <v/>
      </c>
      <c r="L395" s="5">
        <f>IF($N395="","",I395-J395)</f>
        <v/>
      </c>
      <c r="M395" s="5">
        <f>IF($N395="","",L395-K395)</f>
        <v/>
      </c>
      <c r="N395">
        <f>IF(ROWS($N$2:$N395)&lt;=MAX('Per Line'!$AG$2:$AG$3001),MATCH(ROWS($N$2:$N395),'Per Line'!$AG$2:$AG$3001,0),"")</f>
        <v/>
      </c>
      <c r="O395">
        <f>IF(B395="Above Claim Form",COUNTIF($B$2:B395,"Above Claim Form"),"")</f>
        <v/>
      </c>
      <c r="P395">
        <f>IF(B395="Below Claim Form",COUNTIF($B$2:B395,"Below Claim Form"),"")</f>
        <v/>
      </c>
    </row>
    <row r="396">
      <c r="B396">
        <f>IF($N396="","",IFERROR(INDEX(Settings!$C$27:$C$36,MATCH(E396,Settings!$B$27:$B$36,0)),"Unassigned"))</f>
        <v/>
      </c>
      <c r="C396">
        <f>IF($N396="","",INDEX('Per Line'!$D$2:$D$3001,$N396))</f>
        <v/>
      </c>
      <c r="D396">
        <f>IF($N396="","",INDEX('Per Line'!$C$2:$C$3001,$N396))</f>
        <v/>
      </c>
      <c r="E396">
        <f>IF($N396="","",INDEX('Per Line'!$A$2:$A$3001,$N396))</f>
        <v/>
      </c>
      <c r="H396">
        <f>IF($N396="","",INDEX('Per Line'!$V$2:$V$3001,$N396))</f>
        <v/>
      </c>
      <c r="I396" s="5">
        <f>IF($N396="","",SUMIFS('Per Line'!$X$2:$X$3001,'Per Line'!$D$2:$D$3001,$C396))</f>
        <v/>
      </c>
      <c r="J396" s="5">
        <f>IF($N396="","",SUMIFS('Per Line'!$Y$2:$Y$3001,'Per Line'!$D$2:$D$3001,$C396))</f>
        <v/>
      </c>
      <c r="K396" s="5">
        <f>IF($N396="","",SUMIFS('Per Line'!$Z$2:$Z$3001,'Per Line'!$D$2:$D$3001,$C396))</f>
        <v/>
      </c>
      <c r="L396" s="5">
        <f>IF($N396="","",I396-J396)</f>
        <v/>
      </c>
      <c r="M396" s="5">
        <f>IF($N396="","",L396-K396)</f>
        <v/>
      </c>
      <c r="N396">
        <f>IF(ROWS($N$2:$N396)&lt;=MAX('Per Line'!$AG$2:$AG$3001),MATCH(ROWS($N$2:$N396),'Per Line'!$AG$2:$AG$3001,0),"")</f>
        <v/>
      </c>
      <c r="O396">
        <f>IF(B396="Above Claim Form",COUNTIF($B$2:B396,"Above Claim Form"),"")</f>
        <v/>
      </c>
      <c r="P396">
        <f>IF(B396="Below Claim Form",COUNTIF($B$2:B396,"Below Claim Form"),"")</f>
        <v/>
      </c>
    </row>
    <row r="397">
      <c r="B397">
        <f>IF($N397="","",IFERROR(INDEX(Settings!$C$27:$C$36,MATCH(E397,Settings!$B$27:$B$36,0)),"Unassigned"))</f>
        <v/>
      </c>
      <c r="C397">
        <f>IF($N397="","",INDEX('Per Line'!$D$2:$D$3001,$N397))</f>
        <v/>
      </c>
      <c r="D397">
        <f>IF($N397="","",INDEX('Per Line'!$C$2:$C$3001,$N397))</f>
        <v/>
      </c>
      <c r="E397">
        <f>IF($N397="","",INDEX('Per Line'!$A$2:$A$3001,$N397))</f>
        <v/>
      </c>
      <c r="H397">
        <f>IF($N397="","",INDEX('Per Line'!$V$2:$V$3001,$N397))</f>
        <v/>
      </c>
      <c r="I397" s="5">
        <f>IF($N397="","",SUMIFS('Per Line'!$X$2:$X$3001,'Per Line'!$D$2:$D$3001,$C397))</f>
        <v/>
      </c>
      <c r="J397" s="5">
        <f>IF($N397="","",SUMIFS('Per Line'!$Y$2:$Y$3001,'Per Line'!$D$2:$D$3001,$C397))</f>
        <v/>
      </c>
      <c r="K397" s="5">
        <f>IF($N397="","",SUMIFS('Per Line'!$Z$2:$Z$3001,'Per Line'!$D$2:$D$3001,$C397))</f>
        <v/>
      </c>
      <c r="L397" s="5">
        <f>IF($N397="","",I397-J397)</f>
        <v/>
      </c>
      <c r="M397" s="5">
        <f>IF($N397="","",L397-K397)</f>
        <v/>
      </c>
      <c r="N397">
        <f>IF(ROWS($N$2:$N397)&lt;=MAX('Per Line'!$AG$2:$AG$3001),MATCH(ROWS($N$2:$N397),'Per Line'!$AG$2:$AG$3001,0),"")</f>
        <v/>
      </c>
      <c r="O397">
        <f>IF(B397="Above Claim Form",COUNTIF($B$2:B397,"Above Claim Form"),"")</f>
        <v/>
      </c>
      <c r="P397">
        <f>IF(B397="Below Claim Form",COUNTIF($B$2:B397,"Below Claim Form"),"")</f>
        <v/>
      </c>
    </row>
    <row r="398">
      <c r="B398">
        <f>IF($N398="","",IFERROR(INDEX(Settings!$C$27:$C$36,MATCH(E398,Settings!$B$27:$B$36,0)),"Unassigned"))</f>
        <v/>
      </c>
      <c r="C398">
        <f>IF($N398="","",INDEX('Per Line'!$D$2:$D$3001,$N398))</f>
        <v/>
      </c>
      <c r="D398">
        <f>IF($N398="","",INDEX('Per Line'!$C$2:$C$3001,$N398))</f>
        <v/>
      </c>
      <c r="E398">
        <f>IF($N398="","",INDEX('Per Line'!$A$2:$A$3001,$N398))</f>
        <v/>
      </c>
      <c r="H398">
        <f>IF($N398="","",INDEX('Per Line'!$V$2:$V$3001,$N398))</f>
        <v/>
      </c>
      <c r="I398" s="5">
        <f>IF($N398="","",SUMIFS('Per Line'!$X$2:$X$3001,'Per Line'!$D$2:$D$3001,$C398))</f>
        <v/>
      </c>
      <c r="J398" s="5">
        <f>IF($N398="","",SUMIFS('Per Line'!$Y$2:$Y$3001,'Per Line'!$D$2:$D$3001,$C398))</f>
        <v/>
      </c>
      <c r="K398" s="5">
        <f>IF($N398="","",SUMIFS('Per Line'!$Z$2:$Z$3001,'Per Line'!$D$2:$D$3001,$C398))</f>
        <v/>
      </c>
      <c r="L398" s="5">
        <f>IF($N398="","",I398-J398)</f>
        <v/>
      </c>
      <c r="M398" s="5">
        <f>IF($N398="","",L398-K398)</f>
        <v/>
      </c>
      <c r="N398">
        <f>IF(ROWS($N$2:$N398)&lt;=MAX('Per Line'!$AG$2:$AG$3001),MATCH(ROWS($N$2:$N398),'Per Line'!$AG$2:$AG$3001,0),"")</f>
        <v/>
      </c>
      <c r="O398">
        <f>IF(B398="Above Claim Form",COUNTIF($B$2:B398,"Above Claim Form"),"")</f>
        <v/>
      </c>
      <c r="P398">
        <f>IF(B398="Below Claim Form",COUNTIF($B$2:B398,"Below Claim Form"),"")</f>
        <v/>
      </c>
    </row>
    <row r="399">
      <c r="B399">
        <f>IF($N399="","",IFERROR(INDEX(Settings!$C$27:$C$36,MATCH(E399,Settings!$B$27:$B$36,0)),"Unassigned"))</f>
        <v/>
      </c>
      <c r="C399">
        <f>IF($N399="","",INDEX('Per Line'!$D$2:$D$3001,$N399))</f>
        <v/>
      </c>
      <c r="D399">
        <f>IF($N399="","",INDEX('Per Line'!$C$2:$C$3001,$N399))</f>
        <v/>
      </c>
      <c r="E399">
        <f>IF($N399="","",INDEX('Per Line'!$A$2:$A$3001,$N399))</f>
        <v/>
      </c>
      <c r="H399">
        <f>IF($N399="","",INDEX('Per Line'!$V$2:$V$3001,$N399))</f>
        <v/>
      </c>
      <c r="I399" s="5">
        <f>IF($N399="","",SUMIFS('Per Line'!$X$2:$X$3001,'Per Line'!$D$2:$D$3001,$C399))</f>
        <v/>
      </c>
      <c r="J399" s="5">
        <f>IF($N399="","",SUMIFS('Per Line'!$Y$2:$Y$3001,'Per Line'!$D$2:$D$3001,$C399))</f>
        <v/>
      </c>
      <c r="K399" s="5">
        <f>IF($N399="","",SUMIFS('Per Line'!$Z$2:$Z$3001,'Per Line'!$D$2:$D$3001,$C399))</f>
        <v/>
      </c>
      <c r="L399" s="5">
        <f>IF($N399="","",I399-J399)</f>
        <v/>
      </c>
      <c r="M399" s="5">
        <f>IF($N399="","",L399-K399)</f>
        <v/>
      </c>
      <c r="N399">
        <f>IF(ROWS($N$2:$N399)&lt;=MAX('Per Line'!$AG$2:$AG$3001),MATCH(ROWS($N$2:$N399),'Per Line'!$AG$2:$AG$3001,0),"")</f>
        <v/>
      </c>
      <c r="O399">
        <f>IF(B399="Above Claim Form",COUNTIF($B$2:B399,"Above Claim Form"),"")</f>
        <v/>
      </c>
      <c r="P399">
        <f>IF(B399="Below Claim Form",COUNTIF($B$2:B399,"Below Claim Form"),"")</f>
        <v/>
      </c>
    </row>
    <row r="400">
      <c r="B400">
        <f>IF($N400="","",IFERROR(INDEX(Settings!$C$27:$C$36,MATCH(E400,Settings!$B$27:$B$36,0)),"Unassigned"))</f>
        <v/>
      </c>
      <c r="C400">
        <f>IF($N400="","",INDEX('Per Line'!$D$2:$D$3001,$N400))</f>
        <v/>
      </c>
      <c r="D400">
        <f>IF($N400="","",INDEX('Per Line'!$C$2:$C$3001,$N400))</f>
        <v/>
      </c>
      <c r="E400">
        <f>IF($N400="","",INDEX('Per Line'!$A$2:$A$3001,$N400))</f>
        <v/>
      </c>
      <c r="H400">
        <f>IF($N400="","",INDEX('Per Line'!$V$2:$V$3001,$N400))</f>
        <v/>
      </c>
      <c r="I400" s="5">
        <f>IF($N400="","",SUMIFS('Per Line'!$X$2:$X$3001,'Per Line'!$D$2:$D$3001,$C400))</f>
        <v/>
      </c>
      <c r="J400" s="5">
        <f>IF($N400="","",SUMIFS('Per Line'!$Y$2:$Y$3001,'Per Line'!$D$2:$D$3001,$C400))</f>
        <v/>
      </c>
      <c r="K400" s="5">
        <f>IF($N400="","",SUMIFS('Per Line'!$Z$2:$Z$3001,'Per Line'!$D$2:$D$3001,$C400))</f>
        <v/>
      </c>
      <c r="L400" s="5">
        <f>IF($N400="","",I400-J400)</f>
        <v/>
      </c>
      <c r="M400" s="5">
        <f>IF($N400="","",L400-K400)</f>
        <v/>
      </c>
      <c r="N400">
        <f>IF(ROWS($N$2:$N400)&lt;=MAX('Per Line'!$AG$2:$AG$3001),MATCH(ROWS($N$2:$N400),'Per Line'!$AG$2:$AG$3001,0),"")</f>
        <v/>
      </c>
      <c r="O400">
        <f>IF(B400="Above Claim Form",COUNTIF($B$2:B400,"Above Claim Form"),"")</f>
        <v/>
      </c>
      <c r="P400">
        <f>IF(B400="Below Claim Form",COUNTIF($B$2:B400,"Below Claim Form"),"")</f>
        <v/>
      </c>
    </row>
    <row r="401">
      <c r="B401">
        <f>IF($N401="","",IFERROR(INDEX(Settings!$C$27:$C$36,MATCH(E401,Settings!$B$27:$B$36,0)),"Unassigned"))</f>
        <v/>
      </c>
      <c r="C401">
        <f>IF($N401="","",INDEX('Per Line'!$D$2:$D$3001,$N401))</f>
        <v/>
      </c>
      <c r="D401">
        <f>IF($N401="","",INDEX('Per Line'!$C$2:$C$3001,$N401))</f>
        <v/>
      </c>
      <c r="E401">
        <f>IF($N401="","",INDEX('Per Line'!$A$2:$A$3001,$N401))</f>
        <v/>
      </c>
      <c r="H401">
        <f>IF($N401="","",INDEX('Per Line'!$V$2:$V$3001,$N401))</f>
        <v/>
      </c>
      <c r="I401" s="5">
        <f>IF($N401="","",SUMIFS('Per Line'!$X$2:$X$3001,'Per Line'!$D$2:$D$3001,$C401))</f>
        <v/>
      </c>
      <c r="J401" s="5">
        <f>IF($N401="","",SUMIFS('Per Line'!$Y$2:$Y$3001,'Per Line'!$D$2:$D$3001,$C401))</f>
        <v/>
      </c>
      <c r="K401" s="5">
        <f>IF($N401="","",SUMIFS('Per Line'!$Z$2:$Z$3001,'Per Line'!$D$2:$D$3001,$C401))</f>
        <v/>
      </c>
      <c r="L401" s="5">
        <f>IF($N401="","",I401-J401)</f>
        <v/>
      </c>
      <c r="M401" s="5">
        <f>IF($N401="","",L401-K401)</f>
        <v/>
      </c>
      <c r="N401">
        <f>IF(ROWS($N$2:$N401)&lt;=MAX('Per Line'!$AG$2:$AG$3001),MATCH(ROWS($N$2:$N401),'Per Line'!$AG$2:$AG$3001,0),"")</f>
        <v/>
      </c>
      <c r="O401">
        <f>IF(B401="Above Claim Form",COUNTIF($B$2:B401,"Above Claim Form"),"")</f>
        <v/>
      </c>
      <c r="P401">
        <f>IF(B401="Below Claim Form",COUNTIF($B$2:B401,"Below Claim Form"),"")</f>
        <v/>
      </c>
    </row>
    <row r="402">
      <c r="B402">
        <f>IF($N402="","",IFERROR(INDEX(Settings!$C$27:$C$36,MATCH(E402,Settings!$B$27:$B$36,0)),"Unassigned"))</f>
        <v/>
      </c>
      <c r="C402">
        <f>IF($N402="","",INDEX('Per Line'!$D$2:$D$3001,$N402))</f>
        <v/>
      </c>
      <c r="D402">
        <f>IF($N402="","",INDEX('Per Line'!$C$2:$C$3001,$N402))</f>
        <v/>
      </c>
      <c r="E402">
        <f>IF($N402="","",INDEX('Per Line'!$A$2:$A$3001,$N402))</f>
        <v/>
      </c>
      <c r="H402">
        <f>IF($N402="","",INDEX('Per Line'!$V$2:$V$3001,$N402))</f>
        <v/>
      </c>
      <c r="I402" s="5">
        <f>IF($N402="","",SUMIFS('Per Line'!$X$2:$X$3001,'Per Line'!$D$2:$D$3001,$C402))</f>
        <v/>
      </c>
      <c r="J402" s="5">
        <f>IF($N402="","",SUMIFS('Per Line'!$Y$2:$Y$3001,'Per Line'!$D$2:$D$3001,$C402))</f>
        <v/>
      </c>
      <c r="K402" s="5">
        <f>IF($N402="","",SUMIFS('Per Line'!$Z$2:$Z$3001,'Per Line'!$D$2:$D$3001,$C402))</f>
        <v/>
      </c>
      <c r="L402" s="5">
        <f>IF($N402="","",I402-J402)</f>
        <v/>
      </c>
      <c r="M402" s="5">
        <f>IF($N402="","",L402-K402)</f>
        <v/>
      </c>
      <c r="N402">
        <f>IF(ROWS($N$2:$N402)&lt;=MAX('Per Line'!$AG$2:$AG$3001),MATCH(ROWS($N$2:$N402),'Per Line'!$AG$2:$AG$3001,0),"")</f>
        <v/>
      </c>
      <c r="O402">
        <f>IF(B402="Above Claim Form",COUNTIF($B$2:B402,"Above Claim Form"),"")</f>
        <v/>
      </c>
      <c r="P402">
        <f>IF(B402="Below Claim Form",COUNTIF($B$2:B402,"Below Claim Form"),"")</f>
        <v/>
      </c>
    </row>
    <row r="403">
      <c r="B403">
        <f>IF($N403="","",IFERROR(INDEX(Settings!$C$27:$C$36,MATCH(E403,Settings!$B$27:$B$36,0)),"Unassigned"))</f>
        <v/>
      </c>
      <c r="C403">
        <f>IF($N403="","",INDEX('Per Line'!$D$2:$D$3001,$N403))</f>
        <v/>
      </c>
      <c r="D403">
        <f>IF($N403="","",INDEX('Per Line'!$C$2:$C$3001,$N403))</f>
        <v/>
      </c>
      <c r="E403">
        <f>IF($N403="","",INDEX('Per Line'!$A$2:$A$3001,$N403))</f>
        <v/>
      </c>
      <c r="H403">
        <f>IF($N403="","",INDEX('Per Line'!$V$2:$V$3001,$N403))</f>
        <v/>
      </c>
      <c r="I403" s="5">
        <f>IF($N403="","",SUMIFS('Per Line'!$X$2:$X$3001,'Per Line'!$D$2:$D$3001,$C403))</f>
        <v/>
      </c>
      <c r="J403" s="5">
        <f>IF($N403="","",SUMIFS('Per Line'!$Y$2:$Y$3001,'Per Line'!$D$2:$D$3001,$C403))</f>
        <v/>
      </c>
      <c r="K403" s="5">
        <f>IF($N403="","",SUMIFS('Per Line'!$Z$2:$Z$3001,'Per Line'!$D$2:$D$3001,$C403))</f>
        <v/>
      </c>
      <c r="L403" s="5">
        <f>IF($N403="","",I403-J403)</f>
        <v/>
      </c>
      <c r="M403" s="5">
        <f>IF($N403="","",L403-K403)</f>
        <v/>
      </c>
      <c r="N403">
        <f>IF(ROWS($N$2:$N403)&lt;=MAX('Per Line'!$AG$2:$AG$3001),MATCH(ROWS($N$2:$N403),'Per Line'!$AG$2:$AG$3001,0),"")</f>
        <v/>
      </c>
      <c r="O403">
        <f>IF(B403="Above Claim Form",COUNTIF($B$2:B403,"Above Claim Form"),"")</f>
        <v/>
      </c>
      <c r="P403">
        <f>IF(B403="Below Claim Form",COUNTIF($B$2:B403,"Below Claim Form"),"")</f>
        <v/>
      </c>
    </row>
    <row r="404">
      <c r="B404">
        <f>IF($N404="","",IFERROR(INDEX(Settings!$C$27:$C$36,MATCH(E404,Settings!$B$27:$B$36,0)),"Unassigned"))</f>
        <v/>
      </c>
      <c r="C404">
        <f>IF($N404="","",INDEX('Per Line'!$D$2:$D$3001,$N404))</f>
        <v/>
      </c>
      <c r="D404">
        <f>IF($N404="","",INDEX('Per Line'!$C$2:$C$3001,$N404))</f>
        <v/>
      </c>
      <c r="E404">
        <f>IF($N404="","",INDEX('Per Line'!$A$2:$A$3001,$N404))</f>
        <v/>
      </c>
      <c r="H404">
        <f>IF($N404="","",INDEX('Per Line'!$V$2:$V$3001,$N404))</f>
        <v/>
      </c>
      <c r="I404" s="5">
        <f>IF($N404="","",SUMIFS('Per Line'!$X$2:$X$3001,'Per Line'!$D$2:$D$3001,$C404))</f>
        <v/>
      </c>
      <c r="J404" s="5">
        <f>IF($N404="","",SUMIFS('Per Line'!$Y$2:$Y$3001,'Per Line'!$D$2:$D$3001,$C404))</f>
        <v/>
      </c>
      <c r="K404" s="5">
        <f>IF($N404="","",SUMIFS('Per Line'!$Z$2:$Z$3001,'Per Line'!$D$2:$D$3001,$C404))</f>
        <v/>
      </c>
      <c r="L404" s="5">
        <f>IF($N404="","",I404-J404)</f>
        <v/>
      </c>
      <c r="M404" s="5">
        <f>IF($N404="","",L404-K404)</f>
        <v/>
      </c>
      <c r="N404">
        <f>IF(ROWS($N$2:$N404)&lt;=MAX('Per Line'!$AG$2:$AG$3001),MATCH(ROWS($N$2:$N404),'Per Line'!$AG$2:$AG$3001,0),"")</f>
        <v/>
      </c>
      <c r="O404">
        <f>IF(B404="Above Claim Form",COUNTIF($B$2:B404,"Above Claim Form"),"")</f>
        <v/>
      </c>
      <c r="P404">
        <f>IF(B404="Below Claim Form",COUNTIF($B$2:B404,"Below Claim Form"),"")</f>
        <v/>
      </c>
    </row>
    <row r="405">
      <c r="B405">
        <f>IF($N405="","",IFERROR(INDEX(Settings!$C$27:$C$36,MATCH(E405,Settings!$B$27:$B$36,0)),"Unassigned"))</f>
        <v/>
      </c>
      <c r="C405">
        <f>IF($N405="","",INDEX('Per Line'!$D$2:$D$3001,$N405))</f>
        <v/>
      </c>
      <c r="D405">
        <f>IF($N405="","",INDEX('Per Line'!$C$2:$C$3001,$N405))</f>
        <v/>
      </c>
      <c r="E405">
        <f>IF($N405="","",INDEX('Per Line'!$A$2:$A$3001,$N405))</f>
        <v/>
      </c>
      <c r="H405">
        <f>IF($N405="","",INDEX('Per Line'!$V$2:$V$3001,$N405))</f>
        <v/>
      </c>
      <c r="I405" s="5">
        <f>IF($N405="","",SUMIFS('Per Line'!$X$2:$X$3001,'Per Line'!$D$2:$D$3001,$C405))</f>
        <v/>
      </c>
      <c r="J405" s="5">
        <f>IF($N405="","",SUMIFS('Per Line'!$Y$2:$Y$3001,'Per Line'!$D$2:$D$3001,$C405))</f>
        <v/>
      </c>
      <c r="K405" s="5">
        <f>IF($N405="","",SUMIFS('Per Line'!$Z$2:$Z$3001,'Per Line'!$D$2:$D$3001,$C405))</f>
        <v/>
      </c>
      <c r="L405" s="5">
        <f>IF($N405="","",I405-J405)</f>
        <v/>
      </c>
      <c r="M405" s="5">
        <f>IF($N405="","",L405-K405)</f>
        <v/>
      </c>
      <c r="N405">
        <f>IF(ROWS($N$2:$N405)&lt;=MAX('Per Line'!$AG$2:$AG$3001),MATCH(ROWS($N$2:$N405),'Per Line'!$AG$2:$AG$3001,0),"")</f>
        <v/>
      </c>
      <c r="O405">
        <f>IF(B405="Above Claim Form",COUNTIF($B$2:B405,"Above Claim Form"),"")</f>
        <v/>
      </c>
      <c r="P405">
        <f>IF(B405="Below Claim Form",COUNTIF($B$2:B405,"Below Claim Form"),"")</f>
        <v/>
      </c>
    </row>
    <row r="406">
      <c r="B406">
        <f>IF($N406="","",IFERROR(INDEX(Settings!$C$27:$C$36,MATCH(E406,Settings!$B$27:$B$36,0)),"Unassigned"))</f>
        <v/>
      </c>
      <c r="C406">
        <f>IF($N406="","",INDEX('Per Line'!$D$2:$D$3001,$N406))</f>
        <v/>
      </c>
      <c r="D406">
        <f>IF($N406="","",INDEX('Per Line'!$C$2:$C$3001,$N406))</f>
        <v/>
      </c>
      <c r="E406">
        <f>IF($N406="","",INDEX('Per Line'!$A$2:$A$3001,$N406))</f>
        <v/>
      </c>
      <c r="H406">
        <f>IF($N406="","",INDEX('Per Line'!$V$2:$V$3001,$N406))</f>
        <v/>
      </c>
      <c r="I406" s="5">
        <f>IF($N406="","",SUMIFS('Per Line'!$X$2:$X$3001,'Per Line'!$D$2:$D$3001,$C406))</f>
        <v/>
      </c>
      <c r="J406" s="5">
        <f>IF($N406="","",SUMIFS('Per Line'!$Y$2:$Y$3001,'Per Line'!$D$2:$D$3001,$C406))</f>
        <v/>
      </c>
      <c r="K406" s="5">
        <f>IF($N406="","",SUMIFS('Per Line'!$Z$2:$Z$3001,'Per Line'!$D$2:$D$3001,$C406))</f>
        <v/>
      </c>
      <c r="L406" s="5">
        <f>IF($N406="","",I406-J406)</f>
        <v/>
      </c>
      <c r="M406" s="5">
        <f>IF($N406="","",L406-K406)</f>
        <v/>
      </c>
      <c r="N406">
        <f>IF(ROWS($N$2:$N406)&lt;=MAX('Per Line'!$AG$2:$AG$3001),MATCH(ROWS($N$2:$N406),'Per Line'!$AG$2:$AG$3001,0),"")</f>
        <v/>
      </c>
      <c r="O406">
        <f>IF(B406="Above Claim Form",COUNTIF($B$2:B406,"Above Claim Form"),"")</f>
        <v/>
      </c>
      <c r="P406">
        <f>IF(B406="Below Claim Form",COUNTIF($B$2:B406,"Below Claim Form"),"")</f>
        <v/>
      </c>
    </row>
    <row r="407">
      <c r="B407">
        <f>IF($N407="","",IFERROR(INDEX(Settings!$C$27:$C$36,MATCH(E407,Settings!$B$27:$B$36,0)),"Unassigned"))</f>
        <v/>
      </c>
      <c r="C407">
        <f>IF($N407="","",INDEX('Per Line'!$D$2:$D$3001,$N407))</f>
        <v/>
      </c>
      <c r="D407">
        <f>IF($N407="","",INDEX('Per Line'!$C$2:$C$3001,$N407))</f>
        <v/>
      </c>
      <c r="E407">
        <f>IF($N407="","",INDEX('Per Line'!$A$2:$A$3001,$N407))</f>
        <v/>
      </c>
      <c r="H407">
        <f>IF($N407="","",INDEX('Per Line'!$V$2:$V$3001,$N407))</f>
        <v/>
      </c>
      <c r="I407" s="5">
        <f>IF($N407="","",SUMIFS('Per Line'!$X$2:$X$3001,'Per Line'!$D$2:$D$3001,$C407))</f>
        <v/>
      </c>
      <c r="J407" s="5">
        <f>IF($N407="","",SUMIFS('Per Line'!$Y$2:$Y$3001,'Per Line'!$D$2:$D$3001,$C407))</f>
        <v/>
      </c>
      <c r="K407" s="5">
        <f>IF($N407="","",SUMIFS('Per Line'!$Z$2:$Z$3001,'Per Line'!$D$2:$D$3001,$C407))</f>
        <v/>
      </c>
      <c r="L407" s="5">
        <f>IF($N407="","",I407-J407)</f>
        <v/>
      </c>
      <c r="M407" s="5">
        <f>IF($N407="","",L407-K407)</f>
        <v/>
      </c>
      <c r="N407">
        <f>IF(ROWS($N$2:$N407)&lt;=MAX('Per Line'!$AG$2:$AG$3001),MATCH(ROWS($N$2:$N407),'Per Line'!$AG$2:$AG$3001,0),"")</f>
        <v/>
      </c>
      <c r="O407">
        <f>IF(B407="Above Claim Form",COUNTIF($B$2:B407,"Above Claim Form"),"")</f>
        <v/>
      </c>
      <c r="P407">
        <f>IF(B407="Below Claim Form",COUNTIF($B$2:B407,"Below Claim Form"),"")</f>
        <v/>
      </c>
    </row>
    <row r="408">
      <c r="B408">
        <f>IF($N408="","",IFERROR(INDEX(Settings!$C$27:$C$36,MATCH(E408,Settings!$B$27:$B$36,0)),"Unassigned"))</f>
        <v/>
      </c>
      <c r="C408">
        <f>IF($N408="","",INDEX('Per Line'!$D$2:$D$3001,$N408))</f>
        <v/>
      </c>
      <c r="D408">
        <f>IF($N408="","",INDEX('Per Line'!$C$2:$C$3001,$N408))</f>
        <v/>
      </c>
      <c r="E408">
        <f>IF($N408="","",INDEX('Per Line'!$A$2:$A$3001,$N408))</f>
        <v/>
      </c>
      <c r="H408">
        <f>IF($N408="","",INDEX('Per Line'!$V$2:$V$3001,$N408))</f>
        <v/>
      </c>
      <c r="I408" s="5">
        <f>IF($N408="","",SUMIFS('Per Line'!$X$2:$X$3001,'Per Line'!$D$2:$D$3001,$C408))</f>
        <v/>
      </c>
      <c r="J408" s="5">
        <f>IF($N408="","",SUMIFS('Per Line'!$Y$2:$Y$3001,'Per Line'!$D$2:$D$3001,$C408))</f>
        <v/>
      </c>
      <c r="K408" s="5">
        <f>IF($N408="","",SUMIFS('Per Line'!$Z$2:$Z$3001,'Per Line'!$D$2:$D$3001,$C408))</f>
        <v/>
      </c>
      <c r="L408" s="5">
        <f>IF($N408="","",I408-J408)</f>
        <v/>
      </c>
      <c r="M408" s="5">
        <f>IF($N408="","",L408-K408)</f>
        <v/>
      </c>
      <c r="N408">
        <f>IF(ROWS($N$2:$N408)&lt;=MAX('Per Line'!$AG$2:$AG$3001),MATCH(ROWS($N$2:$N408),'Per Line'!$AG$2:$AG$3001,0),"")</f>
        <v/>
      </c>
      <c r="O408">
        <f>IF(B408="Above Claim Form",COUNTIF($B$2:B408,"Above Claim Form"),"")</f>
        <v/>
      </c>
      <c r="P408">
        <f>IF(B408="Below Claim Form",COUNTIF($B$2:B408,"Below Claim Form"),"")</f>
        <v/>
      </c>
    </row>
    <row r="409">
      <c r="B409">
        <f>IF($N409="","",IFERROR(INDEX(Settings!$C$27:$C$36,MATCH(E409,Settings!$B$27:$B$36,0)),"Unassigned"))</f>
        <v/>
      </c>
      <c r="C409">
        <f>IF($N409="","",INDEX('Per Line'!$D$2:$D$3001,$N409))</f>
        <v/>
      </c>
      <c r="D409">
        <f>IF($N409="","",INDEX('Per Line'!$C$2:$C$3001,$N409))</f>
        <v/>
      </c>
      <c r="E409">
        <f>IF($N409="","",INDEX('Per Line'!$A$2:$A$3001,$N409))</f>
        <v/>
      </c>
      <c r="H409">
        <f>IF($N409="","",INDEX('Per Line'!$V$2:$V$3001,$N409))</f>
        <v/>
      </c>
      <c r="I409" s="5">
        <f>IF($N409="","",SUMIFS('Per Line'!$X$2:$X$3001,'Per Line'!$D$2:$D$3001,$C409))</f>
        <v/>
      </c>
      <c r="J409" s="5">
        <f>IF($N409="","",SUMIFS('Per Line'!$Y$2:$Y$3001,'Per Line'!$D$2:$D$3001,$C409))</f>
        <v/>
      </c>
      <c r="K409" s="5">
        <f>IF($N409="","",SUMIFS('Per Line'!$Z$2:$Z$3001,'Per Line'!$D$2:$D$3001,$C409))</f>
        <v/>
      </c>
      <c r="L409" s="5">
        <f>IF($N409="","",I409-J409)</f>
        <v/>
      </c>
      <c r="M409" s="5">
        <f>IF($N409="","",L409-K409)</f>
        <v/>
      </c>
      <c r="N409">
        <f>IF(ROWS($N$2:$N409)&lt;=MAX('Per Line'!$AG$2:$AG$3001),MATCH(ROWS($N$2:$N409),'Per Line'!$AG$2:$AG$3001,0),"")</f>
        <v/>
      </c>
      <c r="O409">
        <f>IF(B409="Above Claim Form",COUNTIF($B$2:B409,"Above Claim Form"),"")</f>
        <v/>
      </c>
      <c r="P409">
        <f>IF(B409="Below Claim Form",COUNTIF($B$2:B409,"Below Claim Form"),"")</f>
        <v/>
      </c>
    </row>
    <row r="410">
      <c r="B410">
        <f>IF($N410="","",IFERROR(INDEX(Settings!$C$27:$C$36,MATCH(E410,Settings!$B$27:$B$36,0)),"Unassigned"))</f>
        <v/>
      </c>
      <c r="C410">
        <f>IF($N410="","",INDEX('Per Line'!$D$2:$D$3001,$N410))</f>
        <v/>
      </c>
      <c r="D410">
        <f>IF($N410="","",INDEX('Per Line'!$C$2:$C$3001,$N410))</f>
        <v/>
      </c>
      <c r="E410">
        <f>IF($N410="","",INDEX('Per Line'!$A$2:$A$3001,$N410))</f>
        <v/>
      </c>
      <c r="H410">
        <f>IF($N410="","",INDEX('Per Line'!$V$2:$V$3001,$N410))</f>
        <v/>
      </c>
      <c r="I410" s="5">
        <f>IF($N410="","",SUMIFS('Per Line'!$X$2:$X$3001,'Per Line'!$D$2:$D$3001,$C410))</f>
        <v/>
      </c>
      <c r="J410" s="5">
        <f>IF($N410="","",SUMIFS('Per Line'!$Y$2:$Y$3001,'Per Line'!$D$2:$D$3001,$C410))</f>
        <v/>
      </c>
      <c r="K410" s="5">
        <f>IF($N410="","",SUMIFS('Per Line'!$Z$2:$Z$3001,'Per Line'!$D$2:$D$3001,$C410))</f>
        <v/>
      </c>
      <c r="L410" s="5">
        <f>IF($N410="","",I410-J410)</f>
        <v/>
      </c>
      <c r="M410" s="5">
        <f>IF($N410="","",L410-K410)</f>
        <v/>
      </c>
      <c r="N410">
        <f>IF(ROWS($N$2:$N410)&lt;=MAX('Per Line'!$AG$2:$AG$3001),MATCH(ROWS($N$2:$N410),'Per Line'!$AG$2:$AG$3001,0),"")</f>
        <v/>
      </c>
      <c r="O410">
        <f>IF(B410="Above Claim Form",COUNTIF($B$2:B410,"Above Claim Form"),"")</f>
        <v/>
      </c>
      <c r="P410">
        <f>IF(B410="Below Claim Form",COUNTIF($B$2:B410,"Below Claim Form"),"")</f>
        <v/>
      </c>
    </row>
    <row r="411">
      <c r="B411">
        <f>IF($N411="","",IFERROR(INDEX(Settings!$C$27:$C$36,MATCH(E411,Settings!$B$27:$B$36,0)),"Unassigned"))</f>
        <v/>
      </c>
      <c r="C411">
        <f>IF($N411="","",INDEX('Per Line'!$D$2:$D$3001,$N411))</f>
        <v/>
      </c>
      <c r="D411">
        <f>IF($N411="","",INDEX('Per Line'!$C$2:$C$3001,$N411))</f>
        <v/>
      </c>
      <c r="E411">
        <f>IF($N411="","",INDEX('Per Line'!$A$2:$A$3001,$N411))</f>
        <v/>
      </c>
      <c r="H411">
        <f>IF($N411="","",INDEX('Per Line'!$V$2:$V$3001,$N411))</f>
        <v/>
      </c>
      <c r="I411" s="5">
        <f>IF($N411="","",SUMIFS('Per Line'!$X$2:$X$3001,'Per Line'!$D$2:$D$3001,$C411))</f>
        <v/>
      </c>
      <c r="J411" s="5">
        <f>IF($N411="","",SUMIFS('Per Line'!$Y$2:$Y$3001,'Per Line'!$D$2:$D$3001,$C411))</f>
        <v/>
      </c>
      <c r="K411" s="5">
        <f>IF($N411="","",SUMIFS('Per Line'!$Z$2:$Z$3001,'Per Line'!$D$2:$D$3001,$C411))</f>
        <v/>
      </c>
      <c r="L411" s="5">
        <f>IF($N411="","",I411-J411)</f>
        <v/>
      </c>
      <c r="M411" s="5">
        <f>IF($N411="","",L411-K411)</f>
        <v/>
      </c>
      <c r="N411">
        <f>IF(ROWS($N$2:$N411)&lt;=MAX('Per Line'!$AG$2:$AG$3001),MATCH(ROWS($N$2:$N411),'Per Line'!$AG$2:$AG$3001,0),"")</f>
        <v/>
      </c>
      <c r="O411">
        <f>IF(B411="Above Claim Form",COUNTIF($B$2:B411,"Above Claim Form"),"")</f>
        <v/>
      </c>
      <c r="P411">
        <f>IF(B411="Below Claim Form",COUNTIF($B$2:B411,"Below Claim Form"),"")</f>
        <v/>
      </c>
    </row>
    <row r="412">
      <c r="B412">
        <f>IF($N412="","",IFERROR(INDEX(Settings!$C$27:$C$36,MATCH(E412,Settings!$B$27:$B$36,0)),"Unassigned"))</f>
        <v/>
      </c>
      <c r="C412">
        <f>IF($N412="","",INDEX('Per Line'!$D$2:$D$3001,$N412))</f>
        <v/>
      </c>
      <c r="D412">
        <f>IF($N412="","",INDEX('Per Line'!$C$2:$C$3001,$N412))</f>
        <v/>
      </c>
      <c r="E412">
        <f>IF($N412="","",INDEX('Per Line'!$A$2:$A$3001,$N412))</f>
        <v/>
      </c>
      <c r="H412">
        <f>IF($N412="","",INDEX('Per Line'!$V$2:$V$3001,$N412))</f>
        <v/>
      </c>
      <c r="I412" s="5">
        <f>IF($N412="","",SUMIFS('Per Line'!$X$2:$X$3001,'Per Line'!$D$2:$D$3001,$C412))</f>
        <v/>
      </c>
      <c r="J412" s="5">
        <f>IF($N412="","",SUMIFS('Per Line'!$Y$2:$Y$3001,'Per Line'!$D$2:$D$3001,$C412))</f>
        <v/>
      </c>
      <c r="K412" s="5">
        <f>IF($N412="","",SUMIFS('Per Line'!$Z$2:$Z$3001,'Per Line'!$D$2:$D$3001,$C412))</f>
        <v/>
      </c>
      <c r="L412" s="5">
        <f>IF($N412="","",I412-J412)</f>
        <v/>
      </c>
      <c r="M412" s="5">
        <f>IF($N412="","",L412-K412)</f>
        <v/>
      </c>
      <c r="N412">
        <f>IF(ROWS($N$2:$N412)&lt;=MAX('Per Line'!$AG$2:$AG$3001),MATCH(ROWS($N$2:$N412),'Per Line'!$AG$2:$AG$3001,0),"")</f>
        <v/>
      </c>
      <c r="O412">
        <f>IF(B412="Above Claim Form",COUNTIF($B$2:B412,"Above Claim Form"),"")</f>
        <v/>
      </c>
      <c r="P412">
        <f>IF(B412="Below Claim Form",COUNTIF($B$2:B412,"Below Claim Form"),"")</f>
        <v/>
      </c>
    </row>
    <row r="413">
      <c r="B413">
        <f>IF($N413="","",IFERROR(INDEX(Settings!$C$27:$C$36,MATCH(E413,Settings!$B$27:$B$36,0)),"Unassigned"))</f>
        <v/>
      </c>
      <c r="C413">
        <f>IF($N413="","",INDEX('Per Line'!$D$2:$D$3001,$N413))</f>
        <v/>
      </c>
      <c r="D413">
        <f>IF($N413="","",INDEX('Per Line'!$C$2:$C$3001,$N413))</f>
        <v/>
      </c>
      <c r="E413">
        <f>IF($N413="","",INDEX('Per Line'!$A$2:$A$3001,$N413))</f>
        <v/>
      </c>
      <c r="H413">
        <f>IF($N413="","",INDEX('Per Line'!$V$2:$V$3001,$N413))</f>
        <v/>
      </c>
      <c r="I413" s="5">
        <f>IF($N413="","",SUMIFS('Per Line'!$X$2:$X$3001,'Per Line'!$D$2:$D$3001,$C413))</f>
        <v/>
      </c>
      <c r="J413" s="5">
        <f>IF($N413="","",SUMIFS('Per Line'!$Y$2:$Y$3001,'Per Line'!$D$2:$D$3001,$C413))</f>
        <v/>
      </c>
      <c r="K413" s="5">
        <f>IF($N413="","",SUMIFS('Per Line'!$Z$2:$Z$3001,'Per Line'!$D$2:$D$3001,$C413))</f>
        <v/>
      </c>
      <c r="L413" s="5">
        <f>IF($N413="","",I413-J413)</f>
        <v/>
      </c>
      <c r="M413" s="5">
        <f>IF($N413="","",L413-K413)</f>
        <v/>
      </c>
      <c r="N413">
        <f>IF(ROWS($N$2:$N413)&lt;=MAX('Per Line'!$AG$2:$AG$3001),MATCH(ROWS($N$2:$N413),'Per Line'!$AG$2:$AG$3001,0),"")</f>
        <v/>
      </c>
      <c r="O413">
        <f>IF(B413="Above Claim Form",COUNTIF($B$2:B413,"Above Claim Form"),"")</f>
        <v/>
      </c>
      <c r="P413">
        <f>IF(B413="Below Claim Form",COUNTIF($B$2:B413,"Below Claim Form"),"")</f>
        <v/>
      </c>
    </row>
    <row r="414">
      <c r="B414">
        <f>IF($N414="","",IFERROR(INDEX(Settings!$C$27:$C$36,MATCH(E414,Settings!$B$27:$B$36,0)),"Unassigned"))</f>
        <v/>
      </c>
      <c r="C414">
        <f>IF($N414="","",INDEX('Per Line'!$D$2:$D$3001,$N414))</f>
        <v/>
      </c>
      <c r="D414">
        <f>IF($N414="","",INDEX('Per Line'!$C$2:$C$3001,$N414))</f>
        <v/>
      </c>
      <c r="E414">
        <f>IF($N414="","",INDEX('Per Line'!$A$2:$A$3001,$N414))</f>
        <v/>
      </c>
      <c r="H414">
        <f>IF($N414="","",INDEX('Per Line'!$V$2:$V$3001,$N414))</f>
        <v/>
      </c>
      <c r="I414" s="5">
        <f>IF($N414="","",SUMIFS('Per Line'!$X$2:$X$3001,'Per Line'!$D$2:$D$3001,$C414))</f>
        <v/>
      </c>
      <c r="J414" s="5">
        <f>IF($N414="","",SUMIFS('Per Line'!$Y$2:$Y$3001,'Per Line'!$D$2:$D$3001,$C414))</f>
        <v/>
      </c>
      <c r="K414" s="5">
        <f>IF($N414="","",SUMIFS('Per Line'!$Z$2:$Z$3001,'Per Line'!$D$2:$D$3001,$C414))</f>
        <v/>
      </c>
      <c r="L414" s="5">
        <f>IF($N414="","",I414-J414)</f>
        <v/>
      </c>
      <c r="M414" s="5">
        <f>IF($N414="","",L414-K414)</f>
        <v/>
      </c>
      <c r="N414">
        <f>IF(ROWS($N$2:$N414)&lt;=MAX('Per Line'!$AG$2:$AG$3001),MATCH(ROWS($N$2:$N414),'Per Line'!$AG$2:$AG$3001,0),"")</f>
        <v/>
      </c>
      <c r="O414">
        <f>IF(B414="Above Claim Form",COUNTIF($B$2:B414,"Above Claim Form"),"")</f>
        <v/>
      </c>
      <c r="P414">
        <f>IF(B414="Below Claim Form",COUNTIF($B$2:B414,"Below Claim Form"),"")</f>
        <v/>
      </c>
    </row>
    <row r="415">
      <c r="B415">
        <f>IF($N415="","",IFERROR(INDEX(Settings!$C$27:$C$36,MATCH(E415,Settings!$B$27:$B$36,0)),"Unassigned"))</f>
        <v/>
      </c>
      <c r="C415">
        <f>IF($N415="","",INDEX('Per Line'!$D$2:$D$3001,$N415))</f>
        <v/>
      </c>
      <c r="D415">
        <f>IF($N415="","",INDEX('Per Line'!$C$2:$C$3001,$N415))</f>
        <v/>
      </c>
      <c r="E415">
        <f>IF($N415="","",INDEX('Per Line'!$A$2:$A$3001,$N415))</f>
        <v/>
      </c>
      <c r="H415">
        <f>IF($N415="","",INDEX('Per Line'!$V$2:$V$3001,$N415))</f>
        <v/>
      </c>
      <c r="I415" s="5">
        <f>IF($N415="","",SUMIFS('Per Line'!$X$2:$X$3001,'Per Line'!$D$2:$D$3001,$C415))</f>
        <v/>
      </c>
      <c r="J415" s="5">
        <f>IF($N415="","",SUMIFS('Per Line'!$Y$2:$Y$3001,'Per Line'!$D$2:$D$3001,$C415))</f>
        <v/>
      </c>
      <c r="K415" s="5">
        <f>IF($N415="","",SUMIFS('Per Line'!$Z$2:$Z$3001,'Per Line'!$D$2:$D$3001,$C415))</f>
        <v/>
      </c>
      <c r="L415" s="5">
        <f>IF($N415="","",I415-J415)</f>
        <v/>
      </c>
      <c r="M415" s="5">
        <f>IF($N415="","",L415-K415)</f>
        <v/>
      </c>
      <c r="N415">
        <f>IF(ROWS($N$2:$N415)&lt;=MAX('Per Line'!$AG$2:$AG$3001),MATCH(ROWS($N$2:$N415),'Per Line'!$AG$2:$AG$3001,0),"")</f>
        <v/>
      </c>
      <c r="O415">
        <f>IF(B415="Above Claim Form",COUNTIF($B$2:B415,"Above Claim Form"),"")</f>
        <v/>
      </c>
      <c r="P415">
        <f>IF(B415="Below Claim Form",COUNTIF($B$2:B415,"Below Claim Form"),"")</f>
        <v/>
      </c>
    </row>
    <row r="416">
      <c r="B416">
        <f>IF($N416="","",IFERROR(INDEX(Settings!$C$27:$C$36,MATCH(E416,Settings!$B$27:$B$36,0)),"Unassigned"))</f>
        <v/>
      </c>
      <c r="C416">
        <f>IF($N416="","",INDEX('Per Line'!$D$2:$D$3001,$N416))</f>
        <v/>
      </c>
      <c r="D416">
        <f>IF($N416="","",INDEX('Per Line'!$C$2:$C$3001,$N416))</f>
        <v/>
      </c>
      <c r="E416">
        <f>IF($N416="","",INDEX('Per Line'!$A$2:$A$3001,$N416))</f>
        <v/>
      </c>
      <c r="H416">
        <f>IF($N416="","",INDEX('Per Line'!$V$2:$V$3001,$N416))</f>
        <v/>
      </c>
      <c r="I416" s="5">
        <f>IF($N416="","",SUMIFS('Per Line'!$X$2:$X$3001,'Per Line'!$D$2:$D$3001,$C416))</f>
        <v/>
      </c>
      <c r="J416" s="5">
        <f>IF($N416="","",SUMIFS('Per Line'!$Y$2:$Y$3001,'Per Line'!$D$2:$D$3001,$C416))</f>
        <v/>
      </c>
      <c r="K416" s="5">
        <f>IF($N416="","",SUMIFS('Per Line'!$Z$2:$Z$3001,'Per Line'!$D$2:$D$3001,$C416))</f>
        <v/>
      </c>
      <c r="L416" s="5">
        <f>IF($N416="","",I416-J416)</f>
        <v/>
      </c>
      <c r="M416" s="5">
        <f>IF($N416="","",L416-K416)</f>
        <v/>
      </c>
      <c r="N416">
        <f>IF(ROWS($N$2:$N416)&lt;=MAX('Per Line'!$AG$2:$AG$3001),MATCH(ROWS($N$2:$N416),'Per Line'!$AG$2:$AG$3001,0),"")</f>
        <v/>
      </c>
      <c r="O416">
        <f>IF(B416="Above Claim Form",COUNTIF($B$2:B416,"Above Claim Form"),"")</f>
        <v/>
      </c>
      <c r="P416">
        <f>IF(B416="Below Claim Form",COUNTIF($B$2:B416,"Below Claim Form"),"")</f>
        <v/>
      </c>
    </row>
    <row r="417">
      <c r="B417">
        <f>IF($N417="","",IFERROR(INDEX(Settings!$C$27:$C$36,MATCH(E417,Settings!$B$27:$B$36,0)),"Unassigned"))</f>
        <v/>
      </c>
      <c r="C417">
        <f>IF($N417="","",INDEX('Per Line'!$D$2:$D$3001,$N417))</f>
        <v/>
      </c>
      <c r="D417">
        <f>IF($N417="","",INDEX('Per Line'!$C$2:$C$3001,$N417))</f>
        <v/>
      </c>
      <c r="E417">
        <f>IF($N417="","",INDEX('Per Line'!$A$2:$A$3001,$N417))</f>
        <v/>
      </c>
      <c r="H417">
        <f>IF($N417="","",INDEX('Per Line'!$V$2:$V$3001,$N417))</f>
        <v/>
      </c>
      <c r="I417" s="5">
        <f>IF($N417="","",SUMIFS('Per Line'!$X$2:$X$3001,'Per Line'!$D$2:$D$3001,$C417))</f>
        <v/>
      </c>
      <c r="J417" s="5">
        <f>IF($N417="","",SUMIFS('Per Line'!$Y$2:$Y$3001,'Per Line'!$D$2:$D$3001,$C417))</f>
        <v/>
      </c>
      <c r="K417" s="5">
        <f>IF($N417="","",SUMIFS('Per Line'!$Z$2:$Z$3001,'Per Line'!$D$2:$D$3001,$C417))</f>
        <v/>
      </c>
      <c r="L417" s="5">
        <f>IF($N417="","",I417-J417)</f>
        <v/>
      </c>
      <c r="M417" s="5">
        <f>IF($N417="","",L417-K417)</f>
        <v/>
      </c>
      <c r="N417">
        <f>IF(ROWS($N$2:$N417)&lt;=MAX('Per Line'!$AG$2:$AG$3001),MATCH(ROWS($N$2:$N417),'Per Line'!$AG$2:$AG$3001,0),"")</f>
        <v/>
      </c>
      <c r="O417">
        <f>IF(B417="Above Claim Form",COUNTIF($B$2:B417,"Above Claim Form"),"")</f>
        <v/>
      </c>
      <c r="P417">
        <f>IF(B417="Below Claim Form",COUNTIF($B$2:B417,"Below Claim Form"),"")</f>
        <v/>
      </c>
    </row>
    <row r="418">
      <c r="B418">
        <f>IF($N418="","",IFERROR(INDEX(Settings!$C$27:$C$36,MATCH(E418,Settings!$B$27:$B$36,0)),"Unassigned"))</f>
        <v/>
      </c>
      <c r="C418">
        <f>IF($N418="","",INDEX('Per Line'!$D$2:$D$3001,$N418))</f>
        <v/>
      </c>
      <c r="D418">
        <f>IF($N418="","",INDEX('Per Line'!$C$2:$C$3001,$N418))</f>
        <v/>
      </c>
      <c r="E418">
        <f>IF($N418="","",INDEX('Per Line'!$A$2:$A$3001,$N418))</f>
        <v/>
      </c>
      <c r="H418">
        <f>IF($N418="","",INDEX('Per Line'!$V$2:$V$3001,$N418))</f>
        <v/>
      </c>
      <c r="I418" s="5">
        <f>IF($N418="","",SUMIFS('Per Line'!$X$2:$X$3001,'Per Line'!$D$2:$D$3001,$C418))</f>
        <v/>
      </c>
      <c r="J418" s="5">
        <f>IF($N418="","",SUMIFS('Per Line'!$Y$2:$Y$3001,'Per Line'!$D$2:$D$3001,$C418))</f>
        <v/>
      </c>
      <c r="K418" s="5">
        <f>IF($N418="","",SUMIFS('Per Line'!$Z$2:$Z$3001,'Per Line'!$D$2:$D$3001,$C418))</f>
        <v/>
      </c>
      <c r="L418" s="5">
        <f>IF($N418="","",I418-J418)</f>
        <v/>
      </c>
      <c r="M418" s="5">
        <f>IF($N418="","",L418-K418)</f>
        <v/>
      </c>
      <c r="N418">
        <f>IF(ROWS($N$2:$N418)&lt;=MAX('Per Line'!$AG$2:$AG$3001),MATCH(ROWS($N$2:$N418),'Per Line'!$AG$2:$AG$3001,0),"")</f>
        <v/>
      </c>
      <c r="O418">
        <f>IF(B418="Above Claim Form",COUNTIF($B$2:B418,"Above Claim Form"),"")</f>
        <v/>
      </c>
      <c r="P418">
        <f>IF(B418="Below Claim Form",COUNTIF($B$2:B418,"Below Claim Form"),"")</f>
        <v/>
      </c>
    </row>
    <row r="419">
      <c r="B419">
        <f>IF($N419="","",IFERROR(INDEX(Settings!$C$27:$C$36,MATCH(E419,Settings!$B$27:$B$36,0)),"Unassigned"))</f>
        <v/>
      </c>
      <c r="C419">
        <f>IF($N419="","",INDEX('Per Line'!$D$2:$D$3001,$N419))</f>
        <v/>
      </c>
      <c r="D419">
        <f>IF($N419="","",INDEX('Per Line'!$C$2:$C$3001,$N419))</f>
        <v/>
      </c>
      <c r="E419">
        <f>IF($N419="","",INDEX('Per Line'!$A$2:$A$3001,$N419))</f>
        <v/>
      </c>
      <c r="H419">
        <f>IF($N419="","",INDEX('Per Line'!$V$2:$V$3001,$N419))</f>
        <v/>
      </c>
      <c r="I419" s="5">
        <f>IF($N419="","",SUMIFS('Per Line'!$X$2:$X$3001,'Per Line'!$D$2:$D$3001,$C419))</f>
        <v/>
      </c>
      <c r="J419" s="5">
        <f>IF($N419="","",SUMIFS('Per Line'!$Y$2:$Y$3001,'Per Line'!$D$2:$D$3001,$C419))</f>
        <v/>
      </c>
      <c r="K419" s="5">
        <f>IF($N419="","",SUMIFS('Per Line'!$Z$2:$Z$3001,'Per Line'!$D$2:$D$3001,$C419))</f>
        <v/>
      </c>
      <c r="L419" s="5">
        <f>IF($N419="","",I419-J419)</f>
        <v/>
      </c>
      <c r="M419" s="5">
        <f>IF($N419="","",L419-K419)</f>
        <v/>
      </c>
      <c r="N419">
        <f>IF(ROWS($N$2:$N419)&lt;=MAX('Per Line'!$AG$2:$AG$3001),MATCH(ROWS($N$2:$N419),'Per Line'!$AG$2:$AG$3001,0),"")</f>
        <v/>
      </c>
      <c r="O419">
        <f>IF(B419="Above Claim Form",COUNTIF($B$2:B419,"Above Claim Form"),"")</f>
        <v/>
      </c>
      <c r="P419">
        <f>IF(B419="Below Claim Form",COUNTIF($B$2:B419,"Below Claim Form"),"")</f>
        <v/>
      </c>
    </row>
    <row r="420">
      <c r="B420">
        <f>IF($N420="","",IFERROR(INDEX(Settings!$C$27:$C$36,MATCH(E420,Settings!$B$27:$B$36,0)),"Unassigned"))</f>
        <v/>
      </c>
      <c r="C420">
        <f>IF($N420="","",INDEX('Per Line'!$D$2:$D$3001,$N420))</f>
        <v/>
      </c>
      <c r="D420">
        <f>IF($N420="","",INDEX('Per Line'!$C$2:$C$3001,$N420))</f>
        <v/>
      </c>
      <c r="E420">
        <f>IF($N420="","",INDEX('Per Line'!$A$2:$A$3001,$N420))</f>
        <v/>
      </c>
      <c r="H420">
        <f>IF($N420="","",INDEX('Per Line'!$V$2:$V$3001,$N420))</f>
        <v/>
      </c>
      <c r="I420" s="5">
        <f>IF($N420="","",SUMIFS('Per Line'!$X$2:$X$3001,'Per Line'!$D$2:$D$3001,$C420))</f>
        <v/>
      </c>
      <c r="J420" s="5">
        <f>IF($N420="","",SUMIFS('Per Line'!$Y$2:$Y$3001,'Per Line'!$D$2:$D$3001,$C420))</f>
        <v/>
      </c>
      <c r="K420" s="5">
        <f>IF($N420="","",SUMIFS('Per Line'!$Z$2:$Z$3001,'Per Line'!$D$2:$D$3001,$C420))</f>
        <v/>
      </c>
      <c r="L420" s="5">
        <f>IF($N420="","",I420-J420)</f>
        <v/>
      </c>
      <c r="M420" s="5">
        <f>IF($N420="","",L420-K420)</f>
        <v/>
      </c>
      <c r="N420">
        <f>IF(ROWS($N$2:$N420)&lt;=MAX('Per Line'!$AG$2:$AG$3001),MATCH(ROWS($N$2:$N420),'Per Line'!$AG$2:$AG$3001,0),"")</f>
        <v/>
      </c>
      <c r="O420">
        <f>IF(B420="Above Claim Form",COUNTIF($B$2:B420,"Above Claim Form"),"")</f>
        <v/>
      </c>
      <c r="P420">
        <f>IF(B420="Below Claim Form",COUNTIF($B$2:B420,"Below Claim Form"),"")</f>
        <v/>
      </c>
    </row>
    <row r="421">
      <c r="B421">
        <f>IF($N421="","",IFERROR(INDEX(Settings!$C$27:$C$36,MATCH(E421,Settings!$B$27:$B$36,0)),"Unassigned"))</f>
        <v/>
      </c>
      <c r="C421">
        <f>IF($N421="","",INDEX('Per Line'!$D$2:$D$3001,$N421))</f>
        <v/>
      </c>
      <c r="D421">
        <f>IF($N421="","",INDEX('Per Line'!$C$2:$C$3001,$N421))</f>
        <v/>
      </c>
      <c r="E421">
        <f>IF($N421="","",INDEX('Per Line'!$A$2:$A$3001,$N421))</f>
        <v/>
      </c>
      <c r="H421">
        <f>IF($N421="","",INDEX('Per Line'!$V$2:$V$3001,$N421))</f>
        <v/>
      </c>
      <c r="I421" s="5">
        <f>IF($N421="","",SUMIFS('Per Line'!$X$2:$X$3001,'Per Line'!$D$2:$D$3001,$C421))</f>
        <v/>
      </c>
      <c r="J421" s="5">
        <f>IF($N421="","",SUMIFS('Per Line'!$Y$2:$Y$3001,'Per Line'!$D$2:$D$3001,$C421))</f>
        <v/>
      </c>
      <c r="K421" s="5">
        <f>IF($N421="","",SUMIFS('Per Line'!$Z$2:$Z$3001,'Per Line'!$D$2:$D$3001,$C421))</f>
        <v/>
      </c>
      <c r="L421" s="5">
        <f>IF($N421="","",I421-J421)</f>
        <v/>
      </c>
      <c r="M421" s="5">
        <f>IF($N421="","",L421-K421)</f>
        <v/>
      </c>
      <c r="N421">
        <f>IF(ROWS($N$2:$N421)&lt;=MAX('Per Line'!$AG$2:$AG$3001),MATCH(ROWS($N$2:$N421),'Per Line'!$AG$2:$AG$3001,0),"")</f>
        <v/>
      </c>
      <c r="O421">
        <f>IF(B421="Above Claim Form",COUNTIF($B$2:B421,"Above Claim Form"),"")</f>
        <v/>
      </c>
      <c r="P421">
        <f>IF(B421="Below Claim Form",COUNTIF($B$2:B421,"Below Claim Form"),"")</f>
        <v/>
      </c>
    </row>
    <row r="422">
      <c r="B422">
        <f>IF($N422="","",IFERROR(INDEX(Settings!$C$27:$C$36,MATCH(E422,Settings!$B$27:$B$36,0)),"Unassigned"))</f>
        <v/>
      </c>
      <c r="C422">
        <f>IF($N422="","",INDEX('Per Line'!$D$2:$D$3001,$N422))</f>
        <v/>
      </c>
      <c r="D422">
        <f>IF($N422="","",INDEX('Per Line'!$C$2:$C$3001,$N422))</f>
        <v/>
      </c>
      <c r="E422">
        <f>IF($N422="","",INDEX('Per Line'!$A$2:$A$3001,$N422))</f>
        <v/>
      </c>
      <c r="H422">
        <f>IF($N422="","",INDEX('Per Line'!$V$2:$V$3001,$N422))</f>
        <v/>
      </c>
      <c r="I422" s="5">
        <f>IF($N422="","",SUMIFS('Per Line'!$X$2:$X$3001,'Per Line'!$D$2:$D$3001,$C422))</f>
        <v/>
      </c>
      <c r="J422" s="5">
        <f>IF($N422="","",SUMIFS('Per Line'!$Y$2:$Y$3001,'Per Line'!$D$2:$D$3001,$C422))</f>
        <v/>
      </c>
      <c r="K422" s="5">
        <f>IF($N422="","",SUMIFS('Per Line'!$Z$2:$Z$3001,'Per Line'!$D$2:$D$3001,$C422))</f>
        <v/>
      </c>
      <c r="L422" s="5">
        <f>IF($N422="","",I422-J422)</f>
        <v/>
      </c>
      <c r="M422" s="5">
        <f>IF($N422="","",L422-K422)</f>
        <v/>
      </c>
      <c r="N422">
        <f>IF(ROWS($N$2:$N422)&lt;=MAX('Per Line'!$AG$2:$AG$3001),MATCH(ROWS($N$2:$N422),'Per Line'!$AG$2:$AG$3001,0),"")</f>
        <v/>
      </c>
      <c r="O422">
        <f>IF(B422="Above Claim Form",COUNTIF($B$2:B422,"Above Claim Form"),"")</f>
        <v/>
      </c>
      <c r="P422">
        <f>IF(B422="Below Claim Form",COUNTIF($B$2:B422,"Below Claim Form"),"")</f>
        <v/>
      </c>
    </row>
    <row r="423">
      <c r="B423">
        <f>IF($N423="","",IFERROR(INDEX(Settings!$C$27:$C$36,MATCH(E423,Settings!$B$27:$B$36,0)),"Unassigned"))</f>
        <v/>
      </c>
      <c r="C423">
        <f>IF($N423="","",INDEX('Per Line'!$D$2:$D$3001,$N423))</f>
        <v/>
      </c>
      <c r="D423">
        <f>IF($N423="","",INDEX('Per Line'!$C$2:$C$3001,$N423))</f>
        <v/>
      </c>
      <c r="E423">
        <f>IF($N423="","",INDEX('Per Line'!$A$2:$A$3001,$N423))</f>
        <v/>
      </c>
      <c r="H423">
        <f>IF($N423="","",INDEX('Per Line'!$V$2:$V$3001,$N423))</f>
        <v/>
      </c>
      <c r="I423" s="5">
        <f>IF($N423="","",SUMIFS('Per Line'!$X$2:$X$3001,'Per Line'!$D$2:$D$3001,$C423))</f>
        <v/>
      </c>
      <c r="J423" s="5">
        <f>IF($N423="","",SUMIFS('Per Line'!$Y$2:$Y$3001,'Per Line'!$D$2:$D$3001,$C423))</f>
        <v/>
      </c>
      <c r="K423" s="5">
        <f>IF($N423="","",SUMIFS('Per Line'!$Z$2:$Z$3001,'Per Line'!$D$2:$D$3001,$C423))</f>
        <v/>
      </c>
      <c r="L423" s="5">
        <f>IF($N423="","",I423-J423)</f>
        <v/>
      </c>
      <c r="M423" s="5">
        <f>IF($N423="","",L423-K423)</f>
        <v/>
      </c>
      <c r="N423">
        <f>IF(ROWS($N$2:$N423)&lt;=MAX('Per Line'!$AG$2:$AG$3001),MATCH(ROWS($N$2:$N423),'Per Line'!$AG$2:$AG$3001,0),"")</f>
        <v/>
      </c>
      <c r="O423">
        <f>IF(B423="Above Claim Form",COUNTIF($B$2:B423,"Above Claim Form"),"")</f>
        <v/>
      </c>
      <c r="P423">
        <f>IF(B423="Below Claim Form",COUNTIF($B$2:B423,"Below Claim Form"),"")</f>
        <v/>
      </c>
    </row>
    <row r="424">
      <c r="B424">
        <f>IF($N424="","",IFERROR(INDEX(Settings!$C$27:$C$36,MATCH(E424,Settings!$B$27:$B$36,0)),"Unassigned"))</f>
        <v/>
      </c>
      <c r="C424">
        <f>IF($N424="","",INDEX('Per Line'!$D$2:$D$3001,$N424))</f>
        <v/>
      </c>
      <c r="D424">
        <f>IF($N424="","",INDEX('Per Line'!$C$2:$C$3001,$N424))</f>
        <v/>
      </c>
      <c r="E424">
        <f>IF($N424="","",INDEX('Per Line'!$A$2:$A$3001,$N424))</f>
        <v/>
      </c>
      <c r="H424">
        <f>IF($N424="","",INDEX('Per Line'!$V$2:$V$3001,$N424))</f>
        <v/>
      </c>
      <c r="I424" s="5">
        <f>IF($N424="","",SUMIFS('Per Line'!$X$2:$X$3001,'Per Line'!$D$2:$D$3001,$C424))</f>
        <v/>
      </c>
      <c r="J424" s="5">
        <f>IF($N424="","",SUMIFS('Per Line'!$Y$2:$Y$3001,'Per Line'!$D$2:$D$3001,$C424))</f>
        <v/>
      </c>
      <c r="K424" s="5">
        <f>IF($N424="","",SUMIFS('Per Line'!$Z$2:$Z$3001,'Per Line'!$D$2:$D$3001,$C424))</f>
        <v/>
      </c>
      <c r="L424" s="5">
        <f>IF($N424="","",I424-J424)</f>
        <v/>
      </c>
      <c r="M424" s="5">
        <f>IF($N424="","",L424-K424)</f>
        <v/>
      </c>
      <c r="N424">
        <f>IF(ROWS($N$2:$N424)&lt;=MAX('Per Line'!$AG$2:$AG$3001),MATCH(ROWS($N$2:$N424),'Per Line'!$AG$2:$AG$3001,0),"")</f>
        <v/>
      </c>
      <c r="O424">
        <f>IF(B424="Above Claim Form",COUNTIF($B$2:B424,"Above Claim Form"),"")</f>
        <v/>
      </c>
      <c r="P424">
        <f>IF(B424="Below Claim Form",COUNTIF($B$2:B424,"Below Claim Form"),"")</f>
        <v/>
      </c>
    </row>
    <row r="425">
      <c r="B425">
        <f>IF($N425="","",IFERROR(INDEX(Settings!$C$27:$C$36,MATCH(E425,Settings!$B$27:$B$36,0)),"Unassigned"))</f>
        <v/>
      </c>
      <c r="C425">
        <f>IF($N425="","",INDEX('Per Line'!$D$2:$D$3001,$N425))</f>
        <v/>
      </c>
      <c r="D425">
        <f>IF($N425="","",INDEX('Per Line'!$C$2:$C$3001,$N425))</f>
        <v/>
      </c>
      <c r="E425">
        <f>IF($N425="","",INDEX('Per Line'!$A$2:$A$3001,$N425))</f>
        <v/>
      </c>
      <c r="H425">
        <f>IF($N425="","",INDEX('Per Line'!$V$2:$V$3001,$N425))</f>
        <v/>
      </c>
      <c r="I425" s="5">
        <f>IF($N425="","",SUMIFS('Per Line'!$X$2:$X$3001,'Per Line'!$D$2:$D$3001,$C425))</f>
        <v/>
      </c>
      <c r="J425" s="5">
        <f>IF($N425="","",SUMIFS('Per Line'!$Y$2:$Y$3001,'Per Line'!$D$2:$D$3001,$C425))</f>
        <v/>
      </c>
      <c r="K425" s="5">
        <f>IF($N425="","",SUMIFS('Per Line'!$Z$2:$Z$3001,'Per Line'!$D$2:$D$3001,$C425))</f>
        <v/>
      </c>
      <c r="L425" s="5">
        <f>IF($N425="","",I425-J425)</f>
        <v/>
      </c>
      <c r="M425" s="5">
        <f>IF($N425="","",L425-K425)</f>
        <v/>
      </c>
      <c r="N425">
        <f>IF(ROWS($N$2:$N425)&lt;=MAX('Per Line'!$AG$2:$AG$3001),MATCH(ROWS($N$2:$N425),'Per Line'!$AG$2:$AG$3001,0),"")</f>
        <v/>
      </c>
      <c r="O425">
        <f>IF(B425="Above Claim Form",COUNTIF($B$2:B425,"Above Claim Form"),"")</f>
        <v/>
      </c>
      <c r="P425">
        <f>IF(B425="Below Claim Form",COUNTIF($B$2:B425,"Below Claim Form"),"")</f>
        <v/>
      </c>
    </row>
    <row r="426">
      <c r="B426">
        <f>IF($N426="","",IFERROR(INDEX(Settings!$C$27:$C$36,MATCH(E426,Settings!$B$27:$B$36,0)),"Unassigned"))</f>
        <v/>
      </c>
      <c r="C426">
        <f>IF($N426="","",INDEX('Per Line'!$D$2:$D$3001,$N426))</f>
        <v/>
      </c>
      <c r="D426">
        <f>IF($N426="","",INDEX('Per Line'!$C$2:$C$3001,$N426))</f>
        <v/>
      </c>
      <c r="E426">
        <f>IF($N426="","",INDEX('Per Line'!$A$2:$A$3001,$N426))</f>
        <v/>
      </c>
      <c r="H426">
        <f>IF($N426="","",INDEX('Per Line'!$V$2:$V$3001,$N426))</f>
        <v/>
      </c>
      <c r="I426" s="5">
        <f>IF($N426="","",SUMIFS('Per Line'!$X$2:$X$3001,'Per Line'!$D$2:$D$3001,$C426))</f>
        <v/>
      </c>
      <c r="J426" s="5">
        <f>IF($N426="","",SUMIFS('Per Line'!$Y$2:$Y$3001,'Per Line'!$D$2:$D$3001,$C426))</f>
        <v/>
      </c>
      <c r="K426" s="5">
        <f>IF($N426="","",SUMIFS('Per Line'!$Z$2:$Z$3001,'Per Line'!$D$2:$D$3001,$C426))</f>
        <v/>
      </c>
      <c r="L426" s="5">
        <f>IF($N426="","",I426-J426)</f>
        <v/>
      </c>
      <c r="M426" s="5">
        <f>IF($N426="","",L426-K426)</f>
        <v/>
      </c>
      <c r="N426">
        <f>IF(ROWS($N$2:$N426)&lt;=MAX('Per Line'!$AG$2:$AG$3001),MATCH(ROWS($N$2:$N426),'Per Line'!$AG$2:$AG$3001,0),"")</f>
        <v/>
      </c>
      <c r="O426">
        <f>IF(B426="Above Claim Form",COUNTIF($B$2:B426,"Above Claim Form"),"")</f>
        <v/>
      </c>
      <c r="P426">
        <f>IF(B426="Below Claim Form",COUNTIF($B$2:B426,"Below Claim Form"),"")</f>
        <v/>
      </c>
    </row>
    <row r="427">
      <c r="B427">
        <f>IF($N427="","",IFERROR(INDEX(Settings!$C$27:$C$36,MATCH(E427,Settings!$B$27:$B$36,0)),"Unassigned"))</f>
        <v/>
      </c>
      <c r="C427">
        <f>IF($N427="","",INDEX('Per Line'!$D$2:$D$3001,$N427))</f>
        <v/>
      </c>
      <c r="D427">
        <f>IF($N427="","",INDEX('Per Line'!$C$2:$C$3001,$N427))</f>
        <v/>
      </c>
      <c r="E427">
        <f>IF($N427="","",INDEX('Per Line'!$A$2:$A$3001,$N427))</f>
        <v/>
      </c>
      <c r="H427">
        <f>IF($N427="","",INDEX('Per Line'!$V$2:$V$3001,$N427))</f>
        <v/>
      </c>
      <c r="I427" s="5">
        <f>IF($N427="","",SUMIFS('Per Line'!$X$2:$X$3001,'Per Line'!$D$2:$D$3001,$C427))</f>
        <v/>
      </c>
      <c r="J427" s="5">
        <f>IF($N427="","",SUMIFS('Per Line'!$Y$2:$Y$3001,'Per Line'!$D$2:$D$3001,$C427))</f>
        <v/>
      </c>
      <c r="K427" s="5">
        <f>IF($N427="","",SUMIFS('Per Line'!$Z$2:$Z$3001,'Per Line'!$D$2:$D$3001,$C427))</f>
        <v/>
      </c>
      <c r="L427" s="5">
        <f>IF($N427="","",I427-J427)</f>
        <v/>
      </c>
      <c r="M427" s="5">
        <f>IF($N427="","",L427-K427)</f>
        <v/>
      </c>
      <c r="N427">
        <f>IF(ROWS($N$2:$N427)&lt;=MAX('Per Line'!$AG$2:$AG$3001),MATCH(ROWS($N$2:$N427),'Per Line'!$AG$2:$AG$3001,0),"")</f>
        <v/>
      </c>
      <c r="O427">
        <f>IF(B427="Above Claim Form",COUNTIF($B$2:B427,"Above Claim Form"),"")</f>
        <v/>
      </c>
      <c r="P427">
        <f>IF(B427="Below Claim Form",COUNTIF($B$2:B427,"Below Claim Form"),"")</f>
        <v/>
      </c>
    </row>
    <row r="428">
      <c r="B428">
        <f>IF($N428="","",IFERROR(INDEX(Settings!$C$27:$C$36,MATCH(E428,Settings!$B$27:$B$36,0)),"Unassigned"))</f>
        <v/>
      </c>
      <c r="C428">
        <f>IF($N428="","",INDEX('Per Line'!$D$2:$D$3001,$N428))</f>
        <v/>
      </c>
      <c r="D428">
        <f>IF($N428="","",INDEX('Per Line'!$C$2:$C$3001,$N428))</f>
        <v/>
      </c>
      <c r="E428">
        <f>IF($N428="","",INDEX('Per Line'!$A$2:$A$3001,$N428))</f>
        <v/>
      </c>
      <c r="H428">
        <f>IF($N428="","",INDEX('Per Line'!$V$2:$V$3001,$N428))</f>
        <v/>
      </c>
      <c r="I428" s="5">
        <f>IF($N428="","",SUMIFS('Per Line'!$X$2:$X$3001,'Per Line'!$D$2:$D$3001,$C428))</f>
        <v/>
      </c>
      <c r="J428" s="5">
        <f>IF($N428="","",SUMIFS('Per Line'!$Y$2:$Y$3001,'Per Line'!$D$2:$D$3001,$C428))</f>
        <v/>
      </c>
      <c r="K428" s="5">
        <f>IF($N428="","",SUMIFS('Per Line'!$Z$2:$Z$3001,'Per Line'!$D$2:$D$3001,$C428))</f>
        <v/>
      </c>
      <c r="L428" s="5">
        <f>IF($N428="","",I428-J428)</f>
        <v/>
      </c>
      <c r="M428" s="5">
        <f>IF($N428="","",L428-K428)</f>
        <v/>
      </c>
      <c r="N428">
        <f>IF(ROWS($N$2:$N428)&lt;=MAX('Per Line'!$AG$2:$AG$3001),MATCH(ROWS($N$2:$N428),'Per Line'!$AG$2:$AG$3001,0),"")</f>
        <v/>
      </c>
      <c r="O428">
        <f>IF(B428="Above Claim Form",COUNTIF($B$2:B428,"Above Claim Form"),"")</f>
        <v/>
      </c>
      <c r="P428">
        <f>IF(B428="Below Claim Form",COUNTIF($B$2:B428,"Below Claim Form"),"")</f>
        <v/>
      </c>
    </row>
    <row r="429">
      <c r="B429">
        <f>IF($N429="","",IFERROR(INDEX(Settings!$C$27:$C$36,MATCH(E429,Settings!$B$27:$B$36,0)),"Unassigned"))</f>
        <v/>
      </c>
      <c r="C429">
        <f>IF($N429="","",INDEX('Per Line'!$D$2:$D$3001,$N429))</f>
        <v/>
      </c>
      <c r="D429">
        <f>IF($N429="","",INDEX('Per Line'!$C$2:$C$3001,$N429))</f>
        <v/>
      </c>
      <c r="E429">
        <f>IF($N429="","",INDEX('Per Line'!$A$2:$A$3001,$N429))</f>
        <v/>
      </c>
      <c r="H429">
        <f>IF($N429="","",INDEX('Per Line'!$V$2:$V$3001,$N429))</f>
        <v/>
      </c>
      <c r="I429" s="5">
        <f>IF($N429="","",SUMIFS('Per Line'!$X$2:$X$3001,'Per Line'!$D$2:$D$3001,$C429))</f>
        <v/>
      </c>
      <c r="J429" s="5">
        <f>IF($N429="","",SUMIFS('Per Line'!$Y$2:$Y$3001,'Per Line'!$D$2:$D$3001,$C429))</f>
        <v/>
      </c>
      <c r="K429" s="5">
        <f>IF($N429="","",SUMIFS('Per Line'!$Z$2:$Z$3001,'Per Line'!$D$2:$D$3001,$C429))</f>
        <v/>
      </c>
      <c r="L429" s="5">
        <f>IF($N429="","",I429-J429)</f>
        <v/>
      </c>
      <c r="M429" s="5">
        <f>IF($N429="","",L429-K429)</f>
        <v/>
      </c>
      <c r="N429">
        <f>IF(ROWS($N$2:$N429)&lt;=MAX('Per Line'!$AG$2:$AG$3001),MATCH(ROWS($N$2:$N429),'Per Line'!$AG$2:$AG$3001,0),"")</f>
        <v/>
      </c>
      <c r="O429">
        <f>IF(B429="Above Claim Form",COUNTIF($B$2:B429,"Above Claim Form"),"")</f>
        <v/>
      </c>
      <c r="P429">
        <f>IF(B429="Below Claim Form",COUNTIF($B$2:B429,"Below Claim Form"),"")</f>
        <v/>
      </c>
    </row>
    <row r="430">
      <c r="B430">
        <f>IF($N430="","",IFERROR(INDEX(Settings!$C$27:$C$36,MATCH(E430,Settings!$B$27:$B$36,0)),"Unassigned"))</f>
        <v/>
      </c>
      <c r="C430">
        <f>IF($N430="","",INDEX('Per Line'!$D$2:$D$3001,$N430))</f>
        <v/>
      </c>
      <c r="D430">
        <f>IF($N430="","",INDEX('Per Line'!$C$2:$C$3001,$N430))</f>
        <v/>
      </c>
      <c r="E430">
        <f>IF($N430="","",INDEX('Per Line'!$A$2:$A$3001,$N430))</f>
        <v/>
      </c>
      <c r="H430">
        <f>IF($N430="","",INDEX('Per Line'!$V$2:$V$3001,$N430))</f>
        <v/>
      </c>
      <c r="I430" s="5">
        <f>IF($N430="","",SUMIFS('Per Line'!$X$2:$X$3001,'Per Line'!$D$2:$D$3001,$C430))</f>
        <v/>
      </c>
      <c r="J430" s="5">
        <f>IF($N430="","",SUMIFS('Per Line'!$Y$2:$Y$3001,'Per Line'!$D$2:$D$3001,$C430))</f>
        <v/>
      </c>
      <c r="K430" s="5">
        <f>IF($N430="","",SUMIFS('Per Line'!$Z$2:$Z$3001,'Per Line'!$D$2:$D$3001,$C430))</f>
        <v/>
      </c>
      <c r="L430" s="5">
        <f>IF($N430="","",I430-J430)</f>
        <v/>
      </c>
      <c r="M430" s="5">
        <f>IF($N430="","",L430-K430)</f>
        <v/>
      </c>
      <c r="N430">
        <f>IF(ROWS($N$2:$N430)&lt;=MAX('Per Line'!$AG$2:$AG$3001),MATCH(ROWS($N$2:$N430),'Per Line'!$AG$2:$AG$3001,0),"")</f>
        <v/>
      </c>
      <c r="O430">
        <f>IF(B430="Above Claim Form",COUNTIF($B$2:B430,"Above Claim Form"),"")</f>
        <v/>
      </c>
      <c r="P430">
        <f>IF(B430="Below Claim Form",COUNTIF($B$2:B430,"Below Claim Form"),"")</f>
        <v/>
      </c>
    </row>
    <row r="431">
      <c r="B431">
        <f>IF($N431="","",IFERROR(INDEX(Settings!$C$27:$C$36,MATCH(E431,Settings!$B$27:$B$36,0)),"Unassigned"))</f>
        <v/>
      </c>
      <c r="C431">
        <f>IF($N431="","",INDEX('Per Line'!$D$2:$D$3001,$N431))</f>
        <v/>
      </c>
      <c r="D431">
        <f>IF($N431="","",INDEX('Per Line'!$C$2:$C$3001,$N431))</f>
        <v/>
      </c>
      <c r="E431">
        <f>IF($N431="","",INDEX('Per Line'!$A$2:$A$3001,$N431))</f>
        <v/>
      </c>
      <c r="H431">
        <f>IF($N431="","",INDEX('Per Line'!$V$2:$V$3001,$N431))</f>
        <v/>
      </c>
      <c r="I431" s="5">
        <f>IF($N431="","",SUMIFS('Per Line'!$X$2:$X$3001,'Per Line'!$D$2:$D$3001,$C431))</f>
        <v/>
      </c>
      <c r="J431" s="5">
        <f>IF($N431="","",SUMIFS('Per Line'!$Y$2:$Y$3001,'Per Line'!$D$2:$D$3001,$C431))</f>
        <v/>
      </c>
      <c r="K431" s="5">
        <f>IF($N431="","",SUMIFS('Per Line'!$Z$2:$Z$3001,'Per Line'!$D$2:$D$3001,$C431))</f>
        <v/>
      </c>
      <c r="L431" s="5">
        <f>IF($N431="","",I431-J431)</f>
        <v/>
      </c>
      <c r="M431" s="5">
        <f>IF($N431="","",L431-K431)</f>
        <v/>
      </c>
      <c r="N431">
        <f>IF(ROWS($N$2:$N431)&lt;=MAX('Per Line'!$AG$2:$AG$3001),MATCH(ROWS($N$2:$N431),'Per Line'!$AG$2:$AG$3001,0),"")</f>
        <v/>
      </c>
      <c r="O431">
        <f>IF(B431="Above Claim Form",COUNTIF($B$2:B431,"Above Claim Form"),"")</f>
        <v/>
      </c>
      <c r="P431">
        <f>IF(B431="Below Claim Form",COUNTIF($B$2:B431,"Below Claim Form"),"")</f>
        <v/>
      </c>
    </row>
    <row r="432">
      <c r="B432">
        <f>IF($N432="","",IFERROR(INDEX(Settings!$C$27:$C$36,MATCH(E432,Settings!$B$27:$B$36,0)),"Unassigned"))</f>
        <v/>
      </c>
      <c r="C432">
        <f>IF($N432="","",INDEX('Per Line'!$D$2:$D$3001,$N432))</f>
        <v/>
      </c>
      <c r="D432">
        <f>IF($N432="","",INDEX('Per Line'!$C$2:$C$3001,$N432))</f>
        <v/>
      </c>
      <c r="E432">
        <f>IF($N432="","",INDEX('Per Line'!$A$2:$A$3001,$N432))</f>
        <v/>
      </c>
      <c r="H432">
        <f>IF($N432="","",INDEX('Per Line'!$V$2:$V$3001,$N432))</f>
        <v/>
      </c>
      <c r="I432" s="5">
        <f>IF($N432="","",SUMIFS('Per Line'!$X$2:$X$3001,'Per Line'!$D$2:$D$3001,$C432))</f>
        <v/>
      </c>
      <c r="J432" s="5">
        <f>IF($N432="","",SUMIFS('Per Line'!$Y$2:$Y$3001,'Per Line'!$D$2:$D$3001,$C432))</f>
        <v/>
      </c>
      <c r="K432" s="5">
        <f>IF($N432="","",SUMIFS('Per Line'!$Z$2:$Z$3001,'Per Line'!$D$2:$D$3001,$C432))</f>
        <v/>
      </c>
      <c r="L432" s="5">
        <f>IF($N432="","",I432-J432)</f>
        <v/>
      </c>
      <c r="M432" s="5">
        <f>IF($N432="","",L432-K432)</f>
        <v/>
      </c>
      <c r="N432">
        <f>IF(ROWS($N$2:$N432)&lt;=MAX('Per Line'!$AG$2:$AG$3001),MATCH(ROWS($N$2:$N432),'Per Line'!$AG$2:$AG$3001,0),"")</f>
        <v/>
      </c>
      <c r="O432">
        <f>IF(B432="Above Claim Form",COUNTIF($B$2:B432,"Above Claim Form"),"")</f>
        <v/>
      </c>
      <c r="P432">
        <f>IF(B432="Below Claim Form",COUNTIF($B$2:B432,"Below Claim Form"),"")</f>
        <v/>
      </c>
    </row>
    <row r="433">
      <c r="B433">
        <f>IF($N433="","",IFERROR(INDEX(Settings!$C$27:$C$36,MATCH(E433,Settings!$B$27:$B$36,0)),"Unassigned"))</f>
        <v/>
      </c>
      <c r="C433">
        <f>IF($N433="","",INDEX('Per Line'!$D$2:$D$3001,$N433))</f>
        <v/>
      </c>
      <c r="D433">
        <f>IF($N433="","",INDEX('Per Line'!$C$2:$C$3001,$N433))</f>
        <v/>
      </c>
      <c r="E433">
        <f>IF($N433="","",INDEX('Per Line'!$A$2:$A$3001,$N433))</f>
        <v/>
      </c>
      <c r="H433">
        <f>IF($N433="","",INDEX('Per Line'!$V$2:$V$3001,$N433))</f>
        <v/>
      </c>
      <c r="I433" s="5">
        <f>IF($N433="","",SUMIFS('Per Line'!$X$2:$X$3001,'Per Line'!$D$2:$D$3001,$C433))</f>
        <v/>
      </c>
      <c r="J433" s="5">
        <f>IF($N433="","",SUMIFS('Per Line'!$Y$2:$Y$3001,'Per Line'!$D$2:$D$3001,$C433))</f>
        <v/>
      </c>
      <c r="K433" s="5">
        <f>IF($N433="","",SUMIFS('Per Line'!$Z$2:$Z$3001,'Per Line'!$D$2:$D$3001,$C433))</f>
        <v/>
      </c>
      <c r="L433" s="5">
        <f>IF($N433="","",I433-J433)</f>
        <v/>
      </c>
      <c r="M433" s="5">
        <f>IF($N433="","",L433-K433)</f>
        <v/>
      </c>
      <c r="N433">
        <f>IF(ROWS($N$2:$N433)&lt;=MAX('Per Line'!$AG$2:$AG$3001),MATCH(ROWS($N$2:$N433),'Per Line'!$AG$2:$AG$3001,0),"")</f>
        <v/>
      </c>
      <c r="O433">
        <f>IF(B433="Above Claim Form",COUNTIF($B$2:B433,"Above Claim Form"),"")</f>
        <v/>
      </c>
      <c r="P433">
        <f>IF(B433="Below Claim Form",COUNTIF($B$2:B433,"Below Claim Form"),"")</f>
        <v/>
      </c>
    </row>
    <row r="434">
      <c r="B434">
        <f>IF($N434="","",IFERROR(INDEX(Settings!$C$27:$C$36,MATCH(E434,Settings!$B$27:$B$36,0)),"Unassigned"))</f>
        <v/>
      </c>
      <c r="C434">
        <f>IF($N434="","",INDEX('Per Line'!$D$2:$D$3001,$N434))</f>
        <v/>
      </c>
      <c r="D434">
        <f>IF($N434="","",INDEX('Per Line'!$C$2:$C$3001,$N434))</f>
        <v/>
      </c>
      <c r="E434">
        <f>IF($N434="","",INDEX('Per Line'!$A$2:$A$3001,$N434))</f>
        <v/>
      </c>
      <c r="H434">
        <f>IF($N434="","",INDEX('Per Line'!$V$2:$V$3001,$N434))</f>
        <v/>
      </c>
      <c r="I434" s="5">
        <f>IF($N434="","",SUMIFS('Per Line'!$X$2:$X$3001,'Per Line'!$D$2:$D$3001,$C434))</f>
        <v/>
      </c>
      <c r="J434" s="5">
        <f>IF($N434="","",SUMIFS('Per Line'!$Y$2:$Y$3001,'Per Line'!$D$2:$D$3001,$C434))</f>
        <v/>
      </c>
      <c r="K434" s="5">
        <f>IF($N434="","",SUMIFS('Per Line'!$Z$2:$Z$3001,'Per Line'!$D$2:$D$3001,$C434))</f>
        <v/>
      </c>
      <c r="L434" s="5">
        <f>IF($N434="","",I434-J434)</f>
        <v/>
      </c>
      <c r="M434" s="5">
        <f>IF($N434="","",L434-K434)</f>
        <v/>
      </c>
      <c r="N434">
        <f>IF(ROWS($N$2:$N434)&lt;=MAX('Per Line'!$AG$2:$AG$3001),MATCH(ROWS($N$2:$N434),'Per Line'!$AG$2:$AG$3001,0),"")</f>
        <v/>
      </c>
      <c r="O434">
        <f>IF(B434="Above Claim Form",COUNTIF($B$2:B434,"Above Claim Form"),"")</f>
        <v/>
      </c>
      <c r="P434">
        <f>IF(B434="Below Claim Form",COUNTIF($B$2:B434,"Below Claim Form"),"")</f>
        <v/>
      </c>
    </row>
    <row r="435">
      <c r="B435">
        <f>IF($N435="","",IFERROR(INDEX(Settings!$C$27:$C$36,MATCH(E435,Settings!$B$27:$B$36,0)),"Unassigned"))</f>
        <v/>
      </c>
      <c r="C435">
        <f>IF($N435="","",INDEX('Per Line'!$D$2:$D$3001,$N435))</f>
        <v/>
      </c>
      <c r="D435">
        <f>IF($N435="","",INDEX('Per Line'!$C$2:$C$3001,$N435))</f>
        <v/>
      </c>
      <c r="E435">
        <f>IF($N435="","",INDEX('Per Line'!$A$2:$A$3001,$N435))</f>
        <v/>
      </c>
      <c r="H435">
        <f>IF($N435="","",INDEX('Per Line'!$V$2:$V$3001,$N435))</f>
        <v/>
      </c>
      <c r="I435" s="5">
        <f>IF($N435="","",SUMIFS('Per Line'!$X$2:$X$3001,'Per Line'!$D$2:$D$3001,$C435))</f>
        <v/>
      </c>
      <c r="J435" s="5">
        <f>IF($N435="","",SUMIFS('Per Line'!$Y$2:$Y$3001,'Per Line'!$D$2:$D$3001,$C435))</f>
        <v/>
      </c>
      <c r="K435" s="5">
        <f>IF($N435="","",SUMIFS('Per Line'!$Z$2:$Z$3001,'Per Line'!$D$2:$D$3001,$C435))</f>
        <v/>
      </c>
      <c r="L435" s="5">
        <f>IF($N435="","",I435-J435)</f>
        <v/>
      </c>
      <c r="M435" s="5">
        <f>IF($N435="","",L435-K435)</f>
        <v/>
      </c>
      <c r="N435">
        <f>IF(ROWS($N$2:$N435)&lt;=MAX('Per Line'!$AG$2:$AG$3001),MATCH(ROWS($N$2:$N435),'Per Line'!$AG$2:$AG$3001,0),"")</f>
        <v/>
      </c>
      <c r="O435">
        <f>IF(B435="Above Claim Form",COUNTIF($B$2:B435,"Above Claim Form"),"")</f>
        <v/>
      </c>
      <c r="P435">
        <f>IF(B435="Below Claim Form",COUNTIF($B$2:B435,"Below Claim Form"),"")</f>
        <v/>
      </c>
    </row>
    <row r="436">
      <c r="B436">
        <f>IF($N436="","",IFERROR(INDEX(Settings!$C$27:$C$36,MATCH(E436,Settings!$B$27:$B$36,0)),"Unassigned"))</f>
        <v/>
      </c>
      <c r="C436">
        <f>IF($N436="","",INDEX('Per Line'!$D$2:$D$3001,$N436))</f>
        <v/>
      </c>
      <c r="D436">
        <f>IF($N436="","",INDEX('Per Line'!$C$2:$C$3001,$N436))</f>
        <v/>
      </c>
      <c r="E436">
        <f>IF($N436="","",INDEX('Per Line'!$A$2:$A$3001,$N436))</f>
        <v/>
      </c>
      <c r="H436">
        <f>IF($N436="","",INDEX('Per Line'!$V$2:$V$3001,$N436))</f>
        <v/>
      </c>
      <c r="I436" s="5">
        <f>IF($N436="","",SUMIFS('Per Line'!$X$2:$X$3001,'Per Line'!$D$2:$D$3001,$C436))</f>
        <v/>
      </c>
      <c r="J436" s="5">
        <f>IF($N436="","",SUMIFS('Per Line'!$Y$2:$Y$3001,'Per Line'!$D$2:$D$3001,$C436))</f>
        <v/>
      </c>
      <c r="K436" s="5">
        <f>IF($N436="","",SUMIFS('Per Line'!$Z$2:$Z$3001,'Per Line'!$D$2:$D$3001,$C436))</f>
        <v/>
      </c>
      <c r="L436" s="5">
        <f>IF($N436="","",I436-J436)</f>
        <v/>
      </c>
      <c r="M436" s="5">
        <f>IF($N436="","",L436-K436)</f>
        <v/>
      </c>
      <c r="N436">
        <f>IF(ROWS($N$2:$N436)&lt;=MAX('Per Line'!$AG$2:$AG$3001),MATCH(ROWS($N$2:$N436),'Per Line'!$AG$2:$AG$3001,0),"")</f>
        <v/>
      </c>
      <c r="O436">
        <f>IF(B436="Above Claim Form",COUNTIF($B$2:B436,"Above Claim Form"),"")</f>
        <v/>
      </c>
      <c r="P436">
        <f>IF(B436="Below Claim Form",COUNTIF($B$2:B436,"Below Claim Form"),"")</f>
        <v/>
      </c>
    </row>
    <row r="437">
      <c r="B437">
        <f>IF($N437="","",IFERROR(INDEX(Settings!$C$27:$C$36,MATCH(E437,Settings!$B$27:$B$36,0)),"Unassigned"))</f>
        <v/>
      </c>
      <c r="C437">
        <f>IF($N437="","",INDEX('Per Line'!$D$2:$D$3001,$N437))</f>
        <v/>
      </c>
      <c r="D437">
        <f>IF($N437="","",INDEX('Per Line'!$C$2:$C$3001,$N437))</f>
        <v/>
      </c>
      <c r="E437">
        <f>IF($N437="","",INDEX('Per Line'!$A$2:$A$3001,$N437))</f>
        <v/>
      </c>
      <c r="H437">
        <f>IF($N437="","",INDEX('Per Line'!$V$2:$V$3001,$N437))</f>
        <v/>
      </c>
      <c r="I437" s="5">
        <f>IF($N437="","",SUMIFS('Per Line'!$X$2:$X$3001,'Per Line'!$D$2:$D$3001,$C437))</f>
        <v/>
      </c>
      <c r="J437" s="5">
        <f>IF($N437="","",SUMIFS('Per Line'!$Y$2:$Y$3001,'Per Line'!$D$2:$D$3001,$C437))</f>
        <v/>
      </c>
      <c r="K437" s="5">
        <f>IF($N437="","",SUMIFS('Per Line'!$Z$2:$Z$3001,'Per Line'!$D$2:$D$3001,$C437))</f>
        <v/>
      </c>
      <c r="L437" s="5">
        <f>IF($N437="","",I437-J437)</f>
        <v/>
      </c>
      <c r="M437" s="5">
        <f>IF($N437="","",L437-K437)</f>
        <v/>
      </c>
      <c r="N437">
        <f>IF(ROWS($N$2:$N437)&lt;=MAX('Per Line'!$AG$2:$AG$3001),MATCH(ROWS($N$2:$N437),'Per Line'!$AG$2:$AG$3001,0),"")</f>
        <v/>
      </c>
      <c r="O437">
        <f>IF(B437="Above Claim Form",COUNTIF($B$2:B437,"Above Claim Form"),"")</f>
        <v/>
      </c>
      <c r="P437">
        <f>IF(B437="Below Claim Form",COUNTIF($B$2:B437,"Below Claim Form"),"")</f>
        <v/>
      </c>
    </row>
    <row r="438">
      <c r="B438">
        <f>IF($N438="","",IFERROR(INDEX(Settings!$C$27:$C$36,MATCH(E438,Settings!$B$27:$B$36,0)),"Unassigned"))</f>
        <v/>
      </c>
      <c r="C438">
        <f>IF($N438="","",INDEX('Per Line'!$D$2:$D$3001,$N438))</f>
        <v/>
      </c>
      <c r="D438">
        <f>IF($N438="","",INDEX('Per Line'!$C$2:$C$3001,$N438))</f>
        <v/>
      </c>
      <c r="E438">
        <f>IF($N438="","",INDEX('Per Line'!$A$2:$A$3001,$N438))</f>
        <v/>
      </c>
      <c r="H438">
        <f>IF($N438="","",INDEX('Per Line'!$V$2:$V$3001,$N438))</f>
        <v/>
      </c>
      <c r="I438" s="5">
        <f>IF($N438="","",SUMIFS('Per Line'!$X$2:$X$3001,'Per Line'!$D$2:$D$3001,$C438))</f>
        <v/>
      </c>
      <c r="J438" s="5">
        <f>IF($N438="","",SUMIFS('Per Line'!$Y$2:$Y$3001,'Per Line'!$D$2:$D$3001,$C438))</f>
        <v/>
      </c>
      <c r="K438" s="5">
        <f>IF($N438="","",SUMIFS('Per Line'!$Z$2:$Z$3001,'Per Line'!$D$2:$D$3001,$C438))</f>
        <v/>
      </c>
      <c r="L438" s="5">
        <f>IF($N438="","",I438-J438)</f>
        <v/>
      </c>
      <c r="M438" s="5">
        <f>IF($N438="","",L438-K438)</f>
        <v/>
      </c>
      <c r="N438">
        <f>IF(ROWS($N$2:$N438)&lt;=MAX('Per Line'!$AG$2:$AG$3001),MATCH(ROWS($N$2:$N438),'Per Line'!$AG$2:$AG$3001,0),"")</f>
        <v/>
      </c>
      <c r="O438">
        <f>IF(B438="Above Claim Form",COUNTIF($B$2:B438,"Above Claim Form"),"")</f>
        <v/>
      </c>
      <c r="P438">
        <f>IF(B438="Below Claim Form",COUNTIF($B$2:B438,"Below Claim Form"),"")</f>
        <v/>
      </c>
    </row>
    <row r="439">
      <c r="B439">
        <f>IF($N439="","",IFERROR(INDEX(Settings!$C$27:$C$36,MATCH(E439,Settings!$B$27:$B$36,0)),"Unassigned"))</f>
        <v/>
      </c>
      <c r="C439">
        <f>IF($N439="","",INDEX('Per Line'!$D$2:$D$3001,$N439))</f>
        <v/>
      </c>
      <c r="D439">
        <f>IF($N439="","",INDEX('Per Line'!$C$2:$C$3001,$N439))</f>
        <v/>
      </c>
      <c r="E439">
        <f>IF($N439="","",INDEX('Per Line'!$A$2:$A$3001,$N439))</f>
        <v/>
      </c>
      <c r="H439">
        <f>IF($N439="","",INDEX('Per Line'!$V$2:$V$3001,$N439))</f>
        <v/>
      </c>
      <c r="I439" s="5">
        <f>IF($N439="","",SUMIFS('Per Line'!$X$2:$X$3001,'Per Line'!$D$2:$D$3001,$C439))</f>
        <v/>
      </c>
      <c r="J439" s="5">
        <f>IF($N439="","",SUMIFS('Per Line'!$Y$2:$Y$3001,'Per Line'!$D$2:$D$3001,$C439))</f>
        <v/>
      </c>
      <c r="K439" s="5">
        <f>IF($N439="","",SUMIFS('Per Line'!$Z$2:$Z$3001,'Per Line'!$D$2:$D$3001,$C439))</f>
        <v/>
      </c>
      <c r="L439" s="5">
        <f>IF($N439="","",I439-J439)</f>
        <v/>
      </c>
      <c r="M439" s="5">
        <f>IF($N439="","",L439-K439)</f>
        <v/>
      </c>
      <c r="N439">
        <f>IF(ROWS($N$2:$N439)&lt;=MAX('Per Line'!$AG$2:$AG$3001),MATCH(ROWS($N$2:$N439),'Per Line'!$AG$2:$AG$3001,0),"")</f>
        <v/>
      </c>
      <c r="O439">
        <f>IF(B439="Above Claim Form",COUNTIF($B$2:B439,"Above Claim Form"),"")</f>
        <v/>
      </c>
      <c r="P439">
        <f>IF(B439="Below Claim Form",COUNTIF($B$2:B439,"Below Claim Form"),"")</f>
        <v/>
      </c>
    </row>
    <row r="440">
      <c r="B440">
        <f>IF($N440="","",IFERROR(INDEX(Settings!$C$27:$C$36,MATCH(E440,Settings!$B$27:$B$36,0)),"Unassigned"))</f>
        <v/>
      </c>
      <c r="C440">
        <f>IF($N440="","",INDEX('Per Line'!$D$2:$D$3001,$N440))</f>
        <v/>
      </c>
      <c r="D440">
        <f>IF($N440="","",INDEX('Per Line'!$C$2:$C$3001,$N440))</f>
        <v/>
      </c>
      <c r="E440">
        <f>IF($N440="","",INDEX('Per Line'!$A$2:$A$3001,$N440))</f>
        <v/>
      </c>
      <c r="H440">
        <f>IF($N440="","",INDEX('Per Line'!$V$2:$V$3001,$N440))</f>
        <v/>
      </c>
      <c r="I440" s="5">
        <f>IF($N440="","",SUMIFS('Per Line'!$X$2:$X$3001,'Per Line'!$D$2:$D$3001,$C440))</f>
        <v/>
      </c>
      <c r="J440" s="5">
        <f>IF($N440="","",SUMIFS('Per Line'!$Y$2:$Y$3001,'Per Line'!$D$2:$D$3001,$C440))</f>
        <v/>
      </c>
      <c r="K440" s="5">
        <f>IF($N440="","",SUMIFS('Per Line'!$Z$2:$Z$3001,'Per Line'!$D$2:$D$3001,$C440))</f>
        <v/>
      </c>
      <c r="L440" s="5">
        <f>IF($N440="","",I440-J440)</f>
        <v/>
      </c>
      <c r="M440" s="5">
        <f>IF($N440="","",L440-K440)</f>
        <v/>
      </c>
      <c r="N440">
        <f>IF(ROWS($N$2:$N440)&lt;=MAX('Per Line'!$AG$2:$AG$3001),MATCH(ROWS($N$2:$N440),'Per Line'!$AG$2:$AG$3001,0),"")</f>
        <v/>
      </c>
      <c r="O440">
        <f>IF(B440="Above Claim Form",COUNTIF($B$2:B440,"Above Claim Form"),"")</f>
        <v/>
      </c>
      <c r="P440">
        <f>IF(B440="Below Claim Form",COUNTIF($B$2:B440,"Below Claim Form"),"")</f>
        <v/>
      </c>
    </row>
    <row r="441">
      <c r="B441">
        <f>IF($N441="","",IFERROR(INDEX(Settings!$C$27:$C$36,MATCH(E441,Settings!$B$27:$B$36,0)),"Unassigned"))</f>
        <v/>
      </c>
      <c r="C441">
        <f>IF($N441="","",INDEX('Per Line'!$D$2:$D$3001,$N441))</f>
        <v/>
      </c>
      <c r="D441">
        <f>IF($N441="","",INDEX('Per Line'!$C$2:$C$3001,$N441))</f>
        <v/>
      </c>
      <c r="E441">
        <f>IF($N441="","",INDEX('Per Line'!$A$2:$A$3001,$N441))</f>
        <v/>
      </c>
      <c r="H441">
        <f>IF($N441="","",INDEX('Per Line'!$V$2:$V$3001,$N441))</f>
        <v/>
      </c>
      <c r="I441" s="5">
        <f>IF($N441="","",SUMIFS('Per Line'!$X$2:$X$3001,'Per Line'!$D$2:$D$3001,$C441))</f>
        <v/>
      </c>
      <c r="J441" s="5">
        <f>IF($N441="","",SUMIFS('Per Line'!$Y$2:$Y$3001,'Per Line'!$D$2:$D$3001,$C441))</f>
        <v/>
      </c>
      <c r="K441" s="5">
        <f>IF($N441="","",SUMIFS('Per Line'!$Z$2:$Z$3001,'Per Line'!$D$2:$D$3001,$C441))</f>
        <v/>
      </c>
      <c r="L441" s="5">
        <f>IF($N441="","",I441-J441)</f>
        <v/>
      </c>
      <c r="M441" s="5">
        <f>IF($N441="","",L441-K441)</f>
        <v/>
      </c>
      <c r="N441">
        <f>IF(ROWS($N$2:$N441)&lt;=MAX('Per Line'!$AG$2:$AG$3001),MATCH(ROWS($N$2:$N441),'Per Line'!$AG$2:$AG$3001,0),"")</f>
        <v/>
      </c>
      <c r="O441">
        <f>IF(B441="Above Claim Form",COUNTIF($B$2:B441,"Above Claim Form"),"")</f>
        <v/>
      </c>
      <c r="P441">
        <f>IF(B441="Below Claim Form",COUNTIF($B$2:B441,"Below Claim Form"),"")</f>
        <v/>
      </c>
    </row>
    <row r="442">
      <c r="B442">
        <f>IF($N442="","",IFERROR(INDEX(Settings!$C$27:$C$36,MATCH(E442,Settings!$B$27:$B$36,0)),"Unassigned"))</f>
        <v/>
      </c>
      <c r="C442">
        <f>IF($N442="","",INDEX('Per Line'!$D$2:$D$3001,$N442))</f>
        <v/>
      </c>
      <c r="D442">
        <f>IF($N442="","",INDEX('Per Line'!$C$2:$C$3001,$N442))</f>
        <v/>
      </c>
      <c r="E442">
        <f>IF($N442="","",INDEX('Per Line'!$A$2:$A$3001,$N442))</f>
        <v/>
      </c>
      <c r="H442">
        <f>IF($N442="","",INDEX('Per Line'!$V$2:$V$3001,$N442))</f>
        <v/>
      </c>
      <c r="I442" s="5">
        <f>IF($N442="","",SUMIFS('Per Line'!$X$2:$X$3001,'Per Line'!$D$2:$D$3001,$C442))</f>
        <v/>
      </c>
      <c r="J442" s="5">
        <f>IF($N442="","",SUMIFS('Per Line'!$Y$2:$Y$3001,'Per Line'!$D$2:$D$3001,$C442))</f>
        <v/>
      </c>
      <c r="K442" s="5">
        <f>IF($N442="","",SUMIFS('Per Line'!$Z$2:$Z$3001,'Per Line'!$D$2:$D$3001,$C442))</f>
        <v/>
      </c>
      <c r="L442" s="5">
        <f>IF($N442="","",I442-J442)</f>
        <v/>
      </c>
      <c r="M442" s="5">
        <f>IF($N442="","",L442-K442)</f>
        <v/>
      </c>
      <c r="N442">
        <f>IF(ROWS($N$2:$N442)&lt;=MAX('Per Line'!$AG$2:$AG$3001),MATCH(ROWS($N$2:$N442),'Per Line'!$AG$2:$AG$3001,0),"")</f>
        <v/>
      </c>
      <c r="O442">
        <f>IF(B442="Above Claim Form",COUNTIF($B$2:B442,"Above Claim Form"),"")</f>
        <v/>
      </c>
      <c r="P442">
        <f>IF(B442="Below Claim Form",COUNTIF($B$2:B442,"Below Claim Form"),"")</f>
        <v/>
      </c>
    </row>
    <row r="443">
      <c r="B443">
        <f>IF($N443="","",IFERROR(INDEX(Settings!$C$27:$C$36,MATCH(E443,Settings!$B$27:$B$36,0)),"Unassigned"))</f>
        <v/>
      </c>
      <c r="C443">
        <f>IF($N443="","",INDEX('Per Line'!$D$2:$D$3001,$N443))</f>
        <v/>
      </c>
      <c r="D443">
        <f>IF($N443="","",INDEX('Per Line'!$C$2:$C$3001,$N443))</f>
        <v/>
      </c>
      <c r="E443">
        <f>IF($N443="","",INDEX('Per Line'!$A$2:$A$3001,$N443))</f>
        <v/>
      </c>
      <c r="H443">
        <f>IF($N443="","",INDEX('Per Line'!$V$2:$V$3001,$N443))</f>
        <v/>
      </c>
      <c r="I443" s="5">
        <f>IF($N443="","",SUMIFS('Per Line'!$X$2:$X$3001,'Per Line'!$D$2:$D$3001,$C443))</f>
        <v/>
      </c>
      <c r="J443" s="5">
        <f>IF($N443="","",SUMIFS('Per Line'!$Y$2:$Y$3001,'Per Line'!$D$2:$D$3001,$C443))</f>
        <v/>
      </c>
      <c r="K443" s="5">
        <f>IF($N443="","",SUMIFS('Per Line'!$Z$2:$Z$3001,'Per Line'!$D$2:$D$3001,$C443))</f>
        <v/>
      </c>
      <c r="L443" s="5">
        <f>IF($N443="","",I443-J443)</f>
        <v/>
      </c>
      <c r="M443" s="5">
        <f>IF($N443="","",L443-K443)</f>
        <v/>
      </c>
      <c r="N443">
        <f>IF(ROWS($N$2:$N443)&lt;=MAX('Per Line'!$AG$2:$AG$3001),MATCH(ROWS($N$2:$N443),'Per Line'!$AG$2:$AG$3001,0),"")</f>
        <v/>
      </c>
      <c r="O443">
        <f>IF(B443="Above Claim Form",COUNTIF($B$2:B443,"Above Claim Form"),"")</f>
        <v/>
      </c>
      <c r="P443">
        <f>IF(B443="Below Claim Form",COUNTIF($B$2:B443,"Below Claim Form"),"")</f>
        <v/>
      </c>
    </row>
    <row r="444">
      <c r="B444">
        <f>IF($N444="","",IFERROR(INDEX(Settings!$C$27:$C$36,MATCH(E444,Settings!$B$27:$B$36,0)),"Unassigned"))</f>
        <v/>
      </c>
      <c r="C444">
        <f>IF($N444="","",INDEX('Per Line'!$D$2:$D$3001,$N444))</f>
        <v/>
      </c>
      <c r="D444">
        <f>IF($N444="","",INDEX('Per Line'!$C$2:$C$3001,$N444))</f>
        <v/>
      </c>
      <c r="E444">
        <f>IF($N444="","",INDEX('Per Line'!$A$2:$A$3001,$N444))</f>
        <v/>
      </c>
      <c r="H444">
        <f>IF($N444="","",INDEX('Per Line'!$V$2:$V$3001,$N444))</f>
        <v/>
      </c>
      <c r="I444" s="5">
        <f>IF($N444="","",SUMIFS('Per Line'!$X$2:$X$3001,'Per Line'!$D$2:$D$3001,$C444))</f>
        <v/>
      </c>
      <c r="J444" s="5">
        <f>IF($N444="","",SUMIFS('Per Line'!$Y$2:$Y$3001,'Per Line'!$D$2:$D$3001,$C444))</f>
        <v/>
      </c>
      <c r="K444" s="5">
        <f>IF($N444="","",SUMIFS('Per Line'!$Z$2:$Z$3001,'Per Line'!$D$2:$D$3001,$C444))</f>
        <v/>
      </c>
      <c r="L444" s="5">
        <f>IF($N444="","",I444-J444)</f>
        <v/>
      </c>
      <c r="M444" s="5">
        <f>IF($N444="","",L444-K444)</f>
        <v/>
      </c>
      <c r="N444">
        <f>IF(ROWS($N$2:$N444)&lt;=MAX('Per Line'!$AG$2:$AG$3001),MATCH(ROWS($N$2:$N444),'Per Line'!$AG$2:$AG$3001,0),"")</f>
        <v/>
      </c>
      <c r="O444">
        <f>IF(B444="Above Claim Form",COUNTIF($B$2:B444,"Above Claim Form"),"")</f>
        <v/>
      </c>
      <c r="P444">
        <f>IF(B444="Below Claim Form",COUNTIF($B$2:B444,"Below Claim Form"),"")</f>
        <v/>
      </c>
    </row>
    <row r="445">
      <c r="B445">
        <f>IF($N445="","",IFERROR(INDEX(Settings!$C$27:$C$36,MATCH(E445,Settings!$B$27:$B$36,0)),"Unassigned"))</f>
        <v/>
      </c>
      <c r="C445">
        <f>IF($N445="","",INDEX('Per Line'!$D$2:$D$3001,$N445))</f>
        <v/>
      </c>
      <c r="D445">
        <f>IF($N445="","",INDEX('Per Line'!$C$2:$C$3001,$N445))</f>
        <v/>
      </c>
      <c r="E445">
        <f>IF($N445="","",INDEX('Per Line'!$A$2:$A$3001,$N445))</f>
        <v/>
      </c>
      <c r="H445">
        <f>IF($N445="","",INDEX('Per Line'!$V$2:$V$3001,$N445))</f>
        <v/>
      </c>
      <c r="I445" s="5">
        <f>IF($N445="","",SUMIFS('Per Line'!$X$2:$X$3001,'Per Line'!$D$2:$D$3001,$C445))</f>
        <v/>
      </c>
      <c r="J445" s="5">
        <f>IF($N445="","",SUMIFS('Per Line'!$Y$2:$Y$3001,'Per Line'!$D$2:$D$3001,$C445))</f>
        <v/>
      </c>
      <c r="K445" s="5">
        <f>IF($N445="","",SUMIFS('Per Line'!$Z$2:$Z$3001,'Per Line'!$D$2:$D$3001,$C445))</f>
        <v/>
      </c>
      <c r="L445" s="5">
        <f>IF($N445="","",I445-J445)</f>
        <v/>
      </c>
      <c r="M445" s="5">
        <f>IF($N445="","",L445-K445)</f>
        <v/>
      </c>
      <c r="N445">
        <f>IF(ROWS($N$2:$N445)&lt;=MAX('Per Line'!$AG$2:$AG$3001),MATCH(ROWS($N$2:$N445),'Per Line'!$AG$2:$AG$3001,0),"")</f>
        <v/>
      </c>
      <c r="O445">
        <f>IF(B445="Above Claim Form",COUNTIF($B$2:B445,"Above Claim Form"),"")</f>
        <v/>
      </c>
      <c r="P445">
        <f>IF(B445="Below Claim Form",COUNTIF($B$2:B445,"Below Claim Form"),"")</f>
        <v/>
      </c>
    </row>
    <row r="446">
      <c r="B446">
        <f>IF($N446="","",IFERROR(INDEX(Settings!$C$27:$C$36,MATCH(E446,Settings!$B$27:$B$36,0)),"Unassigned"))</f>
        <v/>
      </c>
      <c r="C446">
        <f>IF($N446="","",INDEX('Per Line'!$D$2:$D$3001,$N446))</f>
        <v/>
      </c>
      <c r="D446">
        <f>IF($N446="","",INDEX('Per Line'!$C$2:$C$3001,$N446))</f>
        <v/>
      </c>
      <c r="E446">
        <f>IF($N446="","",INDEX('Per Line'!$A$2:$A$3001,$N446))</f>
        <v/>
      </c>
      <c r="H446">
        <f>IF($N446="","",INDEX('Per Line'!$V$2:$V$3001,$N446))</f>
        <v/>
      </c>
      <c r="I446" s="5">
        <f>IF($N446="","",SUMIFS('Per Line'!$X$2:$X$3001,'Per Line'!$D$2:$D$3001,$C446))</f>
        <v/>
      </c>
      <c r="J446" s="5">
        <f>IF($N446="","",SUMIFS('Per Line'!$Y$2:$Y$3001,'Per Line'!$D$2:$D$3001,$C446))</f>
        <v/>
      </c>
      <c r="K446" s="5">
        <f>IF($N446="","",SUMIFS('Per Line'!$Z$2:$Z$3001,'Per Line'!$D$2:$D$3001,$C446))</f>
        <v/>
      </c>
      <c r="L446" s="5">
        <f>IF($N446="","",I446-J446)</f>
        <v/>
      </c>
      <c r="M446" s="5">
        <f>IF($N446="","",L446-K446)</f>
        <v/>
      </c>
      <c r="N446">
        <f>IF(ROWS($N$2:$N446)&lt;=MAX('Per Line'!$AG$2:$AG$3001),MATCH(ROWS($N$2:$N446),'Per Line'!$AG$2:$AG$3001,0),"")</f>
        <v/>
      </c>
      <c r="O446">
        <f>IF(B446="Above Claim Form",COUNTIF($B$2:B446,"Above Claim Form"),"")</f>
        <v/>
      </c>
      <c r="P446">
        <f>IF(B446="Below Claim Form",COUNTIF($B$2:B446,"Below Claim Form"),"")</f>
        <v/>
      </c>
    </row>
    <row r="447">
      <c r="B447">
        <f>IF($N447="","",IFERROR(INDEX(Settings!$C$27:$C$36,MATCH(E447,Settings!$B$27:$B$36,0)),"Unassigned"))</f>
        <v/>
      </c>
      <c r="C447">
        <f>IF($N447="","",INDEX('Per Line'!$D$2:$D$3001,$N447))</f>
        <v/>
      </c>
      <c r="D447">
        <f>IF($N447="","",INDEX('Per Line'!$C$2:$C$3001,$N447))</f>
        <v/>
      </c>
      <c r="E447">
        <f>IF($N447="","",INDEX('Per Line'!$A$2:$A$3001,$N447))</f>
        <v/>
      </c>
      <c r="H447">
        <f>IF($N447="","",INDEX('Per Line'!$V$2:$V$3001,$N447))</f>
        <v/>
      </c>
      <c r="I447" s="5">
        <f>IF($N447="","",SUMIFS('Per Line'!$X$2:$X$3001,'Per Line'!$D$2:$D$3001,$C447))</f>
        <v/>
      </c>
      <c r="J447" s="5">
        <f>IF($N447="","",SUMIFS('Per Line'!$Y$2:$Y$3001,'Per Line'!$D$2:$D$3001,$C447))</f>
        <v/>
      </c>
      <c r="K447" s="5">
        <f>IF($N447="","",SUMIFS('Per Line'!$Z$2:$Z$3001,'Per Line'!$D$2:$D$3001,$C447))</f>
        <v/>
      </c>
      <c r="L447" s="5">
        <f>IF($N447="","",I447-J447)</f>
        <v/>
      </c>
      <c r="M447" s="5">
        <f>IF($N447="","",L447-K447)</f>
        <v/>
      </c>
      <c r="N447">
        <f>IF(ROWS($N$2:$N447)&lt;=MAX('Per Line'!$AG$2:$AG$3001),MATCH(ROWS($N$2:$N447),'Per Line'!$AG$2:$AG$3001,0),"")</f>
        <v/>
      </c>
      <c r="O447">
        <f>IF(B447="Above Claim Form",COUNTIF($B$2:B447,"Above Claim Form"),"")</f>
        <v/>
      </c>
      <c r="P447">
        <f>IF(B447="Below Claim Form",COUNTIF($B$2:B447,"Below Claim Form"),"")</f>
        <v/>
      </c>
    </row>
    <row r="448">
      <c r="B448">
        <f>IF($N448="","",IFERROR(INDEX(Settings!$C$27:$C$36,MATCH(E448,Settings!$B$27:$B$36,0)),"Unassigned"))</f>
        <v/>
      </c>
      <c r="C448">
        <f>IF($N448="","",INDEX('Per Line'!$D$2:$D$3001,$N448))</f>
        <v/>
      </c>
      <c r="D448">
        <f>IF($N448="","",INDEX('Per Line'!$C$2:$C$3001,$N448))</f>
        <v/>
      </c>
      <c r="E448">
        <f>IF($N448="","",INDEX('Per Line'!$A$2:$A$3001,$N448))</f>
        <v/>
      </c>
      <c r="H448">
        <f>IF($N448="","",INDEX('Per Line'!$V$2:$V$3001,$N448))</f>
        <v/>
      </c>
      <c r="I448" s="5">
        <f>IF($N448="","",SUMIFS('Per Line'!$X$2:$X$3001,'Per Line'!$D$2:$D$3001,$C448))</f>
        <v/>
      </c>
      <c r="J448" s="5">
        <f>IF($N448="","",SUMIFS('Per Line'!$Y$2:$Y$3001,'Per Line'!$D$2:$D$3001,$C448))</f>
        <v/>
      </c>
      <c r="K448" s="5">
        <f>IF($N448="","",SUMIFS('Per Line'!$Z$2:$Z$3001,'Per Line'!$D$2:$D$3001,$C448))</f>
        <v/>
      </c>
      <c r="L448" s="5">
        <f>IF($N448="","",I448-J448)</f>
        <v/>
      </c>
      <c r="M448" s="5">
        <f>IF($N448="","",L448-K448)</f>
        <v/>
      </c>
      <c r="N448">
        <f>IF(ROWS($N$2:$N448)&lt;=MAX('Per Line'!$AG$2:$AG$3001),MATCH(ROWS($N$2:$N448),'Per Line'!$AG$2:$AG$3001,0),"")</f>
        <v/>
      </c>
      <c r="O448">
        <f>IF(B448="Above Claim Form",COUNTIF($B$2:B448,"Above Claim Form"),"")</f>
        <v/>
      </c>
      <c r="P448">
        <f>IF(B448="Below Claim Form",COUNTIF($B$2:B448,"Below Claim Form"),"")</f>
        <v/>
      </c>
    </row>
    <row r="449">
      <c r="B449">
        <f>IF($N449="","",IFERROR(INDEX(Settings!$C$27:$C$36,MATCH(E449,Settings!$B$27:$B$36,0)),"Unassigned"))</f>
        <v/>
      </c>
      <c r="C449">
        <f>IF($N449="","",INDEX('Per Line'!$D$2:$D$3001,$N449))</f>
        <v/>
      </c>
      <c r="D449">
        <f>IF($N449="","",INDEX('Per Line'!$C$2:$C$3001,$N449))</f>
        <v/>
      </c>
      <c r="E449">
        <f>IF($N449="","",INDEX('Per Line'!$A$2:$A$3001,$N449))</f>
        <v/>
      </c>
      <c r="H449">
        <f>IF($N449="","",INDEX('Per Line'!$V$2:$V$3001,$N449))</f>
        <v/>
      </c>
      <c r="I449" s="5">
        <f>IF($N449="","",SUMIFS('Per Line'!$X$2:$X$3001,'Per Line'!$D$2:$D$3001,$C449))</f>
        <v/>
      </c>
      <c r="J449" s="5">
        <f>IF($N449="","",SUMIFS('Per Line'!$Y$2:$Y$3001,'Per Line'!$D$2:$D$3001,$C449))</f>
        <v/>
      </c>
      <c r="K449" s="5">
        <f>IF($N449="","",SUMIFS('Per Line'!$Z$2:$Z$3001,'Per Line'!$D$2:$D$3001,$C449))</f>
        <v/>
      </c>
      <c r="L449" s="5">
        <f>IF($N449="","",I449-J449)</f>
        <v/>
      </c>
      <c r="M449" s="5">
        <f>IF($N449="","",L449-K449)</f>
        <v/>
      </c>
      <c r="N449">
        <f>IF(ROWS($N$2:$N449)&lt;=MAX('Per Line'!$AG$2:$AG$3001),MATCH(ROWS($N$2:$N449),'Per Line'!$AG$2:$AG$3001,0),"")</f>
        <v/>
      </c>
      <c r="O449">
        <f>IF(B449="Above Claim Form",COUNTIF($B$2:B449,"Above Claim Form"),"")</f>
        <v/>
      </c>
      <c r="P449">
        <f>IF(B449="Below Claim Form",COUNTIF($B$2:B449,"Below Claim Form"),"")</f>
        <v/>
      </c>
    </row>
    <row r="450">
      <c r="B450">
        <f>IF($N450="","",IFERROR(INDEX(Settings!$C$27:$C$36,MATCH(E450,Settings!$B$27:$B$36,0)),"Unassigned"))</f>
        <v/>
      </c>
      <c r="C450">
        <f>IF($N450="","",INDEX('Per Line'!$D$2:$D$3001,$N450))</f>
        <v/>
      </c>
      <c r="D450">
        <f>IF($N450="","",INDEX('Per Line'!$C$2:$C$3001,$N450))</f>
        <v/>
      </c>
      <c r="E450">
        <f>IF($N450="","",INDEX('Per Line'!$A$2:$A$3001,$N450))</f>
        <v/>
      </c>
      <c r="H450">
        <f>IF($N450="","",INDEX('Per Line'!$V$2:$V$3001,$N450))</f>
        <v/>
      </c>
      <c r="I450" s="5">
        <f>IF($N450="","",SUMIFS('Per Line'!$X$2:$X$3001,'Per Line'!$D$2:$D$3001,$C450))</f>
        <v/>
      </c>
      <c r="J450" s="5">
        <f>IF($N450="","",SUMIFS('Per Line'!$Y$2:$Y$3001,'Per Line'!$D$2:$D$3001,$C450))</f>
        <v/>
      </c>
      <c r="K450" s="5">
        <f>IF($N450="","",SUMIFS('Per Line'!$Z$2:$Z$3001,'Per Line'!$D$2:$D$3001,$C450))</f>
        <v/>
      </c>
      <c r="L450" s="5">
        <f>IF($N450="","",I450-J450)</f>
        <v/>
      </c>
      <c r="M450" s="5">
        <f>IF($N450="","",L450-K450)</f>
        <v/>
      </c>
      <c r="N450">
        <f>IF(ROWS($N$2:$N450)&lt;=MAX('Per Line'!$AG$2:$AG$3001),MATCH(ROWS($N$2:$N450),'Per Line'!$AG$2:$AG$3001,0),"")</f>
        <v/>
      </c>
      <c r="O450">
        <f>IF(B450="Above Claim Form",COUNTIF($B$2:B450,"Above Claim Form"),"")</f>
        <v/>
      </c>
      <c r="P450">
        <f>IF(B450="Below Claim Form",COUNTIF($B$2:B450,"Below Claim Form"),"")</f>
        <v/>
      </c>
    </row>
    <row r="451">
      <c r="B451">
        <f>IF($N451="","",IFERROR(INDEX(Settings!$C$27:$C$36,MATCH(E451,Settings!$B$27:$B$36,0)),"Unassigned"))</f>
        <v/>
      </c>
      <c r="C451">
        <f>IF($N451="","",INDEX('Per Line'!$D$2:$D$3001,$N451))</f>
        <v/>
      </c>
      <c r="D451">
        <f>IF($N451="","",INDEX('Per Line'!$C$2:$C$3001,$N451))</f>
        <v/>
      </c>
      <c r="E451">
        <f>IF($N451="","",INDEX('Per Line'!$A$2:$A$3001,$N451))</f>
        <v/>
      </c>
      <c r="H451">
        <f>IF($N451="","",INDEX('Per Line'!$V$2:$V$3001,$N451))</f>
        <v/>
      </c>
      <c r="I451" s="5">
        <f>IF($N451="","",SUMIFS('Per Line'!$X$2:$X$3001,'Per Line'!$D$2:$D$3001,$C451))</f>
        <v/>
      </c>
      <c r="J451" s="5">
        <f>IF($N451="","",SUMIFS('Per Line'!$Y$2:$Y$3001,'Per Line'!$D$2:$D$3001,$C451))</f>
        <v/>
      </c>
      <c r="K451" s="5">
        <f>IF($N451="","",SUMIFS('Per Line'!$Z$2:$Z$3001,'Per Line'!$D$2:$D$3001,$C451))</f>
        <v/>
      </c>
      <c r="L451" s="5">
        <f>IF($N451="","",I451-J451)</f>
        <v/>
      </c>
      <c r="M451" s="5">
        <f>IF($N451="","",L451-K451)</f>
        <v/>
      </c>
      <c r="N451">
        <f>IF(ROWS($N$2:$N451)&lt;=MAX('Per Line'!$AG$2:$AG$3001),MATCH(ROWS($N$2:$N451),'Per Line'!$AG$2:$AG$3001,0),"")</f>
        <v/>
      </c>
      <c r="O451">
        <f>IF(B451="Above Claim Form",COUNTIF($B$2:B451,"Above Claim Form"),"")</f>
        <v/>
      </c>
      <c r="P451">
        <f>IF(B451="Below Claim Form",COUNTIF($B$2:B451,"Below Claim Form"),"")</f>
        <v/>
      </c>
    </row>
    <row r="452">
      <c r="B452">
        <f>IF($N452="","",IFERROR(INDEX(Settings!$C$27:$C$36,MATCH(E452,Settings!$B$27:$B$36,0)),"Unassigned"))</f>
        <v/>
      </c>
      <c r="C452">
        <f>IF($N452="","",INDEX('Per Line'!$D$2:$D$3001,$N452))</f>
        <v/>
      </c>
      <c r="D452">
        <f>IF($N452="","",INDEX('Per Line'!$C$2:$C$3001,$N452))</f>
        <v/>
      </c>
      <c r="E452">
        <f>IF($N452="","",INDEX('Per Line'!$A$2:$A$3001,$N452))</f>
        <v/>
      </c>
      <c r="H452">
        <f>IF($N452="","",INDEX('Per Line'!$V$2:$V$3001,$N452))</f>
        <v/>
      </c>
      <c r="I452" s="5">
        <f>IF($N452="","",SUMIFS('Per Line'!$X$2:$X$3001,'Per Line'!$D$2:$D$3001,$C452))</f>
        <v/>
      </c>
      <c r="J452" s="5">
        <f>IF($N452="","",SUMIFS('Per Line'!$Y$2:$Y$3001,'Per Line'!$D$2:$D$3001,$C452))</f>
        <v/>
      </c>
      <c r="K452" s="5">
        <f>IF($N452="","",SUMIFS('Per Line'!$Z$2:$Z$3001,'Per Line'!$D$2:$D$3001,$C452))</f>
        <v/>
      </c>
      <c r="L452" s="5">
        <f>IF($N452="","",I452-J452)</f>
        <v/>
      </c>
      <c r="M452" s="5">
        <f>IF($N452="","",L452-K452)</f>
        <v/>
      </c>
      <c r="N452">
        <f>IF(ROWS($N$2:$N452)&lt;=MAX('Per Line'!$AG$2:$AG$3001),MATCH(ROWS($N$2:$N452),'Per Line'!$AG$2:$AG$3001,0),"")</f>
        <v/>
      </c>
      <c r="O452">
        <f>IF(B452="Above Claim Form",COUNTIF($B$2:B452,"Above Claim Form"),"")</f>
        <v/>
      </c>
      <c r="P452">
        <f>IF(B452="Below Claim Form",COUNTIF($B$2:B452,"Below Claim Form"),"")</f>
        <v/>
      </c>
    </row>
    <row r="453">
      <c r="B453">
        <f>IF($N453="","",IFERROR(INDEX(Settings!$C$27:$C$36,MATCH(E453,Settings!$B$27:$B$36,0)),"Unassigned"))</f>
        <v/>
      </c>
      <c r="C453">
        <f>IF($N453="","",INDEX('Per Line'!$D$2:$D$3001,$N453))</f>
        <v/>
      </c>
      <c r="D453">
        <f>IF($N453="","",INDEX('Per Line'!$C$2:$C$3001,$N453))</f>
        <v/>
      </c>
      <c r="E453">
        <f>IF($N453="","",INDEX('Per Line'!$A$2:$A$3001,$N453))</f>
        <v/>
      </c>
      <c r="H453">
        <f>IF($N453="","",INDEX('Per Line'!$V$2:$V$3001,$N453))</f>
        <v/>
      </c>
      <c r="I453" s="5">
        <f>IF($N453="","",SUMIFS('Per Line'!$X$2:$X$3001,'Per Line'!$D$2:$D$3001,$C453))</f>
        <v/>
      </c>
      <c r="J453" s="5">
        <f>IF($N453="","",SUMIFS('Per Line'!$Y$2:$Y$3001,'Per Line'!$D$2:$D$3001,$C453))</f>
        <v/>
      </c>
      <c r="K453" s="5">
        <f>IF($N453="","",SUMIFS('Per Line'!$Z$2:$Z$3001,'Per Line'!$D$2:$D$3001,$C453))</f>
        <v/>
      </c>
      <c r="L453" s="5">
        <f>IF($N453="","",I453-J453)</f>
        <v/>
      </c>
      <c r="M453" s="5">
        <f>IF($N453="","",L453-K453)</f>
        <v/>
      </c>
      <c r="N453">
        <f>IF(ROWS($N$2:$N453)&lt;=MAX('Per Line'!$AG$2:$AG$3001),MATCH(ROWS($N$2:$N453),'Per Line'!$AG$2:$AG$3001,0),"")</f>
        <v/>
      </c>
      <c r="O453">
        <f>IF(B453="Above Claim Form",COUNTIF($B$2:B453,"Above Claim Form"),"")</f>
        <v/>
      </c>
      <c r="P453">
        <f>IF(B453="Below Claim Form",COUNTIF($B$2:B453,"Below Claim Form"),"")</f>
        <v/>
      </c>
    </row>
    <row r="454">
      <c r="B454">
        <f>IF($N454="","",IFERROR(INDEX(Settings!$C$27:$C$36,MATCH(E454,Settings!$B$27:$B$36,0)),"Unassigned"))</f>
        <v/>
      </c>
      <c r="C454">
        <f>IF($N454="","",INDEX('Per Line'!$D$2:$D$3001,$N454))</f>
        <v/>
      </c>
      <c r="D454">
        <f>IF($N454="","",INDEX('Per Line'!$C$2:$C$3001,$N454))</f>
        <v/>
      </c>
      <c r="E454">
        <f>IF($N454="","",INDEX('Per Line'!$A$2:$A$3001,$N454))</f>
        <v/>
      </c>
      <c r="H454">
        <f>IF($N454="","",INDEX('Per Line'!$V$2:$V$3001,$N454))</f>
        <v/>
      </c>
      <c r="I454" s="5">
        <f>IF($N454="","",SUMIFS('Per Line'!$X$2:$X$3001,'Per Line'!$D$2:$D$3001,$C454))</f>
        <v/>
      </c>
      <c r="J454" s="5">
        <f>IF($N454="","",SUMIFS('Per Line'!$Y$2:$Y$3001,'Per Line'!$D$2:$D$3001,$C454))</f>
        <v/>
      </c>
      <c r="K454" s="5">
        <f>IF($N454="","",SUMIFS('Per Line'!$Z$2:$Z$3001,'Per Line'!$D$2:$D$3001,$C454))</f>
        <v/>
      </c>
      <c r="L454" s="5">
        <f>IF($N454="","",I454-J454)</f>
        <v/>
      </c>
      <c r="M454" s="5">
        <f>IF($N454="","",L454-K454)</f>
        <v/>
      </c>
      <c r="N454">
        <f>IF(ROWS($N$2:$N454)&lt;=MAX('Per Line'!$AG$2:$AG$3001),MATCH(ROWS($N$2:$N454),'Per Line'!$AG$2:$AG$3001,0),"")</f>
        <v/>
      </c>
      <c r="O454">
        <f>IF(B454="Above Claim Form",COUNTIF($B$2:B454,"Above Claim Form"),"")</f>
        <v/>
      </c>
      <c r="P454">
        <f>IF(B454="Below Claim Form",COUNTIF($B$2:B454,"Below Claim Form"),"")</f>
        <v/>
      </c>
    </row>
    <row r="455">
      <c r="B455">
        <f>IF($N455="","",IFERROR(INDEX(Settings!$C$27:$C$36,MATCH(E455,Settings!$B$27:$B$36,0)),"Unassigned"))</f>
        <v/>
      </c>
      <c r="C455">
        <f>IF($N455="","",INDEX('Per Line'!$D$2:$D$3001,$N455))</f>
        <v/>
      </c>
      <c r="D455">
        <f>IF($N455="","",INDEX('Per Line'!$C$2:$C$3001,$N455))</f>
        <v/>
      </c>
      <c r="E455">
        <f>IF($N455="","",INDEX('Per Line'!$A$2:$A$3001,$N455))</f>
        <v/>
      </c>
      <c r="H455">
        <f>IF($N455="","",INDEX('Per Line'!$V$2:$V$3001,$N455))</f>
        <v/>
      </c>
      <c r="I455" s="5">
        <f>IF($N455="","",SUMIFS('Per Line'!$X$2:$X$3001,'Per Line'!$D$2:$D$3001,$C455))</f>
        <v/>
      </c>
      <c r="J455" s="5">
        <f>IF($N455="","",SUMIFS('Per Line'!$Y$2:$Y$3001,'Per Line'!$D$2:$D$3001,$C455))</f>
        <v/>
      </c>
      <c r="K455" s="5">
        <f>IF($N455="","",SUMIFS('Per Line'!$Z$2:$Z$3001,'Per Line'!$D$2:$D$3001,$C455))</f>
        <v/>
      </c>
      <c r="L455" s="5">
        <f>IF($N455="","",I455-J455)</f>
        <v/>
      </c>
      <c r="M455" s="5">
        <f>IF($N455="","",L455-K455)</f>
        <v/>
      </c>
      <c r="N455">
        <f>IF(ROWS($N$2:$N455)&lt;=MAX('Per Line'!$AG$2:$AG$3001),MATCH(ROWS($N$2:$N455),'Per Line'!$AG$2:$AG$3001,0),"")</f>
        <v/>
      </c>
      <c r="O455">
        <f>IF(B455="Above Claim Form",COUNTIF($B$2:B455,"Above Claim Form"),"")</f>
        <v/>
      </c>
      <c r="P455">
        <f>IF(B455="Below Claim Form",COUNTIF($B$2:B455,"Below Claim Form"),"")</f>
        <v/>
      </c>
    </row>
    <row r="456">
      <c r="B456">
        <f>IF($N456="","",IFERROR(INDEX(Settings!$C$27:$C$36,MATCH(E456,Settings!$B$27:$B$36,0)),"Unassigned"))</f>
        <v/>
      </c>
      <c r="C456">
        <f>IF($N456="","",INDEX('Per Line'!$D$2:$D$3001,$N456))</f>
        <v/>
      </c>
      <c r="D456">
        <f>IF($N456="","",INDEX('Per Line'!$C$2:$C$3001,$N456))</f>
        <v/>
      </c>
      <c r="E456">
        <f>IF($N456="","",INDEX('Per Line'!$A$2:$A$3001,$N456))</f>
        <v/>
      </c>
      <c r="H456">
        <f>IF($N456="","",INDEX('Per Line'!$V$2:$V$3001,$N456))</f>
        <v/>
      </c>
      <c r="I456" s="5">
        <f>IF($N456="","",SUMIFS('Per Line'!$X$2:$X$3001,'Per Line'!$D$2:$D$3001,$C456))</f>
        <v/>
      </c>
      <c r="J456" s="5">
        <f>IF($N456="","",SUMIFS('Per Line'!$Y$2:$Y$3001,'Per Line'!$D$2:$D$3001,$C456))</f>
        <v/>
      </c>
      <c r="K456" s="5">
        <f>IF($N456="","",SUMIFS('Per Line'!$Z$2:$Z$3001,'Per Line'!$D$2:$D$3001,$C456))</f>
        <v/>
      </c>
      <c r="L456" s="5">
        <f>IF($N456="","",I456-J456)</f>
        <v/>
      </c>
      <c r="M456" s="5">
        <f>IF($N456="","",L456-K456)</f>
        <v/>
      </c>
      <c r="N456">
        <f>IF(ROWS($N$2:$N456)&lt;=MAX('Per Line'!$AG$2:$AG$3001),MATCH(ROWS($N$2:$N456),'Per Line'!$AG$2:$AG$3001,0),"")</f>
        <v/>
      </c>
      <c r="O456">
        <f>IF(B456="Above Claim Form",COUNTIF($B$2:B456,"Above Claim Form"),"")</f>
        <v/>
      </c>
      <c r="P456">
        <f>IF(B456="Below Claim Form",COUNTIF($B$2:B456,"Below Claim Form"),"")</f>
        <v/>
      </c>
    </row>
    <row r="457">
      <c r="B457">
        <f>IF($N457="","",IFERROR(INDEX(Settings!$C$27:$C$36,MATCH(E457,Settings!$B$27:$B$36,0)),"Unassigned"))</f>
        <v/>
      </c>
      <c r="C457">
        <f>IF($N457="","",INDEX('Per Line'!$D$2:$D$3001,$N457))</f>
        <v/>
      </c>
      <c r="D457">
        <f>IF($N457="","",INDEX('Per Line'!$C$2:$C$3001,$N457))</f>
        <v/>
      </c>
      <c r="E457">
        <f>IF($N457="","",INDEX('Per Line'!$A$2:$A$3001,$N457))</f>
        <v/>
      </c>
      <c r="H457">
        <f>IF($N457="","",INDEX('Per Line'!$V$2:$V$3001,$N457))</f>
        <v/>
      </c>
      <c r="I457" s="5">
        <f>IF($N457="","",SUMIFS('Per Line'!$X$2:$X$3001,'Per Line'!$D$2:$D$3001,$C457))</f>
        <v/>
      </c>
      <c r="J457" s="5">
        <f>IF($N457="","",SUMIFS('Per Line'!$Y$2:$Y$3001,'Per Line'!$D$2:$D$3001,$C457))</f>
        <v/>
      </c>
      <c r="K457" s="5">
        <f>IF($N457="","",SUMIFS('Per Line'!$Z$2:$Z$3001,'Per Line'!$D$2:$D$3001,$C457))</f>
        <v/>
      </c>
      <c r="L457" s="5">
        <f>IF($N457="","",I457-J457)</f>
        <v/>
      </c>
      <c r="M457" s="5">
        <f>IF($N457="","",L457-K457)</f>
        <v/>
      </c>
      <c r="N457">
        <f>IF(ROWS($N$2:$N457)&lt;=MAX('Per Line'!$AG$2:$AG$3001),MATCH(ROWS($N$2:$N457),'Per Line'!$AG$2:$AG$3001,0),"")</f>
        <v/>
      </c>
      <c r="O457">
        <f>IF(B457="Above Claim Form",COUNTIF($B$2:B457,"Above Claim Form"),"")</f>
        <v/>
      </c>
      <c r="P457">
        <f>IF(B457="Below Claim Form",COUNTIF($B$2:B457,"Below Claim Form"),"")</f>
        <v/>
      </c>
    </row>
    <row r="458">
      <c r="B458">
        <f>IF($N458="","",IFERROR(INDEX(Settings!$C$27:$C$36,MATCH(E458,Settings!$B$27:$B$36,0)),"Unassigned"))</f>
        <v/>
      </c>
      <c r="C458">
        <f>IF($N458="","",INDEX('Per Line'!$D$2:$D$3001,$N458))</f>
        <v/>
      </c>
      <c r="D458">
        <f>IF($N458="","",INDEX('Per Line'!$C$2:$C$3001,$N458))</f>
        <v/>
      </c>
      <c r="E458">
        <f>IF($N458="","",INDEX('Per Line'!$A$2:$A$3001,$N458))</f>
        <v/>
      </c>
      <c r="H458">
        <f>IF($N458="","",INDEX('Per Line'!$V$2:$V$3001,$N458))</f>
        <v/>
      </c>
      <c r="I458" s="5">
        <f>IF($N458="","",SUMIFS('Per Line'!$X$2:$X$3001,'Per Line'!$D$2:$D$3001,$C458))</f>
        <v/>
      </c>
      <c r="J458" s="5">
        <f>IF($N458="","",SUMIFS('Per Line'!$Y$2:$Y$3001,'Per Line'!$D$2:$D$3001,$C458))</f>
        <v/>
      </c>
      <c r="K458" s="5">
        <f>IF($N458="","",SUMIFS('Per Line'!$Z$2:$Z$3001,'Per Line'!$D$2:$D$3001,$C458))</f>
        <v/>
      </c>
      <c r="L458" s="5">
        <f>IF($N458="","",I458-J458)</f>
        <v/>
      </c>
      <c r="M458" s="5">
        <f>IF($N458="","",L458-K458)</f>
        <v/>
      </c>
      <c r="N458">
        <f>IF(ROWS($N$2:$N458)&lt;=MAX('Per Line'!$AG$2:$AG$3001),MATCH(ROWS($N$2:$N458),'Per Line'!$AG$2:$AG$3001,0),"")</f>
        <v/>
      </c>
      <c r="O458">
        <f>IF(B458="Above Claim Form",COUNTIF($B$2:B458,"Above Claim Form"),"")</f>
        <v/>
      </c>
      <c r="P458">
        <f>IF(B458="Below Claim Form",COUNTIF($B$2:B458,"Below Claim Form"),"")</f>
        <v/>
      </c>
    </row>
    <row r="459">
      <c r="B459">
        <f>IF($N459="","",IFERROR(INDEX(Settings!$C$27:$C$36,MATCH(E459,Settings!$B$27:$B$36,0)),"Unassigned"))</f>
        <v/>
      </c>
      <c r="C459">
        <f>IF($N459="","",INDEX('Per Line'!$D$2:$D$3001,$N459))</f>
        <v/>
      </c>
      <c r="D459">
        <f>IF($N459="","",INDEX('Per Line'!$C$2:$C$3001,$N459))</f>
        <v/>
      </c>
      <c r="E459">
        <f>IF($N459="","",INDEX('Per Line'!$A$2:$A$3001,$N459))</f>
        <v/>
      </c>
      <c r="H459">
        <f>IF($N459="","",INDEX('Per Line'!$V$2:$V$3001,$N459))</f>
        <v/>
      </c>
      <c r="I459" s="5">
        <f>IF($N459="","",SUMIFS('Per Line'!$X$2:$X$3001,'Per Line'!$D$2:$D$3001,$C459))</f>
        <v/>
      </c>
      <c r="J459" s="5">
        <f>IF($N459="","",SUMIFS('Per Line'!$Y$2:$Y$3001,'Per Line'!$D$2:$D$3001,$C459))</f>
        <v/>
      </c>
      <c r="K459" s="5">
        <f>IF($N459="","",SUMIFS('Per Line'!$Z$2:$Z$3001,'Per Line'!$D$2:$D$3001,$C459))</f>
        <v/>
      </c>
      <c r="L459" s="5">
        <f>IF($N459="","",I459-J459)</f>
        <v/>
      </c>
      <c r="M459" s="5">
        <f>IF($N459="","",L459-K459)</f>
        <v/>
      </c>
      <c r="N459">
        <f>IF(ROWS($N$2:$N459)&lt;=MAX('Per Line'!$AG$2:$AG$3001),MATCH(ROWS($N$2:$N459),'Per Line'!$AG$2:$AG$3001,0),"")</f>
        <v/>
      </c>
      <c r="O459">
        <f>IF(B459="Above Claim Form",COUNTIF($B$2:B459,"Above Claim Form"),"")</f>
        <v/>
      </c>
      <c r="P459">
        <f>IF(B459="Below Claim Form",COUNTIF($B$2:B459,"Below Claim Form"),"")</f>
        <v/>
      </c>
    </row>
    <row r="460">
      <c r="B460">
        <f>IF($N460="","",IFERROR(INDEX(Settings!$C$27:$C$36,MATCH(E460,Settings!$B$27:$B$36,0)),"Unassigned"))</f>
        <v/>
      </c>
      <c r="C460">
        <f>IF($N460="","",INDEX('Per Line'!$D$2:$D$3001,$N460))</f>
        <v/>
      </c>
      <c r="D460">
        <f>IF($N460="","",INDEX('Per Line'!$C$2:$C$3001,$N460))</f>
        <v/>
      </c>
      <c r="E460">
        <f>IF($N460="","",INDEX('Per Line'!$A$2:$A$3001,$N460))</f>
        <v/>
      </c>
      <c r="H460">
        <f>IF($N460="","",INDEX('Per Line'!$V$2:$V$3001,$N460))</f>
        <v/>
      </c>
      <c r="I460" s="5">
        <f>IF($N460="","",SUMIFS('Per Line'!$X$2:$X$3001,'Per Line'!$D$2:$D$3001,$C460))</f>
        <v/>
      </c>
      <c r="J460" s="5">
        <f>IF($N460="","",SUMIFS('Per Line'!$Y$2:$Y$3001,'Per Line'!$D$2:$D$3001,$C460))</f>
        <v/>
      </c>
      <c r="K460" s="5">
        <f>IF($N460="","",SUMIFS('Per Line'!$Z$2:$Z$3001,'Per Line'!$D$2:$D$3001,$C460))</f>
        <v/>
      </c>
      <c r="L460" s="5">
        <f>IF($N460="","",I460-J460)</f>
        <v/>
      </c>
      <c r="M460" s="5">
        <f>IF($N460="","",L460-K460)</f>
        <v/>
      </c>
      <c r="N460">
        <f>IF(ROWS($N$2:$N460)&lt;=MAX('Per Line'!$AG$2:$AG$3001),MATCH(ROWS($N$2:$N460),'Per Line'!$AG$2:$AG$3001,0),"")</f>
        <v/>
      </c>
      <c r="O460">
        <f>IF(B460="Above Claim Form",COUNTIF($B$2:B460,"Above Claim Form"),"")</f>
        <v/>
      </c>
      <c r="P460">
        <f>IF(B460="Below Claim Form",COUNTIF($B$2:B460,"Below Claim Form"),"")</f>
        <v/>
      </c>
    </row>
    <row r="461">
      <c r="B461">
        <f>IF($N461="","",IFERROR(INDEX(Settings!$C$27:$C$36,MATCH(E461,Settings!$B$27:$B$36,0)),"Unassigned"))</f>
        <v/>
      </c>
      <c r="C461">
        <f>IF($N461="","",INDEX('Per Line'!$D$2:$D$3001,$N461))</f>
        <v/>
      </c>
      <c r="D461">
        <f>IF($N461="","",INDEX('Per Line'!$C$2:$C$3001,$N461))</f>
        <v/>
      </c>
      <c r="E461">
        <f>IF($N461="","",INDEX('Per Line'!$A$2:$A$3001,$N461))</f>
        <v/>
      </c>
      <c r="H461">
        <f>IF($N461="","",INDEX('Per Line'!$V$2:$V$3001,$N461))</f>
        <v/>
      </c>
      <c r="I461" s="5">
        <f>IF($N461="","",SUMIFS('Per Line'!$X$2:$X$3001,'Per Line'!$D$2:$D$3001,$C461))</f>
        <v/>
      </c>
      <c r="J461" s="5">
        <f>IF($N461="","",SUMIFS('Per Line'!$Y$2:$Y$3001,'Per Line'!$D$2:$D$3001,$C461))</f>
        <v/>
      </c>
      <c r="K461" s="5">
        <f>IF($N461="","",SUMIFS('Per Line'!$Z$2:$Z$3001,'Per Line'!$D$2:$D$3001,$C461))</f>
        <v/>
      </c>
      <c r="L461" s="5">
        <f>IF($N461="","",I461-J461)</f>
        <v/>
      </c>
      <c r="M461" s="5">
        <f>IF($N461="","",L461-K461)</f>
        <v/>
      </c>
      <c r="N461">
        <f>IF(ROWS($N$2:$N461)&lt;=MAX('Per Line'!$AG$2:$AG$3001),MATCH(ROWS($N$2:$N461),'Per Line'!$AG$2:$AG$3001,0),"")</f>
        <v/>
      </c>
      <c r="O461">
        <f>IF(B461="Above Claim Form",COUNTIF($B$2:B461,"Above Claim Form"),"")</f>
        <v/>
      </c>
      <c r="P461">
        <f>IF(B461="Below Claim Form",COUNTIF($B$2:B461,"Below Claim Form"),"")</f>
        <v/>
      </c>
    </row>
    <row r="462">
      <c r="B462">
        <f>IF($N462="","",IFERROR(INDEX(Settings!$C$27:$C$36,MATCH(E462,Settings!$B$27:$B$36,0)),"Unassigned"))</f>
        <v/>
      </c>
      <c r="C462">
        <f>IF($N462="","",INDEX('Per Line'!$D$2:$D$3001,$N462))</f>
        <v/>
      </c>
      <c r="D462">
        <f>IF($N462="","",INDEX('Per Line'!$C$2:$C$3001,$N462))</f>
        <v/>
      </c>
      <c r="E462">
        <f>IF($N462="","",INDEX('Per Line'!$A$2:$A$3001,$N462))</f>
        <v/>
      </c>
      <c r="H462">
        <f>IF($N462="","",INDEX('Per Line'!$V$2:$V$3001,$N462))</f>
        <v/>
      </c>
      <c r="I462" s="5">
        <f>IF($N462="","",SUMIFS('Per Line'!$X$2:$X$3001,'Per Line'!$D$2:$D$3001,$C462))</f>
        <v/>
      </c>
      <c r="J462" s="5">
        <f>IF($N462="","",SUMIFS('Per Line'!$Y$2:$Y$3001,'Per Line'!$D$2:$D$3001,$C462))</f>
        <v/>
      </c>
      <c r="K462" s="5">
        <f>IF($N462="","",SUMIFS('Per Line'!$Z$2:$Z$3001,'Per Line'!$D$2:$D$3001,$C462))</f>
        <v/>
      </c>
      <c r="L462" s="5">
        <f>IF($N462="","",I462-J462)</f>
        <v/>
      </c>
      <c r="M462" s="5">
        <f>IF($N462="","",L462-K462)</f>
        <v/>
      </c>
      <c r="N462">
        <f>IF(ROWS($N$2:$N462)&lt;=MAX('Per Line'!$AG$2:$AG$3001),MATCH(ROWS($N$2:$N462),'Per Line'!$AG$2:$AG$3001,0),"")</f>
        <v/>
      </c>
      <c r="O462">
        <f>IF(B462="Above Claim Form",COUNTIF($B$2:B462,"Above Claim Form"),"")</f>
        <v/>
      </c>
      <c r="P462">
        <f>IF(B462="Below Claim Form",COUNTIF($B$2:B462,"Below Claim Form"),"")</f>
        <v/>
      </c>
    </row>
    <row r="463">
      <c r="B463">
        <f>IF($N463="","",IFERROR(INDEX(Settings!$C$27:$C$36,MATCH(E463,Settings!$B$27:$B$36,0)),"Unassigned"))</f>
        <v/>
      </c>
      <c r="C463">
        <f>IF($N463="","",INDEX('Per Line'!$D$2:$D$3001,$N463))</f>
        <v/>
      </c>
      <c r="D463">
        <f>IF($N463="","",INDEX('Per Line'!$C$2:$C$3001,$N463))</f>
        <v/>
      </c>
      <c r="E463">
        <f>IF($N463="","",INDEX('Per Line'!$A$2:$A$3001,$N463))</f>
        <v/>
      </c>
      <c r="H463">
        <f>IF($N463="","",INDEX('Per Line'!$V$2:$V$3001,$N463))</f>
        <v/>
      </c>
      <c r="I463" s="5">
        <f>IF($N463="","",SUMIFS('Per Line'!$X$2:$X$3001,'Per Line'!$D$2:$D$3001,$C463))</f>
        <v/>
      </c>
      <c r="J463" s="5">
        <f>IF($N463="","",SUMIFS('Per Line'!$Y$2:$Y$3001,'Per Line'!$D$2:$D$3001,$C463))</f>
        <v/>
      </c>
      <c r="K463" s="5">
        <f>IF($N463="","",SUMIFS('Per Line'!$Z$2:$Z$3001,'Per Line'!$D$2:$D$3001,$C463))</f>
        <v/>
      </c>
      <c r="L463" s="5">
        <f>IF($N463="","",I463-J463)</f>
        <v/>
      </c>
      <c r="M463" s="5">
        <f>IF($N463="","",L463-K463)</f>
        <v/>
      </c>
      <c r="N463">
        <f>IF(ROWS($N$2:$N463)&lt;=MAX('Per Line'!$AG$2:$AG$3001),MATCH(ROWS($N$2:$N463),'Per Line'!$AG$2:$AG$3001,0),"")</f>
        <v/>
      </c>
      <c r="O463">
        <f>IF(B463="Above Claim Form",COUNTIF($B$2:B463,"Above Claim Form"),"")</f>
        <v/>
      </c>
      <c r="P463">
        <f>IF(B463="Below Claim Form",COUNTIF($B$2:B463,"Below Claim Form"),"")</f>
        <v/>
      </c>
    </row>
    <row r="464">
      <c r="B464">
        <f>IF($N464="","",IFERROR(INDEX(Settings!$C$27:$C$36,MATCH(E464,Settings!$B$27:$B$36,0)),"Unassigned"))</f>
        <v/>
      </c>
      <c r="C464">
        <f>IF($N464="","",INDEX('Per Line'!$D$2:$D$3001,$N464))</f>
        <v/>
      </c>
      <c r="D464">
        <f>IF($N464="","",INDEX('Per Line'!$C$2:$C$3001,$N464))</f>
        <v/>
      </c>
      <c r="E464">
        <f>IF($N464="","",INDEX('Per Line'!$A$2:$A$3001,$N464))</f>
        <v/>
      </c>
      <c r="H464">
        <f>IF($N464="","",INDEX('Per Line'!$V$2:$V$3001,$N464))</f>
        <v/>
      </c>
      <c r="I464" s="5">
        <f>IF($N464="","",SUMIFS('Per Line'!$X$2:$X$3001,'Per Line'!$D$2:$D$3001,$C464))</f>
        <v/>
      </c>
      <c r="J464" s="5">
        <f>IF($N464="","",SUMIFS('Per Line'!$Y$2:$Y$3001,'Per Line'!$D$2:$D$3001,$C464))</f>
        <v/>
      </c>
      <c r="K464" s="5">
        <f>IF($N464="","",SUMIFS('Per Line'!$Z$2:$Z$3001,'Per Line'!$D$2:$D$3001,$C464))</f>
        <v/>
      </c>
      <c r="L464" s="5">
        <f>IF($N464="","",I464-J464)</f>
        <v/>
      </c>
      <c r="M464" s="5">
        <f>IF($N464="","",L464-K464)</f>
        <v/>
      </c>
      <c r="N464">
        <f>IF(ROWS($N$2:$N464)&lt;=MAX('Per Line'!$AG$2:$AG$3001),MATCH(ROWS($N$2:$N464),'Per Line'!$AG$2:$AG$3001,0),"")</f>
        <v/>
      </c>
      <c r="O464">
        <f>IF(B464="Above Claim Form",COUNTIF($B$2:B464,"Above Claim Form"),"")</f>
        <v/>
      </c>
      <c r="P464">
        <f>IF(B464="Below Claim Form",COUNTIF($B$2:B464,"Below Claim Form"),"")</f>
        <v/>
      </c>
    </row>
    <row r="465">
      <c r="B465">
        <f>IF($N465="","",IFERROR(INDEX(Settings!$C$27:$C$36,MATCH(E465,Settings!$B$27:$B$36,0)),"Unassigned"))</f>
        <v/>
      </c>
      <c r="C465">
        <f>IF($N465="","",INDEX('Per Line'!$D$2:$D$3001,$N465))</f>
        <v/>
      </c>
      <c r="D465">
        <f>IF($N465="","",INDEX('Per Line'!$C$2:$C$3001,$N465))</f>
        <v/>
      </c>
      <c r="E465">
        <f>IF($N465="","",INDEX('Per Line'!$A$2:$A$3001,$N465))</f>
        <v/>
      </c>
      <c r="H465">
        <f>IF($N465="","",INDEX('Per Line'!$V$2:$V$3001,$N465))</f>
        <v/>
      </c>
      <c r="I465" s="5">
        <f>IF($N465="","",SUMIFS('Per Line'!$X$2:$X$3001,'Per Line'!$D$2:$D$3001,$C465))</f>
        <v/>
      </c>
      <c r="J465" s="5">
        <f>IF($N465="","",SUMIFS('Per Line'!$Y$2:$Y$3001,'Per Line'!$D$2:$D$3001,$C465))</f>
        <v/>
      </c>
      <c r="K465" s="5">
        <f>IF($N465="","",SUMIFS('Per Line'!$Z$2:$Z$3001,'Per Line'!$D$2:$D$3001,$C465))</f>
        <v/>
      </c>
      <c r="L465" s="5">
        <f>IF($N465="","",I465-J465)</f>
        <v/>
      </c>
      <c r="M465" s="5">
        <f>IF($N465="","",L465-K465)</f>
        <v/>
      </c>
      <c r="N465">
        <f>IF(ROWS($N$2:$N465)&lt;=MAX('Per Line'!$AG$2:$AG$3001),MATCH(ROWS($N$2:$N465),'Per Line'!$AG$2:$AG$3001,0),"")</f>
        <v/>
      </c>
      <c r="O465">
        <f>IF(B465="Above Claim Form",COUNTIF($B$2:B465,"Above Claim Form"),"")</f>
        <v/>
      </c>
      <c r="P465">
        <f>IF(B465="Below Claim Form",COUNTIF($B$2:B465,"Below Claim Form"),"")</f>
        <v/>
      </c>
    </row>
    <row r="466">
      <c r="B466">
        <f>IF($N466="","",IFERROR(INDEX(Settings!$C$27:$C$36,MATCH(E466,Settings!$B$27:$B$36,0)),"Unassigned"))</f>
        <v/>
      </c>
      <c r="C466">
        <f>IF($N466="","",INDEX('Per Line'!$D$2:$D$3001,$N466))</f>
        <v/>
      </c>
      <c r="D466">
        <f>IF($N466="","",INDEX('Per Line'!$C$2:$C$3001,$N466))</f>
        <v/>
      </c>
      <c r="E466">
        <f>IF($N466="","",INDEX('Per Line'!$A$2:$A$3001,$N466))</f>
        <v/>
      </c>
      <c r="H466">
        <f>IF($N466="","",INDEX('Per Line'!$V$2:$V$3001,$N466))</f>
        <v/>
      </c>
      <c r="I466" s="5">
        <f>IF($N466="","",SUMIFS('Per Line'!$X$2:$X$3001,'Per Line'!$D$2:$D$3001,$C466))</f>
        <v/>
      </c>
      <c r="J466" s="5">
        <f>IF($N466="","",SUMIFS('Per Line'!$Y$2:$Y$3001,'Per Line'!$D$2:$D$3001,$C466))</f>
        <v/>
      </c>
      <c r="K466" s="5">
        <f>IF($N466="","",SUMIFS('Per Line'!$Z$2:$Z$3001,'Per Line'!$D$2:$D$3001,$C466))</f>
        <v/>
      </c>
      <c r="L466" s="5">
        <f>IF($N466="","",I466-J466)</f>
        <v/>
      </c>
      <c r="M466" s="5">
        <f>IF($N466="","",L466-K466)</f>
        <v/>
      </c>
      <c r="N466">
        <f>IF(ROWS($N$2:$N466)&lt;=MAX('Per Line'!$AG$2:$AG$3001),MATCH(ROWS($N$2:$N466),'Per Line'!$AG$2:$AG$3001,0),"")</f>
        <v/>
      </c>
      <c r="O466">
        <f>IF(B466="Above Claim Form",COUNTIF($B$2:B466,"Above Claim Form"),"")</f>
        <v/>
      </c>
      <c r="P466">
        <f>IF(B466="Below Claim Form",COUNTIF($B$2:B466,"Below Claim Form"),"")</f>
        <v/>
      </c>
    </row>
    <row r="467">
      <c r="B467">
        <f>IF($N467="","",IFERROR(INDEX(Settings!$C$27:$C$36,MATCH(E467,Settings!$B$27:$B$36,0)),"Unassigned"))</f>
        <v/>
      </c>
      <c r="C467">
        <f>IF($N467="","",INDEX('Per Line'!$D$2:$D$3001,$N467))</f>
        <v/>
      </c>
      <c r="D467">
        <f>IF($N467="","",INDEX('Per Line'!$C$2:$C$3001,$N467))</f>
        <v/>
      </c>
      <c r="E467">
        <f>IF($N467="","",INDEX('Per Line'!$A$2:$A$3001,$N467))</f>
        <v/>
      </c>
      <c r="H467">
        <f>IF($N467="","",INDEX('Per Line'!$V$2:$V$3001,$N467))</f>
        <v/>
      </c>
      <c r="I467" s="5">
        <f>IF($N467="","",SUMIFS('Per Line'!$X$2:$X$3001,'Per Line'!$D$2:$D$3001,$C467))</f>
        <v/>
      </c>
      <c r="J467" s="5">
        <f>IF($N467="","",SUMIFS('Per Line'!$Y$2:$Y$3001,'Per Line'!$D$2:$D$3001,$C467))</f>
        <v/>
      </c>
      <c r="K467" s="5">
        <f>IF($N467="","",SUMIFS('Per Line'!$Z$2:$Z$3001,'Per Line'!$D$2:$D$3001,$C467))</f>
        <v/>
      </c>
      <c r="L467" s="5">
        <f>IF($N467="","",I467-J467)</f>
        <v/>
      </c>
      <c r="M467" s="5">
        <f>IF($N467="","",L467-K467)</f>
        <v/>
      </c>
      <c r="N467">
        <f>IF(ROWS($N$2:$N467)&lt;=MAX('Per Line'!$AG$2:$AG$3001),MATCH(ROWS($N$2:$N467),'Per Line'!$AG$2:$AG$3001,0),"")</f>
        <v/>
      </c>
      <c r="O467">
        <f>IF(B467="Above Claim Form",COUNTIF($B$2:B467,"Above Claim Form"),"")</f>
        <v/>
      </c>
      <c r="P467">
        <f>IF(B467="Below Claim Form",COUNTIF($B$2:B467,"Below Claim Form"),"")</f>
        <v/>
      </c>
    </row>
    <row r="468">
      <c r="B468">
        <f>IF($N468="","",IFERROR(INDEX(Settings!$C$27:$C$36,MATCH(E468,Settings!$B$27:$B$36,0)),"Unassigned"))</f>
        <v/>
      </c>
      <c r="C468">
        <f>IF($N468="","",INDEX('Per Line'!$D$2:$D$3001,$N468))</f>
        <v/>
      </c>
      <c r="D468">
        <f>IF($N468="","",INDEX('Per Line'!$C$2:$C$3001,$N468))</f>
        <v/>
      </c>
      <c r="E468">
        <f>IF($N468="","",INDEX('Per Line'!$A$2:$A$3001,$N468))</f>
        <v/>
      </c>
      <c r="H468">
        <f>IF($N468="","",INDEX('Per Line'!$V$2:$V$3001,$N468))</f>
        <v/>
      </c>
      <c r="I468" s="5">
        <f>IF($N468="","",SUMIFS('Per Line'!$X$2:$X$3001,'Per Line'!$D$2:$D$3001,$C468))</f>
        <v/>
      </c>
      <c r="J468" s="5">
        <f>IF($N468="","",SUMIFS('Per Line'!$Y$2:$Y$3001,'Per Line'!$D$2:$D$3001,$C468))</f>
        <v/>
      </c>
      <c r="K468" s="5">
        <f>IF($N468="","",SUMIFS('Per Line'!$Z$2:$Z$3001,'Per Line'!$D$2:$D$3001,$C468))</f>
        <v/>
      </c>
      <c r="L468" s="5">
        <f>IF($N468="","",I468-J468)</f>
        <v/>
      </c>
      <c r="M468" s="5">
        <f>IF($N468="","",L468-K468)</f>
        <v/>
      </c>
      <c r="N468">
        <f>IF(ROWS($N$2:$N468)&lt;=MAX('Per Line'!$AG$2:$AG$3001),MATCH(ROWS($N$2:$N468),'Per Line'!$AG$2:$AG$3001,0),"")</f>
        <v/>
      </c>
      <c r="O468">
        <f>IF(B468="Above Claim Form",COUNTIF($B$2:B468,"Above Claim Form"),"")</f>
        <v/>
      </c>
      <c r="P468">
        <f>IF(B468="Below Claim Form",COUNTIF($B$2:B468,"Below Claim Form"),"")</f>
        <v/>
      </c>
    </row>
    <row r="469">
      <c r="B469">
        <f>IF($N469="","",IFERROR(INDEX(Settings!$C$27:$C$36,MATCH(E469,Settings!$B$27:$B$36,0)),"Unassigned"))</f>
        <v/>
      </c>
      <c r="C469">
        <f>IF($N469="","",INDEX('Per Line'!$D$2:$D$3001,$N469))</f>
        <v/>
      </c>
      <c r="D469">
        <f>IF($N469="","",INDEX('Per Line'!$C$2:$C$3001,$N469))</f>
        <v/>
      </c>
      <c r="E469">
        <f>IF($N469="","",INDEX('Per Line'!$A$2:$A$3001,$N469))</f>
        <v/>
      </c>
      <c r="H469">
        <f>IF($N469="","",INDEX('Per Line'!$V$2:$V$3001,$N469))</f>
        <v/>
      </c>
      <c r="I469" s="5">
        <f>IF($N469="","",SUMIFS('Per Line'!$X$2:$X$3001,'Per Line'!$D$2:$D$3001,$C469))</f>
        <v/>
      </c>
      <c r="J469" s="5">
        <f>IF($N469="","",SUMIFS('Per Line'!$Y$2:$Y$3001,'Per Line'!$D$2:$D$3001,$C469))</f>
        <v/>
      </c>
      <c r="K469" s="5">
        <f>IF($N469="","",SUMIFS('Per Line'!$Z$2:$Z$3001,'Per Line'!$D$2:$D$3001,$C469))</f>
        <v/>
      </c>
      <c r="L469" s="5">
        <f>IF($N469="","",I469-J469)</f>
        <v/>
      </c>
      <c r="M469" s="5">
        <f>IF($N469="","",L469-K469)</f>
        <v/>
      </c>
      <c r="N469">
        <f>IF(ROWS($N$2:$N469)&lt;=MAX('Per Line'!$AG$2:$AG$3001),MATCH(ROWS($N$2:$N469),'Per Line'!$AG$2:$AG$3001,0),"")</f>
        <v/>
      </c>
      <c r="O469">
        <f>IF(B469="Above Claim Form",COUNTIF($B$2:B469,"Above Claim Form"),"")</f>
        <v/>
      </c>
      <c r="P469">
        <f>IF(B469="Below Claim Form",COUNTIF($B$2:B469,"Below Claim Form"),"")</f>
        <v/>
      </c>
    </row>
    <row r="470">
      <c r="B470">
        <f>IF($N470="","",IFERROR(INDEX(Settings!$C$27:$C$36,MATCH(E470,Settings!$B$27:$B$36,0)),"Unassigned"))</f>
        <v/>
      </c>
      <c r="C470">
        <f>IF($N470="","",INDEX('Per Line'!$D$2:$D$3001,$N470))</f>
        <v/>
      </c>
      <c r="D470">
        <f>IF($N470="","",INDEX('Per Line'!$C$2:$C$3001,$N470))</f>
        <v/>
      </c>
      <c r="E470">
        <f>IF($N470="","",INDEX('Per Line'!$A$2:$A$3001,$N470))</f>
        <v/>
      </c>
      <c r="H470">
        <f>IF($N470="","",INDEX('Per Line'!$V$2:$V$3001,$N470))</f>
        <v/>
      </c>
      <c r="I470" s="5">
        <f>IF($N470="","",SUMIFS('Per Line'!$X$2:$X$3001,'Per Line'!$D$2:$D$3001,$C470))</f>
        <v/>
      </c>
      <c r="J470" s="5">
        <f>IF($N470="","",SUMIFS('Per Line'!$Y$2:$Y$3001,'Per Line'!$D$2:$D$3001,$C470))</f>
        <v/>
      </c>
      <c r="K470" s="5">
        <f>IF($N470="","",SUMIFS('Per Line'!$Z$2:$Z$3001,'Per Line'!$D$2:$D$3001,$C470))</f>
        <v/>
      </c>
      <c r="L470" s="5">
        <f>IF($N470="","",I470-J470)</f>
        <v/>
      </c>
      <c r="M470" s="5">
        <f>IF($N470="","",L470-K470)</f>
        <v/>
      </c>
      <c r="N470">
        <f>IF(ROWS($N$2:$N470)&lt;=MAX('Per Line'!$AG$2:$AG$3001),MATCH(ROWS($N$2:$N470),'Per Line'!$AG$2:$AG$3001,0),"")</f>
        <v/>
      </c>
      <c r="O470">
        <f>IF(B470="Above Claim Form",COUNTIF($B$2:B470,"Above Claim Form"),"")</f>
        <v/>
      </c>
      <c r="P470">
        <f>IF(B470="Below Claim Form",COUNTIF($B$2:B470,"Below Claim Form"),"")</f>
        <v/>
      </c>
    </row>
    <row r="471">
      <c r="B471">
        <f>IF($N471="","",IFERROR(INDEX(Settings!$C$27:$C$36,MATCH(E471,Settings!$B$27:$B$36,0)),"Unassigned"))</f>
        <v/>
      </c>
      <c r="C471">
        <f>IF($N471="","",INDEX('Per Line'!$D$2:$D$3001,$N471))</f>
        <v/>
      </c>
      <c r="D471">
        <f>IF($N471="","",INDEX('Per Line'!$C$2:$C$3001,$N471))</f>
        <v/>
      </c>
      <c r="E471">
        <f>IF($N471="","",INDEX('Per Line'!$A$2:$A$3001,$N471))</f>
        <v/>
      </c>
      <c r="H471">
        <f>IF($N471="","",INDEX('Per Line'!$V$2:$V$3001,$N471))</f>
        <v/>
      </c>
      <c r="I471" s="5">
        <f>IF($N471="","",SUMIFS('Per Line'!$X$2:$X$3001,'Per Line'!$D$2:$D$3001,$C471))</f>
        <v/>
      </c>
      <c r="J471" s="5">
        <f>IF($N471="","",SUMIFS('Per Line'!$Y$2:$Y$3001,'Per Line'!$D$2:$D$3001,$C471))</f>
        <v/>
      </c>
      <c r="K471" s="5">
        <f>IF($N471="","",SUMIFS('Per Line'!$Z$2:$Z$3001,'Per Line'!$D$2:$D$3001,$C471))</f>
        <v/>
      </c>
      <c r="L471" s="5">
        <f>IF($N471="","",I471-J471)</f>
        <v/>
      </c>
      <c r="M471" s="5">
        <f>IF($N471="","",L471-K471)</f>
        <v/>
      </c>
      <c r="N471">
        <f>IF(ROWS($N$2:$N471)&lt;=MAX('Per Line'!$AG$2:$AG$3001),MATCH(ROWS($N$2:$N471),'Per Line'!$AG$2:$AG$3001,0),"")</f>
        <v/>
      </c>
      <c r="O471">
        <f>IF(B471="Above Claim Form",COUNTIF($B$2:B471,"Above Claim Form"),"")</f>
        <v/>
      </c>
      <c r="P471">
        <f>IF(B471="Below Claim Form",COUNTIF($B$2:B471,"Below Claim Form"),"")</f>
        <v/>
      </c>
    </row>
    <row r="472">
      <c r="B472">
        <f>IF($N472="","",IFERROR(INDEX(Settings!$C$27:$C$36,MATCH(E472,Settings!$B$27:$B$36,0)),"Unassigned"))</f>
        <v/>
      </c>
      <c r="C472">
        <f>IF($N472="","",INDEX('Per Line'!$D$2:$D$3001,$N472))</f>
        <v/>
      </c>
      <c r="D472">
        <f>IF($N472="","",INDEX('Per Line'!$C$2:$C$3001,$N472))</f>
        <v/>
      </c>
      <c r="E472">
        <f>IF($N472="","",INDEX('Per Line'!$A$2:$A$3001,$N472))</f>
        <v/>
      </c>
      <c r="H472">
        <f>IF($N472="","",INDEX('Per Line'!$V$2:$V$3001,$N472))</f>
        <v/>
      </c>
      <c r="I472" s="5">
        <f>IF($N472="","",SUMIFS('Per Line'!$X$2:$X$3001,'Per Line'!$D$2:$D$3001,$C472))</f>
        <v/>
      </c>
      <c r="J472" s="5">
        <f>IF($N472="","",SUMIFS('Per Line'!$Y$2:$Y$3001,'Per Line'!$D$2:$D$3001,$C472))</f>
        <v/>
      </c>
      <c r="K472" s="5">
        <f>IF($N472="","",SUMIFS('Per Line'!$Z$2:$Z$3001,'Per Line'!$D$2:$D$3001,$C472))</f>
        <v/>
      </c>
      <c r="L472" s="5">
        <f>IF($N472="","",I472-J472)</f>
        <v/>
      </c>
      <c r="M472" s="5">
        <f>IF($N472="","",L472-K472)</f>
        <v/>
      </c>
      <c r="N472">
        <f>IF(ROWS($N$2:$N472)&lt;=MAX('Per Line'!$AG$2:$AG$3001),MATCH(ROWS($N$2:$N472),'Per Line'!$AG$2:$AG$3001,0),"")</f>
        <v/>
      </c>
      <c r="O472">
        <f>IF(B472="Above Claim Form",COUNTIF($B$2:B472,"Above Claim Form"),"")</f>
        <v/>
      </c>
      <c r="P472">
        <f>IF(B472="Below Claim Form",COUNTIF($B$2:B472,"Below Claim Form"),"")</f>
        <v/>
      </c>
    </row>
    <row r="473">
      <c r="B473">
        <f>IF($N473="","",IFERROR(INDEX(Settings!$C$27:$C$36,MATCH(E473,Settings!$B$27:$B$36,0)),"Unassigned"))</f>
        <v/>
      </c>
      <c r="C473">
        <f>IF($N473="","",INDEX('Per Line'!$D$2:$D$3001,$N473))</f>
        <v/>
      </c>
      <c r="D473">
        <f>IF($N473="","",INDEX('Per Line'!$C$2:$C$3001,$N473))</f>
        <v/>
      </c>
      <c r="E473">
        <f>IF($N473="","",INDEX('Per Line'!$A$2:$A$3001,$N473))</f>
        <v/>
      </c>
      <c r="H473">
        <f>IF($N473="","",INDEX('Per Line'!$V$2:$V$3001,$N473))</f>
        <v/>
      </c>
      <c r="I473" s="5">
        <f>IF($N473="","",SUMIFS('Per Line'!$X$2:$X$3001,'Per Line'!$D$2:$D$3001,$C473))</f>
        <v/>
      </c>
      <c r="J473" s="5">
        <f>IF($N473="","",SUMIFS('Per Line'!$Y$2:$Y$3001,'Per Line'!$D$2:$D$3001,$C473))</f>
        <v/>
      </c>
      <c r="K473" s="5">
        <f>IF($N473="","",SUMIFS('Per Line'!$Z$2:$Z$3001,'Per Line'!$D$2:$D$3001,$C473))</f>
        <v/>
      </c>
      <c r="L473" s="5">
        <f>IF($N473="","",I473-J473)</f>
        <v/>
      </c>
      <c r="M473" s="5">
        <f>IF($N473="","",L473-K473)</f>
        <v/>
      </c>
      <c r="N473">
        <f>IF(ROWS($N$2:$N473)&lt;=MAX('Per Line'!$AG$2:$AG$3001),MATCH(ROWS($N$2:$N473),'Per Line'!$AG$2:$AG$3001,0),"")</f>
        <v/>
      </c>
      <c r="O473">
        <f>IF(B473="Above Claim Form",COUNTIF($B$2:B473,"Above Claim Form"),"")</f>
        <v/>
      </c>
      <c r="P473">
        <f>IF(B473="Below Claim Form",COUNTIF($B$2:B473,"Below Claim Form"),"")</f>
        <v/>
      </c>
    </row>
    <row r="474">
      <c r="B474">
        <f>IF($N474="","",IFERROR(INDEX(Settings!$C$27:$C$36,MATCH(E474,Settings!$B$27:$B$36,0)),"Unassigned"))</f>
        <v/>
      </c>
      <c r="C474">
        <f>IF($N474="","",INDEX('Per Line'!$D$2:$D$3001,$N474))</f>
        <v/>
      </c>
      <c r="D474">
        <f>IF($N474="","",INDEX('Per Line'!$C$2:$C$3001,$N474))</f>
        <v/>
      </c>
      <c r="E474">
        <f>IF($N474="","",INDEX('Per Line'!$A$2:$A$3001,$N474))</f>
        <v/>
      </c>
      <c r="H474">
        <f>IF($N474="","",INDEX('Per Line'!$V$2:$V$3001,$N474))</f>
        <v/>
      </c>
      <c r="I474" s="5">
        <f>IF($N474="","",SUMIFS('Per Line'!$X$2:$X$3001,'Per Line'!$D$2:$D$3001,$C474))</f>
        <v/>
      </c>
      <c r="J474" s="5">
        <f>IF($N474="","",SUMIFS('Per Line'!$Y$2:$Y$3001,'Per Line'!$D$2:$D$3001,$C474))</f>
        <v/>
      </c>
      <c r="K474" s="5">
        <f>IF($N474="","",SUMIFS('Per Line'!$Z$2:$Z$3001,'Per Line'!$D$2:$D$3001,$C474))</f>
        <v/>
      </c>
      <c r="L474" s="5">
        <f>IF($N474="","",I474-J474)</f>
        <v/>
      </c>
      <c r="M474" s="5">
        <f>IF($N474="","",L474-K474)</f>
        <v/>
      </c>
      <c r="N474">
        <f>IF(ROWS($N$2:$N474)&lt;=MAX('Per Line'!$AG$2:$AG$3001),MATCH(ROWS($N$2:$N474),'Per Line'!$AG$2:$AG$3001,0),"")</f>
        <v/>
      </c>
      <c r="O474">
        <f>IF(B474="Above Claim Form",COUNTIF($B$2:B474,"Above Claim Form"),"")</f>
        <v/>
      </c>
      <c r="P474">
        <f>IF(B474="Below Claim Form",COUNTIF($B$2:B474,"Below Claim Form"),"")</f>
        <v/>
      </c>
    </row>
    <row r="475">
      <c r="B475">
        <f>IF($N475="","",IFERROR(INDEX(Settings!$C$27:$C$36,MATCH(E475,Settings!$B$27:$B$36,0)),"Unassigned"))</f>
        <v/>
      </c>
      <c r="C475">
        <f>IF($N475="","",INDEX('Per Line'!$D$2:$D$3001,$N475))</f>
        <v/>
      </c>
      <c r="D475">
        <f>IF($N475="","",INDEX('Per Line'!$C$2:$C$3001,$N475))</f>
        <v/>
      </c>
      <c r="E475">
        <f>IF($N475="","",INDEX('Per Line'!$A$2:$A$3001,$N475))</f>
        <v/>
      </c>
      <c r="H475">
        <f>IF($N475="","",INDEX('Per Line'!$V$2:$V$3001,$N475))</f>
        <v/>
      </c>
      <c r="I475" s="5">
        <f>IF($N475="","",SUMIFS('Per Line'!$X$2:$X$3001,'Per Line'!$D$2:$D$3001,$C475))</f>
        <v/>
      </c>
      <c r="J475" s="5">
        <f>IF($N475="","",SUMIFS('Per Line'!$Y$2:$Y$3001,'Per Line'!$D$2:$D$3001,$C475))</f>
        <v/>
      </c>
      <c r="K475" s="5">
        <f>IF($N475="","",SUMIFS('Per Line'!$Z$2:$Z$3001,'Per Line'!$D$2:$D$3001,$C475))</f>
        <v/>
      </c>
      <c r="L475" s="5">
        <f>IF($N475="","",I475-J475)</f>
        <v/>
      </c>
      <c r="M475" s="5">
        <f>IF($N475="","",L475-K475)</f>
        <v/>
      </c>
      <c r="N475">
        <f>IF(ROWS($N$2:$N475)&lt;=MAX('Per Line'!$AG$2:$AG$3001),MATCH(ROWS($N$2:$N475),'Per Line'!$AG$2:$AG$3001,0),"")</f>
        <v/>
      </c>
      <c r="O475">
        <f>IF(B475="Above Claim Form",COUNTIF($B$2:B475,"Above Claim Form"),"")</f>
        <v/>
      </c>
      <c r="P475">
        <f>IF(B475="Below Claim Form",COUNTIF($B$2:B475,"Below Claim Form"),"")</f>
        <v/>
      </c>
    </row>
    <row r="476">
      <c r="B476">
        <f>IF($N476="","",IFERROR(INDEX(Settings!$C$27:$C$36,MATCH(E476,Settings!$B$27:$B$36,0)),"Unassigned"))</f>
        <v/>
      </c>
      <c r="C476">
        <f>IF($N476="","",INDEX('Per Line'!$D$2:$D$3001,$N476))</f>
        <v/>
      </c>
      <c r="D476">
        <f>IF($N476="","",INDEX('Per Line'!$C$2:$C$3001,$N476))</f>
        <v/>
      </c>
      <c r="E476">
        <f>IF($N476="","",INDEX('Per Line'!$A$2:$A$3001,$N476))</f>
        <v/>
      </c>
      <c r="H476">
        <f>IF($N476="","",INDEX('Per Line'!$V$2:$V$3001,$N476))</f>
        <v/>
      </c>
      <c r="I476" s="5">
        <f>IF($N476="","",SUMIFS('Per Line'!$X$2:$X$3001,'Per Line'!$D$2:$D$3001,$C476))</f>
        <v/>
      </c>
      <c r="J476" s="5">
        <f>IF($N476="","",SUMIFS('Per Line'!$Y$2:$Y$3001,'Per Line'!$D$2:$D$3001,$C476))</f>
        <v/>
      </c>
      <c r="K476" s="5">
        <f>IF($N476="","",SUMIFS('Per Line'!$Z$2:$Z$3001,'Per Line'!$D$2:$D$3001,$C476))</f>
        <v/>
      </c>
      <c r="L476" s="5">
        <f>IF($N476="","",I476-J476)</f>
        <v/>
      </c>
      <c r="M476" s="5">
        <f>IF($N476="","",L476-K476)</f>
        <v/>
      </c>
      <c r="N476">
        <f>IF(ROWS($N$2:$N476)&lt;=MAX('Per Line'!$AG$2:$AG$3001),MATCH(ROWS($N$2:$N476),'Per Line'!$AG$2:$AG$3001,0),"")</f>
        <v/>
      </c>
      <c r="O476">
        <f>IF(B476="Above Claim Form",COUNTIF($B$2:B476,"Above Claim Form"),"")</f>
        <v/>
      </c>
      <c r="P476">
        <f>IF(B476="Below Claim Form",COUNTIF($B$2:B476,"Below Claim Form"),"")</f>
        <v/>
      </c>
    </row>
    <row r="477">
      <c r="B477">
        <f>IF($N477="","",IFERROR(INDEX(Settings!$C$27:$C$36,MATCH(E477,Settings!$B$27:$B$36,0)),"Unassigned"))</f>
        <v/>
      </c>
      <c r="C477">
        <f>IF($N477="","",INDEX('Per Line'!$D$2:$D$3001,$N477))</f>
        <v/>
      </c>
      <c r="D477">
        <f>IF($N477="","",INDEX('Per Line'!$C$2:$C$3001,$N477))</f>
        <v/>
      </c>
      <c r="E477">
        <f>IF($N477="","",INDEX('Per Line'!$A$2:$A$3001,$N477))</f>
        <v/>
      </c>
      <c r="H477">
        <f>IF($N477="","",INDEX('Per Line'!$V$2:$V$3001,$N477))</f>
        <v/>
      </c>
      <c r="I477" s="5">
        <f>IF($N477="","",SUMIFS('Per Line'!$X$2:$X$3001,'Per Line'!$D$2:$D$3001,$C477))</f>
        <v/>
      </c>
      <c r="J477" s="5">
        <f>IF($N477="","",SUMIFS('Per Line'!$Y$2:$Y$3001,'Per Line'!$D$2:$D$3001,$C477))</f>
        <v/>
      </c>
      <c r="K477" s="5">
        <f>IF($N477="","",SUMIFS('Per Line'!$Z$2:$Z$3001,'Per Line'!$D$2:$D$3001,$C477))</f>
        <v/>
      </c>
      <c r="L477" s="5">
        <f>IF($N477="","",I477-J477)</f>
        <v/>
      </c>
      <c r="M477" s="5">
        <f>IF($N477="","",L477-K477)</f>
        <v/>
      </c>
      <c r="N477">
        <f>IF(ROWS($N$2:$N477)&lt;=MAX('Per Line'!$AG$2:$AG$3001),MATCH(ROWS($N$2:$N477),'Per Line'!$AG$2:$AG$3001,0),"")</f>
        <v/>
      </c>
      <c r="O477">
        <f>IF(B477="Above Claim Form",COUNTIF($B$2:B477,"Above Claim Form"),"")</f>
        <v/>
      </c>
      <c r="P477">
        <f>IF(B477="Below Claim Form",COUNTIF($B$2:B477,"Below Claim Form"),"")</f>
        <v/>
      </c>
    </row>
    <row r="478">
      <c r="B478">
        <f>IF($N478="","",IFERROR(INDEX(Settings!$C$27:$C$36,MATCH(E478,Settings!$B$27:$B$36,0)),"Unassigned"))</f>
        <v/>
      </c>
      <c r="C478">
        <f>IF($N478="","",INDEX('Per Line'!$D$2:$D$3001,$N478))</f>
        <v/>
      </c>
      <c r="D478">
        <f>IF($N478="","",INDEX('Per Line'!$C$2:$C$3001,$N478))</f>
        <v/>
      </c>
      <c r="E478">
        <f>IF($N478="","",INDEX('Per Line'!$A$2:$A$3001,$N478))</f>
        <v/>
      </c>
      <c r="H478">
        <f>IF($N478="","",INDEX('Per Line'!$V$2:$V$3001,$N478))</f>
        <v/>
      </c>
      <c r="I478" s="5">
        <f>IF($N478="","",SUMIFS('Per Line'!$X$2:$X$3001,'Per Line'!$D$2:$D$3001,$C478))</f>
        <v/>
      </c>
      <c r="J478" s="5">
        <f>IF($N478="","",SUMIFS('Per Line'!$Y$2:$Y$3001,'Per Line'!$D$2:$D$3001,$C478))</f>
        <v/>
      </c>
      <c r="K478" s="5">
        <f>IF($N478="","",SUMIFS('Per Line'!$Z$2:$Z$3001,'Per Line'!$D$2:$D$3001,$C478))</f>
        <v/>
      </c>
      <c r="L478" s="5">
        <f>IF($N478="","",I478-J478)</f>
        <v/>
      </c>
      <c r="M478" s="5">
        <f>IF($N478="","",L478-K478)</f>
        <v/>
      </c>
      <c r="N478">
        <f>IF(ROWS($N$2:$N478)&lt;=MAX('Per Line'!$AG$2:$AG$3001),MATCH(ROWS($N$2:$N478),'Per Line'!$AG$2:$AG$3001,0),"")</f>
        <v/>
      </c>
      <c r="O478">
        <f>IF(B478="Above Claim Form",COUNTIF($B$2:B478,"Above Claim Form"),"")</f>
        <v/>
      </c>
      <c r="P478">
        <f>IF(B478="Below Claim Form",COUNTIF($B$2:B478,"Below Claim Form"),"")</f>
        <v/>
      </c>
    </row>
    <row r="479">
      <c r="B479">
        <f>IF($N479="","",IFERROR(INDEX(Settings!$C$27:$C$36,MATCH(E479,Settings!$B$27:$B$36,0)),"Unassigned"))</f>
        <v/>
      </c>
      <c r="C479">
        <f>IF($N479="","",INDEX('Per Line'!$D$2:$D$3001,$N479))</f>
        <v/>
      </c>
      <c r="D479">
        <f>IF($N479="","",INDEX('Per Line'!$C$2:$C$3001,$N479))</f>
        <v/>
      </c>
      <c r="E479">
        <f>IF($N479="","",INDEX('Per Line'!$A$2:$A$3001,$N479))</f>
        <v/>
      </c>
      <c r="H479">
        <f>IF($N479="","",INDEX('Per Line'!$V$2:$V$3001,$N479))</f>
        <v/>
      </c>
      <c r="I479" s="5">
        <f>IF($N479="","",SUMIFS('Per Line'!$X$2:$X$3001,'Per Line'!$D$2:$D$3001,$C479))</f>
        <v/>
      </c>
      <c r="J479" s="5">
        <f>IF($N479="","",SUMIFS('Per Line'!$Y$2:$Y$3001,'Per Line'!$D$2:$D$3001,$C479))</f>
        <v/>
      </c>
      <c r="K479" s="5">
        <f>IF($N479="","",SUMIFS('Per Line'!$Z$2:$Z$3001,'Per Line'!$D$2:$D$3001,$C479))</f>
        <v/>
      </c>
      <c r="L479" s="5">
        <f>IF($N479="","",I479-J479)</f>
        <v/>
      </c>
      <c r="M479" s="5">
        <f>IF($N479="","",L479-K479)</f>
        <v/>
      </c>
      <c r="N479">
        <f>IF(ROWS($N$2:$N479)&lt;=MAX('Per Line'!$AG$2:$AG$3001),MATCH(ROWS($N$2:$N479),'Per Line'!$AG$2:$AG$3001,0),"")</f>
        <v/>
      </c>
      <c r="O479">
        <f>IF(B479="Above Claim Form",COUNTIF($B$2:B479,"Above Claim Form"),"")</f>
        <v/>
      </c>
      <c r="P479">
        <f>IF(B479="Below Claim Form",COUNTIF($B$2:B479,"Below Claim Form"),"")</f>
        <v/>
      </c>
    </row>
    <row r="480">
      <c r="B480">
        <f>IF($N480="","",IFERROR(INDEX(Settings!$C$27:$C$36,MATCH(E480,Settings!$B$27:$B$36,0)),"Unassigned"))</f>
        <v/>
      </c>
      <c r="C480">
        <f>IF($N480="","",INDEX('Per Line'!$D$2:$D$3001,$N480))</f>
        <v/>
      </c>
      <c r="D480">
        <f>IF($N480="","",INDEX('Per Line'!$C$2:$C$3001,$N480))</f>
        <v/>
      </c>
      <c r="E480">
        <f>IF($N480="","",INDEX('Per Line'!$A$2:$A$3001,$N480))</f>
        <v/>
      </c>
      <c r="H480">
        <f>IF($N480="","",INDEX('Per Line'!$V$2:$V$3001,$N480))</f>
        <v/>
      </c>
      <c r="I480" s="5">
        <f>IF($N480="","",SUMIFS('Per Line'!$X$2:$X$3001,'Per Line'!$D$2:$D$3001,$C480))</f>
        <v/>
      </c>
      <c r="J480" s="5">
        <f>IF($N480="","",SUMIFS('Per Line'!$Y$2:$Y$3001,'Per Line'!$D$2:$D$3001,$C480))</f>
        <v/>
      </c>
      <c r="K480" s="5">
        <f>IF($N480="","",SUMIFS('Per Line'!$Z$2:$Z$3001,'Per Line'!$D$2:$D$3001,$C480))</f>
        <v/>
      </c>
      <c r="L480" s="5">
        <f>IF($N480="","",I480-J480)</f>
        <v/>
      </c>
      <c r="M480" s="5">
        <f>IF($N480="","",L480-K480)</f>
        <v/>
      </c>
      <c r="N480">
        <f>IF(ROWS($N$2:$N480)&lt;=MAX('Per Line'!$AG$2:$AG$3001),MATCH(ROWS($N$2:$N480),'Per Line'!$AG$2:$AG$3001,0),"")</f>
        <v/>
      </c>
      <c r="O480">
        <f>IF(B480="Above Claim Form",COUNTIF($B$2:B480,"Above Claim Form"),"")</f>
        <v/>
      </c>
      <c r="P480">
        <f>IF(B480="Below Claim Form",COUNTIF($B$2:B480,"Below Claim Form"),"")</f>
        <v/>
      </c>
    </row>
    <row r="481">
      <c r="B481">
        <f>IF($N481="","",IFERROR(INDEX(Settings!$C$27:$C$36,MATCH(E481,Settings!$B$27:$B$36,0)),"Unassigned"))</f>
        <v/>
      </c>
      <c r="C481">
        <f>IF($N481="","",INDEX('Per Line'!$D$2:$D$3001,$N481))</f>
        <v/>
      </c>
      <c r="D481">
        <f>IF($N481="","",INDEX('Per Line'!$C$2:$C$3001,$N481))</f>
        <v/>
      </c>
      <c r="E481">
        <f>IF($N481="","",INDEX('Per Line'!$A$2:$A$3001,$N481))</f>
        <v/>
      </c>
      <c r="H481">
        <f>IF($N481="","",INDEX('Per Line'!$V$2:$V$3001,$N481))</f>
        <v/>
      </c>
      <c r="I481" s="5">
        <f>IF($N481="","",SUMIFS('Per Line'!$X$2:$X$3001,'Per Line'!$D$2:$D$3001,$C481))</f>
        <v/>
      </c>
      <c r="J481" s="5">
        <f>IF($N481="","",SUMIFS('Per Line'!$Y$2:$Y$3001,'Per Line'!$D$2:$D$3001,$C481))</f>
        <v/>
      </c>
      <c r="K481" s="5">
        <f>IF($N481="","",SUMIFS('Per Line'!$Z$2:$Z$3001,'Per Line'!$D$2:$D$3001,$C481))</f>
        <v/>
      </c>
      <c r="L481" s="5">
        <f>IF($N481="","",I481-J481)</f>
        <v/>
      </c>
      <c r="M481" s="5">
        <f>IF($N481="","",L481-K481)</f>
        <v/>
      </c>
      <c r="N481">
        <f>IF(ROWS($N$2:$N481)&lt;=MAX('Per Line'!$AG$2:$AG$3001),MATCH(ROWS($N$2:$N481),'Per Line'!$AG$2:$AG$3001,0),"")</f>
        <v/>
      </c>
      <c r="O481">
        <f>IF(B481="Above Claim Form",COUNTIF($B$2:B481,"Above Claim Form"),"")</f>
        <v/>
      </c>
      <c r="P481">
        <f>IF(B481="Below Claim Form",COUNTIF($B$2:B481,"Below Claim Form"),"")</f>
        <v/>
      </c>
    </row>
    <row r="482">
      <c r="B482">
        <f>IF($N482="","",IFERROR(INDEX(Settings!$C$27:$C$36,MATCH(E482,Settings!$B$27:$B$36,0)),"Unassigned"))</f>
        <v/>
      </c>
      <c r="C482">
        <f>IF($N482="","",INDEX('Per Line'!$D$2:$D$3001,$N482))</f>
        <v/>
      </c>
      <c r="D482">
        <f>IF($N482="","",INDEX('Per Line'!$C$2:$C$3001,$N482))</f>
        <v/>
      </c>
      <c r="E482">
        <f>IF($N482="","",INDEX('Per Line'!$A$2:$A$3001,$N482))</f>
        <v/>
      </c>
      <c r="H482">
        <f>IF($N482="","",INDEX('Per Line'!$V$2:$V$3001,$N482))</f>
        <v/>
      </c>
      <c r="I482" s="5">
        <f>IF($N482="","",SUMIFS('Per Line'!$X$2:$X$3001,'Per Line'!$D$2:$D$3001,$C482))</f>
        <v/>
      </c>
      <c r="J482" s="5">
        <f>IF($N482="","",SUMIFS('Per Line'!$Y$2:$Y$3001,'Per Line'!$D$2:$D$3001,$C482))</f>
        <v/>
      </c>
      <c r="K482" s="5">
        <f>IF($N482="","",SUMIFS('Per Line'!$Z$2:$Z$3001,'Per Line'!$D$2:$D$3001,$C482))</f>
        <v/>
      </c>
      <c r="L482" s="5">
        <f>IF($N482="","",I482-J482)</f>
        <v/>
      </c>
      <c r="M482" s="5">
        <f>IF($N482="","",L482-K482)</f>
        <v/>
      </c>
      <c r="N482">
        <f>IF(ROWS($N$2:$N482)&lt;=MAX('Per Line'!$AG$2:$AG$3001),MATCH(ROWS($N$2:$N482),'Per Line'!$AG$2:$AG$3001,0),"")</f>
        <v/>
      </c>
      <c r="O482">
        <f>IF(B482="Above Claim Form",COUNTIF($B$2:B482,"Above Claim Form"),"")</f>
        <v/>
      </c>
      <c r="P482">
        <f>IF(B482="Below Claim Form",COUNTIF($B$2:B482,"Below Claim Form"),"")</f>
        <v/>
      </c>
    </row>
    <row r="483">
      <c r="B483">
        <f>IF($N483="","",IFERROR(INDEX(Settings!$C$27:$C$36,MATCH(E483,Settings!$B$27:$B$36,0)),"Unassigned"))</f>
        <v/>
      </c>
      <c r="C483">
        <f>IF($N483="","",INDEX('Per Line'!$D$2:$D$3001,$N483))</f>
        <v/>
      </c>
      <c r="D483">
        <f>IF($N483="","",INDEX('Per Line'!$C$2:$C$3001,$N483))</f>
        <v/>
      </c>
      <c r="E483">
        <f>IF($N483="","",INDEX('Per Line'!$A$2:$A$3001,$N483))</f>
        <v/>
      </c>
      <c r="H483">
        <f>IF($N483="","",INDEX('Per Line'!$V$2:$V$3001,$N483))</f>
        <v/>
      </c>
      <c r="I483" s="5">
        <f>IF($N483="","",SUMIFS('Per Line'!$X$2:$X$3001,'Per Line'!$D$2:$D$3001,$C483))</f>
        <v/>
      </c>
      <c r="J483" s="5">
        <f>IF($N483="","",SUMIFS('Per Line'!$Y$2:$Y$3001,'Per Line'!$D$2:$D$3001,$C483))</f>
        <v/>
      </c>
      <c r="K483" s="5">
        <f>IF($N483="","",SUMIFS('Per Line'!$Z$2:$Z$3001,'Per Line'!$D$2:$D$3001,$C483))</f>
        <v/>
      </c>
      <c r="L483" s="5">
        <f>IF($N483="","",I483-J483)</f>
        <v/>
      </c>
      <c r="M483" s="5">
        <f>IF($N483="","",L483-K483)</f>
        <v/>
      </c>
      <c r="N483">
        <f>IF(ROWS($N$2:$N483)&lt;=MAX('Per Line'!$AG$2:$AG$3001),MATCH(ROWS($N$2:$N483),'Per Line'!$AG$2:$AG$3001,0),"")</f>
        <v/>
      </c>
      <c r="O483">
        <f>IF(B483="Above Claim Form",COUNTIF($B$2:B483,"Above Claim Form"),"")</f>
        <v/>
      </c>
      <c r="P483">
        <f>IF(B483="Below Claim Form",COUNTIF($B$2:B483,"Below Claim Form"),"")</f>
        <v/>
      </c>
    </row>
    <row r="484">
      <c r="B484">
        <f>IF($N484="","",IFERROR(INDEX(Settings!$C$27:$C$36,MATCH(E484,Settings!$B$27:$B$36,0)),"Unassigned"))</f>
        <v/>
      </c>
      <c r="C484">
        <f>IF($N484="","",INDEX('Per Line'!$D$2:$D$3001,$N484))</f>
        <v/>
      </c>
      <c r="D484">
        <f>IF($N484="","",INDEX('Per Line'!$C$2:$C$3001,$N484))</f>
        <v/>
      </c>
      <c r="E484">
        <f>IF($N484="","",INDEX('Per Line'!$A$2:$A$3001,$N484))</f>
        <v/>
      </c>
      <c r="H484">
        <f>IF($N484="","",INDEX('Per Line'!$V$2:$V$3001,$N484))</f>
        <v/>
      </c>
      <c r="I484" s="5">
        <f>IF($N484="","",SUMIFS('Per Line'!$X$2:$X$3001,'Per Line'!$D$2:$D$3001,$C484))</f>
        <v/>
      </c>
      <c r="J484" s="5">
        <f>IF($N484="","",SUMIFS('Per Line'!$Y$2:$Y$3001,'Per Line'!$D$2:$D$3001,$C484))</f>
        <v/>
      </c>
      <c r="K484" s="5">
        <f>IF($N484="","",SUMIFS('Per Line'!$Z$2:$Z$3001,'Per Line'!$D$2:$D$3001,$C484))</f>
        <v/>
      </c>
      <c r="L484" s="5">
        <f>IF($N484="","",I484-J484)</f>
        <v/>
      </c>
      <c r="M484" s="5">
        <f>IF($N484="","",L484-K484)</f>
        <v/>
      </c>
      <c r="N484">
        <f>IF(ROWS($N$2:$N484)&lt;=MAX('Per Line'!$AG$2:$AG$3001),MATCH(ROWS($N$2:$N484),'Per Line'!$AG$2:$AG$3001,0),"")</f>
        <v/>
      </c>
      <c r="O484">
        <f>IF(B484="Above Claim Form",COUNTIF($B$2:B484,"Above Claim Form"),"")</f>
        <v/>
      </c>
      <c r="P484">
        <f>IF(B484="Below Claim Form",COUNTIF($B$2:B484,"Below Claim Form"),"")</f>
        <v/>
      </c>
    </row>
    <row r="485">
      <c r="B485">
        <f>IF($N485="","",IFERROR(INDEX(Settings!$C$27:$C$36,MATCH(E485,Settings!$B$27:$B$36,0)),"Unassigned"))</f>
        <v/>
      </c>
      <c r="C485">
        <f>IF($N485="","",INDEX('Per Line'!$D$2:$D$3001,$N485))</f>
        <v/>
      </c>
      <c r="D485">
        <f>IF($N485="","",INDEX('Per Line'!$C$2:$C$3001,$N485))</f>
        <v/>
      </c>
      <c r="E485">
        <f>IF($N485="","",INDEX('Per Line'!$A$2:$A$3001,$N485))</f>
        <v/>
      </c>
      <c r="H485">
        <f>IF($N485="","",INDEX('Per Line'!$V$2:$V$3001,$N485))</f>
        <v/>
      </c>
      <c r="I485" s="5">
        <f>IF($N485="","",SUMIFS('Per Line'!$X$2:$X$3001,'Per Line'!$D$2:$D$3001,$C485))</f>
        <v/>
      </c>
      <c r="J485" s="5">
        <f>IF($N485="","",SUMIFS('Per Line'!$Y$2:$Y$3001,'Per Line'!$D$2:$D$3001,$C485))</f>
        <v/>
      </c>
      <c r="K485" s="5">
        <f>IF($N485="","",SUMIFS('Per Line'!$Z$2:$Z$3001,'Per Line'!$D$2:$D$3001,$C485))</f>
        <v/>
      </c>
      <c r="L485" s="5">
        <f>IF($N485="","",I485-J485)</f>
        <v/>
      </c>
      <c r="M485" s="5">
        <f>IF($N485="","",L485-K485)</f>
        <v/>
      </c>
      <c r="N485">
        <f>IF(ROWS($N$2:$N485)&lt;=MAX('Per Line'!$AG$2:$AG$3001),MATCH(ROWS($N$2:$N485),'Per Line'!$AG$2:$AG$3001,0),"")</f>
        <v/>
      </c>
      <c r="O485">
        <f>IF(B485="Above Claim Form",COUNTIF($B$2:B485,"Above Claim Form"),"")</f>
        <v/>
      </c>
      <c r="P485">
        <f>IF(B485="Below Claim Form",COUNTIF($B$2:B485,"Below Claim Form"),"")</f>
        <v/>
      </c>
    </row>
    <row r="486">
      <c r="B486">
        <f>IF($N486="","",IFERROR(INDEX(Settings!$C$27:$C$36,MATCH(E486,Settings!$B$27:$B$36,0)),"Unassigned"))</f>
        <v/>
      </c>
      <c r="C486">
        <f>IF($N486="","",INDEX('Per Line'!$D$2:$D$3001,$N486))</f>
        <v/>
      </c>
      <c r="D486">
        <f>IF($N486="","",INDEX('Per Line'!$C$2:$C$3001,$N486))</f>
        <v/>
      </c>
      <c r="E486">
        <f>IF($N486="","",INDEX('Per Line'!$A$2:$A$3001,$N486))</f>
        <v/>
      </c>
      <c r="H486">
        <f>IF($N486="","",INDEX('Per Line'!$V$2:$V$3001,$N486))</f>
        <v/>
      </c>
      <c r="I486" s="5">
        <f>IF($N486="","",SUMIFS('Per Line'!$X$2:$X$3001,'Per Line'!$D$2:$D$3001,$C486))</f>
        <v/>
      </c>
      <c r="J486" s="5">
        <f>IF($N486="","",SUMIFS('Per Line'!$Y$2:$Y$3001,'Per Line'!$D$2:$D$3001,$C486))</f>
        <v/>
      </c>
      <c r="K486" s="5">
        <f>IF($N486="","",SUMIFS('Per Line'!$Z$2:$Z$3001,'Per Line'!$D$2:$D$3001,$C486))</f>
        <v/>
      </c>
      <c r="L486" s="5">
        <f>IF($N486="","",I486-J486)</f>
        <v/>
      </c>
      <c r="M486" s="5">
        <f>IF($N486="","",L486-K486)</f>
        <v/>
      </c>
      <c r="N486">
        <f>IF(ROWS($N$2:$N486)&lt;=MAX('Per Line'!$AG$2:$AG$3001),MATCH(ROWS($N$2:$N486),'Per Line'!$AG$2:$AG$3001,0),"")</f>
        <v/>
      </c>
      <c r="O486">
        <f>IF(B486="Above Claim Form",COUNTIF($B$2:B486,"Above Claim Form"),"")</f>
        <v/>
      </c>
      <c r="P486">
        <f>IF(B486="Below Claim Form",COUNTIF($B$2:B486,"Below Claim Form"),"")</f>
        <v/>
      </c>
    </row>
    <row r="487">
      <c r="B487">
        <f>IF($N487="","",IFERROR(INDEX(Settings!$C$27:$C$36,MATCH(E487,Settings!$B$27:$B$36,0)),"Unassigned"))</f>
        <v/>
      </c>
      <c r="C487">
        <f>IF($N487="","",INDEX('Per Line'!$D$2:$D$3001,$N487))</f>
        <v/>
      </c>
      <c r="D487">
        <f>IF($N487="","",INDEX('Per Line'!$C$2:$C$3001,$N487))</f>
        <v/>
      </c>
      <c r="E487">
        <f>IF($N487="","",INDEX('Per Line'!$A$2:$A$3001,$N487))</f>
        <v/>
      </c>
      <c r="H487">
        <f>IF($N487="","",INDEX('Per Line'!$V$2:$V$3001,$N487))</f>
        <v/>
      </c>
      <c r="I487" s="5">
        <f>IF($N487="","",SUMIFS('Per Line'!$X$2:$X$3001,'Per Line'!$D$2:$D$3001,$C487))</f>
        <v/>
      </c>
      <c r="J487" s="5">
        <f>IF($N487="","",SUMIFS('Per Line'!$Y$2:$Y$3001,'Per Line'!$D$2:$D$3001,$C487))</f>
        <v/>
      </c>
      <c r="K487" s="5">
        <f>IF($N487="","",SUMIFS('Per Line'!$Z$2:$Z$3001,'Per Line'!$D$2:$D$3001,$C487))</f>
        <v/>
      </c>
      <c r="L487" s="5">
        <f>IF($N487="","",I487-J487)</f>
        <v/>
      </c>
      <c r="M487" s="5">
        <f>IF($N487="","",L487-K487)</f>
        <v/>
      </c>
      <c r="N487">
        <f>IF(ROWS($N$2:$N487)&lt;=MAX('Per Line'!$AG$2:$AG$3001),MATCH(ROWS($N$2:$N487),'Per Line'!$AG$2:$AG$3001,0),"")</f>
        <v/>
      </c>
      <c r="O487">
        <f>IF(B487="Above Claim Form",COUNTIF($B$2:B487,"Above Claim Form"),"")</f>
        <v/>
      </c>
      <c r="P487">
        <f>IF(B487="Below Claim Form",COUNTIF($B$2:B487,"Below Claim Form"),"")</f>
        <v/>
      </c>
    </row>
    <row r="488">
      <c r="B488">
        <f>IF($N488="","",IFERROR(INDEX(Settings!$C$27:$C$36,MATCH(E488,Settings!$B$27:$B$36,0)),"Unassigned"))</f>
        <v/>
      </c>
      <c r="C488">
        <f>IF($N488="","",INDEX('Per Line'!$D$2:$D$3001,$N488))</f>
        <v/>
      </c>
      <c r="D488">
        <f>IF($N488="","",INDEX('Per Line'!$C$2:$C$3001,$N488))</f>
        <v/>
      </c>
      <c r="E488">
        <f>IF($N488="","",INDEX('Per Line'!$A$2:$A$3001,$N488))</f>
        <v/>
      </c>
      <c r="H488">
        <f>IF($N488="","",INDEX('Per Line'!$V$2:$V$3001,$N488))</f>
        <v/>
      </c>
      <c r="I488" s="5">
        <f>IF($N488="","",SUMIFS('Per Line'!$X$2:$X$3001,'Per Line'!$D$2:$D$3001,$C488))</f>
        <v/>
      </c>
      <c r="J488" s="5">
        <f>IF($N488="","",SUMIFS('Per Line'!$Y$2:$Y$3001,'Per Line'!$D$2:$D$3001,$C488))</f>
        <v/>
      </c>
      <c r="K488" s="5">
        <f>IF($N488="","",SUMIFS('Per Line'!$Z$2:$Z$3001,'Per Line'!$D$2:$D$3001,$C488))</f>
        <v/>
      </c>
      <c r="L488" s="5">
        <f>IF($N488="","",I488-J488)</f>
        <v/>
      </c>
      <c r="M488" s="5">
        <f>IF($N488="","",L488-K488)</f>
        <v/>
      </c>
      <c r="N488">
        <f>IF(ROWS($N$2:$N488)&lt;=MAX('Per Line'!$AG$2:$AG$3001),MATCH(ROWS($N$2:$N488),'Per Line'!$AG$2:$AG$3001,0),"")</f>
        <v/>
      </c>
      <c r="O488">
        <f>IF(B488="Above Claim Form",COUNTIF($B$2:B488,"Above Claim Form"),"")</f>
        <v/>
      </c>
      <c r="P488">
        <f>IF(B488="Below Claim Form",COUNTIF($B$2:B488,"Below Claim Form"),"")</f>
        <v/>
      </c>
    </row>
    <row r="489">
      <c r="B489">
        <f>IF($N489="","",IFERROR(INDEX(Settings!$C$27:$C$36,MATCH(E489,Settings!$B$27:$B$36,0)),"Unassigned"))</f>
        <v/>
      </c>
      <c r="C489">
        <f>IF($N489="","",INDEX('Per Line'!$D$2:$D$3001,$N489))</f>
        <v/>
      </c>
      <c r="D489">
        <f>IF($N489="","",INDEX('Per Line'!$C$2:$C$3001,$N489))</f>
        <v/>
      </c>
      <c r="E489">
        <f>IF($N489="","",INDEX('Per Line'!$A$2:$A$3001,$N489))</f>
        <v/>
      </c>
      <c r="H489">
        <f>IF($N489="","",INDEX('Per Line'!$V$2:$V$3001,$N489))</f>
        <v/>
      </c>
      <c r="I489" s="5">
        <f>IF($N489="","",SUMIFS('Per Line'!$X$2:$X$3001,'Per Line'!$D$2:$D$3001,$C489))</f>
        <v/>
      </c>
      <c r="J489" s="5">
        <f>IF($N489="","",SUMIFS('Per Line'!$Y$2:$Y$3001,'Per Line'!$D$2:$D$3001,$C489))</f>
        <v/>
      </c>
      <c r="K489" s="5">
        <f>IF($N489="","",SUMIFS('Per Line'!$Z$2:$Z$3001,'Per Line'!$D$2:$D$3001,$C489))</f>
        <v/>
      </c>
      <c r="L489" s="5">
        <f>IF($N489="","",I489-J489)</f>
        <v/>
      </c>
      <c r="M489" s="5">
        <f>IF($N489="","",L489-K489)</f>
        <v/>
      </c>
      <c r="N489">
        <f>IF(ROWS($N$2:$N489)&lt;=MAX('Per Line'!$AG$2:$AG$3001),MATCH(ROWS($N$2:$N489),'Per Line'!$AG$2:$AG$3001,0),"")</f>
        <v/>
      </c>
      <c r="O489">
        <f>IF(B489="Above Claim Form",COUNTIF($B$2:B489,"Above Claim Form"),"")</f>
        <v/>
      </c>
      <c r="P489">
        <f>IF(B489="Below Claim Form",COUNTIF($B$2:B489,"Below Claim Form"),"")</f>
        <v/>
      </c>
    </row>
    <row r="490">
      <c r="B490">
        <f>IF($N490="","",IFERROR(INDEX(Settings!$C$27:$C$36,MATCH(E490,Settings!$B$27:$B$36,0)),"Unassigned"))</f>
        <v/>
      </c>
      <c r="C490">
        <f>IF($N490="","",INDEX('Per Line'!$D$2:$D$3001,$N490))</f>
        <v/>
      </c>
      <c r="D490">
        <f>IF($N490="","",INDEX('Per Line'!$C$2:$C$3001,$N490))</f>
        <v/>
      </c>
      <c r="E490">
        <f>IF($N490="","",INDEX('Per Line'!$A$2:$A$3001,$N490))</f>
        <v/>
      </c>
      <c r="H490">
        <f>IF($N490="","",INDEX('Per Line'!$V$2:$V$3001,$N490))</f>
        <v/>
      </c>
      <c r="I490" s="5">
        <f>IF($N490="","",SUMIFS('Per Line'!$X$2:$X$3001,'Per Line'!$D$2:$D$3001,$C490))</f>
        <v/>
      </c>
      <c r="J490" s="5">
        <f>IF($N490="","",SUMIFS('Per Line'!$Y$2:$Y$3001,'Per Line'!$D$2:$D$3001,$C490))</f>
        <v/>
      </c>
      <c r="K490" s="5">
        <f>IF($N490="","",SUMIFS('Per Line'!$Z$2:$Z$3001,'Per Line'!$D$2:$D$3001,$C490))</f>
        <v/>
      </c>
      <c r="L490" s="5">
        <f>IF($N490="","",I490-J490)</f>
        <v/>
      </c>
      <c r="M490" s="5">
        <f>IF($N490="","",L490-K490)</f>
        <v/>
      </c>
      <c r="N490">
        <f>IF(ROWS($N$2:$N490)&lt;=MAX('Per Line'!$AG$2:$AG$3001),MATCH(ROWS($N$2:$N490),'Per Line'!$AG$2:$AG$3001,0),"")</f>
        <v/>
      </c>
      <c r="O490">
        <f>IF(B490="Above Claim Form",COUNTIF($B$2:B490,"Above Claim Form"),"")</f>
        <v/>
      </c>
      <c r="P490">
        <f>IF(B490="Below Claim Form",COUNTIF($B$2:B490,"Below Claim Form"),"")</f>
        <v/>
      </c>
    </row>
    <row r="491">
      <c r="B491">
        <f>IF($N491="","",IFERROR(INDEX(Settings!$C$27:$C$36,MATCH(E491,Settings!$B$27:$B$36,0)),"Unassigned"))</f>
        <v/>
      </c>
      <c r="C491">
        <f>IF($N491="","",INDEX('Per Line'!$D$2:$D$3001,$N491))</f>
        <v/>
      </c>
      <c r="D491">
        <f>IF($N491="","",INDEX('Per Line'!$C$2:$C$3001,$N491))</f>
        <v/>
      </c>
      <c r="E491">
        <f>IF($N491="","",INDEX('Per Line'!$A$2:$A$3001,$N491))</f>
        <v/>
      </c>
      <c r="H491">
        <f>IF($N491="","",INDEX('Per Line'!$V$2:$V$3001,$N491))</f>
        <v/>
      </c>
      <c r="I491" s="5">
        <f>IF($N491="","",SUMIFS('Per Line'!$X$2:$X$3001,'Per Line'!$D$2:$D$3001,$C491))</f>
        <v/>
      </c>
      <c r="J491" s="5">
        <f>IF($N491="","",SUMIFS('Per Line'!$Y$2:$Y$3001,'Per Line'!$D$2:$D$3001,$C491))</f>
        <v/>
      </c>
      <c r="K491" s="5">
        <f>IF($N491="","",SUMIFS('Per Line'!$Z$2:$Z$3001,'Per Line'!$D$2:$D$3001,$C491))</f>
        <v/>
      </c>
      <c r="L491" s="5">
        <f>IF($N491="","",I491-J491)</f>
        <v/>
      </c>
      <c r="M491" s="5">
        <f>IF($N491="","",L491-K491)</f>
        <v/>
      </c>
      <c r="N491">
        <f>IF(ROWS($N$2:$N491)&lt;=MAX('Per Line'!$AG$2:$AG$3001),MATCH(ROWS($N$2:$N491),'Per Line'!$AG$2:$AG$3001,0),"")</f>
        <v/>
      </c>
      <c r="O491">
        <f>IF(B491="Above Claim Form",COUNTIF($B$2:B491,"Above Claim Form"),"")</f>
        <v/>
      </c>
      <c r="P491">
        <f>IF(B491="Below Claim Form",COUNTIF($B$2:B491,"Below Claim Form"),"")</f>
        <v/>
      </c>
    </row>
    <row r="492">
      <c r="B492">
        <f>IF($N492="","",IFERROR(INDEX(Settings!$C$27:$C$36,MATCH(E492,Settings!$B$27:$B$36,0)),"Unassigned"))</f>
        <v/>
      </c>
      <c r="C492">
        <f>IF($N492="","",INDEX('Per Line'!$D$2:$D$3001,$N492))</f>
        <v/>
      </c>
      <c r="D492">
        <f>IF($N492="","",INDEX('Per Line'!$C$2:$C$3001,$N492))</f>
        <v/>
      </c>
      <c r="E492">
        <f>IF($N492="","",INDEX('Per Line'!$A$2:$A$3001,$N492))</f>
        <v/>
      </c>
      <c r="H492">
        <f>IF($N492="","",INDEX('Per Line'!$V$2:$V$3001,$N492))</f>
        <v/>
      </c>
      <c r="I492" s="5">
        <f>IF($N492="","",SUMIFS('Per Line'!$X$2:$X$3001,'Per Line'!$D$2:$D$3001,$C492))</f>
        <v/>
      </c>
      <c r="J492" s="5">
        <f>IF($N492="","",SUMIFS('Per Line'!$Y$2:$Y$3001,'Per Line'!$D$2:$D$3001,$C492))</f>
        <v/>
      </c>
      <c r="K492" s="5">
        <f>IF($N492="","",SUMIFS('Per Line'!$Z$2:$Z$3001,'Per Line'!$D$2:$D$3001,$C492))</f>
        <v/>
      </c>
      <c r="L492" s="5">
        <f>IF($N492="","",I492-J492)</f>
        <v/>
      </c>
      <c r="M492" s="5">
        <f>IF($N492="","",L492-K492)</f>
        <v/>
      </c>
      <c r="N492">
        <f>IF(ROWS($N$2:$N492)&lt;=MAX('Per Line'!$AG$2:$AG$3001),MATCH(ROWS($N$2:$N492),'Per Line'!$AG$2:$AG$3001,0),"")</f>
        <v/>
      </c>
      <c r="O492">
        <f>IF(B492="Above Claim Form",COUNTIF($B$2:B492,"Above Claim Form"),"")</f>
        <v/>
      </c>
      <c r="P492">
        <f>IF(B492="Below Claim Form",COUNTIF($B$2:B492,"Below Claim Form"),"")</f>
        <v/>
      </c>
    </row>
    <row r="493">
      <c r="B493">
        <f>IF($N493="","",IFERROR(INDEX(Settings!$C$27:$C$36,MATCH(E493,Settings!$B$27:$B$36,0)),"Unassigned"))</f>
        <v/>
      </c>
      <c r="C493">
        <f>IF($N493="","",INDEX('Per Line'!$D$2:$D$3001,$N493))</f>
        <v/>
      </c>
      <c r="D493">
        <f>IF($N493="","",INDEX('Per Line'!$C$2:$C$3001,$N493))</f>
        <v/>
      </c>
      <c r="E493">
        <f>IF($N493="","",INDEX('Per Line'!$A$2:$A$3001,$N493))</f>
        <v/>
      </c>
      <c r="H493">
        <f>IF($N493="","",INDEX('Per Line'!$V$2:$V$3001,$N493))</f>
        <v/>
      </c>
      <c r="I493" s="5">
        <f>IF($N493="","",SUMIFS('Per Line'!$X$2:$X$3001,'Per Line'!$D$2:$D$3001,$C493))</f>
        <v/>
      </c>
      <c r="J493" s="5">
        <f>IF($N493="","",SUMIFS('Per Line'!$Y$2:$Y$3001,'Per Line'!$D$2:$D$3001,$C493))</f>
        <v/>
      </c>
      <c r="K493" s="5">
        <f>IF($N493="","",SUMIFS('Per Line'!$Z$2:$Z$3001,'Per Line'!$D$2:$D$3001,$C493))</f>
        <v/>
      </c>
      <c r="L493" s="5">
        <f>IF($N493="","",I493-J493)</f>
        <v/>
      </c>
      <c r="M493" s="5">
        <f>IF($N493="","",L493-K493)</f>
        <v/>
      </c>
      <c r="N493">
        <f>IF(ROWS($N$2:$N493)&lt;=MAX('Per Line'!$AG$2:$AG$3001),MATCH(ROWS($N$2:$N493),'Per Line'!$AG$2:$AG$3001,0),"")</f>
        <v/>
      </c>
      <c r="O493">
        <f>IF(B493="Above Claim Form",COUNTIF($B$2:B493,"Above Claim Form"),"")</f>
        <v/>
      </c>
      <c r="P493">
        <f>IF(B493="Below Claim Form",COUNTIF($B$2:B493,"Below Claim Form"),"")</f>
        <v/>
      </c>
    </row>
    <row r="494">
      <c r="B494">
        <f>IF($N494="","",IFERROR(INDEX(Settings!$C$27:$C$36,MATCH(E494,Settings!$B$27:$B$36,0)),"Unassigned"))</f>
        <v/>
      </c>
      <c r="C494">
        <f>IF($N494="","",INDEX('Per Line'!$D$2:$D$3001,$N494))</f>
        <v/>
      </c>
      <c r="D494">
        <f>IF($N494="","",INDEX('Per Line'!$C$2:$C$3001,$N494))</f>
        <v/>
      </c>
      <c r="E494">
        <f>IF($N494="","",INDEX('Per Line'!$A$2:$A$3001,$N494))</f>
        <v/>
      </c>
      <c r="H494">
        <f>IF($N494="","",INDEX('Per Line'!$V$2:$V$3001,$N494))</f>
        <v/>
      </c>
      <c r="I494" s="5">
        <f>IF($N494="","",SUMIFS('Per Line'!$X$2:$X$3001,'Per Line'!$D$2:$D$3001,$C494))</f>
        <v/>
      </c>
      <c r="J494" s="5">
        <f>IF($N494="","",SUMIFS('Per Line'!$Y$2:$Y$3001,'Per Line'!$D$2:$D$3001,$C494))</f>
        <v/>
      </c>
      <c r="K494" s="5">
        <f>IF($N494="","",SUMIFS('Per Line'!$Z$2:$Z$3001,'Per Line'!$D$2:$D$3001,$C494))</f>
        <v/>
      </c>
      <c r="L494" s="5">
        <f>IF($N494="","",I494-J494)</f>
        <v/>
      </c>
      <c r="M494" s="5">
        <f>IF($N494="","",L494-K494)</f>
        <v/>
      </c>
      <c r="N494">
        <f>IF(ROWS($N$2:$N494)&lt;=MAX('Per Line'!$AG$2:$AG$3001),MATCH(ROWS($N$2:$N494),'Per Line'!$AG$2:$AG$3001,0),"")</f>
        <v/>
      </c>
      <c r="O494">
        <f>IF(B494="Above Claim Form",COUNTIF($B$2:B494,"Above Claim Form"),"")</f>
        <v/>
      </c>
      <c r="P494">
        <f>IF(B494="Below Claim Form",COUNTIF($B$2:B494,"Below Claim Form"),"")</f>
        <v/>
      </c>
    </row>
    <row r="495">
      <c r="B495">
        <f>IF($N495="","",IFERROR(INDEX(Settings!$C$27:$C$36,MATCH(E495,Settings!$B$27:$B$36,0)),"Unassigned"))</f>
        <v/>
      </c>
      <c r="C495">
        <f>IF($N495="","",INDEX('Per Line'!$D$2:$D$3001,$N495))</f>
        <v/>
      </c>
      <c r="D495">
        <f>IF($N495="","",INDEX('Per Line'!$C$2:$C$3001,$N495))</f>
        <v/>
      </c>
      <c r="E495">
        <f>IF($N495="","",INDEX('Per Line'!$A$2:$A$3001,$N495))</f>
        <v/>
      </c>
      <c r="H495">
        <f>IF($N495="","",INDEX('Per Line'!$V$2:$V$3001,$N495))</f>
        <v/>
      </c>
      <c r="I495" s="5">
        <f>IF($N495="","",SUMIFS('Per Line'!$X$2:$X$3001,'Per Line'!$D$2:$D$3001,$C495))</f>
        <v/>
      </c>
      <c r="J495" s="5">
        <f>IF($N495="","",SUMIFS('Per Line'!$Y$2:$Y$3001,'Per Line'!$D$2:$D$3001,$C495))</f>
        <v/>
      </c>
      <c r="K495" s="5">
        <f>IF($N495="","",SUMIFS('Per Line'!$Z$2:$Z$3001,'Per Line'!$D$2:$D$3001,$C495))</f>
        <v/>
      </c>
      <c r="L495" s="5">
        <f>IF($N495="","",I495-J495)</f>
        <v/>
      </c>
      <c r="M495" s="5">
        <f>IF($N495="","",L495-K495)</f>
        <v/>
      </c>
      <c r="N495">
        <f>IF(ROWS($N$2:$N495)&lt;=MAX('Per Line'!$AG$2:$AG$3001),MATCH(ROWS($N$2:$N495),'Per Line'!$AG$2:$AG$3001,0),"")</f>
        <v/>
      </c>
      <c r="O495">
        <f>IF(B495="Above Claim Form",COUNTIF($B$2:B495,"Above Claim Form"),"")</f>
        <v/>
      </c>
      <c r="P495">
        <f>IF(B495="Below Claim Form",COUNTIF($B$2:B495,"Below Claim Form"),"")</f>
        <v/>
      </c>
    </row>
    <row r="496">
      <c r="B496">
        <f>IF($N496="","",IFERROR(INDEX(Settings!$C$27:$C$36,MATCH(E496,Settings!$B$27:$B$36,0)),"Unassigned"))</f>
        <v/>
      </c>
      <c r="C496">
        <f>IF($N496="","",INDEX('Per Line'!$D$2:$D$3001,$N496))</f>
        <v/>
      </c>
      <c r="D496">
        <f>IF($N496="","",INDEX('Per Line'!$C$2:$C$3001,$N496))</f>
        <v/>
      </c>
      <c r="E496">
        <f>IF($N496="","",INDEX('Per Line'!$A$2:$A$3001,$N496))</f>
        <v/>
      </c>
      <c r="H496">
        <f>IF($N496="","",INDEX('Per Line'!$V$2:$V$3001,$N496))</f>
        <v/>
      </c>
      <c r="I496" s="5">
        <f>IF($N496="","",SUMIFS('Per Line'!$X$2:$X$3001,'Per Line'!$D$2:$D$3001,$C496))</f>
        <v/>
      </c>
      <c r="J496" s="5">
        <f>IF($N496="","",SUMIFS('Per Line'!$Y$2:$Y$3001,'Per Line'!$D$2:$D$3001,$C496))</f>
        <v/>
      </c>
      <c r="K496" s="5">
        <f>IF($N496="","",SUMIFS('Per Line'!$Z$2:$Z$3001,'Per Line'!$D$2:$D$3001,$C496))</f>
        <v/>
      </c>
      <c r="L496" s="5">
        <f>IF($N496="","",I496-J496)</f>
        <v/>
      </c>
      <c r="M496" s="5">
        <f>IF($N496="","",L496-K496)</f>
        <v/>
      </c>
      <c r="N496">
        <f>IF(ROWS($N$2:$N496)&lt;=MAX('Per Line'!$AG$2:$AG$3001),MATCH(ROWS($N$2:$N496),'Per Line'!$AG$2:$AG$3001,0),"")</f>
        <v/>
      </c>
      <c r="O496">
        <f>IF(B496="Above Claim Form",COUNTIF($B$2:B496,"Above Claim Form"),"")</f>
        <v/>
      </c>
      <c r="P496">
        <f>IF(B496="Below Claim Form",COUNTIF($B$2:B496,"Below Claim Form"),"")</f>
        <v/>
      </c>
    </row>
    <row r="497">
      <c r="B497">
        <f>IF($N497="","",IFERROR(INDEX(Settings!$C$27:$C$36,MATCH(E497,Settings!$B$27:$B$36,0)),"Unassigned"))</f>
        <v/>
      </c>
      <c r="C497">
        <f>IF($N497="","",INDEX('Per Line'!$D$2:$D$3001,$N497))</f>
        <v/>
      </c>
      <c r="D497">
        <f>IF($N497="","",INDEX('Per Line'!$C$2:$C$3001,$N497))</f>
        <v/>
      </c>
      <c r="E497">
        <f>IF($N497="","",INDEX('Per Line'!$A$2:$A$3001,$N497))</f>
        <v/>
      </c>
      <c r="H497">
        <f>IF($N497="","",INDEX('Per Line'!$V$2:$V$3001,$N497))</f>
        <v/>
      </c>
      <c r="I497" s="5">
        <f>IF($N497="","",SUMIFS('Per Line'!$X$2:$X$3001,'Per Line'!$D$2:$D$3001,$C497))</f>
        <v/>
      </c>
      <c r="J497" s="5">
        <f>IF($N497="","",SUMIFS('Per Line'!$Y$2:$Y$3001,'Per Line'!$D$2:$D$3001,$C497))</f>
        <v/>
      </c>
      <c r="K497" s="5">
        <f>IF($N497="","",SUMIFS('Per Line'!$Z$2:$Z$3001,'Per Line'!$D$2:$D$3001,$C497))</f>
        <v/>
      </c>
      <c r="L497" s="5">
        <f>IF($N497="","",I497-J497)</f>
        <v/>
      </c>
      <c r="M497" s="5">
        <f>IF($N497="","",L497-K497)</f>
        <v/>
      </c>
      <c r="N497">
        <f>IF(ROWS($N$2:$N497)&lt;=MAX('Per Line'!$AG$2:$AG$3001),MATCH(ROWS($N$2:$N497),'Per Line'!$AG$2:$AG$3001,0),"")</f>
        <v/>
      </c>
      <c r="O497">
        <f>IF(B497="Above Claim Form",COUNTIF($B$2:B497,"Above Claim Form"),"")</f>
        <v/>
      </c>
      <c r="P497">
        <f>IF(B497="Below Claim Form",COUNTIF($B$2:B497,"Below Claim Form"),"")</f>
        <v/>
      </c>
    </row>
    <row r="498">
      <c r="B498">
        <f>IF($N498="","",IFERROR(INDEX(Settings!$C$27:$C$36,MATCH(E498,Settings!$B$27:$B$36,0)),"Unassigned"))</f>
        <v/>
      </c>
      <c r="C498">
        <f>IF($N498="","",INDEX('Per Line'!$D$2:$D$3001,$N498))</f>
        <v/>
      </c>
      <c r="D498">
        <f>IF($N498="","",INDEX('Per Line'!$C$2:$C$3001,$N498))</f>
        <v/>
      </c>
      <c r="E498">
        <f>IF($N498="","",INDEX('Per Line'!$A$2:$A$3001,$N498))</f>
        <v/>
      </c>
      <c r="H498">
        <f>IF($N498="","",INDEX('Per Line'!$V$2:$V$3001,$N498))</f>
        <v/>
      </c>
      <c r="I498" s="5">
        <f>IF($N498="","",SUMIFS('Per Line'!$X$2:$X$3001,'Per Line'!$D$2:$D$3001,$C498))</f>
        <v/>
      </c>
      <c r="J498" s="5">
        <f>IF($N498="","",SUMIFS('Per Line'!$Y$2:$Y$3001,'Per Line'!$D$2:$D$3001,$C498))</f>
        <v/>
      </c>
      <c r="K498" s="5">
        <f>IF($N498="","",SUMIFS('Per Line'!$Z$2:$Z$3001,'Per Line'!$D$2:$D$3001,$C498))</f>
        <v/>
      </c>
      <c r="L498" s="5">
        <f>IF($N498="","",I498-J498)</f>
        <v/>
      </c>
      <c r="M498" s="5">
        <f>IF($N498="","",L498-K498)</f>
        <v/>
      </c>
      <c r="N498">
        <f>IF(ROWS($N$2:$N498)&lt;=MAX('Per Line'!$AG$2:$AG$3001),MATCH(ROWS($N$2:$N498),'Per Line'!$AG$2:$AG$3001,0),"")</f>
        <v/>
      </c>
      <c r="O498">
        <f>IF(B498="Above Claim Form",COUNTIF($B$2:B498,"Above Claim Form"),"")</f>
        <v/>
      </c>
      <c r="P498">
        <f>IF(B498="Below Claim Form",COUNTIF($B$2:B498,"Below Claim Form"),"")</f>
        <v/>
      </c>
    </row>
    <row r="499">
      <c r="B499">
        <f>IF($N499="","",IFERROR(INDEX(Settings!$C$27:$C$36,MATCH(E499,Settings!$B$27:$B$36,0)),"Unassigned"))</f>
        <v/>
      </c>
      <c r="C499">
        <f>IF($N499="","",INDEX('Per Line'!$D$2:$D$3001,$N499))</f>
        <v/>
      </c>
      <c r="D499">
        <f>IF($N499="","",INDEX('Per Line'!$C$2:$C$3001,$N499))</f>
        <v/>
      </c>
      <c r="E499">
        <f>IF($N499="","",INDEX('Per Line'!$A$2:$A$3001,$N499))</f>
        <v/>
      </c>
      <c r="H499">
        <f>IF($N499="","",INDEX('Per Line'!$V$2:$V$3001,$N499))</f>
        <v/>
      </c>
      <c r="I499" s="5">
        <f>IF($N499="","",SUMIFS('Per Line'!$X$2:$X$3001,'Per Line'!$D$2:$D$3001,$C499))</f>
        <v/>
      </c>
      <c r="J499" s="5">
        <f>IF($N499="","",SUMIFS('Per Line'!$Y$2:$Y$3001,'Per Line'!$D$2:$D$3001,$C499))</f>
        <v/>
      </c>
      <c r="K499" s="5">
        <f>IF($N499="","",SUMIFS('Per Line'!$Z$2:$Z$3001,'Per Line'!$D$2:$D$3001,$C499))</f>
        <v/>
      </c>
      <c r="L499" s="5">
        <f>IF($N499="","",I499-J499)</f>
        <v/>
      </c>
      <c r="M499" s="5">
        <f>IF($N499="","",L499-K499)</f>
        <v/>
      </c>
      <c r="N499">
        <f>IF(ROWS($N$2:$N499)&lt;=MAX('Per Line'!$AG$2:$AG$3001),MATCH(ROWS($N$2:$N499),'Per Line'!$AG$2:$AG$3001,0),"")</f>
        <v/>
      </c>
      <c r="O499">
        <f>IF(B499="Above Claim Form",COUNTIF($B$2:B499,"Above Claim Form"),"")</f>
        <v/>
      </c>
      <c r="P499">
        <f>IF(B499="Below Claim Form",COUNTIF($B$2:B499,"Below Claim Form"),"")</f>
        <v/>
      </c>
    </row>
    <row r="500">
      <c r="B500">
        <f>IF($N500="","",IFERROR(INDEX(Settings!$C$27:$C$36,MATCH(E500,Settings!$B$27:$B$36,0)),"Unassigned"))</f>
        <v/>
      </c>
      <c r="C500">
        <f>IF($N500="","",INDEX('Per Line'!$D$2:$D$3001,$N500))</f>
        <v/>
      </c>
      <c r="D500">
        <f>IF($N500="","",INDEX('Per Line'!$C$2:$C$3001,$N500))</f>
        <v/>
      </c>
      <c r="E500">
        <f>IF($N500="","",INDEX('Per Line'!$A$2:$A$3001,$N500))</f>
        <v/>
      </c>
      <c r="H500">
        <f>IF($N500="","",INDEX('Per Line'!$V$2:$V$3001,$N500))</f>
        <v/>
      </c>
      <c r="I500" s="5">
        <f>IF($N500="","",SUMIFS('Per Line'!$X$2:$X$3001,'Per Line'!$D$2:$D$3001,$C500))</f>
        <v/>
      </c>
      <c r="J500" s="5">
        <f>IF($N500="","",SUMIFS('Per Line'!$Y$2:$Y$3001,'Per Line'!$D$2:$D$3001,$C500))</f>
        <v/>
      </c>
      <c r="K500" s="5">
        <f>IF($N500="","",SUMIFS('Per Line'!$Z$2:$Z$3001,'Per Line'!$D$2:$D$3001,$C500))</f>
        <v/>
      </c>
      <c r="L500" s="5">
        <f>IF($N500="","",I500-J500)</f>
        <v/>
      </c>
      <c r="M500" s="5">
        <f>IF($N500="","",L500-K500)</f>
        <v/>
      </c>
      <c r="N500">
        <f>IF(ROWS($N$2:$N500)&lt;=MAX('Per Line'!$AG$2:$AG$3001),MATCH(ROWS($N$2:$N500),'Per Line'!$AG$2:$AG$3001,0),"")</f>
        <v/>
      </c>
      <c r="O500">
        <f>IF(B500="Above Claim Form",COUNTIF($B$2:B500,"Above Claim Form"),"")</f>
        <v/>
      </c>
      <c r="P500">
        <f>IF(B500="Below Claim Form",COUNTIF($B$2:B500,"Below Claim Form"),"")</f>
        <v/>
      </c>
    </row>
    <row r="501">
      <c r="B501">
        <f>IF($N501="","",IFERROR(INDEX(Settings!$C$27:$C$36,MATCH(E501,Settings!$B$27:$B$36,0)),"Unassigned"))</f>
        <v/>
      </c>
      <c r="C501">
        <f>IF($N501="","",INDEX('Per Line'!$D$2:$D$3001,$N501))</f>
        <v/>
      </c>
      <c r="D501">
        <f>IF($N501="","",INDEX('Per Line'!$C$2:$C$3001,$N501))</f>
        <v/>
      </c>
      <c r="E501">
        <f>IF($N501="","",INDEX('Per Line'!$A$2:$A$3001,$N501))</f>
        <v/>
      </c>
      <c r="H501">
        <f>IF($N501="","",INDEX('Per Line'!$V$2:$V$3001,$N501))</f>
        <v/>
      </c>
      <c r="I501" s="5">
        <f>IF($N501="","",SUMIFS('Per Line'!$X$2:$X$3001,'Per Line'!$D$2:$D$3001,$C501))</f>
        <v/>
      </c>
      <c r="J501" s="5">
        <f>IF($N501="","",SUMIFS('Per Line'!$Y$2:$Y$3001,'Per Line'!$D$2:$D$3001,$C501))</f>
        <v/>
      </c>
      <c r="K501" s="5">
        <f>IF($N501="","",SUMIFS('Per Line'!$Z$2:$Z$3001,'Per Line'!$D$2:$D$3001,$C501))</f>
        <v/>
      </c>
      <c r="L501" s="5">
        <f>IF($N501="","",I501-J501)</f>
        <v/>
      </c>
      <c r="M501" s="5">
        <f>IF($N501="","",L501-K501)</f>
        <v/>
      </c>
      <c r="N501">
        <f>IF(ROWS($N$2:$N501)&lt;=MAX('Per Line'!$AG$2:$AG$3001),MATCH(ROWS($N$2:$N501),'Per Line'!$AG$2:$AG$3001,0),"")</f>
        <v/>
      </c>
      <c r="O501">
        <f>IF(B501="Above Claim Form",COUNTIF($B$2:B501,"Above Claim Form"),"")</f>
        <v/>
      </c>
      <c r="P501">
        <f>IF(B501="Below Claim Form",COUNTIF($B$2:B501,"Below Claim Form"),"")</f>
        <v/>
      </c>
    </row>
    <row r="502">
      <c r="B502">
        <f>IF($N502="","",IFERROR(INDEX(Settings!$C$27:$C$36,MATCH(E502,Settings!$B$27:$B$36,0)),"Unassigned"))</f>
        <v/>
      </c>
      <c r="C502">
        <f>IF($N502="","",INDEX('Per Line'!$D$2:$D$3001,$N502))</f>
        <v/>
      </c>
      <c r="D502">
        <f>IF($N502="","",INDEX('Per Line'!$C$2:$C$3001,$N502))</f>
        <v/>
      </c>
      <c r="E502">
        <f>IF($N502="","",INDEX('Per Line'!$A$2:$A$3001,$N502))</f>
        <v/>
      </c>
      <c r="H502">
        <f>IF($N502="","",INDEX('Per Line'!$V$2:$V$3001,$N502))</f>
        <v/>
      </c>
      <c r="I502" s="5">
        <f>IF($N502="","",SUMIFS('Per Line'!$X$2:$X$3001,'Per Line'!$D$2:$D$3001,$C502))</f>
        <v/>
      </c>
      <c r="J502" s="5">
        <f>IF($N502="","",SUMIFS('Per Line'!$Y$2:$Y$3001,'Per Line'!$D$2:$D$3001,$C502))</f>
        <v/>
      </c>
      <c r="K502" s="5">
        <f>IF($N502="","",SUMIFS('Per Line'!$Z$2:$Z$3001,'Per Line'!$D$2:$D$3001,$C502))</f>
        <v/>
      </c>
      <c r="L502" s="5">
        <f>IF($N502="","",I502-J502)</f>
        <v/>
      </c>
      <c r="M502" s="5">
        <f>IF($N502="","",L502-K502)</f>
        <v/>
      </c>
      <c r="N502">
        <f>IF(ROWS($N$2:$N502)&lt;=MAX('Per Line'!$AG$2:$AG$3001),MATCH(ROWS($N$2:$N502),'Per Line'!$AG$2:$AG$3001,0),"")</f>
        <v/>
      </c>
      <c r="O502">
        <f>IF(B502="Above Claim Form",COUNTIF($B$2:B502,"Above Claim Form"),"")</f>
        <v/>
      </c>
      <c r="P502">
        <f>IF(B502="Below Claim Form",COUNTIF($B$2:B502,"Below Claim Form"),"")</f>
        <v/>
      </c>
    </row>
    <row r="503">
      <c r="B503">
        <f>IF($N503="","",IFERROR(INDEX(Settings!$C$27:$C$36,MATCH(E503,Settings!$B$27:$B$36,0)),"Unassigned"))</f>
        <v/>
      </c>
      <c r="C503">
        <f>IF($N503="","",INDEX('Per Line'!$D$2:$D$3001,$N503))</f>
        <v/>
      </c>
      <c r="D503">
        <f>IF($N503="","",INDEX('Per Line'!$C$2:$C$3001,$N503))</f>
        <v/>
      </c>
      <c r="E503">
        <f>IF($N503="","",INDEX('Per Line'!$A$2:$A$3001,$N503))</f>
        <v/>
      </c>
      <c r="H503">
        <f>IF($N503="","",INDEX('Per Line'!$V$2:$V$3001,$N503))</f>
        <v/>
      </c>
      <c r="I503" s="5">
        <f>IF($N503="","",SUMIFS('Per Line'!$X$2:$X$3001,'Per Line'!$D$2:$D$3001,$C503))</f>
        <v/>
      </c>
      <c r="J503" s="5">
        <f>IF($N503="","",SUMIFS('Per Line'!$Y$2:$Y$3001,'Per Line'!$D$2:$D$3001,$C503))</f>
        <v/>
      </c>
      <c r="K503" s="5">
        <f>IF($N503="","",SUMIFS('Per Line'!$Z$2:$Z$3001,'Per Line'!$D$2:$D$3001,$C503))</f>
        <v/>
      </c>
      <c r="L503" s="5">
        <f>IF($N503="","",I503-J503)</f>
        <v/>
      </c>
      <c r="M503" s="5">
        <f>IF($N503="","",L503-K503)</f>
        <v/>
      </c>
      <c r="N503">
        <f>IF(ROWS($N$2:$N503)&lt;=MAX('Per Line'!$AG$2:$AG$3001),MATCH(ROWS($N$2:$N503),'Per Line'!$AG$2:$AG$3001,0),"")</f>
        <v/>
      </c>
      <c r="O503">
        <f>IF(B503="Above Claim Form",COUNTIF($B$2:B503,"Above Claim Form"),"")</f>
        <v/>
      </c>
      <c r="P503">
        <f>IF(B503="Below Claim Form",COUNTIF($B$2:B503,"Below Claim Form"),"")</f>
        <v/>
      </c>
    </row>
    <row r="504">
      <c r="B504">
        <f>IF($N504="","",IFERROR(INDEX(Settings!$C$27:$C$36,MATCH(E504,Settings!$B$27:$B$36,0)),"Unassigned"))</f>
        <v/>
      </c>
      <c r="C504">
        <f>IF($N504="","",INDEX('Per Line'!$D$2:$D$3001,$N504))</f>
        <v/>
      </c>
      <c r="D504">
        <f>IF($N504="","",INDEX('Per Line'!$C$2:$C$3001,$N504))</f>
        <v/>
      </c>
      <c r="E504">
        <f>IF($N504="","",INDEX('Per Line'!$A$2:$A$3001,$N504))</f>
        <v/>
      </c>
      <c r="H504">
        <f>IF($N504="","",INDEX('Per Line'!$V$2:$V$3001,$N504))</f>
        <v/>
      </c>
      <c r="I504" s="5">
        <f>IF($N504="","",SUMIFS('Per Line'!$X$2:$X$3001,'Per Line'!$D$2:$D$3001,$C504))</f>
        <v/>
      </c>
      <c r="J504" s="5">
        <f>IF($N504="","",SUMIFS('Per Line'!$Y$2:$Y$3001,'Per Line'!$D$2:$D$3001,$C504))</f>
        <v/>
      </c>
      <c r="K504" s="5">
        <f>IF($N504="","",SUMIFS('Per Line'!$Z$2:$Z$3001,'Per Line'!$D$2:$D$3001,$C504))</f>
        <v/>
      </c>
      <c r="L504" s="5">
        <f>IF($N504="","",I504-J504)</f>
        <v/>
      </c>
      <c r="M504" s="5">
        <f>IF($N504="","",L504-K504)</f>
        <v/>
      </c>
      <c r="N504">
        <f>IF(ROWS($N$2:$N504)&lt;=MAX('Per Line'!$AG$2:$AG$3001),MATCH(ROWS($N$2:$N504),'Per Line'!$AG$2:$AG$3001,0),"")</f>
        <v/>
      </c>
      <c r="O504">
        <f>IF(B504="Above Claim Form",COUNTIF($B$2:B504,"Above Claim Form"),"")</f>
        <v/>
      </c>
      <c r="P504">
        <f>IF(B504="Below Claim Form",COUNTIF($B$2:B504,"Below Claim Form"),"")</f>
        <v/>
      </c>
    </row>
    <row r="505">
      <c r="B505">
        <f>IF($N505="","",IFERROR(INDEX(Settings!$C$27:$C$36,MATCH(E505,Settings!$B$27:$B$36,0)),"Unassigned"))</f>
        <v/>
      </c>
      <c r="C505">
        <f>IF($N505="","",INDEX('Per Line'!$D$2:$D$3001,$N505))</f>
        <v/>
      </c>
      <c r="D505">
        <f>IF($N505="","",INDEX('Per Line'!$C$2:$C$3001,$N505))</f>
        <v/>
      </c>
      <c r="E505">
        <f>IF($N505="","",INDEX('Per Line'!$A$2:$A$3001,$N505))</f>
        <v/>
      </c>
      <c r="H505">
        <f>IF($N505="","",INDEX('Per Line'!$V$2:$V$3001,$N505))</f>
        <v/>
      </c>
      <c r="I505" s="5">
        <f>IF($N505="","",SUMIFS('Per Line'!$X$2:$X$3001,'Per Line'!$D$2:$D$3001,$C505))</f>
        <v/>
      </c>
      <c r="J505" s="5">
        <f>IF($N505="","",SUMIFS('Per Line'!$Y$2:$Y$3001,'Per Line'!$D$2:$D$3001,$C505))</f>
        <v/>
      </c>
      <c r="K505" s="5">
        <f>IF($N505="","",SUMIFS('Per Line'!$Z$2:$Z$3001,'Per Line'!$D$2:$D$3001,$C505))</f>
        <v/>
      </c>
      <c r="L505" s="5">
        <f>IF($N505="","",I505-J505)</f>
        <v/>
      </c>
      <c r="M505" s="5">
        <f>IF($N505="","",L505-K505)</f>
        <v/>
      </c>
      <c r="N505">
        <f>IF(ROWS($N$2:$N505)&lt;=MAX('Per Line'!$AG$2:$AG$3001),MATCH(ROWS($N$2:$N505),'Per Line'!$AG$2:$AG$3001,0),"")</f>
        <v/>
      </c>
      <c r="O505">
        <f>IF(B505="Above Claim Form",COUNTIF($B$2:B505,"Above Claim Form"),"")</f>
        <v/>
      </c>
      <c r="P505">
        <f>IF(B505="Below Claim Form",COUNTIF($B$2:B505,"Below Claim Form"),"")</f>
        <v/>
      </c>
    </row>
    <row r="506">
      <c r="B506">
        <f>IF($N506="","",IFERROR(INDEX(Settings!$C$27:$C$36,MATCH(E506,Settings!$B$27:$B$36,0)),"Unassigned"))</f>
        <v/>
      </c>
      <c r="C506">
        <f>IF($N506="","",INDEX('Per Line'!$D$2:$D$3001,$N506))</f>
        <v/>
      </c>
      <c r="D506">
        <f>IF($N506="","",INDEX('Per Line'!$C$2:$C$3001,$N506))</f>
        <v/>
      </c>
      <c r="E506">
        <f>IF($N506="","",INDEX('Per Line'!$A$2:$A$3001,$N506))</f>
        <v/>
      </c>
      <c r="H506">
        <f>IF($N506="","",INDEX('Per Line'!$V$2:$V$3001,$N506))</f>
        <v/>
      </c>
      <c r="I506" s="5">
        <f>IF($N506="","",SUMIFS('Per Line'!$X$2:$X$3001,'Per Line'!$D$2:$D$3001,$C506))</f>
        <v/>
      </c>
      <c r="J506" s="5">
        <f>IF($N506="","",SUMIFS('Per Line'!$Y$2:$Y$3001,'Per Line'!$D$2:$D$3001,$C506))</f>
        <v/>
      </c>
      <c r="K506" s="5">
        <f>IF($N506="","",SUMIFS('Per Line'!$Z$2:$Z$3001,'Per Line'!$D$2:$D$3001,$C506))</f>
        <v/>
      </c>
      <c r="L506" s="5">
        <f>IF($N506="","",I506-J506)</f>
        <v/>
      </c>
      <c r="M506" s="5">
        <f>IF($N506="","",L506-K506)</f>
        <v/>
      </c>
      <c r="N506">
        <f>IF(ROWS($N$2:$N506)&lt;=MAX('Per Line'!$AG$2:$AG$3001),MATCH(ROWS($N$2:$N506),'Per Line'!$AG$2:$AG$3001,0),"")</f>
        <v/>
      </c>
      <c r="O506">
        <f>IF(B506="Above Claim Form",COUNTIF($B$2:B506,"Above Claim Form"),"")</f>
        <v/>
      </c>
      <c r="P506">
        <f>IF(B506="Below Claim Form",COUNTIF($B$2:B506,"Below Claim Form"),"")</f>
        <v/>
      </c>
    </row>
    <row r="507">
      <c r="B507">
        <f>IF($N507="","",IFERROR(INDEX(Settings!$C$27:$C$36,MATCH(E507,Settings!$B$27:$B$36,0)),"Unassigned"))</f>
        <v/>
      </c>
      <c r="C507">
        <f>IF($N507="","",INDEX('Per Line'!$D$2:$D$3001,$N507))</f>
        <v/>
      </c>
      <c r="D507">
        <f>IF($N507="","",INDEX('Per Line'!$C$2:$C$3001,$N507))</f>
        <v/>
      </c>
      <c r="E507">
        <f>IF($N507="","",INDEX('Per Line'!$A$2:$A$3001,$N507))</f>
        <v/>
      </c>
      <c r="H507">
        <f>IF($N507="","",INDEX('Per Line'!$V$2:$V$3001,$N507))</f>
        <v/>
      </c>
      <c r="I507" s="5">
        <f>IF($N507="","",SUMIFS('Per Line'!$X$2:$X$3001,'Per Line'!$D$2:$D$3001,$C507))</f>
        <v/>
      </c>
      <c r="J507" s="5">
        <f>IF($N507="","",SUMIFS('Per Line'!$Y$2:$Y$3001,'Per Line'!$D$2:$D$3001,$C507))</f>
        <v/>
      </c>
      <c r="K507" s="5">
        <f>IF($N507="","",SUMIFS('Per Line'!$Z$2:$Z$3001,'Per Line'!$D$2:$D$3001,$C507))</f>
        <v/>
      </c>
      <c r="L507" s="5">
        <f>IF($N507="","",I507-J507)</f>
        <v/>
      </c>
      <c r="M507" s="5">
        <f>IF($N507="","",L507-K507)</f>
        <v/>
      </c>
      <c r="N507">
        <f>IF(ROWS($N$2:$N507)&lt;=MAX('Per Line'!$AG$2:$AG$3001),MATCH(ROWS($N$2:$N507),'Per Line'!$AG$2:$AG$3001,0),"")</f>
        <v/>
      </c>
      <c r="O507">
        <f>IF(B507="Above Claim Form",COUNTIF($B$2:B507,"Above Claim Form"),"")</f>
        <v/>
      </c>
      <c r="P507">
        <f>IF(B507="Below Claim Form",COUNTIF($B$2:B507,"Below Claim Form"),"")</f>
        <v/>
      </c>
    </row>
    <row r="508">
      <c r="B508">
        <f>IF($N508="","",IFERROR(INDEX(Settings!$C$27:$C$36,MATCH(E508,Settings!$B$27:$B$36,0)),"Unassigned"))</f>
        <v/>
      </c>
      <c r="C508">
        <f>IF($N508="","",INDEX('Per Line'!$D$2:$D$3001,$N508))</f>
        <v/>
      </c>
      <c r="D508">
        <f>IF($N508="","",INDEX('Per Line'!$C$2:$C$3001,$N508))</f>
        <v/>
      </c>
      <c r="E508">
        <f>IF($N508="","",INDEX('Per Line'!$A$2:$A$3001,$N508))</f>
        <v/>
      </c>
      <c r="H508">
        <f>IF($N508="","",INDEX('Per Line'!$V$2:$V$3001,$N508))</f>
        <v/>
      </c>
      <c r="I508" s="5">
        <f>IF($N508="","",SUMIFS('Per Line'!$X$2:$X$3001,'Per Line'!$D$2:$D$3001,$C508))</f>
        <v/>
      </c>
      <c r="J508" s="5">
        <f>IF($N508="","",SUMIFS('Per Line'!$Y$2:$Y$3001,'Per Line'!$D$2:$D$3001,$C508))</f>
        <v/>
      </c>
      <c r="K508" s="5">
        <f>IF($N508="","",SUMIFS('Per Line'!$Z$2:$Z$3001,'Per Line'!$D$2:$D$3001,$C508))</f>
        <v/>
      </c>
      <c r="L508" s="5">
        <f>IF($N508="","",I508-J508)</f>
        <v/>
      </c>
      <c r="M508" s="5">
        <f>IF($N508="","",L508-K508)</f>
        <v/>
      </c>
      <c r="N508">
        <f>IF(ROWS($N$2:$N508)&lt;=MAX('Per Line'!$AG$2:$AG$3001),MATCH(ROWS($N$2:$N508),'Per Line'!$AG$2:$AG$3001,0),"")</f>
        <v/>
      </c>
      <c r="O508">
        <f>IF(B508="Above Claim Form",COUNTIF($B$2:B508,"Above Claim Form"),"")</f>
        <v/>
      </c>
      <c r="P508">
        <f>IF(B508="Below Claim Form",COUNTIF($B$2:B508,"Below Claim Form"),"")</f>
        <v/>
      </c>
    </row>
    <row r="509">
      <c r="B509">
        <f>IF($N509="","",IFERROR(INDEX(Settings!$C$27:$C$36,MATCH(E509,Settings!$B$27:$B$36,0)),"Unassigned"))</f>
        <v/>
      </c>
      <c r="C509">
        <f>IF($N509="","",INDEX('Per Line'!$D$2:$D$3001,$N509))</f>
        <v/>
      </c>
      <c r="D509">
        <f>IF($N509="","",INDEX('Per Line'!$C$2:$C$3001,$N509))</f>
        <v/>
      </c>
      <c r="E509">
        <f>IF($N509="","",INDEX('Per Line'!$A$2:$A$3001,$N509))</f>
        <v/>
      </c>
      <c r="H509">
        <f>IF($N509="","",INDEX('Per Line'!$V$2:$V$3001,$N509))</f>
        <v/>
      </c>
      <c r="I509" s="5">
        <f>IF($N509="","",SUMIFS('Per Line'!$X$2:$X$3001,'Per Line'!$D$2:$D$3001,$C509))</f>
        <v/>
      </c>
      <c r="J509" s="5">
        <f>IF($N509="","",SUMIFS('Per Line'!$Y$2:$Y$3001,'Per Line'!$D$2:$D$3001,$C509))</f>
        <v/>
      </c>
      <c r="K509" s="5">
        <f>IF($N509="","",SUMIFS('Per Line'!$Z$2:$Z$3001,'Per Line'!$D$2:$D$3001,$C509))</f>
        <v/>
      </c>
      <c r="L509" s="5">
        <f>IF($N509="","",I509-J509)</f>
        <v/>
      </c>
      <c r="M509" s="5">
        <f>IF($N509="","",L509-K509)</f>
        <v/>
      </c>
      <c r="N509">
        <f>IF(ROWS($N$2:$N509)&lt;=MAX('Per Line'!$AG$2:$AG$3001),MATCH(ROWS($N$2:$N509),'Per Line'!$AG$2:$AG$3001,0),"")</f>
        <v/>
      </c>
      <c r="O509">
        <f>IF(B509="Above Claim Form",COUNTIF($B$2:B509,"Above Claim Form"),"")</f>
        <v/>
      </c>
      <c r="P509">
        <f>IF(B509="Below Claim Form",COUNTIF($B$2:B509,"Below Claim Form"),"")</f>
        <v/>
      </c>
    </row>
    <row r="510">
      <c r="B510">
        <f>IF($N510="","",IFERROR(INDEX(Settings!$C$27:$C$36,MATCH(E510,Settings!$B$27:$B$36,0)),"Unassigned"))</f>
        <v/>
      </c>
      <c r="C510">
        <f>IF($N510="","",INDEX('Per Line'!$D$2:$D$3001,$N510))</f>
        <v/>
      </c>
      <c r="D510">
        <f>IF($N510="","",INDEX('Per Line'!$C$2:$C$3001,$N510))</f>
        <v/>
      </c>
      <c r="E510">
        <f>IF($N510="","",INDEX('Per Line'!$A$2:$A$3001,$N510))</f>
        <v/>
      </c>
      <c r="H510">
        <f>IF($N510="","",INDEX('Per Line'!$V$2:$V$3001,$N510))</f>
        <v/>
      </c>
      <c r="I510" s="5">
        <f>IF($N510="","",SUMIFS('Per Line'!$X$2:$X$3001,'Per Line'!$D$2:$D$3001,$C510))</f>
        <v/>
      </c>
      <c r="J510" s="5">
        <f>IF($N510="","",SUMIFS('Per Line'!$Y$2:$Y$3001,'Per Line'!$D$2:$D$3001,$C510))</f>
        <v/>
      </c>
      <c r="K510" s="5">
        <f>IF($N510="","",SUMIFS('Per Line'!$Z$2:$Z$3001,'Per Line'!$D$2:$D$3001,$C510))</f>
        <v/>
      </c>
      <c r="L510" s="5">
        <f>IF($N510="","",I510-J510)</f>
        <v/>
      </c>
      <c r="M510" s="5">
        <f>IF($N510="","",L510-K510)</f>
        <v/>
      </c>
      <c r="N510">
        <f>IF(ROWS($N$2:$N510)&lt;=MAX('Per Line'!$AG$2:$AG$3001),MATCH(ROWS($N$2:$N510),'Per Line'!$AG$2:$AG$3001,0),"")</f>
        <v/>
      </c>
      <c r="O510">
        <f>IF(B510="Above Claim Form",COUNTIF($B$2:B510,"Above Claim Form"),"")</f>
        <v/>
      </c>
      <c r="P510">
        <f>IF(B510="Below Claim Form",COUNTIF($B$2:B510,"Below Claim Form"),"")</f>
        <v/>
      </c>
    </row>
    <row r="511">
      <c r="B511">
        <f>IF($N511="","",IFERROR(INDEX(Settings!$C$27:$C$36,MATCH(E511,Settings!$B$27:$B$36,0)),"Unassigned"))</f>
        <v/>
      </c>
      <c r="C511">
        <f>IF($N511="","",INDEX('Per Line'!$D$2:$D$3001,$N511))</f>
        <v/>
      </c>
      <c r="D511">
        <f>IF($N511="","",INDEX('Per Line'!$C$2:$C$3001,$N511))</f>
        <v/>
      </c>
      <c r="E511">
        <f>IF($N511="","",INDEX('Per Line'!$A$2:$A$3001,$N511))</f>
        <v/>
      </c>
      <c r="H511">
        <f>IF($N511="","",INDEX('Per Line'!$V$2:$V$3001,$N511))</f>
        <v/>
      </c>
      <c r="I511" s="5">
        <f>IF($N511="","",SUMIFS('Per Line'!$X$2:$X$3001,'Per Line'!$D$2:$D$3001,$C511))</f>
        <v/>
      </c>
      <c r="J511" s="5">
        <f>IF($N511="","",SUMIFS('Per Line'!$Y$2:$Y$3001,'Per Line'!$D$2:$D$3001,$C511))</f>
        <v/>
      </c>
      <c r="K511" s="5">
        <f>IF($N511="","",SUMIFS('Per Line'!$Z$2:$Z$3001,'Per Line'!$D$2:$D$3001,$C511))</f>
        <v/>
      </c>
      <c r="L511" s="5">
        <f>IF($N511="","",I511-J511)</f>
        <v/>
      </c>
      <c r="M511" s="5">
        <f>IF($N511="","",L511-K511)</f>
        <v/>
      </c>
      <c r="N511">
        <f>IF(ROWS($N$2:$N511)&lt;=MAX('Per Line'!$AG$2:$AG$3001),MATCH(ROWS($N$2:$N511),'Per Line'!$AG$2:$AG$3001,0),"")</f>
        <v/>
      </c>
      <c r="O511">
        <f>IF(B511="Above Claim Form",COUNTIF($B$2:B511,"Above Claim Form"),"")</f>
        <v/>
      </c>
      <c r="P511">
        <f>IF(B511="Below Claim Form",COUNTIF($B$2:B511,"Below Claim Form"),"")</f>
        <v/>
      </c>
    </row>
    <row r="512">
      <c r="B512">
        <f>IF($N512="","",IFERROR(INDEX(Settings!$C$27:$C$36,MATCH(E512,Settings!$B$27:$B$36,0)),"Unassigned"))</f>
        <v/>
      </c>
      <c r="C512">
        <f>IF($N512="","",INDEX('Per Line'!$D$2:$D$3001,$N512))</f>
        <v/>
      </c>
      <c r="D512">
        <f>IF($N512="","",INDEX('Per Line'!$C$2:$C$3001,$N512))</f>
        <v/>
      </c>
      <c r="E512">
        <f>IF($N512="","",INDEX('Per Line'!$A$2:$A$3001,$N512))</f>
        <v/>
      </c>
      <c r="H512">
        <f>IF($N512="","",INDEX('Per Line'!$V$2:$V$3001,$N512))</f>
        <v/>
      </c>
      <c r="I512" s="5">
        <f>IF($N512="","",SUMIFS('Per Line'!$X$2:$X$3001,'Per Line'!$D$2:$D$3001,$C512))</f>
        <v/>
      </c>
      <c r="J512" s="5">
        <f>IF($N512="","",SUMIFS('Per Line'!$Y$2:$Y$3001,'Per Line'!$D$2:$D$3001,$C512))</f>
        <v/>
      </c>
      <c r="K512" s="5">
        <f>IF($N512="","",SUMIFS('Per Line'!$Z$2:$Z$3001,'Per Line'!$D$2:$D$3001,$C512))</f>
        <v/>
      </c>
      <c r="L512" s="5">
        <f>IF($N512="","",I512-J512)</f>
        <v/>
      </c>
      <c r="M512" s="5">
        <f>IF($N512="","",L512-K512)</f>
        <v/>
      </c>
      <c r="N512">
        <f>IF(ROWS($N$2:$N512)&lt;=MAX('Per Line'!$AG$2:$AG$3001),MATCH(ROWS($N$2:$N512),'Per Line'!$AG$2:$AG$3001,0),"")</f>
        <v/>
      </c>
      <c r="O512">
        <f>IF(B512="Above Claim Form",COUNTIF($B$2:B512,"Above Claim Form"),"")</f>
        <v/>
      </c>
      <c r="P512">
        <f>IF(B512="Below Claim Form",COUNTIF($B$2:B512,"Below Claim Form"),"")</f>
        <v/>
      </c>
    </row>
    <row r="513">
      <c r="B513">
        <f>IF($N513="","",IFERROR(INDEX(Settings!$C$27:$C$36,MATCH(E513,Settings!$B$27:$B$36,0)),"Unassigned"))</f>
        <v/>
      </c>
      <c r="C513">
        <f>IF($N513="","",INDEX('Per Line'!$D$2:$D$3001,$N513))</f>
        <v/>
      </c>
      <c r="D513">
        <f>IF($N513="","",INDEX('Per Line'!$C$2:$C$3001,$N513))</f>
        <v/>
      </c>
      <c r="E513">
        <f>IF($N513="","",INDEX('Per Line'!$A$2:$A$3001,$N513))</f>
        <v/>
      </c>
      <c r="H513">
        <f>IF($N513="","",INDEX('Per Line'!$V$2:$V$3001,$N513))</f>
        <v/>
      </c>
      <c r="I513" s="5">
        <f>IF($N513="","",SUMIFS('Per Line'!$X$2:$X$3001,'Per Line'!$D$2:$D$3001,$C513))</f>
        <v/>
      </c>
      <c r="J513" s="5">
        <f>IF($N513="","",SUMIFS('Per Line'!$Y$2:$Y$3001,'Per Line'!$D$2:$D$3001,$C513))</f>
        <v/>
      </c>
      <c r="K513" s="5">
        <f>IF($N513="","",SUMIFS('Per Line'!$Z$2:$Z$3001,'Per Line'!$D$2:$D$3001,$C513))</f>
        <v/>
      </c>
      <c r="L513" s="5">
        <f>IF($N513="","",I513-J513)</f>
        <v/>
      </c>
      <c r="M513" s="5">
        <f>IF($N513="","",L513-K513)</f>
        <v/>
      </c>
      <c r="N513">
        <f>IF(ROWS($N$2:$N513)&lt;=MAX('Per Line'!$AG$2:$AG$3001),MATCH(ROWS($N$2:$N513),'Per Line'!$AG$2:$AG$3001,0),"")</f>
        <v/>
      </c>
      <c r="O513">
        <f>IF(B513="Above Claim Form",COUNTIF($B$2:B513,"Above Claim Form"),"")</f>
        <v/>
      </c>
      <c r="P513">
        <f>IF(B513="Below Claim Form",COUNTIF($B$2:B513,"Below Claim Form"),"")</f>
        <v/>
      </c>
    </row>
    <row r="514">
      <c r="B514">
        <f>IF($N514="","",IFERROR(INDEX(Settings!$C$27:$C$36,MATCH(E514,Settings!$B$27:$B$36,0)),"Unassigned"))</f>
        <v/>
      </c>
      <c r="C514">
        <f>IF($N514="","",INDEX('Per Line'!$D$2:$D$3001,$N514))</f>
        <v/>
      </c>
      <c r="D514">
        <f>IF($N514="","",INDEX('Per Line'!$C$2:$C$3001,$N514))</f>
        <v/>
      </c>
      <c r="E514">
        <f>IF($N514="","",INDEX('Per Line'!$A$2:$A$3001,$N514))</f>
        <v/>
      </c>
      <c r="H514">
        <f>IF($N514="","",INDEX('Per Line'!$V$2:$V$3001,$N514))</f>
        <v/>
      </c>
      <c r="I514" s="5">
        <f>IF($N514="","",SUMIFS('Per Line'!$X$2:$X$3001,'Per Line'!$D$2:$D$3001,$C514))</f>
        <v/>
      </c>
      <c r="J514" s="5">
        <f>IF($N514="","",SUMIFS('Per Line'!$Y$2:$Y$3001,'Per Line'!$D$2:$D$3001,$C514))</f>
        <v/>
      </c>
      <c r="K514" s="5">
        <f>IF($N514="","",SUMIFS('Per Line'!$Z$2:$Z$3001,'Per Line'!$D$2:$D$3001,$C514))</f>
        <v/>
      </c>
      <c r="L514" s="5">
        <f>IF($N514="","",I514-J514)</f>
        <v/>
      </c>
      <c r="M514" s="5">
        <f>IF($N514="","",L514-K514)</f>
        <v/>
      </c>
      <c r="N514">
        <f>IF(ROWS($N$2:$N514)&lt;=MAX('Per Line'!$AG$2:$AG$3001),MATCH(ROWS($N$2:$N514),'Per Line'!$AG$2:$AG$3001,0),"")</f>
        <v/>
      </c>
      <c r="O514">
        <f>IF(B514="Above Claim Form",COUNTIF($B$2:B514,"Above Claim Form"),"")</f>
        <v/>
      </c>
      <c r="P514">
        <f>IF(B514="Below Claim Form",COUNTIF($B$2:B514,"Below Claim Form"),"")</f>
        <v/>
      </c>
    </row>
    <row r="515">
      <c r="B515">
        <f>IF($N515="","",IFERROR(INDEX(Settings!$C$27:$C$36,MATCH(E515,Settings!$B$27:$B$36,0)),"Unassigned"))</f>
        <v/>
      </c>
      <c r="C515">
        <f>IF($N515="","",INDEX('Per Line'!$D$2:$D$3001,$N515))</f>
        <v/>
      </c>
      <c r="D515">
        <f>IF($N515="","",INDEX('Per Line'!$C$2:$C$3001,$N515))</f>
        <v/>
      </c>
      <c r="E515">
        <f>IF($N515="","",INDEX('Per Line'!$A$2:$A$3001,$N515))</f>
        <v/>
      </c>
      <c r="H515">
        <f>IF($N515="","",INDEX('Per Line'!$V$2:$V$3001,$N515))</f>
        <v/>
      </c>
      <c r="I515" s="5">
        <f>IF($N515="","",SUMIFS('Per Line'!$X$2:$X$3001,'Per Line'!$D$2:$D$3001,$C515))</f>
        <v/>
      </c>
      <c r="J515" s="5">
        <f>IF($N515="","",SUMIFS('Per Line'!$Y$2:$Y$3001,'Per Line'!$D$2:$D$3001,$C515))</f>
        <v/>
      </c>
      <c r="K515" s="5">
        <f>IF($N515="","",SUMIFS('Per Line'!$Z$2:$Z$3001,'Per Line'!$D$2:$D$3001,$C515))</f>
        <v/>
      </c>
      <c r="L515" s="5">
        <f>IF($N515="","",I515-J515)</f>
        <v/>
      </c>
      <c r="M515" s="5">
        <f>IF($N515="","",L515-K515)</f>
        <v/>
      </c>
      <c r="N515">
        <f>IF(ROWS($N$2:$N515)&lt;=MAX('Per Line'!$AG$2:$AG$3001),MATCH(ROWS($N$2:$N515),'Per Line'!$AG$2:$AG$3001,0),"")</f>
        <v/>
      </c>
      <c r="O515">
        <f>IF(B515="Above Claim Form",COUNTIF($B$2:B515,"Above Claim Form"),"")</f>
        <v/>
      </c>
      <c r="P515">
        <f>IF(B515="Below Claim Form",COUNTIF($B$2:B515,"Below Claim Form"),"")</f>
        <v/>
      </c>
    </row>
    <row r="516">
      <c r="B516">
        <f>IF($N516="","",IFERROR(INDEX(Settings!$C$27:$C$36,MATCH(E516,Settings!$B$27:$B$36,0)),"Unassigned"))</f>
        <v/>
      </c>
      <c r="C516">
        <f>IF($N516="","",INDEX('Per Line'!$D$2:$D$3001,$N516))</f>
        <v/>
      </c>
      <c r="D516">
        <f>IF($N516="","",INDEX('Per Line'!$C$2:$C$3001,$N516))</f>
        <v/>
      </c>
      <c r="E516">
        <f>IF($N516="","",INDEX('Per Line'!$A$2:$A$3001,$N516))</f>
        <v/>
      </c>
      <c r="H516">
        <f>IF($N516="","",INDEX('Per Line'!$V$2:$V$3001,$N516))</f>
        <v/>
      </c>
      <c r="I516" s="5">
        <f>IF($N516="","",SUMIFS('Per Line'!$X$2:$X$3001,'Per Line'!$D$2:$D$3001,$C516))</f>
        <v/>
      </c>
      <c r="J516" s="5">
        <f>IF($N516="","",SUMIFS('Per Line'!$Y$2:$Y$3001,'Per Line'!$D$2:$D$3001,$C516))</f>
        <v/>
      </c>
      <c r="K516" s="5">
        <f>IF($N516="","",SUMIFS('Per Line'!$Z$2:$Z$3001,'Per Line'!$D$2:$D$3001,$C516))</f>
        <v/>
      </c>
      <c r="L516" s="5">
        <f>IF($N516="","",I516-J516)</f>
        <v/>
      </c>
      <c r="M516" s="5">
        <f>IF($N516="","",L516-K516)</f>
        <v/>
      </c>
      <c r="N516">
        <f>IF(ROWS($N$2:$N516)&lt;=MAX('Per Line'!$AG$2:$AG$3001),MATCH(ROWS($N$2:$N516),'Per Line'!$AG$2:$AG$3001,0),"")</f>
        <v/>
      </c>
      <c r="O516">
        <f>IF(B516="Above Claim Form",COUNTIF($B$2:B516,"Above Claim Form"),"")</f>
        <v/>
      </c>
      <c r="P516">
        <f>IF(B516="Below Claim Form",COUNTIF($B$2:B516,"Below Claim Form"),"")</f>
        <v/>
      </c>
    </row>
    <row r="517">
      <c r="B517">
        <f>IF($N517="","",IFERROR(INDEX(Settings!$C$27:$C$36,MATCH(E517,Settings!$B$27:$B$36,0)),"Unassigned"))</f>
        <v/>
      </c>
      <c r="C517">
        <f>IF($N517="","",INDEX('Per Line'!$D$2:$D$3001,$N517))</f>
        <v/>
      </c>
      <c r="D517">
        <f>IF($N517="","",INDEX('Per Line'!$C$2:$C$3001,$N517))</f>
        <v/>
      </c>
      <c r="E517">
        <f>IF($N517="","",INDEX('Per Line'!$A$2:$A$3001,$N517))</f>
        <v/>
      </c>
      <c r="H517">
        <f>IF($N517="","",INDEX('Per Line'!$V$2:$V$3001,$N517))</f>
        <v/>
      </c>
      <c r="I517" s="5">
        <f>IF($N517="","",SUMIFS('Per Line'!$X$2:$X$3001,'Per Line'!$D$2:$D$3001,$C517))</f>
        <v/>
      </c>
      <c r="J517" s="5">
        <f>IF($N517="","",SUMIFS('Per Line'!$Y$2:$Y$3001,'Per Line'!$D$2:$D$3001,$C517))</f>
        <v/>
      </c>
      <c r="K517" s="5">
        <f>IF($N517="","",SUMIFS('Per Line'!$Z$2:$Z$3001,'Per Line'!$D$2:$D$3001,$C517))</f>
        <v/>
      </c>
      <c r="L517" s="5">
        <f>IF($N517="","",I517-J517)</f>
        <v/>
      </c>
      <c r="M517" s="5">
        <f>IF($N517="","",L517-K517)</f>
        <v/>
      </c>
      <c r="N517">
        <f>IF(ROWS($N$2:$N517)&lt;=MAX('Per Line'!$AG$2:$AG$3001),MATCH(ROWS($N$2:$N517),'Per Line'!$AG$2:$AG$3001,0),"")</f>
        <v/>
      </c>
      <c r="O517">
        <f>IF(B517="Above Claim Form",COUNTIF($B$2:B517,"Above Claim Form"),"")</f>
        <v/>
      </c>
      <c r="P517">
        <f>IF(B517="Below Claim Form",COUNTIF($B$2:B517,"Below Claim Form"),"")</f>
        <v/>
      </c>
    </row>
    <row r="518">
      <c r="B518">
        <f>IF($N518="","",IFERROR(INDEX(Settings!$C$27:$C$36,MATCH(E518,Settings!$B$27:$B$36,0)),"Unassigned"))</f>
        <v/>
      </c>
      <c r="C518">
        <f>IF($N518="","",INDEX('Per Line'!$D$2:$D$3001,$N518))</f>
        <v/>
      </c>
      <c r="D518">
        <f>IF($N518="","",INDEX('Per Line'!$C$2:$C$3001,$N518))</f>
        <v/>
      </c>
      <c r="E518">
        <f>IF($N518="","",INDEX('Per Line'!$A$2:$A$3001,$N518))</f>
        <v/>
      </c>
      <c r="H518">
        <f>IF($N518="","",INDEX('Per Line'!$V$2:$V$3001,$N518))</f>
        <v/>
      </c>
      <c r="I518" s="5">
        <f>IF($N518="","",SUMIFS('Per Line'!$X$2:$X$3001,'Per Line'!$D$2:$D$3001,$C518))</f>
        <v/>
      </c>
      <c r="J518" s="5">
        <f>IF($N518="","",SUMIFS('Per Line'!$Y$2:$Y$3001,'Per Line'!$D$2:$D$3001,$C518))</f>
        <v/>
      </c>
      <c r="K518" s="5">
        <f>IF($N518="","",SUMIFS('Per Line'!$Z$2:$Z$3001,'Per Line'!$D$2:$D$3001,$C518))</f>
        <v/>
      </c>
      <c r="L518" s="5">
        <f>IF($N518="","",I518-J518)</f>
        <v/>
      </c>
      <c r="M518" s="5">
        <f>IF($N518="","",L518-K518)</f>
        <v/>
      </c>
      <c r="N518">
        <f>IF(ROWS($N$2:$N518)&lt;=MAX('Per Line'!$AG$2:$AG$3001),MATCH(ROWS($N$2:$N518),'Per Line'!$AG$2:$AG$3001,0),"")</f>
        <v/>
      </c>
      <c r="O518">
        <f>IF(B518="Above Claim Form",COUNTIF($B$2:B518,"Above Claim Form"),"")</f>
        <v/>
      </c>
      <c r="P518">
        <f>IF(B518="Below Claim Form",COUNTIF($B$2:B518,"Below Claim Form"),"")</f>
        <v/>
      </c>
    </row>
    <row r="519">
      <c r="B519">
        <f>IF($N519="","",IFERROR(INDEX(Settings!$C$27:$C$36,MATCH(E519,Settings!$B$27:$B$36,0)),"Unassigned"))</f>
        <v/>
      </c>
      <c r="C519">
        <f>IF($N519="","",INDEX('Per Line'!$D$2:$D$3001,$N519))</f>
        <v/>
      </c>
      <c r="D519">
        <f>IF($N519="","",INDEX('Per Line'!$C$2:$C$3001,$N519))</f>
        <v/>
      </c>
      <c r="E519">
        <f>IF($N519="","",INDEX('Per Line'!$A$2:$A$3001,$N519))</f>
        <v/>
      </c>
      <c r="H519">
        <f>IF($N519="","",INDEX('Per Line'!$V$2:$V$3001,$N519))</f>
        <v/>
      </c>
      <c r="I519" s="5">
        <f>IF($N519="","",SUMIFS('Per Line'!$X$2:$X$3001,'Per Line'!$D$2:$D$3001,$C519))</f>
        <v/>
      </c>
      <c r="J519" s="5">
        <f>IF($N519="","",SUMIFS('Per Line'!$Y$2:$Y$3001,'Per Line'!$D$2:$D$3001,$C519))</f>
        <v/>
      </c>
      <c r="K519" s="5">
        <f>IF($N519="","",SUMIFS('Per Line'!$Z$2:$Z$3001,'Per Line'!$D$2:$D$3001,$C519))</f>
        <v/>
      </c>
      <c r="L519" s="5">
        <f>IF($N519="","",I519-J519)</f>
        <v/>
      </c>
      <c r="M519" s="5">
        <f>IF($N519="","",L519-K519)</f>
        <v/>
      </c>
      <c r="N519">
        <f>IF(ROWS($N$2:$N519)&lt;=MAX('Per Line'!$AG$2:$AG$3001),MATCH(ROWS($N$2:$N519),'Per Line'!$AG$2:$AG$3001,0),"")</f>
        <v/>
      </c>
      <c r="O519">
        <f>IF(B519="Above Claim Form",COUNTIF($B$2:B519,"Above Claim Form"),"")</f>
        <v/>
      </c>
      <c r="P519">
        <f>IF(B519="Below Claim Form",COUNTIF($B$2:B519,"Below Claim Form"),"")</f>
        <v/>
      </c>
    </row>
    <row r="520">
      <c r="B520">
        <f>IF($N520="","",IFERROR(INDEX(Settings!$C$27:$C$36,MATCH(E520,Settings!$B$27:$B$36,0)),"Unassigned"))</f>
        <v/>
      </c>
      <c r="C520">
        <f>IF($N520="","",INDEX('Per Line'!$D$2:$D$3001,$N520))</f>
        <v/>
      </c>
      <c r="D520">
        <f>IF($N520="","",INDEX('Per Line'!$C$2:$C$3001,$N520))</f>
        <v/>
      </c>
      <c r="E520">
        <f>IF($N520="","",INDEX('Per Line'!$A$2:$A$3001,$N520))</f>
        <v/>
      </c>
      <c r="H520">
        <f>IF($N520="","",INDEX('Per Line'!$V$2:$V$3001,$N520))</f>
        <v/>
      </c>
      <c r="I520" s="5">
        <f>IF($N520="","",SUMIFS('Per Line'!$X$2:$X$3001,'Per Line'!$D$2:$D$3001,$C520))</f>
        <v/>
      </c>
      <c r="J520" s="5">
        <f>IF($N520="","",SUMIFS('Per Line'!$Y$2:$Y$3001,'Per Line'!$D$2:$D$3001,$C520))</f>
        <v/>
      </c>
      <c r="K520" s="5">
        <f>IF($N520="","",SUMIFS('Per Line'!$Z$2:$Z$3001,'Per Line'!$D$2:$D$3001,$C520))</f>
        <v/>
      </c>
      <c r="L520" s="5">
        <f>IF($N520="","",I520-J520)</f>
        <v/>
      </c>
      <c r="M520" s="5">
        <f>IF($N520="","",L520-K520)</f>
        <v/>
      </c>
      <c r="N520">
        <f>IF(ROWS($N$2:$N520)&lt;=MAX('Per Line'!$AG$2:$AG$3001),MATCH(ROWS($N$2:$N520),'Per Line'!$AG$2:$AG$3001,0),"")</f>
        <v/>
      </c>
      <c r="O520">
        <f>IF(B520="Above Claim Form",COUNTIF($B$2:B520,"Above Claim Form"),"")</f>
        <v/>
      </c>
      <c r="P520">
        <f>IF(B520="Below Claim Form",COUNTIF($B$2:B520,"Below Claim Form"),"")</f>
        <v/>
      </c>
    </row>
    <row r="521">
      <c r="B521">
        <f>IF($N521="","",IFERROR(INDEX(Settings!$C$27:$C$36,MATCH(E521,Settings!$B$27:$B$36,0)),"Unassigned"))</f>
        <v/>
      </c>
      <c r="C521">
        <f>IF($N521="","",INDEX('Per Line'!$D$2:$D$3001,$N521))</f>
        <v/>
      </c>
      <c r="D521">
        <f>IF($N521="","",INDEX('Per Line'!$C$2:$C$3001,$N521))</f>
        <v/>
      </c>
      <c r="E521">
        <f>IF($N521="","",INDEX('Per Line'!$A$2:$A$3001,$N521))</f>
        <v/>
      </c>
      <c r="H521">
        <f>IF($N521="","",INDEX('Per Line'!$V$2:$V$3001,$N521))</f>
        <v/>
      </c>
      <c r="I521" s="5">
        <f>IF($N521="","",SUMIFS('Per Line'!$X$2:$X$3001,'Per Line'!$D$2:$D$3001,$C521))</f>
        <v/>
      </c>
      <c r="J521" s="5">
        <f>IF($N521="","",SUMIFS('Per Line'!$Y$2:$Y$3001,'Per Line'!$D$2:$D$3001,$C521))</f>
        <v/>
      </c>
      <c r="K521" s="5">
        <f>IF($N521="","",SUMIFS('Per Line'!$Z$2:$Z$3001,'Per Line'!$D$2:$D$3001,$C521))</f>
        <v/>
      </c>
      <c r="L521" s="5">
        <f>IF($N521="","",I521-J521)</f>
        <v/>
      </c>
      <c r="M521" s="5">
        <f>IF($N521="","",L521-K521)</f>
        <v/>
      </c>
      <c r="N521">
        <f>IF(ROWS($N$2:$N521)&lt;=MAX('Per Line'!$AG$2:$AG$3001),MATCH(ROWS($N$2:$N521),'Per Line'!$AG$2:$AG$3001,0),"")</f>
        <v/>
      </c>
      <c r="O521">
        <f>IF(B521="Above Claim Form",COUNTIF($B$2:B521,"Above Claim Form"),"")</f>
        <v/>
      </c>
      <c r="P521">
        <f>IF(B521="Below Claim Form",COUNTIF($B$2:B521,"Below Claim Form"),"")</f>
        <v/>
      </c>
    </row>
    <row r="522">
      <c r="B522">
        <f>IF($N522="","",IFERROR(INDEX(Settings!$C$27:$C$36,MATCH(E522,Settings!$B$27:$B$36,0)),"Unassigned"))</f>
        <v/>
      </c>
      <c r="C522">
        <f>IF($N522="","",INDEX('Per Line'!$D$2:$D$3001,$N522))</f>
        <v/>
      </c>
      <c r="D522">
        <f>IF($N522="","",INDEX('Per Line'!$C$2:$C$3001,$N522))</f>
        <v/>
      </c>
      <c r="E522">
        <f>IF($N522="","",INDEX('Per Line'!$A$2:$A$3001,$N522))</f>
        <v/>
      </c>
      <c r="H522">
        <f>IF($N522="","",INDEX('Per Line'!$V$2:$V$3001,$N522))</f>
        <v/>
      </c>
      <c r="I522" s="5">
        <f>IF($N522="","",SUMIFS('Per Line'!$X$2:$X$3001,'Per Line'!$D$2:$D$3001,$C522))</f>
        <v/>
      </c>
      <c r="J522" s="5">
        <f>IF($N522="","",SUMIFS('Per Line'!$Y$2:$Y$3001,'Per Line'!$D$2:$D$3001,$C522))</f>
        <v/>
      </c>
      <c r="K522" s="5">
        <f>IF($N522="","",SUMIFS('Per Line'!$Z$2:$Z$3001,'Per Line'!$D$2:$D$3001,$C522))</f>
        <v/>
      </c>
      <c r="L522" s="5">
        <f>IF($N522="","",I522-J522)</f>
        <v/>
      </c>
      <c r="M522" s="5">
        <f>IF($N522="","",L522-K522)</f>
        <v/>
      </c>
      <c r="N522">
        <f>IF(ROWS($N$2:$N522)&lt;=MAX('Per Line'!$AG$2:$AG$3001),MATCH(ROWS($N$2:$N522),'Per Line'!$AG$2:$AG$3001,0),"")</f>
        <v/>
      </c>
      <c r="O522">
        <f>IF(B522="Above Claim Form",COUNTIF($B$2:B522,"Above Claim Form"),"")</f>
        <v/>
      </c>
      <c r="P522">
        <f>IF(B522="Below Claim Form",COUNTIF($B$2:B522,"Below Claim Form"),"")</f>
        <v/>
      </c>
    </row>
    <row r="523">
      <c r="B523">
        <f>IF($N523="","",IFERROR(INDEX(Settings!$C$27:$C$36,MATCH(E523,Settings!$B$27:$B$36,0)),"Unassigned"))</f>
        <v/>
      </c>
      <c r="C523">
        <f>IF($N523="","",INDEX('Per Line'!$D$2:$D$3001,$N523))</f>
        <v/>
      </c>
      <c r="D523">
        <f>IF($N523="","",INDEX('Per Line'!$C$2:$C$3001,$N523))</f>
        <v/>
      </c>
      <c r="E523">
        <f>IF($N523="","",INDEX('Per Line'!$A$2:$A$3001,$N523))</f>
        <v/>
      </c>
      <c r="H523">
        <f>IF($N523="","",INDEX('Per Line'!$V$2:$V$3001,$N523))</f>
        <v/>
      </c>
      <c r="I523" s="5">
        <f>IF($N523="","",SUMIFS('Per Line'!$X$2:$X$3001,'Per Line'!$D$2:$D$3001,$C523))</f>
        <v/>
      </c>
      <c r="J523" s="5">
        <f>IF($N523="","",SUMIFS('Per Line'!$Y$2:$Y$3001,'Per Line'!$D$2:$D$3001,$C523))</f>
        <v/>
      </c>
      <c r="K523" s="5">
        <f>IF($N523="","",SUMIFS('Per Line'!$Z$2:$Z$3001,'Per Line'!$D$2:$D$3001,$C523))</f>
        <v/>
      </c>
      <c r="L523" s="5">
        <f>IF($N523="","",I523-J523)</f>
        <v/>
      </c>
      <c r="M523" s="5">
        <f>IF($N523="","",L523-K523)</f>
        <v/>
      </c>
      <c r="N523">
        <f>IF(ROWS($N$2:$N523)&lt;=MAX('Per Line'!$AG$2:$AG$3001),MATCH(ROWS($N$2:$N523),'Per Line'!$AG$2:$AG$3001,0),"")</f>
        <v/>
      </c>
      <c r="O523">
        <f>IF(B523="Above Claim Form",COUNTIF($B$2:B523,"Above Claim Form"),"")</f>
        <v/>
      </c>
      <c r="P523">
        <f>IF(B523="Below Claim Form",COUNTIF($B$2:B523,"Below Claim Form"),"")</f>
        <v/>
      </c>
    </row>
    <row r="524">
      <c r="B524">
        <f>IF($N524="","",IFERROR(INDEX(Settings!$C$27:$C$36,MATCH(E524,Settings!$B$27:$B$36,0)),"Unassigned"))</f>
        <v/>
      </c>
      <c r="C524">
        <f>IF($N524="","",INDEX('Per Line'!$D$2:$D$3001,$N524))</f>
        <v/>
      </c>
      <c r="D524">
        <f>IF($N524="","",INDEX('Per Line'!$C$2:$C$3001,$N524))</f>
        <v/>
      </c>
      <c r="E524">
        <f>IF($N524="","",INDEX('Per Line'!$A$2:$A$3001,$N524))</f>
        <v/>
      </c>
      <c r="H524">
        <f>IF($N524="","",INDEX('Per Line'!$V$2:$V$3001,$N524))</f>
        <v/>
      </c>
      <c r="I524" s="5">
        <f>IF($N524="","",SUMIFS('Per Line'!$X$2:$X$3001,'Per Line'!$D$2:$D$3001,$C524))</f>
        <v/>
      </c>
      <c r="J524" s="5">
        <f>IF($N524="","",SUMIFS('Per Line'!$Y$2:$Y$3001,'Per Line'!$D$2:$D$3001,$C524))</f>
        <v/>
      </c>
      <c r="K524" s="5">
        <f>IF($N524="","",SUMIFS('Per Line'!$Z$2:$Z$3001,'Per Line'!$D$2:$D$3001,$C524))</f>
        <v/>
      </c>
      <c r="L524" s="5">
        <f>IF($N524="","",I524-J524)</f>
        <v/>
      </c>
      <c r="M524" s="5">
        <f>IF($N524="","",L524-K524)</f>
        <v/>
      </c>
      <c r="N524">
        <f>IF(ROWS($N$2:$N524)&lt;=MAX('Per Line'!$AG$2:$AG$3001),MATCH(ROWS($N$2:$N524),'Per Line'!$AG$2:$AG$3001,0),"")</f>
        <v/>
      </c>
      <c r="O524">
        <f>IF(B524="Above Claim Form",COUNTIF($B$2:B524,"Above Claim Form"),"")</f>
        <v/>
      </c>
      <c r="P524">
        <f>IF(B524="Below Claim Form",COUNTIF($B$2:B524,"Below Claim Form"),"")</f>
        <v/>
      </c>
    </row>
    <row r="525">
      <c r="B525">
        <f>IF($N525="","",IFERROR(INDEX(Settings!$C$27:$C$36,MATCH(E525,Settings!$B$27:$B$36,0)),"Unassigned"))</f>
        <v/>
      </c>
      <c r="C525">
        <f>IF($N525="","",INDEX('Per Line'!$D$2:$D$3001,$N525))</f>
        <v/>
      </c>
      <c r="D525">
        <f>IF($N525="","",INDEX('Per Line'!$C$2:$C$3001,$N525))</f>
        <v/>
      </c>
      <c r="E525">
        <f>IF($N525="","",INDEX('Per Line'!$A$2:$A$3001,$N525))</f>
        <v/>
      </c>
      <c r="H525">
        <f>IF($N525="","",INDEX('Per Line'!$V$2:$V$3001,$N525))</f>
        <v/>
      </c>
      <c r="I525" s="5">
        <f>IF($N525="","",SUMIFS('Per Line'!$X$2:$X$3001,'Per Line'!$D$2:$D$3001,$C525))</f>
        <v/>
      </c>
      <c r="J525" s="5">
        <f>IF($N525="","",SUMIFS('Per Line'!$Y$2:$Y$3001,'Per Line'!$D$2:$D$3001,$C525))</f>
        <v/>
      </c>
      <c r="K525" s="5">
        <f>IF($N525="","",SUMIFS('Per Line'!$Z$2:$Z$3001,'Per Line'!$D$2:$D$3001,$C525))</f>
        <v/>
      </c>
      <c r="L525" s="5">
        <f>IF($N525="","",I525-J525)</f>
        <v/>
      </c>
      <c r="M525" s="5">
        <f>IF($N525="","",L525-K525)</f>
        <v/>
      </c>
      <c r="N525">
        <f>IF(ROWS($N$2:$N525)&lt;=MAX('Per Line'!$AG$2:$AG$3001),MATCH(ROWS($N$2:$N525),'Per Line'!$AG$2:$AG$3001,0),"")</f>
        <v/>
      </c>
      <c r="O525">
        <f>IF(B525="Above Claim Form",COUNTIF($B$2:B525,"Above Claim Form"),"")</f>
        <v/>
      </c>
      <c r="P525">
        <f>IF(B525="Below Claim Form",COUNTIF($B$2:B525,"Below Claim Form"),"")</f>
        <v/>
      </c>
    </row>
    <row r="526">
      <c r="B526">
        <f>IF($N526="","",IFERROR(INDEX(Settings!$C$27:$C$36,MATCH(E526,Settings!$B$27:$B$36,0)),"Unassigned"))</f>
        <v/>
      </c>
      <c r="C526">
        <f>IF($N526="","",INDEX('Per Line'!$D$2:$D$3001,$N526))</f>
        <v/>
      </c>
      <c r="D526">
        <f>IF($N526="","",INDEX('Per Line'!$C$2:$C$3001,$N526))</f>
        <v/>
      </c>
      <c r="E526">
        <f>IF($N526="","",INDEX('Per Line'!$A$2:$A$3001,$N526))</f>
        <v/>
      </c>
      <c r="H526">
        <f>IF($N526="","",INDEX('Per Line'!$V$2:$V$3001,$N526))</f>
        <v/>
      </c>
      <c r="I526" s="5">
        <f>IF($N526="","",SUMIFS('Per Line'!$X$2:$X$3001,'Per Line'!$D$2:$D$3001,$C526))</f>
        <v/>
      </c>
      <c r="J526" s="5">
        <f>IF($N526="","",SUMIFS('Per Line'!$Y$2:$Y$3001,'Per Line'!$D$2:$D$3001,$C526))</f>
        <v/>
      </c>
      <c r="K526" s="5">
        <f>IF($N526="","",SUMIFS('Per Line'!$Z$2:$Z$3001,'Per Line'!$D$2:$D$3001,$C526))</f>
        <v/>
      </c>
      <c r="L526" s="5">
        <f>IF($N526="","",I526-J526)</f>
        <v/>
      </c>
      <c r="M526" s="5">
        <f>IF($N526="","",L526-K526)</f>
        <v/>
      </c>
      <c r="N526">
        <f>IF(ROWS($N$2:$N526)&lt;=MAX('Per Line'!$AG$2:$AG$3001),MATCH(ROWS($N$2:$N526),'Per Line'!$AG$2:$AG$3001,0),"")</f>
        <v/>
      </c>
      <c r="O526">
        <f>IF(B526="Above Claim Form",COUNTIF($B$2:B526,"Above Claim Form"),"")</f>
        <v/>
      </c>
      <c r="P526">
        <f>IF(B526="Below Claim Form",COUNTIF($B$2:B526,"Below Claim Form"),"")</f>
        <v/>
      </c>
    </row>
    <row r="527">
      <c r="B527">
        <f>IF($N527="","",IFERROR(INDEX(Settings!$C$27:$C$36,MATCH(E527,Settings!$B$27:$B$36,0)),"Unassigned"))</f>
        <v/>
      </c>
      <c r="C527">
        <f>IF($N527="","",INDEX('Per Line'!$D$2:$D$3001,$N527))</f>
        <v/>
      </c>
      <c r="D527">
        <f>IF($N527="","",INDEX('Per Line'!$C$2:$C$3001,$N527))</f>
        <v/>
      </c>
      <c r="E527">
        <f>IF($N527="","",INDEX('Per Line'!$A$2:$A$3001,$N527))</f>
        <v/>
      </c>
      <c r="H527">
        <f>IF($N527="","",INDEX('Per Line'!$V$2:$V$3001,$N527))</f>
        <v/>
      </c>
      <c r="I527" s="5">
        <f>IF($N527="","",SUMIFS('Per Line'!$X$2:$X$3001,'Per Line'!$D$2:$D$3001,$C527))</f>
        <v/>
      </c>
      <c r="J527" s="5">
        <f>IF($N527="","",SUMIFS('Per Line'!$Y$2:$Y$3001,'Per Line'!$D$2:$D$3001,$C527))</f>
        <v/>
      </c>
      <c r="K527" s="5">
        <f>IF($N527="","",SUMIFS('Per Line'!$Z$2:$Z$3001,'Per Line'!$D$2:$D$3001,$C527))</f>
        <v/>
      </c>
      <c r="L527" s="5">
        <f>IF($N527="","",I527-J527)</f>
        <v/>
      </c>
      <c r="M527" s="5">
        <f>IF($N527="","",L527-K527)</f>
        <v/>
      </c>
      <c r="N527">
        <f>IF(ROWS($N$2:$N527)&lt;=MAX('Per Line'!$AG$2:$AG$3001),MATCH(ROWS($N$2:$N527),'Per Line'!$AG$2:$AG$3001,0),"")</f>
        <v/>
      </c>
      <c r="O527">
        <f>IF(B527="Above Claim Form",COUNTIF($B$2:B527,"Above Claim Form"),"")</f>
        <v/>
      </c>
      <c r="P527">
        <f>IF(B527="Below Claim Form",COUNTIF($B$2:B527,"Below Claim Form"),"")</f>
        <v/>
      </c>
    </row>
    <row r="528">
      <c r="B528">
        <f>IF($N528="","",IFERROR(INDEX(Settings!$C$27:$C$36,MATCH(E528,Settings!$B$27:$B$36,0)),"Unassigned"))</f>
        <v/>
      </c>
      <c r="C528">
        <f>IF($N528="","",INDEX('Per Line'!$D$2:$D$3001,$N528))</f>
        <v/>
      </c>
      <c r="D528">
        <f>IF($N528="","",INDEX('Per Line'!$C$2:$C$3001,$N528))</f>
        <v/>
      </c>
      <c r="E528">
        <f>IF($N528="","",INDEX('Per Line'!$A$2:$A$3001,$N528))</f>
        <v/>
      </c>
      <c r="H528">
        <f>IF($N528="","",INDEX('Per Line'!$V$2:$V$3001,$N528))</f>
        <v/>
      </c>
      <c r="I528" s="5">
        <f>IF($N528="","",SUMIFS('Per Line'!$X$2:$X$3001,'Per Line'!$D$2:$D$3001,$C528))</f>
        <v/>
      </c>
      <c r="J528" s="5">
        <f>IF($N528="","",SUMIFS('Per Line'!$Y$2:$Y$3001,'Per Line'!$D$2:$D$3001,$C528))</f>
        <v/>
      </c>
      <c r="K528" s="5">
        <f>IF($N528="","",SUMIFS('Per Line'!$Z$2:$Z$3001,'Per Line'!$D$2:$D$3001,$C528))</f>
        <v/>
      </c>
      <c r="L528" s="5">
        <f>IF($N528="","",I528-J528)</f>
        <v/>
      </c>
      <c r="M528" s="5">
        <f>IF($N528="","",L528-K528)</f>
        <v/>
      </c>
      <c r="N528">
        <f>IF(ROWS($N$2:$N528)&lt;=MAX('Per Line'!$AG$2:$AG$3001),MATCH(ROWS($N$2:$N528),'Per Line'!$AG$2:$AG$3001,0),"")</f>
        <v/>
      </c>
      <c r="O528">
        <f>IF(B528="Above Claim Form",COUNTIF($B$2:B528,"Above Claim Form"),"")</f>
        <v/>
      </c>
      <c r="P528">
        <f>IF(B528="Below Claim Form",COUNTIF($B$2:B528,"Below Claim Form"),"")</f>
        <v/>
      </c>
    </row>
    <row r="529">
      <c r="B529">
        <f>IF($N529="","",IFERROR(INDEX(Settings!$C$27:$C$36,MATCH(E529,Settings!$B$27:$B$36,0)),"Unassigned"))</f>
        <v/>
      </c>
      <c r="C529">
        <f>IF($N529="","",INDEX('Per Line'!$D$2:$D$3001,$N529))</f>
        <v/>
      </c>
      <c r="D529">
        <f>IF($N529="","",INDEX('Per Line'!$C$2:$C$3001,$N529))</f>
        <v/>
      </c>
      <c r="E529">
        <f>IF($N529="","",INDEX('Per Line'!$A$2:$A$3001,$N529))</f>
        <v/>
      </c>
      <c r="H529">
        <f>IF($N529="","",INDEX('Per Line'!$V$2:$V$3001,$N529))</f>
        <v/>
      </c>
      <c r="I529" s="5">
        <f>IF($N529="","",SUMIFS('Per Line'!$X$2:$X$3001,'Per Line'!$D$2:$D$3001,$C529))</f>
        <v/>
      </c>
      <c r="J529" s="5">
        <f>IF($N529="","",SUMIFS('Per Line'!$Y$2:$Y$3001,'Per Line'!$D$2:$D$3001,$C529))</f>
        <v/>
      </c>
      <c r="K529" s="5">
        <f>IF($N529="","",SUMIFS('Per Line'!$Z$2:$Z$3001,'Per Line'!$D$2:$D$3001,$C529))</f>
        <v/>
      </c>
      <c r="L529" s="5">
        <f>IF($N529="","",I529-J529)</f>
        <v/>
      </c>
      <c r="M529" s="5">
        <f>IF($N529="","",L529-K529)</f>
        <v/>
      </c>
      <c r="N529">
        <f>IF(ROWS($N$2:$N529)&lt;=MAX('Per Line'!$AG$2:$AG$3001),MATCH(ROWS($N$2:$N529),'Per Line'!$AG$2:$AG$3001,0),"")</f>
        <v/>
      </c>
      <c r="O529">
        <f>IF(B529="Above Claim Form",COUNTIF($B$2:B529,"Above Claim Form"),"")</f>
        <v/>
      </c>
      <c r="P529">
        <f>IF(B529="Below Claim Form",COUNTIF($B$2:B529,"Below Claim Form"),"")</f>
        <v/>
      </c>
    </row>
    <row r="530">
      <c r="B530">
        <f>IF($N530="","",IFERROR(INDEX(Settings!$C$27:$C$36,MATCH(E530,Settings!$B$27:$B$36,0)),"Unassigned"))</f>
        <v/>
      </c>
      <c r="C530">
        <f>IF($N530="","",INDEX('Per Line'!$D$2:$D$3001,$N530))</f>
        <v/>
      </c>
      <c r="D530">
        <f>IF($N530="","",INDEX('Per Line'!$C$2:$C$3001,$N530))</f>
        <v/>
      </c>
      <c r="E530">
        <f>IF($N530="","",INDEX('Per Line'!$A$2:$A$3001,$N530))</f>
        <v/>
      </c>
      <c r="H530">
        <f>IF($N530="","",INDEX('Per Line'!$V$2:$V$3001,$N530))</f>
        <v/>
      </c>
      <c r="I530" s="5">
        <f>IF($N530="","",SUMIFS('Per Line'!$X$2:$X$3001,'Per Line'!$D$2:$D$3001,$C530))</f>
        <v/>
      </c>
      <c r="J530" s="5">
        <f>IF($N530="","",SUMIFS('Per Line'!$Y$2:$Y$3001,'Per Line'!$D$2:$D$3001,$C530))</f>
        <v/>
      </c>
      <c r="K530" s="5">
        <f>IF($N530="","",SUMIFS('Per Line'!$Z$2:$Z$3001,'Per Line'!$D$2:$D$3001,$C530))</f>
        <v/>
      </c>
      <c r="L530" s="5">
        <f>IF($N530="","",I530-J530)</f>
        <v/>
      </c>
      <c r="M530" s="5">
        <f>IF($N530="","",L530-K530)</f>
        <v/>
      </c>
      <c r="N530">
        <f>IF(ROWS($N$2:$N530)&lt;=MAX('Per Line'!$AG$2:$AG$3001),MATCH(ROWS($N$2:$N530),'Per Line'!$AG$2:$AG$3001,0),"")</f>
        <v/>
      </c>
      <c r="O530">
        <f>IF(B530="Above Claim Form",COUNTIF($B$2:B530,"Above Claim Form"),"")</f>
        <v/>
      </c>
      <c r="P530">
        <f>IF(B530="Below Claim Form",COUNTIF($B$2:B530,"Below Claim Form"),"")</f>
        <v/>
      </c>
    </row>
    <row r="531">
      <c r="B531">
        <f>IF($N531="","",IFERROR(INDEX(Settings!$C$27:$C$36,MATCH(E531,Settings!$B$27:$B$36,0)),"Unassigned"))</f>
        <v/>
      </c>
      <c r="C531">
        <f>IF($N531="","",INDEX('Per Line'!$D$2:$D$3001,$N531))</f>
        <v/>
      </c>
      <c r="D531">
        <f>IF($N531="","",INDEX('Per Line'!$C$2:$C$3001,$N531))</f>
        <v/>
      </c>
      <c r="E531">
        <f>IF($N531="","",INDEX('Per Line'!$A$2:$A$3001,$N531))</f>
        <v/>
      </c>
      <c r="H531">
        <f>IF($N531="","",INDEX('Per Line'!$V$2:$V$3001,$N531))</f>
        <v/>
      </c>
      <c r="I531" s="5">
        <f>IF($N531="","",SUMIFS('Per Line'!$X$2:$X$3001,'Per Line'!$D$2:$D$3001,$C531))</f>
        <v/>
      </c>
      <c r="J531" s="5">
        <f>IF($N531="","",SUMIFS('Per Line'!$Y$2:$Y$3001,'Per Line'!$D$2:$D$3001,$C531))</f>
        <v/>
      </c>
      <c r="K531" s="5">
        <f>IF($N531="","",SUMIFS('Per Line'!$Z$2:$Z$3001,'Per Line'!$D$2:$D$3001,$C531))</f>
        <v/>
      </c>
      <c r="L531" s="5">
        <f>IF($N531="","",I531-J531)</f>
        <v/>
      </c>
      <c r="M531" s="5">
        <f>IF($N531="","",L531-K531)</f>
        <v/>
      </c>
      <c r="N531">
        <f>IF(ROWS($N$2:$N531)&lt;=MAX('Per Line'!$AG$2:$AG$3001),MATCH(ROWS($N$2:$N531),'Per Line'!$AG$2:$AG$3001,0),"")</f>
        <v/>
      </c>
      <c r="O531">
        <f>IF(B531="Above Claim Form",COUNTIF($B$2:B531,"Above Claim Form"),"")</f>
        <v/>
      </c>
      <c r="P531">
        <f>IF(B531="Below Claim Form",COUNTIF($B$2:B531,"Below Claim Form"),"")</f>
        <v/>
      </c>
    </row>
    <row r="532">
      <c r="B532">
        <f>IF($N532="","",IFERROR(INDEX(Settings!$C$27:$C$36,MATCH(E532,Settings!$B$27:$B$36,0)),"Unassigned"))</f>
        <v/>
      </c>
      <c r="C532">
        <f>IF($N532="","",INDEX('Per Line'!$D$2:$D$3001,$N532))</f>
        <v/>
      </c>
      <c r="D532">
        <f>IF($N532="","",INDEX('Per Line'!$C$2:$C$3001,$N532))</f>
        <v/>
      </c>
      <c r="E532">
        <f>IF($N532="","",INDEX('Per Line'!$A$2:$A$3001,$N532))</f>
        <v/>
      </c>
      <c r="H532">
        <f>IF($N532="","",INDEX('Per Line'!$V$2:$V$3001,$N532))</f>
        <v/>
      </c>
      <c r="I532" s="5">
        <f>IF($N532="","",SUMIFS('Per Line'!$X$2:$X$3001,'Per Line'!$D$2:$D$3001,$C532))</f>
        <v/>
      </c>
      <c r="J532" s="5">
        <f>IF($N532="","",SUMIFS('Per Line'!$Y$2:$Y$3001,'Per Line'!$D$2:$D$3001,$C532))</f>
        <v/>
      </c>
      <c r="K532" s="5">
        <f>IF($N532="","",SUMIFS('Per Line'!$Z$2:$Z$3001,'Per Line'!$D$2:$D$3001,$C532))</f>
        <v/>
      </c>
      <c r="L532" s="5">
        <f>IF($N532="","",I532-J532)</f>
        <v/>
      </c>
      <c r="M532" s="5">
        <f>IF($N532="","",L532-K532)</f>
        <v/>
      </c>
      <c r="N532">
        <f>IF(ROWS($N$2:$N532)&lt;=MAX('Per Line'!$AG$2:$AG$3001),MATCH(ROWS($N$2:$N532),'Per Line'!$AG$2:$AG$3001,0),"")</f>
        <v/>
      </c>
      <c r="O532">
        <f>IF(B532="Above Claim Form",COUNTIF($B$2:B532,"Above Claim Form"),"")</f>
        <v/>
      </c>
      <c r="P532">
        <f>IF(B532="Below Claim Form",COUNTIF($B$2:B532,"Below Claim Form"),"")</f>
        <v/>
      </c>
    </row>
    <row r="533">
      <c r="B533">
        <f>IF($N533="","",IFERROR(INDEX(Settings!$C$27:$C$36,MATCH(E533,Settings!$B$27:$B$36,0)),"Unassigned"))</f>
        <v/>
      </c>
      <c r="C533">
        <f>IF($N533="","",INDEX('Per Line'!$D$2:$D$3001,$N533))</f>
        <v/>
      </c>
      <c r="D533">
        <f>IF($N533="","",INDEX('Per Line'!$C$2:$C$3001,$N533))</f>
        <v/>
      </c>
      <c r="E533">
        <f>IF($N533="","",INDEX('Per Line'!$A$2:$A$3001,$N533))</f>
        <v/>
      </c>
      <c r="H533">
        <f>IF($N533="","",INDEX('Per Line'!$V$2:$V$3001,$N533))</f>
        <v/>
      </c>
      <c r="I533" s="5">
        <f>IF($N533="","",SUMIFS('Per Line'!$X$2:$X$3001,'Per Line'!$D$2:$D$3001,$C533))</f>
        <v/>
      </c>
      <c r="J533" s="5">
        <f>IF($N533="","",SUMIFS('Per Line'!$Y$2:$Y$3001,'Per Line'!$D$2:$D$3001,$C533))</f>
        <v/>
      </c>
      <c r="K533" s="5">
        <f>IF($N533="","",SUMIFS('Per Line'!$Z$2:$Z$3001,'Per Line'!$D$2:$D$3001,$C533))</f>
        <v/>
      </c>
      <c r="L533" s="5">
        <f>IF($N533="","",I533-J533)</f>
        <v/>
      </c>
      <c r="M533" s="5">
        <f>IF($N533="","",L533-K533)</f>
        <v/>
      </c>
      <c r="N533">
        <f>IF(ROWS($N$2:$N533)&lt;=MAX('Per Line'!$AG$2:$AG$3001),MATCH(ROWS($N$2:$N533),'Per Line'!$AG$2:$AG$3001,0),"")</f>
        <v/>
      </c>
      <c r="O533">
        <f>IF(B533="Above Claim Form",COUNTIF($B$2:B533,"Above Claim Form"),"")</f>
        <v/>
      </c>
      <c r="P533">
        <f>IF(B533="Below Claim Form",COUNTIF($B$2:B533,"Below Claim Form"),"")</f>
        <v/>
      </c>
    </row>
    <row r="534">
      <c r="B534">
        <f>IF($N534="","",IFERROR(INDEX(Settings!$C$27:$C$36,MATCH(E534,Settings!$B$27:$B$36,0)),"Unassigned"))</f>
        <v/>
      </c>
      <c r="C534">
        <f>IF($N534="","",INDEX('Per Line'!$D$2:$D$3001,$N534))</f>
        <v/>
      </c>
      <c r="D534">
        <f>IF($N534="","",INDEX('Per Line'!$C$2:$C$3001,$N534))</f>
        <v/>
      </c>
      <c r="E534">
        <f>IF($N534="","",INDEX('Per Line'!$A$2:$A$3001,$N534))</f>
        <v/>
      </c>
      <c r="H534">
        <f>IF($N534="","",INDEX('Per Line'!$V$2:$V$3001,$N534))</f>
        <v/>
      </c>
      <c r="I534" s="5">
        <f>IF($N534="","",SUMIFS('Per Line'!$X$2:$X$3001,'Per Line'!$D$2:$D$3001,$C534))</f>
        <v/>
      </c>
      <c r="J534" s="5">
        <f>IF($N534="","",SUMIFS('Per Line'!$Y$2:$Y$3001,'Per Line'!$D$2:$D$3001,$C534))</f>
        <v/>
      </c>
      <c r="K534" s="5">
        <f>IF($N534="","",SUMIFS('Per Line'!$Z$2:$Z$3001,'Per Line'!$D$2:$D$3001,$C534))</f>
        <v/>
      </c>
      <c r="L534" s="5">
        <f>IF($N534="","",I534-J534)</f>
        <v/>
      </c>
      <c r="M534" s="5">
        <f>IF($N534="","",L534-K534)</f>
        <v/>
      </c>
      <c r="N534">
        <f>IF(ROWS($N$2:$N534)&lt;=MAX('Per Line'!$AG$2:$AG$3001),MATCH(ROWS($N$2:$N534),'Per Line'!$AG$2:$AG$3001,0),"")</f>
        <v/>
      </c>
      <c r="O534">
        <f>IF(B534="Above Claim Form",COUNTIF($B$2:B534,"Above Claim Form"),"")</f>
        <v/>
      </c>
      <c r="P534">
        <f>IF(B534="Below Claim Form",COUNTIF($B$2:B534,"Below Claim Form"),"")</f>
        <v/>
      </c>
    </row>
    <row r="535">
      <c r="B535">
        <f>IF($N535="","",IFERROR(INDEX(Settings!$C$27:$C$36,MATCH(E535,Settings!$B$27:$B$36,0)),"Unassigned"))</f>
        <v/>
      </c>
      <c r="C535">
        <f>IF($N535="","",INDEX('Per Line'!$D$2:$D$3001,$N535))</f>
        <v/>
      </c>
      <c r="D535">
        <f>IF($N535="","",INDEX('Per Line'!$C$2:$C$3001,$N535))</f>
        <v/>
      </c>
      <c r="E535">
        <f>IF($N535="","",INDEX('Per Line'!$A$2:$A$3001,$N535))</f>
        <v/>
      </c>
      <c r="H535">
        <f>IF($N535="","",INDEX('Per Line'!$V$2:$V$3001,$N535))</f>
        <v/>
      </c>
      <c r="I535" s="5">
        <f>IF($N535="","",SUMIFS('Per Line'!$X$2:$X$3001,'Per Line'!$D$2:$D$3001,$C535))</f>
        <v/>
      </c>
      <c r="J535" s="5">
        <f>IF($N535="","",SUMIFS('Per Line'!$Y$2:$Y$3001,'Per Line'!$D$2:$D$3001,$C535))</f>
        <v/>
      </c>
      <c r="K535" s="5">
        <f>IF($N535="","",SUMIFS('Per Line'!$Z$2:$Z$3001,'Per Line'!$D$2:$D$3001,$C535))</f>
        <v/>
      </c>
      <c r="L535" s="5">
        <f>IF($N535="","",I535-J535)</f>
        <v/>
      </c>
      <c r="M535" s="5">
        <f>IF($N535="","",L535-K535)</f>
        <v/>
      </c>
      <c r="N535">
        <f>IF(ROWS($N$2:$N535)&lt;=MAX('Per Line'!$AG$2:$AG$3001),MATCH(ROWS($N$2:$N535),'Per Line'!$AG$2:$AG$3001,0),"")</f>
        <v/>
      </c>
      <c r="O535">
        <f>IF(B535="Above Claim Form",COUNTIF($B$2:B535,"Above Claim Form"),"")</f>
        <v/>
      </c>
      <c r="P535">
        <f>IF(B535="Below Claim Form",COUNTIF($B$2:B535,"Below Claim Form"),"")</f>
        <v/>
      </c>
    </row>
    <row r="536">
      <c r="B536">
        <f>IF($N536="","",IFERROR(INDEX(Settings!$C$27:$C$36,MATCH(E536,Settings!$B$27:$B$36,0)),"Unassigned"))</f>
        <v/>
      </c>
      <c r="C536">
        <f>IF($N536="","",INDEX('Per Line'!$D$2:$D$3001,$N536))</f>
        <v/>
      </c>
      <c r="D536">
        <f>IF($N536="","",INDEX('Per Line'!$C$2:$C$3001,$N536))</f>
        <v/>
      </c>
      <c r="E536">
        <f>IF($N536="","",INDEX('Per Line'!$A$2:$A$3001,$N536))</f>
        <v/>
      </c>
      <c r="H536">
        <f>IF($N536="","",INDEX('Per Line'!$V$2:$V$3001,$N536))</f>
        <v/>
      </c>
      <c r="I536" s="5">
        <f>IF($N536="","",SUMIFS('Per Line'!$X$2:$X$3001,'Per Line'!$D$2:$D$3001,$C536))</f>
        <v/>
      </c>
      <c r="J536" s="5">
        <f>IF($N536="","",SUMIFS('Per Line'!$Y$2:$Y$3001,'Per Line'!$D$2:$D$3001,$C536))</f>
        <v/>
      </c>
      <c r="K536" s="5">
        <f>IF($N536="","",SUMIFS('Per Line'!$Z$2:$Z$3001,'Per Line'!$D$2:$D$3001,$C536))</f>
        <v/>
      </c>
      <c r="L536" s="5">
        <f>IF($N536="","",I536-J536)</f>
        <v/>
      </c>
      <c r="M536" s="5">
        <f>IF($N536="","",L536-K536)</f>
        <v/>
      </c>
      <c r="N536">
        <f>IF(ROWS($N$2:$N536)&lt;=MAX('Per Line'!$AG$2:$AG$3001),MATCH(ROWS($N$2:$N536),'Per Line'!$AG$2:$AG$3001,0),"")</f>
        <v/>
      </c>
      <c r="O536">
        <f>IF(B536="Above Claim Form",COUNTIF($B$2:B536,"Above Claim Form"),"")</f>
        <v/>
      </c>
      <c r="P536">
        <f>IF(B536="Below Claim Form",COUNTIF($B$2:B536,"Below Claim Form"),"")</f>
        <v/>
      </c>
    </row>
    <row r="537">
      <c r="B537">
        <f>IF($N537="","",IFERROR(INDEX(Settings!$C$27:$C$36,MATCH(E537,Settings!$B$27:$B$36,0)),"Unassigned"))</f>
        <v/>
      </c>
      <c r="C537">
        <f>IF($N537="","",INDEX('Per Line'!$D$2:$D$3001,$N537))</f>
        <v/>
      </c>
      <c r="D537">
        <f>IF($N537="","",INDEX('Per Line'!$C$2:$C$3001,$N537))</f>
        <v/>
      </c>
      <c r="E537">
        <f>IF($N537="","",INDEX('Per Line'!$A$2:$A$3001,$N537))</f>
        <v/>
      </c>
      <c r="H537">
        <f>IF($N537="","",INDEX('Per Line'!$V$2:$V$3001,$N537))</f>
        <v/>
      </c>
      <c r="I537" s="5">
        <f>IF($N537="","",SUMIFS('Per Line'!$X$2:$X$3001,'Per Line'!$D$2:$D$3001,$C537))</f>
        <v/>
      </c>
      <c r="J537" s="5">
        <f>IF($N537="","",SUMIFS('Per Line'!$Y$2:$Y$3001,'Per Line'!$D$2:$D$3001,$C537))</f>
        <v/>
      </c>
      <c r="K537" s="5">
        <f>IF($N537="","",SUMIFS('Per Line'!$Z$2:$Z$3001,'Per Line'!$D$2:$D$3001,$C537))</f>
        <v/>
      </c>
      <c r="L537" s="5">
        <f>IF($N537="","",I537-J537)</f>
        <v/>
      </c>
      <c r="M537" s="5">
        <f>IF($N537="","",L537-K537)</f>
        <v/>
      </c>
      <c r="N537">
        <f>IF(ROWS($N$2:$N537)&lt;=MAX('Per Line'!$AG$2:$AG$3001),MATCH(ROWS($N$2:$N537),'Per Line'!$AG$2:$AG$3001,0),"")</f>
        <v/>
      </c>
      <c r="O537">
        <f>IF(B537="Above Claim Form",COUNTIF($B$2:B537,"Above Claim Form"),"")</f>
        <v/>
      </c>
      <c r="P537">
        <f>IF(B537="Below Claim Form",COUNTIF($B$2:B537,"Below Claim Form"),"")</f>
        <v/>
      </c>
    </row>
    <row r="538">
      <c r="B538">
        <f>IF($N538="","",IFERROR(INDEX(Settings!$C$27:$C$36,MATCH(E538,Settings!$B$27:$B$36,0)),"Unassigned"))</f>
        <v/>
      </c>
      <c r="C538">
        <f>IF($N538="","",INDEX('Per Line'!$D$2:$D$3001,$N538))</f>
        <v/>
      </c>
      <c r="D538">
        <f>IF($N538="","",INDEX('Per Line'!$C$2:$C$3001,$N538))</f>
        <v/>
      </c>
      <c r="E538">
        <f>IF($N538="","",INDEX('Per Line'!$A$2:$A$3001,$N538))</f>
        <v/>
      </c>
      <c r="H538">
        <f>IF($N538="","",INDEX('Per Line'!$V$2:$V$3001,$N538))</f>
        <v/>
      </c>
      <c r="I538" s="5">
        <f>IF($N538="","",SUMIFS('Per Line'!$X$2:$X$3001,'Per Line'!$D$2:$D$3001,$C538))</f>
        <v/>
      </c>
      <c r="J538" s="5">
        <f>IF($N538="","",SUMIFS('Per Line'!$Y$2:$Y$3001,'Per Line'!$D$2:$D$3001,$C538))</f>
        <v/>
      </c>
      <c r="K538" s="5">
        <f>IF($N538="","",SUMIFS('Per Line'!$Z$2:$Z$3001,'Per Line'!$D$2:$D$3001,$C538))</f>
        <v/>
      </c>
      <c r="L538" s="5">
        <f>IF($N538="","",I538-J538)</f>
        <v/>
      </c>
      <c r="M538" s="5">
        <f>IF($N538="","",L538-K538)</f>
        <v/>
      </c>
      <c r="N538">
        <f>IF(ROWS($N$2:$N538)&lt;=MAX('Per Line'!$AG$2:$AG$3001),MATCH(ROWS($N$2:$N538),'Per Line'!$AG$2:$AG$3001,0),"")</f>
        <v/>
      </c>
      <c r="O538">
        <f>IF(B538="Above Claim Form",COUNTIF($B$2:B538,"Above Claim Form"),"")</f>
        <v/>
      </c>
      <c r="P538">
        <f>IF(B538="Below Claim Form",COUNTIF($B$2:B538,"Below Claim Form"),"")</f>
        <v/>
      </c>
    </row>
    <row r="539">
      <c r="B539">
        <f>IF($N539="","",IFERROR(INDEX(Settings!$C$27:$C$36,MATCH(E539,Settings!$B$27:$B$36,0)),"Unassigned"))</f>
        <v/>
      </c>
      <c r="C539">
        <f>IF($N539="","",INDEX('Per Line'!$D$2:$D$3001,$N539))</f>
        <v/>
      </c>
      <c r="D539">
        <f>IF($N539="","",INDEX('Per Line'!$C$2:$C$3001,$N539))</f>
        <v/>
      </c>
      <c r="E539">
        <f>IF($N539="","",INDEX('Per Line'!$A$2:$A$3001,$N539))</f>
        <v/>
      </c>
      <c r="H539">
        <f>IF($N539="","",INDEX('Per Line'!$V$2:$V$3001,$N539))</f>
        <v/>
      </c>
      <c r="I539" s="5">
        <f>IF($N539="","",SUMIFS('Per Line'!$X$2:$X$3001,'Per Line'!$D$2:$D$3001,$C539))</f>
        <v/>
      </c>
      <c r="J539" s="5">
        <f>IF($N539="","",SUMIFS('Per Line'!$Y$2:$Y$3001,'Per Line'!$D$2:$D$3001,$C539))</f>
        <v/>
      </c>
      <c r="K539" s="5">
        <f>IF($N539="","",SUMIFS('Per Line'!$Z$2:$Z$3001,'Per Line'!$D$2:$D$3001,$C539))</f>
        <v/>
      </c>
      <c r="L539" s="5">
        <f>IF($N539="","",I539-J539)</f>
        <v/>
      </c>
      <c r="M539" s="5">
        <f>IF($N539="","",L539-K539)</f>
        <v/>
      </c>
      <c r="N539">
        <f>IF(ROWS($N$2:$N539)&lt;=MAX('Per Line'!$AG$2:$AG$3001),MATCH(ROWS($N$2:$N539),'Per Line'!$AG$2:$AG$3001,0),"")</f>
        <v/>
      </c>
      <c r="O539">
        <f>IF(B539="Above Claim Form",COUNTIF($B$2:B539,"Above Claim Form"),"")</f>
        <v/>
      </c>
      <c r="P539">
        <f>IF(B539="Below Claim Form",COUNTIF($B$2:B539,"Below Claim Form"),"")</f>
        <v/>
      </c>
    </row>
    <row r="540">
      <c r="B540">
        <f>IF($N540="","",IFERROR(INDEX(Settings!$C$27:$C$36,MATCH(E540,Settings!$B$27:$B$36,0)),"Unassigned"))</f>
        <v/>
      </c>
      <c r="C540">
        <f>IF($N540="","",INDEX('Per Line'!$D$2:$D$3001,$N540))</f>
        <v/>
      </c>
      <c r="D540">
        <f>IF($N540="","",INDEX('Per Line'!$C$2:$C$3001,$N540))</f>
        <v/>
      </c>
      <c r="E540">
        <f>IF($N540="","",INDEX('Per Line'!$A$2:$A$3001,$N540))</f>
        <v/>
      </c>
      <c r="H540">
        <f>IF($N540="","",INDEX('Per Line'!$V$2:$V$3001,$N540))</f>
        <v/>
      </c>
      <c r="I540" s="5">
        <f>IF($N540="","",SUMIFS('Per Line'!$X$2:$X$3001,'Per Line'!$D$2:$D$3001,$C540))</f>
        <v/>
      </c>
      <c r="J540" s="5">
        <f>IF($N540="","",SUMIFS('Per Line'!$Y$2:$Y$3001,'Per Line'!$D$2:$D$3001,$C540))</f>
        <v/>
      </c>
      <c r="K540" s="5">
        <f>IF($N540="","",SUMIFS('Per Line'!$Z$2:$Z$3001,'Per Line'!$D$2:$D$3001,$C540))</f>
        <v/>
      </c>
      <c r="L540" s="5">
        <f>IF($N540="","",I540-J540)</f>
        <v/>
      </c>
      <c r="M540" s="5">
        <f>IF($N540="","",L540-K540)</f>
        <v/>
      </c>
      <c r="N540">
        <f>IF(ROWS($N$2:$N540)&lt;=MAX('Per Line'!$AG$2:$AG$3001),MATCH(ROWS($N$2:$N540),'Per Line'!$AG$2:$AG$3001,0),"")</f>
        <v/>
      </c>
      <c r="O540">
        <f>IF(B540="Above Claim Form",COUNTIF($B$2:B540,"Above Claim Form"),"")</f>
        <v/>
      </c>
      <c r="P540">
        <f>IF(B540="Below Claim Form",COUNTIF($B$2:B540,"Below Claim Form"),"")</f>
        <v/>
      </c>
    </row>
    <row r="541">
      <c r="B541">
        <f>IF($N541="","",IFERROR(INDEX(Settings!$C$27:$C$36,MATCH(E541,Settings!$B$27:$B$36,0)),"Unassigned"))</f>
        <v/>
      </c>
      <c r="C541">
        <f>IF($N541="","",INDEX('Per Line'!$D$2:$D$3001,$N541))</f>
        <v/>
      </c>
      <c r="D541">
        <f>IF($N541="","",INDEX('Per Line'!$C$2:$C$3001,$N541))</f>
        <v/>
      </c>
      <c r="E541">
        <f>IF($N541="","",INDEX('Per Line'!$A$2:$A$3001,$N541))</f>
        <v/>
      </c>
      <c r="H541">
        <f>IF($N541="","",INDEX('Per Line'!$V$2:$V$3001,$N541))</f>
        <v/>
      </c>
      <c r="I541" s="5">
        <f>IF($N541="","",SUMIFS('Per Line'!$X$2:$X$3001,'Per Line'!$D$2:$D$3001,$C541))</f>
        <v/>
      </c>
      <c r="J541" s="5">
        <f>IF($N541="","",SUMIFS('Per Line'!$Y$2:$Y$3001,'Per Line'!$D$2:$D$3001,$C541))</f>
        <v/>
      </c>
      <c r="K541" s="5">
        <f>IF($N541="","",SUMIFS('Per Line'!$Z$2:$Z$3001,'Per Line'!$D$2:$D$3001,$C541))</f>
        <v/>
      </c>
      <c r="L541" s="5">
        <f>IF($N541="","",I541-J541)</f>
        <v/>
      </c>
      <c r="M541" s="5">
        <f>IF($N541="","",L541-K541)</f>
        <v/>
      </c>
      <c r="N541">
        <f>IF(ROWS($N$2:$N541)&lt;=MAX('Per Line'!$AG$2:$AG$3001),MATCH(ROWS($N$2:$N541),'Per Line'!$AG$2:$AG$3001,0),"")</f>
        <v/>
      </c>
      <c r="O541">
        <f>IF(B541="Above Claim Form",COUNTIF($B$2:B541,"Above Claim Form"),"")</f>
        <v/>
      </c>
      <c r="P541">
        <f>IF(B541="Below Claim Form",COUNTIF($B$2:B541,"Below Claim Form"),"")</f>
        <v/>
      </c>
    </row>
    <row r="542">
      <c r="B542">
        <f>IF($N542="","",IFERROR(INDEX(Settings!$C$27:$C$36,MATCH(E542,Settings!$B$27:$B$36,0)),"Unassigned"))</f>
        <v/>
      </c>
      <c r="C542">
        <f>IF($N542="","",INDEX('Per Line'!$D$2:$D$3001,$N542))</f>
        <v/>
      </c>
      <c r="D542">
        <f>IF($N542="","",INDEX('Per Line'!$C$2:$C$3001,$N542))</f>
        <v/>
      </c>
      <c r="E542">
        <f>IF($N542="","",INDEX('Per Line'!$A$2:$A$3001,$N542))</f>
        <v/>
      </c>
      <c r="H542">
        <f>IF($N542="","",INDEX('Per Line'!$V$2:$V$3001,$N542))</f>
        <v/>
      </c>
      <c r="I542" s="5">
        <f>IF($N542="","",SUMIFS('Per Line'!$X$2:$X$3001,'Per Line'!$D$2:$D$3001,$C542))</f>
        <v/>
      </c>
      <c r="J542" s="5">
        <f>IF($N542="","",SUMIFS('Per Line'!$Y$2:$Y$3001,'Per Line'!$D$2:$D$3001,$C542))</f>
        <v/>
      </c>
      <c r="K542" s="5">
        <f>IF($N542="","",SUMIFS('Per Line'!$Z$2:$Z$3001,'Per Line'!$D$2:$D$3001,$C542))</f>
        <v/>
      </c>
      <c r="L542" s="5">
        <f>IF($N542="","",I542-J542)</f>
        <v/>
      </c>
      <c r="M542" s="5">
        <f>IF($N542="","",L542-K542)</f>
        <v/>
      </c>
      <c r="N542">
        <f>IF(ROWS($N$2:$N542)&lt;=MAX('Per Line'!$AG$2:$AG$3001),MATCH(ROWS($N$2:$N542),'Per Line'!$AG$2:$AG$3001,0),"")</f>
        <v/>
      </c>
      <c r="O542">
        <f>IF(B542="Above Claim Form",COUNTIF($B$2:B542,"Above Claim Form"),"")</f>
        <v/>
      </c>
      <c r="P542">
        <f>IF(B542="Below Claim Form",COUNTIF($B$2:B542,"Below Claim Form"),"")</f>
        <v/>
      </c>
    </row>
    <row r="543">
      <c r="B543">
        <f>IF($N543="","",IFERROR(INDEX(Settings!$C$27:$C$36,MATCH(E543,Settings!$B$27:$B$36,0)),"Unassigned"))</f>
        <v/>
      </c>
      <c r="C543">
        <f>IF($N543="","",INDEX('Per Line'!$D$2:$D$3001,$N543))</f>
        <v/>
      </c>
      <c r="D543">
        <f>IF($N543="","",INDEX('Per Line'!$C$2:$C$3001,$N543))</f>
        <v/>
      </c>
      <c r="E543">
        <f>IF($N543="","",INDEX('Per Line'!$A$2:$A$3001,$N543))</f>
        <v/>
      </c>
      <c r="H543">
        <f>IF($N543="","",INDEX('Per Line'!$V$2:$V$3001,$N543))</f>
        <v/>
      </c>
      <c r="I543" s="5">
        <f>IF($N543="","",SUMIFS('Per Line'!$X$2:$X$3001,'Per Line'!$D$2:$D$3001,$C543))</f>
        <v/>
      </c>
      <c r="J543" s="5">
        <f>IF($N543="","",SUMIFS('Per Line'!$Y$2:$Y$3001,'Per Line'!$D$2:$D$3001,$C543))</f>
        <v/>
      </c>
      <c r="K543" s="5">
        <f>IF($N543="","",SUMIFS('Per Line'!$Z$2:$Z$3001,'Per Line'!$D$2:$D$3001,$C543))</f>
        <v/>
      </c>
      <c r="L543" s="5">
        <f>IF($N543="","",I543-J543)</f>
        <v/>
      </c>
      <c r="M543" s="5">
        <f>IF($N543="","",L543-K543)</f>
        <v/>
      </c>
      <c r="N543">
        <f>IF(ROWS($N$2:$N543)&lt;=MAX('Per Line'!$AG$2:$AG$3001),MATCH(ROWS($N$2:$N543),'Per Line'!$AG$2:$AG$3001,0),"")</f>
        <v/>
      </c>
      <c r="O543">
        <f>IF(B543="Above Claim Form",COUNTIF($B$2:B543,"Above Claim Form"),"")</f>
        <v/>
      </c>
      <c r="P543">
        <f>IF(B543="Below Claim Form",COUNTIF($B$2:B543,"Below Claim Form"),"")</f>
        <v/>
      </c>
    </row>
    <row r="544">
      <c r="B544">
        <f>IF($N544="","",IFERROR(INDEX(Settings!$C$27:$C$36,MATCH(E544,Settings!$B$27:$B$36,0)),"Unassigned"))</f>
        <v/>
      </c>
      <c r="C544">
        <f>IF($N544="","",INDEX('Per Line'!$D$2:$D$3001,$N544))</f>
        <v/>
      </c>
      <c r="D544">
        <f>IF($N544="","",INDEX('Per Line'!$C$2:$C$3001,$N544))</f>
        <v/>
      </c>
      <c r="E544">
        <f>IF($N544="","",INDEX('Per Line'!$A$2:$A$3001,$N544))</f>
        <v/>
      </c>
      <c r="H544">
        <f>IF($N544="","",INDEX('Per Line'!$V$2:$V$3001,$N544))</f>
        <v/>
      </c>
      <c r="I544" s="5">
        <f>IF($N544="","",SUMIFS('Per Line'!$X$2:$X$3001,'Per Line'!$D$2:$D$3001,$C544))</f>
        <v/>
      </c>
      <c r="J544" s="5">
        <f>IF($N544="","",SUMIFS('Per Line'!$Y$2:$Y$3001,'Per Line'!$D$2:$D$3001,$C544))</f>
        <v/>
      </c>
      <c r="K544" s="5">
        <f>IF($N544="","",SUMIFS('Per Line'!$Z$2:$Z$3001,'Per Line'!$D$2:$D$3001,$C544))</f>
        <v/>
      </c>
      <c r="L544" s="5">
        <f>IF($N544="","",I544-J544)</f>
        <v/>
      </c>
      <c r="M544" s="5">
        <f>IF($N544="","",L544-K544)</f>
        <v/>
      </c>
      <c r="N544">
        <f>IF(ROWS($N$2:$N544)&lt;=MAX('Per Line'!$AG$2:$AG$3001),MATCH(ROWS($N$2:$N544),'Per Line'!$AG$2:$AG$3001,0),"")</f>
        <v/>
      </c>
      <c r="O544">
        <f>IF(B544="Above Claim Form",COUNTIF($B$2:B544,"Above Claim Form"),"")</f>
        <v/>
      </c>
      <c r="P544">
        <f>IF(B544="Below Claim Form",COUNTIF($B$2:B544,"Below Claim Form"),"")</f>
        <v/>
      </c>
    </row>
    <row r="545">
      <c r="B545">
        <f>IF($N545="","",IFERROR(INDEX(Settings!$C$27:$C$36,MATCH(E545,Settings!$B$27:$B$36,0)),"Unassigned"))</f>
        <v/>
      </c>
      <c r="C545">
        <f>IF($N545="","",INDEX('Per Line'!$D$2:$D$3001,$N545))</f>
        <v/>
      </c>
      <c r="D545">
        <f>IF($N545="","",INDEX('Per Line'!$C$2:$C$3001,$N545))</f>
        <v/>
      </c>
      <c r="E545">
        <f>IF($N545="","",INDEX('Per Line'!$A$2:$A$3001,$N545))</f>
        <v/>
      </c>
      <c r="H545">
        <f>IF($N545="","",INDEX('Per Line'!$V$2:$V$3001,$N545))</f>
        <v/>
      </c>
      <c r="I545" s="5">
        <f>IF($N545="","",SUMIFS('Per Line'!$X$2:$X$3001,'Per Line'!$D$2:$D$3001,$C545))</f>
        <v/>
      </c>
      <c r="J545" s="5">
        <f>IF($N545="","",SUMIFS('Per Line'!$Y$2:$Y$3001,'Per Line'!$D$2:$D$3001,$C545))</f>
        <v/>
      </c>
      <c r="K545" s="5">
        <f>IF($N545="","",SUMIFS('Per Line'!$Z$2:$Z$3001,'Per Line'!$D$2:$D$3001,$C545))</f>
        <v/>
      </c>
      <c r="L545" s="5">
        <f>IF($N545="","",I545-J545)</f>
        <v/>
      </c>
      <c r="M545" s="5">
        <f>IF($N545="","",L545-K545)</f>
        <v/>
      </c>
      <c r="N545">
        <f>IF(ROWS($N$2:$N545)&lt;=MAX('Per Line'!$AG$2:$AG$3001),MATCH(ROWS($N$2:$N545),'Per Line'!$AG$2:$AG$3001,0),"")</f>
        <v/>
      </c>
      <c r="O545">
        <f>IF(B545="Above Claim Form",COUNTIF($B$2:B545,"Above Claim Form"),"")</f>
        <v/>
      </c>
      <c r="P545">
        <f>IF(B545="Below Claim Form",COUNTIF($B$2:B545,"Below Claim Form"),"")</f>
        <v/>
      </c>
    </row>
    <row r="546">
      <c r="B546">
        <f>IF($N546="","",IFERROR(INDEX(Settings!$C$27:$C$36,MATCH(E546,Settings!$B$27:$B$36,0)),"Unassigned"))</f>
        <v/>
      </c>
      <c r="C546">
        <f>IF($N546="","",INDEX('Per Line'!$D$2:$D$3001,$N546))</f>
        <v/>
      </c>
      <c r="D546">
        <f>IF($N546="","",INDEX('Per Line'!$C$2:$C$3001,$N546))</f>
        <v/>
      </c>
      <c r="E546">
        <f>IF($N546="","",INDEX('Per Line'!$A$2:$A$3001,$N546))</f>
        <v/>
      </c>
      <c r="H546">
        <f>IF($N546="","",INDEX('Per Line'!$V$2:$V$3001,$N546))</f>
        <v/>
      </c>
      <c r="I546" s="5">
        <f>IF($N546="","",SUMIFS('Per Line'!$X$2:$X$3001,'Per Line'!$D$2:$D$3001,$C546))</f>
        <v/>
      </c>
      <c r="J546" s="5">
        <f>IF($N546="","",SUMIFS('Per Line'!$Y$2:$Y$3001,'Per Line'!$D$2:$D$3001,$C546))</f>
        <v/>
      </c>
      <c r="K546" s="5">
        <f>IF($N546="","",SUMIFS('Per Line'!$Z$2:$Z$3001,'Per Line'!$D$2:$D$3001,$C546))</f>
        <v/>
      </c>
      <c r="L546" s="5">
        <f>IF($N546="","",I546-J546)</f>
        <v/>
      </c>
      <c r="M546" s="5">
        <f>IF($N546="","",L546-K546)</f>
        <v/>
      </c>
      <c r="N546">
        <f>IF(ROWS($N$2:$N546)&lt;=MAX('Per Line'!$AG$2:$AG$3001),MATCH(ROWS($N$2:$N546),'Per Line'!$AG$2:$AG$3001,0),"")</f>
        <v/>
      </c>
      <c r="O546">
        <f>IF(B546="Above Claim Form",COUNTIF($B$2:B546,"Above Claim Form"),"")</f>
        <v/>
      </c>
      <c r="P546">
        <f>IF(B546="Below Claim Form",COUNTIF($B$2:B546,"Below Claim Form"),"")</f>
        <v/>
      </c>
    </row>
    <row r="547">
      <c r="B547">
        <f>IF($N547="","",IFERROR(INDEX(Settings!$C$27:$C$36,MATCH(E547,Settings!$B$27:$B$36,0)),"Unassigned"))</f>
        <v/>
      </c>
      <c r="C547">
        <f>IF($N547="","",INDEX('Per Line'!$D$2:$D$3001,$N547))</f>
        <v/>
      </c>
      <c r="D547">
        <f>IF($N547="","",INDEX('Per Line'!$C$2:$C$3001,$N547))</f>
        <v/>
      </c>
      <c r="E547">
        <f>IF($N547="","",INDEX('Per Line'!$A$2:$A$3001,$N547))</f>
        <v/>
      </c>
      <c r="H547">
        <f>IF($N547="","",INDEX('Per Line'!$V$2:$V$3001,$N547))</f>
        <v/>
      </c>
      <c r="I547" s="5">
        <f>IF($N547="","",SUMIFS('Per Line'!$X$2:$X$3001,'Per Line'!$D$2:$D$3001,$C547))</f>
        <v/>
      </c>
      <c r="J547" s="5">
        <f>IF($N547="","",SUMIFS('Per Line'!$Y$2:$Y$3001,'Per Line'!$D$2:$D$3001,$C547))</f>
        <v/>
      </c>
      <c r="K547" s="5">
        <f>IF($N547="","",SUMIFS('Per Line'!$Z$2:$Z$3001,'Per Line'!$D$2:$D$3001,$C547))</f>
        <v/>
      </c>
      <c r="L547" s="5">
        <f>IF($N547="","",I547-J547)</f>
        <v/>
      </c>
      <c r="M547" s="5">
        <f>IF($N547="","",L547-K547)</f>
        <v/>
      </c>
      <c r="N547">
        <f>IF(ROWS($N$2:$N547)&lt;=MAX('Per Line'!$AG$2:$AG$3001),MATCH(ROWS($N$2:$N547),'Per Line'!$AG$2:$AG$3001,0),"")</f>
        <v/>
      </c>
      <c r="O547">
        <f>IF(B547="Above Claim Form",COUNTIF($B$2:B547,"Above Claim Form"),"")</f>
        <v/>
      </c>
      <c r="P547">
        <f>IF(B547="Below Claim Form",COUNTIF($B$2:B547,"Below Claim Form"),"")</f>
        <v/>
      </c>
    </row>
    <row r="548">
      <c r="B548">
        <f>IF($N548="","",IFERROR(INDEX(Settings!$C$27:$C$36,MATCH(E548,Settings!$B$27:$B$36,0)),"Unassigned"))</f>
        <v/>
      </c>
      <c r="C548">
        <f>IF($N548="","",INDEX('Per Line'!$D$2:$D$3001,$N548))</f>
        <v/>
      </c>
      <c r="D548">
        <f>IF($N548="","",INDEX('Per Line'!$C$2:$C$3001,$N548))</f>
        <v/>
      </c>
      <c r="E548">
        <f>IF($N548="","",INDEX('Per Line'!$A$2:$A$3001,$N548))</f>
        <v/>
      </c>
      <c r="H548">
        <f>IF($N548="","",INDEX('Per Line'!$V$2:$V$3001,$N548))</f>
        <v/>
      </c>
      <c r="I548" s="5">
        <f>IF($N548="","",SUMIFS('Per Line'!$X$2:$X$3001,'Per Line'!$D$2:$D$3001,$C548))</f>
        <v/>
      </c>
      <c r="J548" s="5">
        <f>IF($N548="","",SUMIFS('Per Line'!$Y$2:$Y$3001,'Per Line'!$D$2:$D$3001,$C548))</f>
        <v/>
      </c>
      <c r="K548" s="5">
        <f>IF($N548="","",SUMIFS('Per Line'!$Z$2:$Z$3001,'Per Line'!$D$2:$D$3001,$C548))</f>
        <v/>
      </c>
      <c r="L548" s="5">
        <f>IF($N548="","",I548-J548)</f>
        <v/>
      </c>
      <c r="M548" s="5">
        <f>IF($N548="","",L548-K548)</f>
        <v/>
      </c>
      <c r="N548">
        <f>IF(ROWS($N$2:$N548)&lt;=MAX('Per Line'!$AG$2:$AG$3001),MATCH(ROWS($N$2:$N548),'Per Line'!$AG$2:$AG$3001,0),"")</f>
        <v/>
      </c>
      <c r="O548">
        <f>IF(B548="Above Claim Form",COUNTIF($B$2:B548,"Above Claim Form"),"")</f>
        <v/>
      </c>
      <c r="P548">
        <f>IF(B548="Below Claim Form",COUNTIF($B$2:B548,"Below Claim Form"),"")</f>
        <v/>
      </c>
    </row>
    <row r="549">
      <c r="B549">
        <f>IF($N549="","",IFERROR(INDEX(Settings!$C$27:$C$36,MATCH(E549,Settings!$B$27:$B$36,0)),"Unassigned"))</f>
        <v/>
      </c>
      <c r="C549">
        <f>IF($N549="","",INDEX('Per Line'!$D$2:$D$3001,$N549))</f>
        <v/>
      </c>
      <c r="D549">
        <f>IF($N549="","",INDEX('Per Line'!$C$2:$C$3001,$N549))</f>
        <v/>
      </c>
      <c r="E549">
        <f>IF($N549="","",INDEX('Per Line'!$A$2:$A$3001,$N549))</f>
        <v/>
      </c>
      <c r="H549">
        <f>IF($N549="","",INDEX('Per Line'!$V$2:$V$3001,$N549))</f>
        <v/>
      </c>
      <c r="I549" s="5">
        <f>IF($N549="","",SUMIFS('Per Line'!$X$2:$X$3001,'Per Line'!$D$2:$D$3001,$C549))</f>
        <v/>
      </c>
      <c r="J549" s="5">
        <f>IF($N549="","",SUMIFS('Per Line'!$Y$2:$Y$3001,'Per Line'!$D$2:$D$3001,$C549))</f>
        <v/>
      </c>
      <c r="K549" s="5">
        <f>IF($N549="","",SUMIFS('Per Line'!$Z$2:$Z$3001,'Per Line'!$D$2:$D$3001,$C549))</f>
        <v/>
      </c>
      <c r="L549" s="5">
        <f>IF($N549="","",I549-J549)</f>
        <v/>
      </c>
      <c r="M549" s="5">
        <f>IF($N549="","",L549-K549)</f>
        <v/>
      </c>
      <c r="N549">
        <f>IF(ROWS($N$2:$N549)&lt;=MAX('Per Line'!$AG$2:$AG$3001),MATCH(ROWS($N$2:$N549),'Per Line'!$AG$2:$AG$3001,0),"")</f>
        <v/>
      </c>
      <c r="O549">
        <f>IF(B549="Above Claim Form",COUNTIF($B$2:B549,"Above Claim Form"),"")</f>
        <v/>
      </c>
      <c r="P549">
        <f>IF(B549="Below Claim Form",COUNTIF($B$2:B549,"Below Claim Form"),"")</f>
        <v/>
      </c>
    </row>
    <row r="550">
      <c r="B550">
        <f>IF($N550="","",IFERROR(INDEX(Settings!$C$27:$C$36,MATCH(E550,Settings!$B$27:$B$36,0)),"Unassigned"))</f>
        <v/>
      </c>
      <c r="C550">
        <f>IF($N550="","",INDEX('Per Line'!$D$2:$D$3001,$N550))</f>
        <v/>
      </c>
      <c r="D550">
        <f>IF($N550="","",INDEX('Per Line'!$C$2:$C$3001,$N550))</f>
        <v/>
      </c>
      <c r="E550">
        <f>IF($N550="","",INDEX('Per Line'!$A$2:$A$3001,$N550))</f>
        <v/>
      </c>
      <c r="H550">
        <f>IF($N550="","",INDEX('Per Line'!$V$2:$V$3001,$N550))</f>
        <v/>
      </c>
      <c r="I550" s="5">
        <f>IF($N550="","",SUMIFS('Per Line'!$X$2:$X$3001,'Per Line'!$D$2:$D$3001,$C550))</f>
        <v/>
      </c>
      <c r="J550" s="5">
        <f>IF($N550="","",SUMIFS('Per Line'!$Y$2:$Y$3001,'Per Line'!$D$2:$D$3001,$C550))</f>
        <v/>
      </c>
      <c r="K550" s="5">
        <f>IF($N550="","",SUMIFS('Per Line'!$Z$2:$Z$3001,'Per Line'!$D$2:$D$3001,$C550))</f>
        <v/>
      </c>
      <c r="L550" s="5">
        <f>IF($N550="","",I550-J550)</f>
        <v/>
      </c>
      <c r="M550" s="5">
        <f>IF($N550="","",L550-K550)</f>
        <v/>
      </c>
      <c r="N550">
        <f>IF(ROWS($N$2:$N550)&lt;=MAX('Per Line'!$AG$2:$AG$3001),MATCH(ROWS($N$2:$N550),'Per Line'!$AG$2:$AG$3001,0),"")</f>
        <v/>
      </c>
      <c r="O550">
        <f>IF(B550="Above Claim Form",COUNTIF($B$2:B550,"Above Claim Form"),"")</f>
        <v/>
      </c>
      <c r="P550">
        <f>IF(B550="Below Claim Form",COUNTIF($B$2:B550,"Below Claim Form"),"")</f>
        <v/>
      </c>
    </row>
    <row r="551">
      <c r="B551">
        <f>IF($N551="","",IFERROR(INDEX(Settings!$C$27:$C$36,MATCH(E551,Settings!$B$27:$B$36,0)),"Unassigned"))</f>
        <v/>
      </c>
      <c r="C551">
        <f>IF($N551="","",INDEX('Per Line'!$D$2:$D$3001,$N551))</f>
        <v/>
      </c>
      <c r="D551">
        <f>IF($N551="","",INDEX('Per Line'!$C$2:$C$3001,$N551))</f>
        <v/>
      </c>
      <c r="E551">
        <f>IF($N551="","",INDEX('Per Line'!$A$2:$A$3001,$N551))</f>
        <v/>
      </c>
      <c r="H551">
        <f>IF($N551="","",INDEX('Per Line'!$V$2:$V$3001,$N551))</f>
        <v/>
      </c>
      <c r="I551" s="5">
        <f>IF($N551="","",SUMIFS('Per Line'!$X$2:$X$3001,'Per Line'!$D$2:$D$3001,$C551))</f>
        <v/>
      </c>
      <c r="J551" s="5">
        <f>IF($N551="","",SUMIFS('Per Line'!$Y$2:$Y$3001,'Per Line'!$D$2:$D$3001,$C551))</f>
        <v/>
      </c>
      <c r="K551" s="5">
        <f>IF($N551="","",SUMIFS('Per Line'!$Z$2:$Z$3001,'Per Line'!$D$2:$D$3001,$C551))</f>
        <v/>
      </c>
      <c r="L551" s="5">
        <f>IF($N551="","",I551-J551)</f>
        <v/>
      </c>
      <c r="M551" s="5">
        <f>IF($N551="","",L551-K551)</f>
        <v/>
      </c>
      <c r="N551">
        <f>IF(ROWS($N$2:$N551)&lt;=MAX('Per Line'!$AG$2:$AG$3001),MATCH(ROWS($N$2:$N551),'Per Line'!$AG$2:$AG$3001,0),"")</f>
        <v/>
      </c>
      <c r="O551">
        <f>IF(B551="Above Claim Form",COUNTIF($B$2:B551,"Above Claim Form"),"")</f>
        <v/>
      </c>
      <c r="P551">
        <f>IF(B551="Below Claim Form",COUNTIF($B$2:B551,"Below Claim Form"),"")</f>
        <v/>
      </c>
    </row>
    <row r="552">
      <c r="B552">
        <f>IF($N552="","",IFERROR(INDEX(Settings!$C$27:$C$36,MATCH(E552,Settings!$B$27:$B$36,0)),"Unassigned"))</f>
        <v/>
      </c>
      <c r="C552">
        <f>IF($N552="","",INDEX('Per Line'!$D$2:$D$3001,$N552))</f>
        <v/>
      </c>
      <c r="D552">
        <f>IF($N552="","",INDEX('Per Line'!$C$2:$C$3001,$N552))</f>
        <v/>
      </c>
      <c r="E552">
        <f>IF($N552="","",INDEX('Per Line'!$A$2:$A$3001,$N552))</f>
        <v/>
      </c>
      <c r="H552">
        <f>IF($N552="","",INDEX('Per Line'!$V$2:$V$3001,$N552))</f>
        <v/>
      </c>
      <c r="I552" s="5">
        <f>IF($N552="","",SUMIFS('Per Line'!$X$2:$X$3001,'Per Line'!$D$2:$D$3001,$C552))</f>
        <v/>
      </c>
      <c r="J552" s="5">
        <f>IF($N552="","",SUMIFS('Per Line'!$Y$2:$Y$3001,'Per Line'!$D$2:$D$3001,$C552))</f>
        <v/>
      </c>
      <c r="K552" s="5">
        <f>IF($N552="","",SUMIFS('Per Line'!$Z$2:$Z$3001,'Per Line'!$D$2:$D$3001,$C552))</f>
        <v/>
      </c>
      <c r="L552" s="5">
        <f>IF($N552="","",I552-J552)</f>
        <v/>
      </c>
      <c r="M552" s="5">
        <f>IF($N552="","",L552-K552)</f>
        <v/>
      </c>
      <c r="N552">
        <f>IF(ROWS($N$2:$N552)&lt;=MAX('Per Line'!$AG$2:$AG$3001),MATCH(ROWS($N$2:$N552),'Per Line'!$AG$2:$AG$3001,0),"")</f>
        <v/>
      </c>
      <c r="O552">
        <f>IF(B552="Above Claim Form",COUNTIF($B$2:B552,"Above Claim Form"),"")</f>
        <v/>
      </c>
      <c r="P552">
        <f>IF(B552="Below Claim Form",COUNTIF($B$2:B552,"Below Claim Form"),"")</f>
        <v/>
      </c>
    </row>
    <row r="553">
      <c r="B553">
        <f>IF($N553="","",IFERROR(INDEX(Settings!$C$27:$C$36,MATCH(E553,Settings!$B$27:$B$36,0)),"Unassigned"))</f>
        <v/>
      </c>
      <c r="C553">
        <f>IF($N553="","",INDEX('Per Line'!$D$2:$D$3001,$N553))</f>
        <v/>
      </c>
      <c r="D553">
        <f>IF($N553="","",INDEX('Per Line'!$C$2:$C$3001,$N553))</f>
        <v/>
      </c>
      <c r="E553">
        <f>IF($N553="","",INDEX('Per Line'!$A$2:$A$3001,$N553))</f>
        <v/>
      </c>
      <c r="H553">
        <f>IF($N553="","",INDEX('Per Line'!$V$2:$V$3001,$N553))</f>
        <v/>
      </c>
      <c r="I553" s="5">
        <f>IF($N553="","",SUMIFS('Per Line'!$X$2:$X$3001,'Per Line'!$D$2:$D$3001,$C553))</f>
        <v/>
      </c>
      <c r="J553" s="5">
        <f>IF($N553="","",SUMIFS('Per Line'!$Y$2:$Y$3001,'Per Line'!$D$2:$D$3001,$C553))</f>
        <v/>
      </c>
      <c r="K553" s="5">
        <f>IF($N553="","",SUMIFS('Per Line'!$Z$2:$Z$3001,'Per Line'!$D$2:$D$3001,$C553))</f>
        <v/>
      </c>
      <c r="L553" s="5">
        <f>IF($N553="","",I553-J553)</f>
        <v/>
      </c>
      <c r="M553" s="5">
        <f>IF($N553="","",L553-K553)</f>
        <v/>
      </c>
      <c r="N553">
        <f>IF(ROWS($N$2:$N553)&lt;=MAX('Per Line'!$AG$2:$AG$3001),MATCH(ROWS($N$2:$N553),'Per Line'!$AG$2:$AG$3001,0),"")</f>
        <v/>
      </c>
      <c r="O553">
        <f>IF(B553="Above Claim Form",COUNTIF($B$2:B553,"Above Claim Form"),"")</f>
        <v/>
      </c>
      <c r="P553">
        <f>IF(B553="Below Claim Form",COUNTIF($B$2:B553,"Below Claim Form"),"")</f>
        <v/>
      </c>
    </row>
    <row r="554">
      <c r="B554">
        <f>IF($N554="","",IFERROR(INDEX(Settings!$C$27:$C$36,MATCH(E554,Settings!$B$27:$B$36,0)),"Unassigned"))</f>
        <v/>
      </c>
      <c r="C554">
        <f>IF($N554="","",INDEX('Per Line'!$D$2:$D$3001,$N554))</f>
        <v/>
      </c>
      <c r="D554">
        <f>IF($N554="","",INDEX('Per Line'!$C$2:$C$3001,$N554))</f>
        <v/>
      </c>
      <c r="E554">
        <f>IF($N554="","",INDEX('Per Line'!$A$2:$A$3001,$N554))</f>
        <v/>
      </c>
      <c r="H554">
        <f>IF($N554="","",INDEX('Per Line'!$V$2:$V$3001,$N554))</f>
        <v/>
      </c>
      <c r="I554" s="5">
        <f>IF($N554="","",SUMIFS('Per Line'!$X$2:$X$3001,'Per Line'!$D$2:$D$3001,$C554))</f>
        <v/>
      </c>
      <c r="J554" s="5">
        <f>IF($N554="","",SUMIFS('Per Line'!$Y$2:$Y$3001,'Per Line'!$D$2:$D$3001,$C554))</f>
        <v/>
      </c>
      <c r="K554" s="5">
        <f>IF($N554="","",SUMIFS('Per Line'!$Z$2:$Z$3001,'Per Line'!$D$2:$D$3001,$C554))</f>
        <v/>
      </c>
      <c r="L554" s="5">
        <f>IF($N554="","",I554-J554)</f>
        <v/>
      </c>
      <c r="M554" s="5">
        <f>IF($N554="","",L554-K554)</f>
        <v/>
      </c>
      <c r="N554">
        <f>IF(ROWS($N$2:$N554)&lt;=MAX('Per Line'!$AG$2:$AG$3001),MATCH(ROWS($N$2:$N554),'Per Line'!$AG$2:$AG$3001,0),"")</f>
        <v/>
      </c>
      <c r="O554">
        <f>IF(B554="Above Claim Form",COUNTIF($B$2:B554,"Above Claim Form"),"")</f>
        <v/>
      </c>
      <c r="P554">
        <f>IF(B554="Below Claim Form",COUNTIF($B$2:B554,"Below Claim Form"),"")</f>
        <v/>
      </c>
    </row>
    <row r="555">
      <c r="B555">
        <f>IF($N555="","",IFERROR(INDEX(Settings!$C$27:$C$36,MATCH(E555,Settings!$B$27:$B$36,0)),"Unassigned"))</f>
        <v/>
      </c>
      <c r="C555">
        <f>IF($N555="","",INDEX('Per Line'!$D$2:$D$3001,$N555))</f>
        <v/>
      </c>
      <c r="D555">
        <f>IF($N555="","",INDEX('Per Line'!$C$2:$C$3001,$N555))</f>
        <v/>
      </c>
      <c r="E555">
        <f>IF($N555="","",INDEX('Per Line'!$A$2:$A$3001,$N555))</f>
        <v/>
      </c>
      <c r="H555">
        <f>IF($N555="","",INDEX('Per Line'!$V$2:$V$3001,$N555))</f>
        <v/>
      </c>
      <c r="I555" s="5">
        <f>IF($N555="","",SUMIFS('Per Line'!$X$2:$X$3001,'Per Line'!$D$2:$D$3001,$C555))</f>
        <v/>
      </c>
      <c r="J555" s="5">
        <f>IF($N555="","",SUMIFS('Per Line'!$Y$2:$Y$3001,'Per Line'!$D$2:$D$3001,$C555))</f>
        <v/>
      </c>
      <c r="K555" s="5">
        <f>IF($N555="","",SUMIFS('Per Line'!$Z$2:$Z$3001,'Per Line'!$D$2:$D$3001,$C555))</f>
        <v/>
      </c>
      <c r="L555" s="5">
        <f>IF($N555="","",I555-J555)</f>
        <v/>
      </c>
      <c r="M555" s="5">
        <f>IF($N555="","",L555-K555)</f>
        <v/>
      </c>
      <c r="N555">
        <f>IF(ROWS($N$2:$N555)&lt;=MAX('Per Line'!$AG$2:$AG$3001),MATCH(ROWS($N$2:$N555),'Per Line'!$AG$2:$AG$3001,0),"")</f>
        <v/>
      </c>
      <c r="O555">
        <f>IF(B555="Above Claim Form",COUNTIF($B$2:B555,"Above Claim Form"),"")</f>
        <v/>
      </c>
      <c r="P555">
        <f>IF(B555="Below Claim Form",COUNTIF($B$2:B555,"Below Claim Form"),"")</f>
        <v/>
      </c>
    </row>
    <row r="556">
      <c r="B556">
        <f>IF($N556="","",IFERROR(INDEX(Settings!$C$27:$C$36,MATCH(E556,Settings!$B$27:$B$36,0)),"Unassigned"))</f>
        <v/>
      </c>
      <c r="C556">
        <f>IF($N556="","",INDEX('Per Line'!$D$2:$D$3001,$N556))</f>
        <v/>
      </c>
      <c r="D556">
        <f>IF($N556="","",INDEX('Per Line'!$C$2:$C$3001,$N556))</f>
        <v/>
      </c>
      <c r="E556">
        <f>IF($N556="","",INDEX('Per Line'!$A$2:$A$3001,$N556))</f>
        <v/>
      </c>
      <c r="H556">
        <f>IF($N556="","",INDEX('Per Line'!$V$2:$V$3001,$N556))</f>
        <v/>
      </c>
      <c r="I556" s="5">
        <f>IF($N556="","",SUMIFS('Per Line'!$X$2:$X$3001,'Per Line'!$D$2:$D$3001,$C556))</f>
        <v/>
      </c>
      <c r="J556" s="5">
        <f>IF($N556="","",SUMIFS('Per Line'!$Y$2:$Y$3001,'Per Line'!$D$2:$D$3001,$C556))</f>
        <v/>
      </c>
      <c r="K556" s="5">
        <f>IF($N556="","",SUMIFS('Per Line'!$Z$2:$Z$3001,'Per Line'!$D$2:$D$3001,$C556))</f>
        <v/>
      </c>
      <c r="L556" s="5">
        <f>IF($N556="","",I556-J556)</f>
        <v/>
      </c>
      <c r="M556" s="5">
        <f>IF($N556="","",L556-K556)</f>
        <v/>
      </c>
      <c r="N556">
        <f>IF(ROWS($N$2:$N556)&lt;=MAX('Per Line'!$AG$2:$AG$3001),MATCH(ROWS($N$2:$N556),'Per Line'!$AG$2:$AG$3001,0),"")</f>
        <v/>
      </c>
      <c r="O556">
        <f>IF(B556="Above Claim Form",COUNTIF($B$2:B556,"Above Claim Form"),"")</f>
        <v/>
      </c>
      <c r="P556">
        <f>IF(B556="Below Claim Form",COUNTIF($B$2:B556,"Below Claim Form"),"")</f>
        <v/>
      </c>
    </row>
    <row r="557">
      <c r="B557">
        <f>IF($N557="","",IFERROR(INDEX(Settings!$C$27:$C$36,MATCH(E557,Settings!$B$27:$B$36,0)),"Unassigned"))</f>
        <v/>
      </c>
      <c r="C557">
        <f>IF($N557="","",INDEX('Per Line'!$D$2:$D$3001,$N557))</f>
        <v/>
      </c>
      <c r="D557">
        <f>IF($N557="","",INDEX('Per Line'!$C$2:$C$3001,$N557))</f>
        <v/>
      </c>
      <c r="E557">
        <f>IF($N557="","",INDEX('Per Line'!$A$2:$A$3001,$N557))</f>
        <v/>
      </c>
      <c r="H557">
        <f>IF($N557="","",INDEX('Per Line'!$V$2:$V$3001,$N557))</f>
        <v/>
      </c>
      <c r="I557" s="5">
        <f>IF($N557="","",SUMIFS('Per Line'!$X$2:$X$3001,'Per Line'!$D$2:$D$3001,$C557))</f>
        <v/>
      </c>
      <c r="J557" s="5">
        <f>IF($N557="","",SUMIFS('Per Line'!$Y$2:$Y$3001,'Per Line'!$D$2:$D$3001,$C557))</f>
        <v/>
      </c>
      <c r="K557" s="5">
        <f>IF($N557="","",SUMIFS('Per Line'!$Z$2:$Z$3001,'Per Line'!$D$2:$D$3001,$C557))</f>
        <v/>
      </c>
      <c r="L557" s="5">
        <f>IF($N557="","",I557-J557)</f>
        <v/>
      </c>
      <c r="M557" s="5">
        <f>IF($N557="","",L557-K557)</f>
        <v/>
      </c>
      <c r="N557">
        <f>IF(ROWS($N$2:$N557)&lt;=MAX('Per Line'!$AG$2:$AG$3001),MATCH(ROWS($N$2:$N557),'Per Line'!$AG$2:$AG$3001,0),"")</f>
        <v/>
      </c>
      <c r="O557">
        <f>IF(B557="Above Claim Form",COUNTIF($B$2:B557,"Above Claim Form"),"")</f>
        <v/>
      </c>
      <c r="P557">
        <f>IF(B557="Below Claim Form",COUNTIF($B$2:B557,"Below Claim Form"),"")</f>
        <v/>
      </c>
    </row>
    <row r="558">
      <c r="B558">
        <f>IF($N558="","",IFERROR(INDEX(Settings!$C$27:$C$36,MATCH(E558,Settings!$B$27:$B$36,0)),"Unassigned"))</f>
        <v/>
      </c>
      <c r="C558">
        <f>IF($N558="","",INDEX('Per Line'!$D$2:$D$3001,$N558))</f>
        <v/>
      </c>
      <c r="D558">
        <f>IF($N558="","",INDEX('Per Line'!$C$2:$C$3001,$N558))</f>
        <v/>
      </c>
      <c r="E558">
        <f>IF($N558="","",INDEX('Per Line'!$A$2:$A$3001,$N558))</f>
        <v/>
      </c>
      <c r="H558">
        <f>IF($N558="","",INDEX('Per Line'!$V$2:$V$3001,$N558))</f>
        <v/>
      </c>
      <c r="I558" s="5">
        <f>IF($N558="","",SUMIFS('Per Line'!$X$2:$X$3001,'Per Line'!$D$2:$D$3001,$C558))</f>
        <v/>
      </c>
      <c r="J558" s="5">
        <f>IF($N558="","",SUMIFS('Per Line'!$Y$2:$Y$3001,'Per Line'!$D$2:$D$3001,$C558))</f>
        <v/>
      </c>
      <c r="K558" s="5">
        <f>IF($N558="","",SUMIFS('Per Line'!$Z$2:$Z$3001,'Per Line'!$D$2:$D$3001,$C558))</f>
        <v/>
      </c>
      <c r="L558" s="5">
        <f>IF($N558="","",I558-J558)</f>
        <v/>
      </c>
      <c r="M558" s="5">
        <f>IF($N558="","",L558-K558)</f>
        <v/>
      </c>
      <c r="N558">
        <f>IF(ROWS($N$2:$N558)&lt;=MAX('Per Line'!$AG$2:$AG$3001),MATCH(ROWS($N$2:$N558),'Per Line'!$AG$2:$AG$3001,0),"")</f>
        <v/>
      </c>
      <c r="O558">
        <f>IF(B558="Above Claim Form",COUNTIF($B$2:B558,"Above Claim Form"),"")</f>
        <v/>
      </c>
      <c r="P558">
        <f>IF(B558="Below Claim Form",COUNTIF($B$2:B558,"Below Claim Form"),"")</f>
        <v/>
      </c>
    </row>
    <row r="559">
      <c r="B559">
        <f>IF($N559="","",IFERROR(INDEX(Settings!$C$27:$C$36,MATCH(E559,Settings!$B$27:$B$36,0)),"Unassigned"))</f>
        <v/>
      </c>
      <c r="C559">
        <f>IF($N559="","",INDEX('Per Line'!$D$2:$D$3001,$N559))</f>
        <v/>
      </c>
      <c r="D559">
        <f>IF($N559="","",INDEX('Per Line'!$C$2:$C$3001,$N559))</f>
        <v/>
      </c>
      <c r="E559">
        <f>IF($N559="","",INDEX('Per Line'!$A$2:$A$3001,$N559))</f>
        <v/>
      </c>
      <c r="H559">
        <f>IF($N559="","",INDEX('Per Line'!$V$2:$V$3001,$N559))</f>
        <v/>
      </c>
      <c r="I559" s="5">
        <f>IF($N559="","",SUMIFS('Per Line'!$X$2:$X$3001,'Per Line'!$D$2:$D$3001,$C559))</f>
        <v/>
      </c>
      <c r="J559" s="5">
        <f>IF($N559="","",SUMIFS('Per Line'!$Y$2:$Y$3001,'Per Line'!$D$2:$D$3001,$C559))</f>
        <v/>
      </c>
      <c r="K559" s="5">
        <f>IF($N559="","",SUMIFS('Per Line'!$Z$2:$Z$3001,'Per Line'!$D$2:$D$3001,$C559))</f>
        <v/>
      </c>
      <c r="L559" s="5">
        <f>IF($N559="","",I559-J559)</f>
        <v/>
      </c>
      <c r="M559" s="5">
        <f>IF($N559="","",L559-K559)</f>
        <v/>
      </c>
      <c r="N559">
        <f>IF(ROWS($N$2:$N559)&lt;=MAX('Per Line'!$AG$2:$AG$3001),MATCH(ROWS($N$2:$N559),'Per Line'!$AG$2:$AG$3001,0),"")</f>
        <v/>
      </c>
      <c r="O559">
        <f>IF(B559="Above Claim Form",COUNTIF($B$2:B559,"Above Claim Form"),"")</f>
        <v/>
      </c>
      <c r="P559">
        <f>IF(B559="Below Claim Form",COUNTIF($B$2:B559,"Below Claim Form"),"")</f>
        <v/>
      </c>
    </row>
    <row r="560">
      <c r="B560">
        <f>IF($N560="","",IFERROR(INDEX(Settings!$C$27:$C$36,MATCH(E560,Settings!$B$27:$B$36,0)),"Unassigned"))</f>
        <v/>
      </c>
      <c r="C560">
        <f>IF($N560="","",INDEX('Per Line'!$D$2:$D$3001,$N560))</f>
        <v/>
      </c>
      <c r="D560">
        <f>IF($N560="","",INDEX('Per Line'!$C$2:$C$3001,$N560))</f>
        <v/>
      </c>
      <c r="E560">
        <f>IF($N560="","",INDEX('Per Line'!$A$2:$A$3001,$N560))</f>
        <v/>
      </c>
      <c r="H560">
        <f>IF($N560="","",INDEX('Per Line'!$V$2:$V$3001,$N560))</f>
        <v/>
      </c>
      <c r="I560" s="5">
        <f>IF($N560="","",SUMIFS('Per Line'!$X$2:$X$3001,'Per Line'!$D$2:$D$3001,$C560))</f>
        <v/>
      </c>
      <c r="J560" s="5">
        <f>IF($N560="","",SUMIFS('Per Line'!$Y$2:$Y$3001,'Per Line'!$D$2:$D$3001,$C560))</f>
        <v/>
      </c>
      <c r="K560" s="5">
        <f>IF($N560="","",SUMIFS('Per Line'!$Z$2:$Z$3001,'Per Line'!$D$2:$D$3001,$C560))</f>
        <v/>
      </c>
      <c r="L560" s="5">
        <f>IF($N560="","",I560-J560)</f>
        <v/>
      </c>
      <c r="M560" s="5">
        <f>IF($N560="","",L560-K560)</f>
        <v/>
      </c>
      <c r="N560">
        <f>IF(ROWS($N$2:$N560)&lt;=MAX('Per Line'!$AG$2:$AG$3001),MATCH(ROWS($N$2:$N560),'Per Line'!$AG$2:$AG$3001,0),"")</f>
        <v/>
      </c>
      <c r="O560">
        <f>IF(B560="Above Claim Form",COUNTIF($B$2:B560,"Above Claim Form"),"")</f>
        <v/>
      </c>
      <c r="P560">
        <f>IF(B560="Below Claim Form",COUNTIF($B$2:B560,"Below Claim Form"),"")</f>
        <v/>
      </c>
    </row>
    <row r="561">
      <c r="B561">
        <f>IF($N561="","",IFERROR(INDEX(Settings!$C$27:$C$36,MATCH(E561,Settings!$B$27:$B$36,0)),"Unassigned"))</f>
        <v/>
      </c>
      <c r="C561">
        <f>IF($N561="","",INDEX('Per Line'!$D$2:$D$3001,$N561))</f>
        <v/>
      </c>
      <c r="D561">
        <f>IF($N561="","",INDEX('Per Line'!$C$2:$C$3001,$N561))</f>
        <v/>
      </c>
      <c r="E561">
        <f>IF($N561="","",INDEX('Per Line'!$A$2:$A$3001,$N561))</f>
        <v/>
      </c>
      <c r="H561">
        <f>IF($N561="","",INDEX('Per Line'!$V$2:$V$3001,$N561))</f>
        <v/>
      </c>
      <c r="I561" s="5">
        <f>IF($N561="","",SUMIFS('Per Line'!$X$2:$X$3001,'Per Line'!$D$2:$D$3001,$C561))</f>
        <v/>
      </c>
      <c r="J561" s="5">
        <f>IF($N561="","",SUMIFS('Per Line'!$Y$2:$Y$3001,'Per Line'!$D$2:$D$3001,$C561))</f>
        <v/>
      </c>
      <c r="K561" s="5">
        <f>IF($N561="","",SUMIFS('Per Line'!$Z$2:$Z$3001,'Per Line'!$D$2:$D$3001,$C561))</f>
        <v/>
      </c>
      <c r="L561" s="5">
        <f>IF($N561="","",I561-J561)</f>
        <v/>
      </c>
      <c r="M561" s="5">
        <f>IF($N561="","",L561-K561)</f>
        <v/>
      </c>
      <c r="N561">
        <f>IF(ROWS($N$2:$N561)&lt;=MAX('Per Line'!$AG$2:$AG$3001),MATCH(ROWS($N$2:$N561),'Per Line'!$AG$2:$AG$3001,0),"")</f>
        <v/>
      </c>
      <c r="O561">
        <f>IF(B561="Above Claim Form",COUNTIF($B$2:B561,"Above Claim Form"),"")</f>
        <v/>
      </c>
      <c r="P561">
        <f>IF(B561="Below Claim Form",COUNTIF($B$2:B561,"Below Claim Form"),"")</f>
        <v/>
      </c>
    </row>
    <row r="562">
      <c r="B562">
        <f>IF($N562="","",IFERROR(INDEX(Settings!$C$27:$C$36,MATCH(E562,Settings!$B$27:$B$36,0)),"Unassigned"))</f>
        <v/>
      </c>
      <c r="C562">
        <f>IF($N562="","",INDEX('Per Line'!$D$2:$D$3001,$N562))</f>
        <v/>
      </c>
      <c r="D562">
        <f>IF($N562="","",INDEX('Per Line'!$C$2:$C$3001,$N562))</f>
        <v/>
      </c>
      <c r="E562">
        <f>IF($N562="","",INDEX('Per Line'!$A$2:$A$3001,$N562))</f>
        <v/>
      </c>
      <c r="H562">
        <f>IF($N562="","",INDEX('Per Line'!$V$2:$V$3001,$N562))</f>
        <v/>
      </c>
      <c r="I562" s="5">
        <f>IF($N562="","",SUMIFS('Per Line'!$X$2:$X$3001,'Per Line'!$D$2:$D$3001,$C562))</f>
        <v/>
      </c>
      <c r="J562" s="5">
        <f>IF($N562="","",SUMIFS('Per Line'!$Y$2:$Y$3001,'Per Line'!$D$2:$D$3001,$C562))</f>
        <v/>
      </c>
      <c r="K562" s="5">
        <f>IF($N562="","",SUMIFS('Per Line'!$Z$2:$Z$3001,'Per Line'!$D$2:$D$3001,$C562))</f>
        <v/>
      </c>
      <c r="L562" s="5">
        <f>IF($N562="","",I562-J562)</f>
        <v/>
      </c>
      <c r="M562" s="5">
        <f>IF($N562="","",L562-K562)</f>
        <v/>
      </c>
      <c r="N562">
        <f>IF(ROWS($N$2:$N562)&lt;=MAX('Per Line'!$AG$2:$AG$3001),MATCH(ROWS($N$2:$N562),'Per Line'!$AG$2:$AG$3001,0),"")</f>
        <v/>
      </c>
      <c r="O562">
        <f>IF(B562="Above Claim Form",COUNTIF($B$2:B562,"Above Claim Form"),"")</f>
        <v/>
      </c>
      <c r="P562">
        <f>IF(B562="Below Claim Form",COUNTIF($B$2:B562,"Below Claim Form"),"")</f>
        <v/>
      </c>
    </row>
    <row r="563">
      <c r="B563">
        <f>IF($N563="","",IFERROR(INDEX(Settings!$C$27:$C$36,MATCH(E563,Settings!$B$27:$B$36,0)),"Unassigned"))</f>
        <v/>
      </c>
      <c r="C563">
        <f>IF($N563="","",INDEX('Per Line'!$D$2:$D$3001,$N563))</f>
        <v/>
      </c>
      <c r="D563">
        <f>IF($N563="","",INDEX('Per Line'!$C$2:$C$3001,$N563))</f>
        <v/>
      </c>
      <c r="E563">
        <f>IF($N563="","",INDEX('Per Line'!$A$2:$A$3001,$N563))</f>
        <v/>
      </c>
      <c r="H563">
        <f>IF($N563="","",INDEX('Per Line'!$V$2:$V$3001,$N563))</f>
        <v/>
      </c>
      <c r="I563" s="5">
        <f>IF($N563="","",SUMIFS('Per Line'!$X$2:$X$3001,'Per Line'!$D$2:$D$3001,$C563))</f>
        <v/>
      </c>
      <c r="J563" s="5">
        <f>IF($N563="","",SUMIFS('Per Line'!$Y$2:$Y$3001,'Per Line'!$D$2:$D$3001,$C563))</f>
        <v/>
      </c>
      <c r="K563" s="5">
        <f>IF($N563="","",SUMIFS('Per Line'!$Z$2:$Z$3001,'Per Line'!$D$2:$D$3001,$C563))</f>
        <v/>
      </c>
      <c r="L563" s="5">
        <f>IF($N563="","",I563-J563)</f>
        <v/>
      </c>
      <c r="M563" s="5">
        <f>IF($N563="","",L563-K563)</f>
        <v/>
      </c>
      <c r="N563">
        <f>IF(ROWS($N$2:$N563)&lt;=MAX('Per Line'!$AG$2:$AG$3001),MATCH(ROWS($N$2:$N563),'Per Line'!$AG$2:$AG$3001,0),"")</f>
        <v/>
      </c>
      <c r="O563">
        <f>IF(B563="Above Claim Form",COUNTIF($B$2:B563,"Above Claim Form"),"")</f>
        <v/>
      </c>
      <c r="P563">
        <f>IF(B563="Below Claim Form",COUNTIF($B$2:B563,"Below Claim Form"),"")</f>
        <v/>
      </c>
    </row>
    <row r="564">
      <c r="B564">
        <f>IF($N564="","",IFERROR(INDEX(Settings!$C$27:$C$36,MATCH(E564,Settings!$B$27:$B$36,0)),"Unassigned"))</f>
        <v/>
      </c>
      <c r="C564">
        <f>IF($N564="","",INDEX('Per Line'!$D$2:$D$3001,$N564))</f>
        <v/>
      </c>
      <c r="D564">
        <f>IF($N564="","",INDEX('Per Line'!$C$2:$C$3001,$N564))</f>
        <v/>
      </c>
      <c r="E564">
        <f>IF($N564="","",INDEX('Per Line'!$A$2:$A$3001,$N564))</f>
        <v/>
      </c>
      <c r="H564">
        <f>IF($N564="","",INDEX('Per Line'!$V$2:$V$3001,$N564))</f>
        <v/>
      </c>
      <c r="I564" s="5">
        <f>IF($N564="","",SUMIFS('Per Line'!$X$2:$X$3001,'Per Line'!$D$2:$D$3001,$C564))</f>
        <v/>
      </c>
      <c r="J564" s="5">
        <f>IF($N564="","",SUMIFS('Per Line'!$Y$2:$Y$3001,'Per Line'!$D$2:$D$3001,$C564))</f>
        <v/>
      </c>
      <c r="K564" s="5">
        <f>IF($N564="","",SUMIFS('Per Line'!$Z$2:$Z$3001,'Per Line'!$D$2:$D$3001,$C564))</f>
        <v/>
      </c>
      <c r="L564" s="5">
        <f>IF($N564="","",I564-J564)</f>
        <v/>
      </c>
      <c r="M564" s="5">
        <f>IF($N564="","",L564-K564)</f>
        <v/>
      </c>
      <c r="N564">
        <f>IF(ROWS($N$2:$N564)&lt;=MAX('Per Line'!$AG$2:$AG$3001),MATCH(ROWS($N$2:$N564),'Per Line'!$AG$2:$AG$3001,0),"")</f>
        <v/>
      </c>
      <c r="O564">
        <f>IF(B564="Above Claim Form",COUNTIF($B$2:B564,"Above Claim Form"),"")</f>
        <v/>
      </c>
      <c r="P564">
        <f>IF(B564="Below Claim Form",COUNTIF($B$2:B564,"Below Claim Form"),"")</f>
        <v/>
      </c>
    </row>
    <row r="565">
      <c r="B565">
        <f>IF($N565="","",IFERROR(INDEX(Settings!$C$27:$C$36,MATCH(E565,Settings!$B$27:$B$36,0)),"Unassigned"))</f>
        <v/>
      </c>
      <c r="C565">
        <f>IF($N565="","",INDEX('Per Line'!$D$2:$D$3001,$N565))</f>
        <v/>
      </c>
      <c r="D565">
        <f>IF($N565="","",INDEX('Per Line'!$C$2:$C$3001,$N565))</f>
        <v/>
      </c>
      <c r="E565">
        <f>IF($N565="","",INDEX('Per Line'!$A$2:$A$3001,$N565))</f>
        <v/>
      </c>
      <c r="H565">
        <f>IF($N565="","",INDEX('Per Line'!$V$2:$V$3001,$N565))</f>
        <v/>
      </c>
      <c r="I565" s="5">
        <f>IF($N565="","",SUMIFS('Per Line'!$X$2:$X$3001,'Per Line'!$D$2:$D$3001,$C565))</f>
        <v/>
      </c>
      <c r="J565" s="5">
        <f>IF($N565="","",SUMIFS('Per Line'!$Y$2:$Y$3001,'Per Line'!$D$2:$D$3001,$C565))</f>
        <v/>
      </c>
      <c r="K565" s="5">
        <f>IF($N565="","",SUMIFS('Per Line'!$Z$2:$Z$3001,'Per Line'!$D$2:$D$3001,$C565))</f>
        <v/>
      </c>
      <c r="L565" s="5">
        <f>IF($N565="","",I565-J565)</f>
        <v/>
      </c>
      <c r="M565" s="5">
        <f>IF($N565="","",L565-K565)</f>
        <v/>
      </c>
      <c r="N565">
        <f>IF(ROWS($N$2:$N565)&lt;=MAX('Per Line'!$AG$2:$AG$3001),MATCH(ROWS($N$2:$N565),'Per Line'!$AG$2:$AG$3001,0),"")</f>
        <v/>
      </c>
      <c r="O565">
        <f>IF(B565="Above Claim Form",COUNTIF($B$2:B565,"Above Claim Form"),"")</f>
        <v/>
      </c>
      <c r="P565">
        <f>IF(B565="Below Claim Form",COUNTIF($B$2:B565,"Below Claim Form"),"")</f>
        <v/>
      </c>
    </row>
    <row r="566">
      <c r="B566">
        <f>IF($N566="","",IFERROR(INDEX(Settings!$C$27:$C$36,MATCH(E566,Settings!$B$27:$B$36,0)),"Unassigned"))</f>
        <v/>
      </c>
      <c r="C566">
        <f>IF($N566="","",INDEX('Per Line'!$D$2:$D$3001,$N566))</f>
        <v/>
      </c>
      <c r="D566">
        <f>IF($N566="","",INDEX('Per Line'!$C$2:$C$3001,$N566))</f>
        <v/>
      </c>
      <c r="E566">
        <f>IF($N566="","",INDEX('Per Line'!$A$2:$A$3001,$N566))</f>
        <v/>
      </c>
      <c r="H566">
        <f>IF($N566="","",INDEX('Per Line'!$V$2:$V$3001,$N566))</f>
        <v/>
      </c>
      <c r="I566" s="5">
        <f>IF($N566="","",SUMIFS('Per Line'!$X$2:$X$3001,'Per Line'!$D$2:$D$3001,$C566))</f>
        <v/>
      </c>
      <c r="J566" s="5">
        <f>IF($N566="","",SUMIFS('Per Line'!$Y$2:$Y$3001,'Per Line'!$D$2:$D$3001,$C566))</f>
        <v/>
      </c>
      <c r="K566" s="5">
        <f>IF($N566="","",SUMIFS('Per Line'!$Z$2:$Z$3001,'Per Line'!$D$2:$D$3001,$C566))</f>
        <v/>
      </c>
      <c r="L566" s="5">
        <f>IF($N566="","",I566-J566)</f>
        <v/>
      </c>
      <c r="M566" s="5">
        <f>IF($N566="","",L566-K566)</f>
        <v/>
      </c>
      <c r="N566">
        <f>IF(ROWS($N$2:$N566)&lt;=MAX('Per Line'!$AG$2:$AG$3001),MATCH(ROWS($N$2:$N566),'Per Line'!$AG$2:$AG$3001,0),"")</f>
        <v/>
      </c>
      <c r="O566">
        <f>IF(B566="Above Claim Form",COUNTIF($B$2:B566,"Above Claim Form"),"")</f>
        <v/>
      </c>
      <c r="P566">
        <f>IF(B566="Below Claim Form",COUNTIF($B$2:B566,"Below Claim Form"),"")</f>
        <v/>
      </c>
    </row>
    <row r="567">
      <c r="B567">
        <f>IF($N567="","",IFERROR(INDEX(Settings!$C$27:$C$36,MATCH(E567,Settings!$B$27:$B$36,0)),"Unassigned"))</f>
        <v/>
      </c>
      <c r="C567">
        <f>IF($N567="","",INDEX('Per Line'!$D$2:$D$3001,$N567))</f>
        <v/>
      </c>
      <c r="D567">
        <f>IF($N567="","",INDEX('Per Line'!$C$2:$C$3001,$N567))</f>
        <v/>
      </c>
      <c r="E567">
        <f>IF($N567="","",INDEX('Per Line'!$A$2:$A$3001,$N567))</f>
        <v/>
      </c>
      <c r="H567">
        <f>IF($N567="","",INDEX('Per Line'!$V$2:$V$3001,$N567))</f>
        <v/>
      </c>
      <c r="I567" s="5">
        <f>IF($N567="","",SUMIFS('Per Line'!$X$2:$X$3001,'Per Line'!$D$2:$D$3001,$C567))</f>
        <v/>
      </c>
      <c r="J567" s="5">
        <f>IF($N567="","",SUMIFS('Per Line'!$Y$2:$Y$3001,'Per Line'!$D$2:$D$3001,$C567))</f>
        <v/>
      </c>
      <c r="K567" s="5">
        <f>IF($N567="","",SUMIFS('Per Line'!$Z$2:$Z$3001,'Per Line'!$D$2:$D$3001,$C567))</f>
        <v/>
      </c>
      <c r="L567" s="5">
        <f>IF($N567="","",I567-J567)</f>
        <v/>
      </c>
      <c r="M567" s="5">
        <f>IF($N567="","",L567-K567)</f>
        <v/>
      </c>
      <c r="N567">
        <f>IF(ROWS($N$2:$N567)&lt;=MAX('Per Line'!$AG$2:$AG$3001),MATCH(ROWS($N$2:$N567),'Per Line'!$AG$2:$AG$3001,0),"")</f>
        <v/>
      </c>
      <c r="O567">
        <f>IF(B567="Above Claim Form",COUNTIF($B$2:B567,"Above Claim Form"),"")</f>
        <v/>
      </c>
      <c r="P567">
        <f>IF(B567="Below Claim Form",COUNTIF($B$2:B567,"Below Claim Form"),"")</f>
        <v/>
      </c>
    </row>
    <row r="568">
      <c r="B568">
        <f>IF($N568="","",IFERROR(INDEX(Settings!$C$27:$C$36,MATCH(E568,Settings!$B$27:$B$36,0)),"Unassigned"))</f>
        <v/>
      </c>
      <c r="C568">
        <f>IF($N568="","",INDEX('Per Line'!$D$2:$D$3001,$N568))</f>
        <v/>
      </c>
      <c r="D568">
        <f>IF($N568="","",INDEX('Per Line'!$C$2:$C$3001,$N568))</f>
        <v/>
      </c>
      <c r="E568">
        <f>IF($N568="","",INDEX('Per Line'!$A$2:$A$3001,$N568))</f>
        <v/>
      </c>
      <c r="H568">
        <f>IF($N568="","",INDEX('Per Line'!$V$2:$V$3001,$N568))</f>
        <v/>
      </c>
      <c r="I568" s="5">
        <f>IF($N568="","",SUMIFS('Per Line'!$X$2:$X$3001,'Per Line'!$D$2:$D$3001,$C568))</f>
        <v/>
      </c>
      <c r="J568" s="5">
        <f>IF($N568="","",SUMIFS('Per Line'!$Y$2:$Y$3001,'Per Line'!$D$2:$D$3001,$C568))</f>
        <v/>
      </c>
      <c r="K568" s="5">
        <f>IF($N568="","",SUMIFS('Per Line'!$Z$2:$Z$3001,'Per Line'!$D$2:$D$3001,$C568))</f>
        <v/>
      </c>
      <c r="L568" s="5">
        <f>IF($N568="","",I568-J568)</f>
        <v/>
      </c>
      <c r="M568" s="5">
        <f>IF($N568="","",L568-K568)</f>
        <v/>
      </c>
      <c r="N568">
        <f>IF(ROWS($N$2:$N568)&lt;=MAX('Per Line'!$AG$2:$AG$3001),MATCH(ROWS($N$2:$N568),'Per Line'!$AG$2:$AG$3001,0),"")</f>
        <v/>
      </c>
      <c r="O568">
        <f>IF(B568="Above Claim Form",COUNTIF($B$2:B568,"Above Claim Form"),"")</f>
        <v/>
      </c>
      <c r="P568">
        <f>IF(B568="Below Claim Form",COUNTIF($B$2:B568,"Below Claim Form"),"")</f>
        <v/>
      </c>
    </row>
    <row r="569">
      <c r="B569">
        <f>IF($N569="","",IFERROR(INDEX(Settings!$C$27:$C$36,MATCH(E569,Settings!$B$27:$B$36,0)),"Unassigned"))</f>
        <v/>
      </c>
      <c r="C569">
        <f>IF($N569="","",INDEX('Per Line'!$D$2:$D$3001,$N569))</f>
        <v/>
      </c>
      <c r="D569">
        <f>IF($N569="","",INDEX('Per Line'!$C$2:$C$3001,$N569))</f>
        <v/>
      </c>
      <c r="E569">
        <f>IF($N569="","",INDEX('Per Line'!$A$2:$A$3001,$N569))</f>
        <v/>
      </c>
      <c r="H569">
        <f>IF($N569="","",INDEX('Per Line'!$V$2:$V$3001,$N569))</f>
        <v/>
      </c>
      <c r="I569" s="5">
        <f>IF($N569="","",SUMIFS('Per Line'!$X$2:$X$3001,'Per Line'!$D$2:$D$3001,$C569))</f>
        <v/>
      </c>
      <c r="J569" s="5">
        <f>IF($N569="","",SUMIFS('Per Line'!$Y$2:$Y$3001,'Per Line'!$D$2:$D$3001,$C569))</f>
        <v/>
      </c>
      <c r="K569" s="5">
        <f>IF($N569="","",SUMIFS('Per Line'!$Z$2:$Z$3001,'Per Line'!$D$2:$D$3001,$C569))</f>
        <v/>
      </c>
      <c r="L569" s="5">
        <f>IF($N569="","",I569-J569)</f>
        <v/>
      </c>
      <c r="M569" s="5">
        <f>IF($N569="","",L569-K569)</f>
        <v/>
      </c>
      <c r="N569">
        <f>IF(ROWS($N$2:$N569)&lt;=MAX('Per Line'!$AG$2:$AG$3001),MATCH(ROWS($N$2:$N569),'Per Line'!$AG$2:$AG$3001,0),"")</f>
        <v/>
      </c>
      <c r="O569">
        <f>IF(B569="Above Claim Form",COUNTIF($B$2:B569,"Above Claim Form"),"")</f>
        <v/>
      </c>
      <c r="P569">
        <f>IF(B569="Below Claim Form",COUNTIF($B$2:B569,"Below Claim Form"),"")</f>
        <v/>
      </c>
    </row>
    <row r="570">
      <c r="B570">
        <f>IF($N570="","",IFERROR(INDEX(Settings!$C$27:$C$36,MATCH(E570,Settings!$B$27:$B$36,0)),"Unassigned"))</f>
        <v/>
      </c>
      <c r="C570">
        <f>IF($N570="","",INDEX('Per Line'!$D$2:$D$3001,$N570))</f>
        <v/>
      </c>
      <c r="D570">
        <f>IF($N570="","",INDEX('Per Line'!$C$2:$C$3001,$N570))</f>
        <v/>
      </c>
      <c r="E570">
        <f>IF($N570="","",INDEX('Per Line'!$A$2:$A$3001,$N570))</f>
        <v/>
      </c>
      <c r="H570">
        <f>IF($N570="","",INDEX('Per Line'!$V$2:$V$3001,$N570))</f>
        <v/>
      </c>
      <c r="I570" s="5">
        <f>IF($N570="","",SUMIFS('Per Line'!$X$2:$X$3001,'Per Line'!$D$2:$D$3001,$C570))</f>
        <v/>
      </c>
      <c r="J570" s="5">
        <f>IF($N570="","",SUMIFS('Per Line'!$Y$2:$Y$3001,'Per Line'!$D$2:$D$3001,$C570))</f>
        <v/>
      </c>
      <c r="K570" s="5">
        <f>IF($N570="","",SUMIFS('Per Line'!$Z$2:$Z$3001,'Per Line'!$D$2:$D$3001,$C570))</f>
        <v/>
      </c>
      <c r="L570" s="5">
        <f>IF($N570="","",I570-J570)</f>
        <v/>
      </c>
      <c r="M570" s="5">
        <f>IF($N570="","",L570-K570)</f>
        <v/>
      </c>
      <c r="N570">
        <f>IF(ROWS($N$2:$N570)&lt;=MAX('Per Line'!$AG$2:$AG$3001),MATCH(ROWS($N$2:$N570),'Per Line'!$AG$2:$AG$3001,0),"")</f>
        <v/>
      </c>
      <c r="O570">
        <f>IF(B570="Above Claim Form",COUNTIF($B$2:B570,"Above Claim Form"),"")</f>
        <v/>
      </c>
      <c r="P570">
        <f>IF(B570="Below Claim Form",COUNTIF($B$2:B570,"Below Claim Form"),"")</f>
        <v/>
      </c>
    </row>
    <row r="571">
      <c r="B571">
        <f>IF($N571="","",IFERROR(INDEX(Settings!$C$27:$C$36,MATCH(E571,Settings!$B$27:$B$36,0)),"Unassigned"))</f>
        <v/>
      </c>
      <c r="C571">
        <f>IF($N571="","",INDEX('Per Line'!$D$2:$D$3001,$N571))</f>
        <v/>
      </c>
      <c r="D571">
        <f>IF($N571="","",INDEX('Per Line'!$C$2:$C$3001,$N571))</f>
        <v/>
      </c>
      <c r="E571">
        <f>IF($N571="","",INDEX('Per Line'!$A$2:$A$3001,$N571))</f>
        <v/>
      </c>
      <c r="H571">
        <f>IF($N571="","",INDEX('Per Line'!$V$2:$V$3001,$N571))</f>
        <v/>
      </c>
      <c r="I571" s="5">
        <f>IF($N571="","",SUMIFS('Per Line'!$X$2:$X$3001,'Per Line'!$D$2:$D$3001,$C571))</f>
        <v/>
      </c>
      <c r="J571" s="5">
        <f>IF($N571="","",SUMIFS('Per Line'!$Y$2:$Y$3001,'Per Line'!$D$2:$D$3001,$C571))</f>
        <v/>
      </c>
      <c r="K571" s="5">
        <f>IF($N571="","",SUMIFS('Per Line'!$Z$2:$Z$3001,'Per Line'!$D$2:$D$3001,$C571))</f>
        <v/>
      </c>
      <c r="L571" s="5">
        <f>IF($N571="","",I571-J571)</f>
        <v/>
      </c>
      <c r="M571" s="5">
        <f>IF($N571="","",L571-K571)</f>
        <v/>
      </c>
      <c r="N571">
        <f>IF(ROWS($N$2:$N571)&lt;=MAX('Per Line'!$AG$2:$AG$3001),MATCH(ROWS($N$2:$N571),'Per Line'!$AG$2:$AG$3001,0),"")</f>
        <v/>
      </c>
      <c r="O571">
        <f>IF(B571="Above Claim Form",COUNTIF($B$2:B571,"Above Claim Form"),"")</f>
        <v/>
      </c>
      <c r="P571">
        <f>IF(B571="Below Claim Form",COUNTIF($B$2:B571,"Below Claim Form"),"")</f>
        <v/>
      </c>
    </row>
    <row r="572">
      <c r="B572">
        <f>IF($N572="","",IFERROR(INDEX(Settings!$C$27:$C$36,MATCH(E572,Settings!$B$27:$B$36,0)),"Unassigned"))</f>
        <v/>
      </c>
      <c r="C572">
        <f>IF($N572="","",INDEX('Per Line'!$D$2:$D$3001,$N572))</f>
        <v/>
      </c>
      <c r="D572">
        <f>IF($N572="","",INDEX('Per Line'!$C$2:$C$3001,$N572))</f>
        <v/>
      </c>
      <c r="E572">
        <f>IF($N572="","",INDEX('Per Line'!$A$2:$A$3001,$N572))</f>
        <v/>
      </c>
      <c r="H572">
        <f>IF($N572="","",INDEX('Per Line'!$V$2:$V$3001,$N572))</f>
        <v/>
      </c>
      <c r="I572" s="5">
        <f>IF($N572="","",SUMIFS('Per Line'!$X$2:$X$3001,'Per Line'!$D$2:$D$3001,$C572))</f>
        <v/>
      </c>
      <c r="J572" s="5">
        <f>IF($N572="","",SUMIFS('Per Line'!$Y$2:$Y$3001,'Per Line'!$D$2:$D$3001,$C572))</f>
        <v/>
      </c>
      <c r="K572" s="5">
        <f>IF($N572="","",SUMIFS('Per Line'!$Z$2:$Z$3001,'Per Line'!$D$2:$D$3001,$C572))</f>
        <v/>
      </c>
      <c r="L572" s="5">
        <f>IF($N572="","",I572-J572)</f>
        <v/>
      </c>
      <c r="M572" s="5">
        <f>IF($N572="","",L572-K572)</f>
        <v/>
      </c>
      <c r="N572">
        <f>IF(ROWS($N$2:$N572)&lt;=MAX('Per Line'!$AG$2:$AG$3001),MATCH(ROWS($N$2:$N572),'Per Line'!$AG$2:$AG$3001,0),"")</f>
        <v/>
      </c>
      <c r="O572">
        <f>IF(B572="Above Claim Form",COUNTIF($B$2:B572,"Above Claim Form"),"")</f>
        <v/>
      </c>
      <c r="P572">
        <f>IF(B572="Below Claim Form",COUNTIF($B$2:B572,"Below Claim Form"),"")</f>
        <v/>
      </c>
    </row>
    <row r="573">
      <c r="B573">
        <f>IF($N573="","",IFERROR(INDEX(Settings!$C$27:$C$36,MATCH(E573,Settings!$B$27:$B$36,0)),"Unassigned"))</f>
        <v/>
      </c>
      <c r="C573">
        <f>IF($N573="","",INDEX('Per Line'!$D$2:$D$3001,$N573))</f>
        <v/>
      </c>
      <c r="D573">
        <f>IF($N573="","",INDEX('Per Line'!$C$2:$C$3001,$N573))</f>
        <v/>
      </c>
      <c r="E573">
        <f>IF($N573="","",INDEX('Per Line'!$A$2:$A$3001,$N573))</f>
        <v/>
      </c>
      <c r="H573">
        <f>IF($N573="","",INDEX('Per Line'!$V$2:$V$3001,$N573))</f>
        <v/>
      </c>
      <c r="I573" s="5">
        <f>IF($N573="","",SUMIFS('Per Line'!$X$2:$X$3001,'Per Line'!$D$2:$D$3001,$C573))</f>
        <v/>
      </c>
      <c r="J573" s="5">
        <f>IF($N573="","",SUMIFS('Per Line'!$Y$2:$Y$3001,'Per Line'!$D$2:$D$3001,$C573))</f>
        <v/>
      </c>
      <c r="K573" s="5">
        <f>IF($N573="","",SUMIFS('Per Line'!$Z$2:$Z$3001,'Per Line'!$D$2:$D$3001,$C573))</f>
        <v/>
      </c>
      <c r="L573" s="5">
        <f>IF($N573="","",I573-J573)</f>
        <v/>
      </c>
      <c r="M573" s="5">
        <f>IF($N573="","",L573-K573)</f>
        <v/>
      </c>
      <c r="N573">
        <f>IF(ROWS($N$2:$N573)&lt;=MAX('Per Line'!$AG$2:$AG$3001),MATCH(ROWS($N$2:$N573),'Per Line'!$AG$2:$AG$3001,0),"")</f>
        <v/>
      </c>
      <c r="O573">
        <f>IF(B573="Above Claim Form",COUNTIF($B$2:B573,"Above Claim Form"),"")</f>
        <v/>
      </c>
      <c r="P573">
        <f>IF(B573="Below Claim Form",COUNTIF($B$2:B573,"Below Claim Form"),"")</f>
        <v/>
      </c>
    </row>
    <row r="574">
      <c r="B574">
        <f>IF($N574="","",IFERROR(INDEX(Settings!$C$27:$C$36,MATCH(E574,Settings!$B$27:$B$36,0)),"Unassigned"))</f>
        <v/>
      </c>
      <c r="C574">
        <f>IF($N574="","",INDEX('Per Line'!$D$2:$D$3001,$N574))</f>
        <v/>
      </c>
      <c r="D574">
        <f>IF($N574="","",INDEX('Per Line'!$C$2:$C$3001,$N574))</f>
        <v/>
      </c>
      <c r="E574">
        <f>IF($N574="","",INDEX('Per Line'!$A$2:$A$3001,$N574))</f>
        <v/>
      </c>
      <c r="H574">
        <f>IF($N574="","",INDEX('Per Line'!$V$2:$V$3001,$N574))</f>
        <v/>
      </c>
      <c r="I574" s="5">
        <f>IF($N574="","",SUMIFS('Per Line'!$X$2:$X$3001,'Per Line'!$D$2:$D$3001,$C574))</f>
        <v/>
      </c>
      <c r="J574" s="5">
        <f>IF($N574="","",SUMIFS('Per Line'!$Y$2:$Y$3001,'Per Line'!$D$2:$D$3001,$C574))</f>
        <v/>
      </c>
      <c r="K574" s="5">
        <f>IF($N574="","",SUMIFS('Per Line'!$Z$2:$Z$3001,'Per Line'!$D$2:$D$3001,$C574))</f>
        <v/>
      </c>
      <c r="L574" s="5">
        <f>IF($N574="","",I574-J574)</f>
        <v/>
      </c>
      <c r="M574" s="5">
        <f>IF($N574="","",L574-K574)</f>
        <v/>
      </c>
      <c r="N574">
        <f>IF(ROWS($N$2:$N574)&lt;=MAX('Per Line'!$AG$2:$AG$3001),MATCH(ROWS($N$2:$N574),'Per Line'!$AG$2:$AG$3001,0),"")</f>
        <v/>
      </c>
      <c r="O574">
        <f>IF(B574="Above Claim Form",COUNTIF($B$2:B574,"Above Claim Form"),"")</f>
        <v/>
      </c>
      <c r="P574">
        <f>IF(B574="Below Claim Form",COUNTIF($B$2:B574,"Below Claim Form"),"")</f>
        <v/>
      </c>
    </row>
    <row r="575">
      <c r="B575">
        <f>IF($N575="","",IFERROR(INDEX(Settings!$C$27:$C$36,MATCH(E575,Settings!$B$27:$B$36,0)),"Unassigned"))</f>
        <v/>
      </c>
      <c r="C575">
        <f>IF($N575="","",INDEX('Per Line'!$D$2:$D$3001,$N575))</f>
        <v/>
      </c>
      <c r="D575">
        <f>IF($N575="","",INDEX('Per Line'!$C$2:$C$3001,$N575))</f>
        <v/>
      </c>
      <c r="E575">
        <f>IF($N575="","",INDEX('Per Line'!$A$2:$A$3001,$N575))</f>
        <v/>
      </c>
      <c r="H575">
        <f>IF($N575="","",INDEX('Per Line'!$V$2:$V$3001,$N575))</f>
        <v/>
      </c>
      <c r="I575" s="5">
        <f>IF($N575="","",SUMIFS('Per Line'!$X$2:$X$3001,'Per Line'!$D$2:$D$3001,$C575))</f>
        <v/>
      </c>
      <c r="J575" s="5">
        <f>IF($N575="","",SUMIFS('Per Line'!$Y$2:$Y$3001,'Per Line'!$D$2:$D$3001,$C575))</f>
        <v/>
      </c>
      <c r="K575" s="5">
        <f>IF($N575="","",SUMIFS('Per Line'!$Z$2:$Z$3001,'Per Line'!$D$2:$D$3001,$C575))</f>
        <v/>
      </c>
      <c r="L575" s="5">
        <f>IF($N575="","",I575-J575)</f>
        <v/>
      </c>
      <c r="M575" s="5">
        <f>IF($N575="","",L575-K575)</f>
        <v/>
      </c>
      <c r="N575">
        <f>IF(ROWS($N$2:$N575)&lt;=MAX('Per Line'!$AG$2:$AG$3001),MATCH(ROWS($N$2:$N575),'Per Line'!$AG$2:$AG$3001,0),"")</f>
        <v/>
      </c>
      <c r="O575">
        <f>IF(B575="Above Claim Form",COUNTIF($B$2:B575,"Above Claim Form"),"")</f>
        <v/>
      </c>
      <c r="P575">
        <f>IF(B575="Below Claim Form",COUNTIF($B$2:B575,"Below Claim Form"),"")</f>
        <v/>
      </c>
    </row>
    <row r="576">
      <c r="B576">
        <f>IF($N576="","",IFERROR(INDEX(Settings!$C$27:$C$36,MATCH(E576,Settings!$B$27:$B$36,0)),"Unassigned"))</f>
        <v/>
      </c>
      <c r="C576">
        <f>IF($N576="","",INDEX('Per Line'!$D$2:$D$3001,$N576))</f>
        <v/>
      </c>
      <c r="D576">
        <f>IF($N576="","",INDEX('Per Line'!$C$2:$C$3001,$N576))</f>
        <v/>
      </c>
      <c r="E576">
        <f>IF($N576="","",INDEX('Per Line'!$A$2:$A$3001,$N576))</f>
        <v/>
      </c>
      <c r="H576">
        <f>IF($N576="","",INDEX('Per Line'!$V$2:$V$3001,$N576))</f>
        <v/>
      </c>
      <c r="I576" s="5">
        <f>IF($N576="","",SUMIFS('Per Line'!$X$2:$X$3001,'Per Line'!$D$2:$D$3001,$C576))</f>
        <v/>
      </c>
      <c r="J576" s="5">
        <f>IF($N576="","",SUMIFS('Per Line'!$Y$2:$Y$3001,'Per Line'!$D$2:$D$3001,$C576))</f>
        <v/>
      </c>
      <c r="K576" s="5">
        <f>IF($N576="","",SUMIFS('Per Line'!$Z$2:$Z$3001,'Per Line'!$D$2:$D$3001,$C576))</f>
        <v/>
      </c>
      <c r="L576" s="5">
        <f>IF($N576="","",I576-J576)</f>
        <v/>
      </c>
      <c r="M576" s="5">
        <f>IF($N576="","",L576-K576)</f>
        <v/>
      </c>
      <c r="N576">
        <f>IF(ROWS($N$2:$N576)&lt;=MAX('Per Line'!$AG$2:$AG$3001),MATCH(ROWS($N$2:$N576),'Per Line'!$AG$2:$AG$3001,0),"")</f>
        <v/>
      </c>
      <c r="O576">
        <f>IF(B576="Above Claim Form",COUNTIF($B$2:B576,"Above Claim Form"),"")</f>
        <v/>
      </c>
      <c r="P576">
        <f>IF(B576="Below Claim Form",COUNTIF($B$2:B576,"Below Claim Form"),"")</f>
        <v/>
      </c>
    </row>
    <row r="577">
      <c r="B577">
        <f>IF($N577="","",IFERROR(INDEX(Settings!$C$27:$C$36,MATCH(E577,Settings!$B$27:$B$36,0)),"Unassigned"))</f>
        <v/>
      </c>
      <c r="C577">
        <f>IF($N577="","",INDEX('Per Line'!$D$2:$D$3001,$N577))</f>
        <v/>
      </c>
      <c r="D577">
        <f>IF($N577="","",INDEX('Per Line'!$C$2:$C$3001,$N577))</f>
        <v/>
      </c>
      <c r="E577">
        <f>IF($N577="","",INDEX('Per Line'!$A$2:$A$3001,$N577))</f>
        <v/>
      </c>
      <c r="H577">
        <f>IF($N577="","",INDEX('Per Line'!$V$2:$V$3001,$N577))</f>
        <v/>
      </c>
      <c r="I577" s="5">
        <f>IF($N577="","",SUMIFS('Per Line'!$X$2:$X$3001,'Per Line'!$D$2:$D$3001,$C577))</f>
        <v/>
      </c>
      <c r="J577" s="5">
        <f>IF($N577="","",SUMIFS('Per Line'!$Y$2:$Y$3001,'Per Line'!$D$2:$D$3001,$C577))</f>
        <v/>
      </c>
      <c r="K577" s="5">
        <f>IF($N577="","",SUMIFS('Per Line'!$Z$2:$Z$3001,'Per Line'!$D$2:$D$3001,$C577))</f>
        <v/>
      </c>
      <c r="L577" s="5">
        <f>IF($N577="","",I577-J577)</f>
        <v/>
      </c>
      <c r="M577" s="5">
        <f>IF($N577="","",L577-K577)</f>
        <v/>
      </c>
      <c r="N577">
        <f>IF(ROWS($N$2:$N577)&lt;=MAX('Per Line'!$AG$2:$AG$3001),MATCH(ROWS($N$2:$N577),'Per Line'!$AG$2:$AG$3001,0),"")</f>
        <v/>
      </c>
      <c r="O577">
        <f>IF(B577="Above Claim Form",COUNTIF($B$2:B577,"Above Claim Form"),"")</f>
        <v/>
      </c>
      <c r="P577">
        <f>IF(B577="Below Claim Form",COUNTIF($B$2:B577,"Below Claim Form"),"")</f>
        <v/>
      </c>
    </row>
    <row r="578">
      <c r="B578">
        <f>IF($N578="","",IFERROR(INDEX(Settings!$C$27:$C$36,MATCH(E578,Settings!$B$27:$B$36,0)),"Unassigned"))</f>
        <v/>
      </c>
      <c r="C578">
        <f>IF($N578="","",INDEX('Per Line'!$D$2:$D$3001,$N578))</f>
        <v/>
      </c>
      <c r="D578">
        <f>IF($N578="","",INDEX('Per Line'!$C$2:$C$3001,$N578))</f>
        <v/>
      </c>
      <c r="E578">
        <f>IF($N578="","",INDEX('Per Line'!$A$2:$A$3001,$N578))</f>
        <v/>
      </c>
      <c r="H578">
        <f>IF($N578="","",INDEX('Per Line'!$V$2:$V$3001,$N578))</f>
        <v/>
      </c>
      <c r="I578" s="5">
        <f>IF($N578="","",SUMIFS('Per Line'!$X$2:$X$3001,'Per Line'!$D$2:$D$3001,$C578))</f>
        <v/>
      </c>
      <c r="J578" s="5">
        <f>IF($N578="","",SUMIFS('Per Line'!$Y$2:$Y$3001,'Per Line'!$D$2:$D$3001,$C578))</f>
        <v/>
      </c>
      <c r="K578" s="5">
        <f>IF($N578="","",SUMIFS('Per Line'!$Z$2:$Z$3001,'Per Line'!$D$2:$D$3001,$C578))</f>
        <v/>
      </c>
      <c r="L578" s="5">
        <f>IF($N578="","",I578-J578)</f>
        <v/>
      </c>
      <c r="M578" s="5">
        <f>IF($N578="","",L578-K578)</f>
        <v/>
      </c>
      <c r="N578">
        <f>IF(ROWS($N$2:$N578)&lt;=MAX('Per Line'!$AG$2:$AG$3001),MATCH(ROWS($N$2:$N578),'Per Line'!$AG$2:$AG$3001,0),"")</f>
        <v/>
      </c>
      <c r="O578">
        <f>IF(B578="Above Claim Form",COUNTIF($B$2:B578,"Above Claim Form"),"")</f>
        <v/>
      </c>
      <c r="P578">
        <f>IF(B578="Below Claim Form",COUNTIF($B$2:B578,"Below Claim Form"),"")</f>
        <v/>
      </c>
    </row>
    <row r="579">
      <c r="B579">
        <f>IF($N579="","",IFERROR(INDEX(Settings!$C$27:$C$36,MATCH(E579,Settings!$B$27:$B$36,0)),"Unassigned"))</f>
        <v/>
      </c>
      <c r="C579">
        <f>IF($N579="","",INDEX('Per Line'!$D$2:$D$3001,$N579))</f>
        <v/>
      </c>
      <c r="D579">
        <f>IF($N579="","",INDEX('Per Line'!$C$2:$C$3001,$N579))</f>
        <v/>
      </c>
      <c r="E579">
        <f>IF($N579="","",INDEX('Per Line'!$A$2:$A$3001,$N579))</f>
        <v/>
      </c>
      <c r="H579">
        <f>IF($N579="","",INDEX('Per Line'!$V$2:$V$3001,$N579))</f>
        <v/>
      </c>
      <c r="I579" s="5">
        <f>IF($N579="","",SUMIFS('Per Line'!$X$2:$X$3001,'Per Line'!$D$2:$D$3001,$C579))</f>
        <v/>
      </c>
      <c r="J579" s="5">
        <f>IF($N579="","",SUMIFS('Per Line'!$Y$2:$Y$3001,'Per Line'!$D$2:$D$3001,$C579))</f>
        <v/>
      </c>
      <c r="K579" s="5">
        <f>IF($N579="","",SUMIFS('Per Line'!$Z$2:$Z$3001,'Per Line'!$D$2:$D$3001,$C579))</f>
        <v/>
      </c>
      <c r="L579" s="5">
        <f>IF($N579="","",I579-J579)</f>
        <v/>
      </c>
      <c r="M579" s="5">
        <f>IF($N579="","",L579-K579)</f>
        <v/>
      </c>
      <c r="N579">
        <f>IF(ROWS($N$2:$N579)&lt;=MAX('Per Line'!$AG$2:$AG$3001),MATCH(ROWS($N$2:$N579),'Per Line'!$AG$2:$AG$3001,0),"")</f>
        <v/>
      </c>
      <c r="O579">
        <f>IF(B579="Above Claim Form",COUNTIF($B$2:B579,"Above Claim Form"),"")</f>
        <v/>
      </c>
      <c r="P579">
        <f>IF(B579="Below Claim Form",COUNTIF($B$2:B579,"Below Claim Form"),"")</f>
        <v/>
      </c>
    </row>
    <row r="580">
      <c r="B580">
        <f>IF($N580="","",IFERROR(INDEX(Settings!$C$27:$C$36,MATCH(E580,Settings!$B$27:$B$36,0)),"Unassigned"))</f>
        <v/>
      </c>
      <c r="C580">
        <f>IF($N580="","",INDEX('Per Line'!$D$2:$D$3001,$N580))</f>
        <v/>
      </c>
      <c r="D580">
        <f>IF($N580="","",INDEX('Per Line'!$C$2:$C$3001,$N580))</f>
        <v/>
      </c>
      <c r="E580">
        <f>IF($N580="","",INDEX('Per Line'!$A$2:$A$3001,$N580))</f>
        <v/>
      </c>
      <c r="H580">
        <f>IF($N580="","",INDEX('Per Line'!$V$2:$V$3001,$N580))</f>
        <v/>
      </c>
      <c r="I580" s="5">
        <f>IF($N580="","",SUMIFS('Per Line'!$X$2:$X$3001,'Per Line'!$D$2:$D$3001,$C580))</f>
        <v/>
      </c>
      <c r="J580" s="5">
        <f>IF($N580="","",SUMIFS('Per Line'!$Y$2:$Y$3001,'Per Line'!$D$2:$D$3001,$C580))</f>
        <v/>
      </c>
      <c r="K580" s="5">
        <f>IF($N580="","",SUMIFS('Per Line'!$Z$2:$Z$3001,'Per Line'!$D$2:$D$3001,$C580))</f>
        <v/>
      </c>
      <c r="L580" s="5">
        <f>IF($N580="","",I580-J580)</f>
        <v/>
      </c>
      <c r="M580" s="5">
        <f>IF($N580="","",L580-K580)</f>
        <v/>
      </c>
      <c r="N580">
        <f>IF(ROWS($N$2:$N580)&lt;=MAX('Per Line'!$AG$2:$AG$3001),MATCH(ROWS($N$2:$N580),'Per Line'!$AG$2:$AG$3001,0),"")</f>
        <v/>
      </c>
      <c r="O580">
        <f>IF(B580="Above Claim Form",COUNTIF($B$2:B580,"Above Claim Form"),"")</f>
        <v/>
      </c>
      <c r="P580">
        <f>IF(B580="Below Claim Form",COUNTIF($B$2:B580,"Below Claim Form"),"")</f>
        <v/>
      </c>
    </row>
    <row r="581">
      <c r="B581">
        <f>IF($N581="","",IFERROR(INDEX(Settings!$C$27:$C$36,MATCH(E581,Settings!$B$27:$B$36,0)),"Unassigned"))</f>
        <v/>
      </c>
      <c r="C581">
        <f>IF($N581="","",INDEX('Per Line'!$D$2:$D$3001,$N581))</f>
        <v/>
      </c>
      <c r="D581">
        <f>IF($N581="","",INDEX('Per Line'!$C$2:$C$3001,$N581))</f>
        <v/>
      </c>
      <c r="E581">
        <f>IF($N581="","",INDEX('Per Line'!$A$2:$A$3001,$N581))</f>
        <v/>
      </c>
      <c r="H581">
        <f>IF($N581="","",INDEX('Per Line'!$V$2:$V$3001,$N581))</f>
        <v/>
      </c>
      <c r="I581" s="5">
        <f>IF($N581="","",SUMIFS('Per Line'!$X$2:$X$3001,'Per Line'!$D$2:$D$3001,$C581))</f>
        <v/>
      </c>
      <c r="J581" s="5">
        <f>IF($N581="","",SUMIFS('Per Line'!$Y$2:$Y$3001,'Per Line'!$D$2:$D$3001,$C581))</f>
        <v/>
      </c>
      <c r="K581" s="5">
        <f>IF($N581="","",SUMIFS('Per Line'!$Z$2:$Z$3001,'Per Line'!$D$2:$D$3001,$C581))</f>
        <v/>
      </c>
      <c r="L581" s="5">
        <f>IF($N581="","",I581-J581)</f>
        <v/>
      </c>
      <c r="M581" s="5">
        <f>IF($N581="","",L581-K581)</f>
        <v/>
      </c>
      <c r="N581">
        <f>IF(ROWS($N$2:$N581)&lt;=MAX('Per Line'!$AG$2:$AG$3001),MATCH(ROWS($N$2:$N581),'Per Line'!$AG$2:$AG$3001,0),"")</f>
        <v/>
      </c>
      <c r="O581">
        <f>IF(B581="Above Claim Form",COUNTIF($B$2:B581,"Above Claim Form"),"")</f>
        <v/>
      </c>
      <c r="P581">
        <f>IF(B581="Below Claim Form",COUNTIF($B$2:B581,"Below Claim Form"),"")</f>
        <v/>
      </c>
    </row>
    <row r="582">
      <c r="B582">
        <f>IF($N582="","",IFERROR(INDEX(Settings!$C$27:$C$36,MATCH(E582,Settings!$B$27:$B$36,0)),"Unassigned"))</f>
        <v/>
      </c>
      <c r="C582">
        <f>IF($N582="","",INDEX('Per Line'!$D$2:$D$3001,$N582))</f>
        <v/>
      </c>
      <c r="D582">
        <f>IF($N582="","",INDEX('Per Line'!$C$2:$C$3001,$N582))</f>
        <v/>
      </c>
      <c r="E582">
        <f>IF($N582="","",INDEX('Per Line'!$A$2:$A$3001,$N582))</f>
        <v/>
      </c>
      <c r="H582">
        <f>IF($N582="","",INDEX('Per Line'!$V$2:$V$3001,$N582))</f>
        <v/>
      </c>
      <c r="I582" s="5">
        <f>IF($N582="","",SUMIFS('Per Line'!$X$2:$X$3001,'Per Line'!$D$2:$D$3001,$C582))</f>
        <v/>
      </c>
      <c r="J582" s="5">
        <f>IF($N582="","",SUMIFS('Per Line'!$Y$2:$Y$3001,'Per Line'!$D$2:$D$3001,$C582))</f>
        <v/>
      </c>
      <c r="K582" s="5">
        <f>IF($N582="","",SUMIFS('Per Line'!$Z$2:$Z$3001,'Per Line'!$D$2:$D$3001,$C582))</f>
        <v/>
      </c>
      <c r="L582" s="5">
        <f>IF($N582="","",I582-J582)</f>
        <v/>
      </c>
      <c r="M582" s="5">
        <f>IF($N582="","",L582-K582)</f>
        <v/>
      </c>
      <c r="N582">
        <f>IF(ROWS($N$2:$N582)&lt;=MAX('Per Line'!$AG$2:$AG$3001),MATCH(ROWS($N$2:$N582),'Per Line'!$AG$2:$AG$3001,0),"")</f>
        <v/>
      </c>
      <c r="O582">
        <f>IF(B582="Above Claim Form",COUNTIF($B$2:B582,"Above Claim Form"),"")</f>
        <v/>
      </c>
      <c r="P582">
        <f>IF(B582="Below Claim Form",COUNTIF($B$2:B582,"Below Claim Form"),"")</f>
        <v/>
      </c>
    </row>
    <row r="583">
      <c r="B583">
        <f>IF($N583="","",IFERROR(INDEX(Settings!$C$27:$C$36,MATCH(E583,Settings!$B$27:$B$36,0)),"Unassigned"))</f>
        <v/>
      </c>
      <c r="C583">
        <f>IF($N583="","",INDEX('Per Line'!$D$2:$D$3001,$N583))</f>
        <v/>
      </c>
      <c r="D583">
        <f>IF($N583="","",INDEX('Per Line'!$C$2:$C$3001,$N583))</f>
        <v/>
      </c>
      <c r="E583">
        <f>IF($N583="","",INDEX('Per Line'!$A$2:$A$3001,$N583))</f>
        <v/>
      </c>
      <c r="H583">
        <f>IF($N583="","",INDEX('Per Line'!$V$2:$V$3001,$N583))</f>
        <v/>
      </c>
      <c r="I583" s="5">
        <f>IF($N583="","",SUMIFS('Per Line'!$X$2:$X$3001,'Per Line'!$D$2:$D$3001,$C583))</f>
        <v/>
      </c>
      <c r="J583" s="5">
        <f>IF($N583="","",SUMIFS('Per Line'!$Y$2:$Y$3001,'Per Line'!$D$2:$D$3001,$C583))</f>
        <v/>
      </c>
      <c r="K583" s="5">
        <f>IF($N583="","",SUMIFS('Per Line'!$Z$2:$Z$3001,'Per Line'!$D$2:$D$3001,$C583))</f>
        <v/>
      </c>
      <c r="L583" s="5">
        <f>IF($N583="","",I583-J583)</f>
        <v/>
      </c>
      <c r="M583" s="5">
        <f>IF($N583="","",L583-K583)</f>
        <v/>
      </c>
      <c r="N583">
        <f>IF(ROWS($N$2:$N583)&lt;=MAX('Per Line'!$AG$2:$AG$3001),MATCH(ROWS($N$2:$N583),'Per Line'!$AG$2:$AG$3001,0),"")</f>
        <v/>
      </c>
      <c r="O583">
        <f>IF(B583="Above Claim Form",COUNTIF($B$2:B583,"Above Claim Form"),"")</f>
        <v/>
      </c>
      <c r="P583">
        <f>IF(B583="Below Claim Form",COUNTIF($B$2:B583,"Below Claim Form"),"")</f>
        <v/>
      </c>
    </row>
    <row r="584">
      <c r="B584">
        <f>IF($N584="","",IFERROR(INDEX(Settings!$C$27:$C$36,MATCH(E584,Settings!$B$27:$B$36,0)),"Unassigned"))</f>
        <v/>
      </c>
      <c r="C584">
        <f>IF($N584="","",INDEX('Per Line'!$D$2:$D$3001,$N584))</f>
        <v/>
      </c>
      <c r="D584">
        <f>IF($N584="","",INDEX('Per Line'!$C$2:$C$3001,$N584))</f>
        <v/>
      </c>
      <c r="E584">
        <f>IF($N584="","",INDEX('Per Line'!$A$2:$A$3001,$N584))</f>
        <v/>
      </c>
      <c r="H584">
        <f>IF($N584="","",INDEX('Per Line'!$V$2:$V$3001,$N584))</f>
        <v/>
      </c>
      <c r="I584" s="5">
        <f>IF($N584="","",SUMIFS('Per Line'!$X$2:$X$3001,'Per Line'!$D$2:$D$3001,$C584))</f>
        <v/>
      </c>
      <c r="J584" s="5">
        <f>IF($N584="","",SUMIFS('Per Line'!$Y$2:$Y$3001,'Per Line'!$D$2:$D$3001,$C584))</f>
        <v/>
      </c>
      <c r="K584" s="5">
        <f>IF($N584="","",SUMIFS('Per Line'!$Z$2:$Z$3001,'Per Line'!$D$2:$D$3001,$C584))</f>
        <v/>
      </c>
      <c r="L584" s="5">
        <f>IF($N584="","",I584-J584)</f>
        <v/>
      </c>
      <c r="M584" s="5">
        <f>IF($N584="","",L584-K584)</f>
        <v/>
      </c>
      <c r="N584">
        <f>IF(ROWS($N$2:$N584)&lt;=MAX('Per Line'!$AG$2:$AG$3001),MATCH(ROWS($N$2:$N584),'Per Line'!$AG$2:$AG$3001,0),"")</f>
        <v/>
      </c>
      <c r="O584">
        <f>IF(B584="Above Claim Form",COUNTIF($B$2:B584,"Above Claim Form"),"")</f>
        <v/>
      </c>
      <c r="P584">
        <f>IF(B584="Below Claim Form",COUNTIF($B$2:B584,"Below Claim Form"),"")</f>
        <v/>
      </c>
    </row>
    <row r="585">
      <c r="B585">
        <f>IF($N585="","",IFERROR(INDEX(Settings!$C$27:$C$36,MATCH(E585,Settings!$B$27:$B$36,0)),"Unassigned"))</f>
        <v/>
      </c>
      <c r="C585">
        <f>IF($N585="","",INDEX('Per Line'!$D$2:$D$3001,$N585))</f>
        <v/>
      </c>
      <c r="D585">
        <f>IF($N585="","",INDEX('Per Line'!$C$2:$C$3001,$N585))</f>
        <v/>
      </c>
      <c r="E585">
        <f>IF($N585="","",INDEX('Per Line'!$A$2:$A$3001,$N585))</f>
        <v/>
      </c>
      <c r="H585">
        <f>IF($N585="","",INDEX('Per Line'!$V$2:$V$3001,$N585))</f>
        <v/>
      </c>
      <c r="I585" s="5">
        <f>IF($N585="","",SUMIFS('Per Line'!$X$2:$X$3001,'Per Line'!$D$2:$D$3001,$C585))</f>
        <v/>
      </c>
      <c r="J585" s="5">
        <f>IF($N585="","",SUMIFS('Per Line'!$Y$2:$Y$3001,'Per Line'!$D$2:$D$3001,$C585))</f>
        <v/>
      </c>
      <c r="K585" s="5">
        <f>IF($N585="","",SUMIFS('Per Line'!$Z$2:$Z$3001,'Per Line'!$D$2:$D$3001,$C585))</f>
        <v/>
      </c>
      <c r="L585" s="5">
        <f>IF($N585="","",I585-J585)</f>
        <v/>
      </c>
      <c r="M585" s="5">
        <f>IF($N585="","",L585-K585)</f>
        <v/>
      </c>
      <c r="N585">
        <f>IF(ROWS($N$2:$N585)&lt;=MAX('Per Line'!$AG$2:$AG$3001),MATCH(ROWS($N$2:$N585),'Per Line'!$AG$2:$AG$3001,0),"")</f>
        <v/>
      </c>
      <c r="O585">
        <f>IF(B585="Above Claim Form",COUNTIF($B$2:B585,"Above Claim Form"),"")</f>
        <v/>
      </c>
      <c r="P585">
        <f>IF(B585="Below Claim Form",COUNTIF($B$2:B585,"Below Claim Form"),"")</f>
        <v/>
      </c>
    </row>
    <row r="586">
      <c r="B586">
        <f>IF($N586="","",IFERROR(INDEX(Settings!$C$27:$C$36,MATCH(E586,Settings!$B$27:$B$36,0)),"Unassigned"))</f>
        <v/>
      </c>
      <c r="C586">
        <f>IF($N586="","",INDEX('Per Line'!$D$2:$D$3001,$N586))</f>
        <v/>
      </c>
      <c r="D586">
        <f>IF($N586="","",INDEX('Per Line'!$C$2:$C$3001,$N586))</f>
        <v/>
      </c>
      <c r="E586">
        <f>IF($N586="","",INDEX('Per Line'!$A$2:$A$3001,$N586))</f>
        <v/>
      </c>
      <c r="H586">
        <f>IF($N586="","",INDEX('Per Line'!$V$2:$V$3001,$N586))</f>
        <v/>
      </c>
      <c r="I586" s="5">
        <f>IF($N586="","",SUMIFS('Per Line'!$X$2:$X$3001,'Per Line'!$D$2:$D$3001,$C586))</f>
        <v/>
      </c>
      <c r="J586" s="5">
        <f>IF($N586="","",SUMIFS('Per Line'!$Y$2:$Y$3001,'Per Line'!$D$2:$D$3001,$C586))</f>
        <v/>
      </c>
      <c r="K586" s="5">
        <f>IF($N586="","",SUMIFS('Per Line'!$Z$2:$Z$3001,'Per Line'!$D$2:$D$3001,$C586))</f>
        <v/>
      </c>
      <c r="L586" s="5">
        <f>IF($N586="","",I586-J586)</f>
        <v/>
      </c>
      <c r="M586" s="5">
        <f>IF($N586="","",L586-K586)</f>
        <v/>
      </c>
      <c r="N586">
        <f>IF(ROWS($N$2:$N586)&lt;=MAX('Per Line'!$AG$2:$AG$3001),MATCH(ROWS($N$2:$N586),'Per Line'!$AG$2:$AG$3001,0),"")</f>
        <v/>
      </c>
      <c r="O586">
        <f>IF(B586="Above Claim Form",COUNTIF($B$2:B586,"Above Claim Form"),"")</f>
        <v/>
      </c>
      <c r="P586">
        <f>IF(B586="Below Claim Form",COUNTIF($B$2:B586,"Below Claim Form"),"")</f>
        <v/>
      </c>
    </row>
    <row r="587">
      <c r="B587">
        <f>IF($N587="","",IFERROR(INDEX(Settings!$C$27:$C$36,MATCH(E587,Settings!$B$27:$B$36,0)),"Unassigned"))</f>
        <v/>
      </c>
      <c r="C587">
        <f>IF($N587="","",INDEX('Per Line'!$D$2:$D$3001,$N587))</f>
        <v/>
      </c>
      <c r="D587">
        <f>IF($N587="","",INDEX('Per Line'!$C$2:$C$3001,$N587))</f>
        <v/>
      </c>
      <c r="E587">
        <f>IF($N587="","",INDEX('Per Line'!$A$2:$A$3001,$N587))</f>
        <v/>
      </c>
      <c r="H587">
        <f>IF($N587="","",INDEX('Per Line'!$V$2:$V$3001,$N587))</f>
        <v/>
      </c>
      <c r="I587" s="5">
        <f>IF($N587="","",SUMIFS('Per Line'!$X$2:$X$3001,'Per Line'!$D$2:$D$3001,$C587))</f>
        <v/>
      </c>
      <c r="J587" s="5">
        <f>IF($N587="","",SUMIFS('Per Line'!$Y$2:$Y$3001,'Per Line'!$D$2:$D$3001,$C587))</f>
        <v/>
      </c>
      <c r="K587" s="5">
        <f>IF($N587="","",SUMIFS('Per Line'!$Z$2:$Z$3001,'Per Line'!$D$2:$D$3001,$C587))</f>
        <v/>
      </c>
      <c r="L587" s="5">
        <f>IF($N587="","",I587-J587)</f>
        <v/>
      </c>
      <c r="M587" s="5">
        <f>IF($N587="","",L587-K587)</f>
        <v/>
      </c>
      <c r="N587">
        <f>IF(ROWS($N$2:$N587)&lt;=MAX('Per Line'!$AG$2:$AG$3001),MATCH(ROWS($N$2:$N587),'Per Line'!$AG$2:$AG$3001,0),"")</f>
        <v/>
      </c>
      <c r="O587">
        <f>IF(B587="Above Claim Form",COUNTIF($B$2:B587,"Above Claim Form"),"")</f>
        <v/>
      </c>
      <c r="P587">
        <f>IF(B587="Below Claim Form",COUNTIF($B$2:B587,"Below Claim Form"),"")</f>
        <v/>
      </c>
    </row>
    <row r="588">
      <c r="B588">
        <f>IF($N588="","",IFERROR(INDEX(Settings!$C$27:$C$36,MATCH(E588,Settings!$B$27:$B$36,0)),"Unassigned"))</f>
        <v/>
      </c>
      <c r="C588">
        <f>IF($N588="","",INDEX('Per Line'!$D$2:$D$3001,$N588))</f>
        <v/>
      </c>
      <c r="D588">
        <f>IF($N588="","",INDEX('Per Line'!$C$2:$C$3001,$N588))</f>
        <v/>
      </c>
      <c r="E588">
        <f>IF($N588="","",INDEX('Per Line'!$A$2:$A$3001,$N588))</f>
        <v/>
      </c>
      <c r="H588">
        <f>IF($N588="","",INDEX('Per Line'!$V$2:$V$3001,$N588))</f>
        <v/>
      </c>
      <c r="I588" s="5">
        <f>IF($N588="","",SUMIFS('Per Line'!$X$2:$X$3001,'Per Line'!$D$2:$D$3001,$C588))</f>
        <v/>
      </c>
      <c r="J588" s="5">
        <f>IF($N588="","",SUMIFS('Per Line'!$Y$2:$Y$3001,'Per Line'!$D$2:$D$3001,$C588))</f>
        <v/>
      </c>
      <c r="K588" s="5">
        <f>IF($N588="","",SUMIFS('Per Line'!$Z$2:$Z$3001,'Per Line'!$D$2:$D$3001,$C588))</f>
        <v/>
      </c>
      <c r="L588" s="5">
        <f>IF($N588="","",I588-J588)</f>
        <v/>
      </c>
      <c r="M588" s="5">
        <f>IF($N588="","",L588-K588)</f>
        <v/>
      </c>
      <c r="N588">
        <f>IF(ROWS($N$2:$N588)&lt;=MAX('Per Line'!$AG$2:$AG$3001),MATCH(ROWS($N$2:$N588),'Per Line'!$AG$2:$AG$3001,0),"")</f>
        <v/>
      </c>
      <c r="O588">
        <f>IF(B588="Above Claim Form",COUNTIF($B$2:B588,"Above Claim Form"),"")</f>
        <v/>
      </c>
      <c r="P588">
        <f>IF(B588="Below Claim Form",COUNTIF($B$2:B588,"Below Claim Form"),"")</f>
        <v/>
      </c>
    </row>
    <row r="589">
      <c r="B589">
        <f>IF($N589="","",IFERROR(INDEX(Settings!$C$27:$C$36,MATCH(E589,Settings!$B$27:$B$36,0)),"Unassigned"))</f>
        <v/>
      </c>
      <c r="C589">
        <f>IF($N589="","",INDEX('Per Line'!$D$2:$D$3001,$N589))</f>
        <v/>
      </c>
      <c r="D589">
        <f>IF($N589="","",INDEX('Per Line'!$C$2:$C$3001,$N589))</f>
        <v/>
      </c>
      <c r="E589">
        <f>IF($N589="","",INDEX('Per Line'!$A$2:$A$3001,$N589))</f>
        <v/>
      </c>
      <c r="H589">
        <f>IF($N589="","",INDEX('Per Line'!$V$2:$V$3001,$N589))</f>
        <v/>
      </c>
      <c r="I589" s="5">
        <f>IF($N589="","",SUMIFS('Per Line'!$X$2:$X$3001,'Per Line'!$D$2:$D$3001,$C589))</f>
        <v/>
      </c>
      <c r="J589" s="5">
        <f>IF($N589="","",SUMIFS('Per Line'!$Y$2:$Y$3001,'Per Line'!$D$2:$D$3001,$C589))</f>
        <v/>
      </c>
      <c r="K589" s="5">
        <f>IF($N589="","",SUMIFS('Per Line'!$Z$2:$Z$3001,'Per Line'!$D$2:$D$3001,$C589))</f>
        <v/>
      </c>
      <c r="L589" s="5">
        <f>IF($N589="","",I589-J589)</f>
        <v/>
      </c>
      <c r="M589" s="5">
        <f>IF($N589="","",L589-K589)</f>
        <v/>
      </c>
      <c r="N589">
        <f>IF(ROWS($N$2:$N589)&lt;=MAX('Per Line'!$AG$2:$AG$3001),MATCH(ROWS($N$2:$N589),'Per Line'!$AG$2:$AG$3001,0),"")</f>
        <v/>
      </c>
      <c r="O589">
        <f>IF(B589="Above Claim Form",COUNTIF($B$2:B589,"Above Claim Form"),"")</f>
        <v/>
      </c>
      <c r="P589">
        <f>IF(B589="Below Claim Form",COUNTIF($B$2:B589,"Below Claim Form"),"")</f>
        <v/>
      </c>
    </row>
    <row r="590">
      <c r="B590">
        <f>IF($N590="","",IFERROR(INDEX(Settings!$C$27:$C$36,MATCH(E590,Settings!$B$27:$B$36,0)),"Unassigned"))</f>
        <v/>
      </c>
      <c r="C590">
        <f>IF($N590="","",INDEX('Per Line'!$D$2:$D$3001,$N590))</f>
        <v/>
      </c>
      <c r="D590">
        <f>IF($N590="","",INDEX('Per Line'!$C$2:$C$3001,$N590))</f>
        <v/>
      </c>
      <c r="E590">
        <f>IF($N590="","",INDEX('Per Line'!$A$2:$A$3001,$N590))</f>
        <v/>
      </c>
      <c r="H590">
        <f>IF($N590="","",INDEX('Per Line'!$V$2:$V$3001,$N590))</f>
        <v/>
      </c>
      <c r="I590" s="5">
        <f>IF($N590="","",SUMIFS('Per Line'!$X$2:$X$3001,'Per Line'!$D$2:$D$3001,$C590))</f>
        <v/>
      </c>
      <c r="J590" s="5">
        <f>IF($N590="","",SUMIFS('Per Line'!$Y$2:$Y$3001,'Per Line'!$D$2:$D$3001,$C590))</f>
        <v/>
      </c>
      <c r="K590" s="5">
        <f>IF($N590="","",SUMIFS('Per Line'!$Z$2:$Z$3001,'Per Line'!$D$2:$D$3001,$C590))</f>
        <v/>
      </c>
      <c r="L590" s="5">
        <f>IF($N590="","",I590-J590)</f>
        <v/>
      </c>
      <c r="M590" s="5">
        <f>IF($N590="","",L590-K590)</f>
        <v/>
      </c>
      <c r="N590">
        <f>IF(ROWS($N$2:$N590)&lt;=MAX('Per Line'!$AG$2:$AG$3001),MATCH(ROWS($N$2:$N590),'Per Line'!$AG$2:$AG$3001,0),"")</f>
        <v/>
      </c>
      <c r="O590">
        <f>IF(B590="Above Claim Form",COUNTIF($B$2:B590,"Above Claim Form"),"")</f>
        <v/>
      </c>
      <c r="P590">
        <f>IF(B590="Below Claim Form",COUNTIF($B$2:B590,"Below Claim Form"),"")</f>
        <v/>
      </c>
    </row>
    <row r="591">
      <c r="B591">
        <f>IF($N591="","",IFERROR(INDEX(Settings!$C$27:$C$36,MATCH(E591,Settings!$B$27:$B$36,0)),"Unassigned"))</f>
        <v/>
      </c>
      <c r="C591">
        <f>IF($N591="","",INDEX('Per Line'!$D$2:$D$3001,$N591))</f>
        <v/>
      </c>
      <c r="D591">
        <f>IF($N591="","",INDEX('Per Line'!$C$2:$C$3001,$N591))</f>
        <v/>
      </c>
      <c r="E591">
        <f>IF($N591="","",INDEX('Per Line'!$A$2:$A$3001,$N591))</f>
        <v/>
      </c>
      <c r="H591">
        <f>IF($N591="","",INDEX('Per Line'!$V$2:$V$3001,$N591))</f>
        <v/>
      </c>
      <c r="I591" s="5">
        <f>IF($N591="","",SUMIFS('Per Line'!$X$2:$X$3001,'Per Line'!$D$2:$D$3001,$C591))</f>
        <v/>
      </c>
      <c r="J591" s="5">
        <f>IF($N591="","",SUMIFS('Per Line'!$Y$2:$Y$3001,'Per Line'!$D$2:$D$3001,$C591))</f>
        <v/>
      </c>
      <c r="K591" s="5">
        <f>IF($N591="","",SUMIFS('Per Line'!$Z$2:$Z$3001,'Per Line'!$D$2:$D$3001,$C591))</f>
        <v/>
      </c>
      <c r="L591" s="5">
        <f>IF($N591="","",I591-J591)</f>
        <v/>
      </c>
      <c r="M591" s="5">
        <f>IF($N591="","",L591-K591)</f>
        <v/>
      </c>
      <c r="N591">
        <f>IF(ROWS($N$2:$N591)&lt;=MAX('Per Line'!$AG$2:$AG$3001),MATCH(ROWS($N$2:$N591),'Per Line'!$AG$2:$AG$3001,0),"")</f>
        <v/>
      </c>
      <c r="O591">
        <f>IF(B591="Above Claim Form",COUNTIF($B$2:B591,"Above Claim Form"),"")</f>
        <v/>
      </c>
      <c r="P591">
        <f>IF(B591="Below Claim Form",COUNTIF($B$2:B591,"Below Claim Form"),"")</f>
        <v/>
      </c>
    </row>
    <row r="592">
      <c r="B592">
        <f>IF($N592="","",IFERROR(INDEX(Settings!$C$27:$C$36,MATCH(E592,Settings!$B$27:$B$36,0)),"Unassigned"))</f>
        <v/>
      </c>
      <c r="C592">
        <f>IF($N592="","",INDEX('Per Line'!$D$2:$D$3001,$N592))</f>
        <v/>
      </c>
      <c r="D592">
        <f>IF($N592="","",INDEX('Per Line'!$C$2:$C$3001,$N592))</f>
        <v/>
      </c>
      <c r="E592">
        <f>IF($N592="","",INDEX('Per Line'!$A$2:$A$3001,$N592))</f>
        <v/>
      </c>
      <c r="H592">
        <f>IF($N592="","",INDEX('Per Line'!$V$2:$V$3001,$N592))</f>
        <v/>
      </c>
      <c r="I592" s="5">
        <f>IF($N592="","",SUMIFS('Per Line'!$X$2:$X$3001,'Per Line'!$D$2:$D$3001,$C592))</f>
        <v/>
      </c>
      <c r="J592" s="5">
        <f>IF($N592="","",SUMIFS('Per Line'!$Y$2:$Y$3001,'Per Line'!$D$2:$D$3001,$C592))</f>
        <v/>
      </c>
      <c r="K592" s="5">
        <f>IF($N592="","",SUMIFS('Per Line'!$Z$2:$Z$3001,'Per Line'!$D$2:$D$3001,$C592))</f>
        <v/>
      </c>
      <c r="L592" s="5">
        <f>IF($N592="","",I592-J592)</f>
        <v/>
      </c>
      <c r="M592" s="5">
        <f>IF($N592="","",L592-K592)</f>
        <v/>
      </c>
      <c r="N592">
        <f>IF(ROWS($N$2:$N592)&lt;=MAX('Per Line'!$AG$2:$AG$3001),MATCH(ROWS($N$2:$N592),'Per Line'!$AG$2:$AG$3001,0),"")</f>
        <v/>
      </c>
      <c r="O592">
        <f>IF(B592="Above Claim Form",COUNTIF($B$2:B592,"Above Claim Form"),"")</f>
        <v/>
      </c>
      <c r="P592">
        <f>IF(B592="Below Claim Form",COUNTIF($B$2:B592,"Below Claim Form"),"")</f>
        <v/>
      </c>
    </row>
    <row r="593">
      <c r="B593">
        <f>IF($N593="","",IFERROR(INDEX(Settings!$C$27:$C$36,MATCH(E593,Settings!$B$27:$B$36,0)),"Unassigned"))</f>
        <v/>
      </c>
      <c r="C593">
        <f>IF($N593="","",INDEX('Per Line'!$D$2:$D$3001,$N593))</f>
        <v/>
      </c>
      <c r="D593">
        <f>IF($N593="","",INDEX('Per Line'!$C$2:$C$3001,$N593))</f>
        <v/>
      </c>
      <c r="E593">
        <f>IF($N593="","",INDEX('Per Line'!$A$2:$A$3001,$N593))</f>
        <v/>
      </c>
      <c r="H593">
        <f>IF($N593="","",INDEX('Per Line'!$V$2:$V$3001,$N593))</f>
        <v/>
      </c>
      <c r="I593" s="5">
        <f>IF($N593="","",SUMIFS('Per Line'!$X$2:$X$3001,'Per Line'!$D$2:$D$3001,$C593))</f>
        <v/>
      </c>
      <c r="J593" s="5">
        <f>IF($N593="","",SUMIFS('Per Line'!$Y$2:$Y$3001,'Per Line'!$D$2:$D$3001,$C593))</f>
        <v/>
      </c>
      <c r="K593" s="5">
        <f>IF($N593="","",SUMIFS('Per Line'!$Z$2:$Z$3001,'Per Line'!$D$2:$D$3001,$C593))</f>
        <v/>
      </c>
      <c r="L593" s="5">
        <f>IF($N593="","",I593-J593)</f>
        <v/>
      </c>
      <c r="M593" s="5">
        <f>IF($N593="","",L593-K593)</f>
        <v/>
      </c>
      <c r="N593">
        <f>IF(ROWS($N$2:$N593)&lt;=MAX('Per Line'!$AG$2:$AG$3001),MATCH(ROWS($N$2:$N593),'Per Line'!$AG$2:$AG$3001,0),"")</f>
        <v/>
      </c>
      <c r="O593">
        <f>IF(B593="Above Claim Form",COUNTIF($B$2:B593,"Above Claim Form"),"")</f>
        <v/>
      </c>
      <c r="P593">
        <f>IF(B593="Below Claim Form",COUNTIF($B$2:B593,"Below Claim Form"),"")</f>
        <v/>
      </c>
    </row>
    <row r="594">
      <c r="B594">
        <f>IF($N594="","",IFERROR(INDEX(Settings!$C$27:$C$36,MATCH(E594,Settings!$B$27:$B$36,0)),"Unassigned"))</f>
        <v/>
      </c>
      <c r="C594">
        <f>IF($N594="","",INDEX('Per Line'!$D$2:$D$3001,$N594))</f>
        <v/>
      </c>
      <c r="D594">
        <f>IF($N594="","",INDEX('Per Line'!$C$2:$C$3001,$N594))</f>
        <v/>
      </c>
      <c r="E594">
        <f>IF($N594="","",INDEX('Per Line'!$A$2:$A$3001,$N594))</f>
        <v/>
      </c>
      <c r="H594">
        <f>IF($N594="","",INDEX('Per Line'!$V$2:$V$3001,$N594))</f>
        <v/>
      </c>
      <c r="I594" s="5">
        <f>IF($N594="","",SUMIFS('Per Line'!$X$2:$X$3001,'Per Line'!$D$2:$D$3001,$C594))</f>
        <v/>
      </c>
      <c r="J594" s="5">
        <f>IF($N594="","",SUMIFS('Per Line'!$Y$2:$Y$3001,'Per Line'!$D$2:$D$3001,$C594))</f>
        <v/>
      </c>
      <c r="K594" s="5">
        <f>IF($N594="","",SUMIFS('Per Line'!$Z$2:$Z$3001,'Per Line'!$D$2:$D$3001,$C594))</f>
        <v/>
      </c>
      <c r="L594" s="5">
        <f>IF($N594="","",I594-J594)</f>
        <v/>
      </c>
      <c r="M594" s="5">
        <f>IF($N594="","",L594-K594)</f>
        <v/>
      </c>
      <c r="N594">
        <f>IF(ROWS($N$2:$N594)&lt;=MAX('Per Line'!$AG$2:$AG$3001),MATCH(ROWS($N$2:$N594),'Per Line'!$AG$2:$AG$3001,0),"")</f>
        <v/>
      </c>
      <c r="O594">
        <f>IF(B594="Above Claim Form",COUNTIF($B$2:B594,"Above Claim Form"),"")</f>
        <v/>
      </c>
      <c r="P594">
        <f>IF(B594="Below Claim Form",COUNTIF($B$2:B594,"Below Claim Form"),"")</f>
        <v/>
      </c>
    </row>
    <row r="595">
      <c r="B595">
        <f>IF($N595="","",IFERROR(INDEX(Settings!$C$27:$C$36,MATCH(E595,Settings!$B$27:$B$36,0)),"Unassigned"))</f>
        <v/>
      </c>
      <c r="C595">
        <f>IF($N595="","",INDEX('Per Line'!$D$2:$D$3001,$N595))</f>
        <v/>
      </c>
      <c r="D595">
        <f>IF($N595="","",INDEX('Per Line'!$C$2:$C$3001,$N595))</f>
        <v/>
      </c>
      <c r="E595">
        <f>IF($N595="","",INDEX('Per Line'!$A$2:$A$3001,$N595))</f>
        <v/>
      </c>
      <c r="H595">
        <f>IF($N595="","",INDEX('Per Line'!$V$2:$V$3001,$N595))</f>
        <v/>
      </c>
      <c r="I595" s="5">
        <f>IF($N595="","",SUMIFS('Per Line'!$X$2:$X$3001,'Per Line'!$D$2:$D$3001,$C595))</f>
        <v/>
      </c>
      <c r="J595" s="5">
        <f>IF($N595="","",SUMIFS('Per Line'!$Y$2:$Y$3001,'Per Line'!$D$2:$D$3001,$C595))</f>
        <v/>
      </c>
      <c r="K595" s="5">
        <f>IF($N595="","",SUMIFS('Per Line'!$Z$2:$Z$3001,'Per Line'!$D$2:$D$3001,$C595))</f>
        <v/>
      </c>
      <c r="L595" s="5">
        <f>IF($N595="","",I595-J595)</f>
        <v/>
      </c>
      <c r="M595" s="5">
        <f>IF($N595="","",L595-K595)</f>
        <v/>
      </c>
      <c r="N595">
        <f>IF(ROWS($N$2:$N595)&lt;=MAX('Per Line'!$AG$2:$AG$3001),MATCH(ROWS($N$2:$N595),'Per Line'!$AG$2:$AG$3001,0),"")</f>
        <v/>
      </c>
      <c r="O595">
        <f>IF(B595="Above Claim Form",COUNTIF($B$2:B595,"Above Claim Form"),"")</f>
        <v/>
      </c>
      <c r="P595">
        <f>IF(B595="Below Claim Form",COUNTIF($B$2:B595,"Below Claim Form"),"")</f>
        <v/>
      </c>
    </row>
    <row r="596">
      <c r="B596">
        <f>IF($N596="","",IFERROR(INDEX(Settings!$C$27:$C$36,MATCH(E596,Settings!$B$27:$B$36,0)),"Unassigned"))</f>
        <v/>
      </c>
      <c r="C596">
        <f>IF($N596="","",INDEX('Per Line'!$D$2:$D$3001,$N596))</f>
        <v/>
      </c>
      <c r="D596">
        <f>IF($N596="","",INDEX('Per Line'!$C$2:$C$3001,$N596))</f>
        <v/>
      </c>
      <c r="E596">
        <f>IF($N596="","",INDEX('Per Line'!$A$2:$A$3001,$N596))</f>
        <v/>
      </c>
      <c r="H596">
        <f>IF($N596="","",INDEX('Per Line'!$V$2:$V$3001,$N596))</f>
        <v/>
      </c>
      <c r="I596" s="5">
        <f>IF($N596="","",SUMIFS('Per Line'!$X$2:$X$3001,'Per Line'!$D$2:$D$3001,$C596))</f>
        <v/>
      </c>
      <c r="J596" s="5">
        <f>IF($N596="","",SUMIFS('Per Line'!$Y$2:$Y$3001,'Per Line'!$D$2:$D$3001,$C596))</f>
        <v/>
      </c>
      <c r="K596" s="5">
        <f>IF($N596="","",SUMIFS('Per Line'!$Z$2:$Z$3001,'Per Line'!$D$2:$D$3001,$C596))</f>
        <v/>
      </c>
      <c r="L596" s="5">
        <f>IF($N596="","",I596-J596)</f>
        <v/>
      </c>
      <c r="M596" s="5">
        <f>IF($N596="","",L596-K596)</f>
        <v/>
      </c>
      <c r="N596">
        <f>IF(ROWS($N$2:$N596)&lt;=MAX('Per Line'!$AG$2:$AG$3001),MATCH(ROWS($N$2:$N596),'Per Line'!$AG$2:$AG$3001,0),"")</f>
        <v/>
      </c>
      <c r="O596">
        <f>IF(B596="Above Claim Form",COUNTIF($B$2:B596,"Above Claim Form"),"")</f>
        <v/>
      </c>
      <c r="P596">
        <f>IF(B596="Below Claim Form",COUNTIF($B$2:B596,"Below Claim Form"),"")</f>
        <v/>
      </c>
    </row>
    <row r="597">
      <c r="B597">
        <f>IF($N597="","",IFERROR(INDEX(Settings!$C$27:$C$36,MATCH(E597,Settings!$B$27:$B$36,0)),"Unassigned"))</f>
        <v/>
      </c>
      <c r="C597">
        <f>IF($N597="","",INDEX('Per Line'!$D$2:$D$3001,$N597))</f>
        <v/>
      </c>
      <c r="D597">
        <f>IF($N597="","",INDEX('Per Line'!$C$2:$C$3001,$N597))</f>
        <v/>
      </c>
      <c r="E597">
        <f>IF($N597="","",INDEX('Per Line'!$A$2:$A$3001,$N597))</f>
        <v/>
      </c>
      <c r="H597">
        <f>IF($N597="","",INDEX('Per Line'!$V$2:$V$3001,$N597))</f>
        <v/>
      </c>
      <c r="I597" s="5">
        <f>IF($N597="","",SUMIFS('Per Line'!$X$2:$X$3001,'Per Line'!$D$2:$D$3001,$C597))</f>
        <v/>
      </c>
      <c r="J597" s="5">
        <f>IF($N597="","",SUMIFS('Per Line'!$Y$2:$Y$3001,'Per Line'!$D$2:$D$3001,$C597))</f>
        <v/>
      </c>
      <c r="K597" s="5">
        <f>IF($N597="","",SUMIFS('Per Line'!$Z$2:$Z$3001,'Per Line'!$D$2:$D$3001,$C597))</f>
        <v/>
      </c>
      <c r="L597" s="5">
        <f>IF($N597="","",I597-J597)</f>
        <v/>
      </c>
      <c r="M597" s="5">
        <f>IF($N597="","",L597-K597)</f>
        <v/>
      </c>
      <c r="N597">
        <f>IF(ROWS($N$2:$N597)&lt;=MAX('Per Line'!$AG$2:$AG$3001),MATCH(ROWS($N$2:$N597),'Per Line'!$AG$2:$AG$3001,0),"")</f>
        <v/>
      </c>
      <c r="O597">
        <f>IF(B597="Above Claim Form",COUNTIF($B$2:B597,"Above Claim Form"),"")</f>
        <v/>
      </c>
      <c r="P597">
        <f>IF(B597="Below Claim Form",COUNTIF($B$2:B597,"Below Claim Form"),"")</f>
        <v/>
      </c>
    </row>
    <row r="598">
      <c r="B598">
        <f>IF($N598="","",IFERROR(INDEX(Settings!$C$27:$C$36,MATCH(E598,Settings!$B$27:$B$36,0)),"Unassigned"))</f>
        <v/>
      </c>
      <c r="C598">
        <f>IF($N598="","",INDEX('Per Line'!$D$2:$D$3001,$N598))</f>
        <v/>
      </c>
      <c r="D598">
        <f>IF($N598="","",INDEX('Per Line'!$C$2:$C$3001,$N598))</f>
        <v/>
      </c>
      <c r="E598">
        <f>IF($N598="","",INDEX('Per Line'!$A$2:$A$3001,$N598))</f>
        <v/>
      </c>
      <c r="H598">
        <f>IF($N598="","",INDEX('Per Line'!$V$2:$V$3001,$N598))</f>
        <v/>
      </c>
      <c r="I598" s="5">
        <f>IF($N598="","",SUMIFS('Per Line'!$X$2:$X$3001,'Per Line'!$D$2:$D$3001,$C598))</f>
        <v/>
      </c>
      <c r="J598" s="5">
        <f>IF($N598="","",SUMIFS('Per Line'!$Y$2:$Y$3001,'Per Line'!$D$2:$D$3001,$C598))</f>
        <v/>
      </c>
      <c r="K598" s="5">
        <f>IF($N598="","",SUMIFS('Per Line'!$Z$2:$Z$3001,'Per Line'!$D$2:$D$3001,$C598))</f>
        <v/>
      </c>
      <c r="L598" s="5">
        <f>IF($N598="","",I598-J598)</f>
        <v/>
      </c>
      <c r="M598" s="5">
        <f>IF($N598="","",L598-K598)</f>
        <v/>
      </c>
      <c r="N598">
        <f>IF(ROWS($N$2:$N598)&lt;=MAX('Per Line'!$AG$2:$AG$3001),MATCH(ROWS($N$2:$N598),'Per Line'!$AG$2:$AG$3001,0),"")</f>
        <v/>
      </c>
      <c r="O598">
        <f>IF(B598="Above Claim Form",COUNTIF($B$2:B598,"Above Claim Form"),"")</f>
        <v/>
      </c>
      <c r="P598">
        <f>IF(B598="Below Claim Form",COUNTIF($B$2:B598,"Below Claim Form"),"")</f>
        <v/>
      </c>
    </row>
    <row r="599">
      <c r="B599">
        <f>IF($N599="","",IFERROR(INDEX(Settings!$C$27:$C$36,MATCH(E599,Settings!$B$27:$B$36,0)),"Unassigned"))</f>
        <v/>
      </c>
      <c r="C599">
        <f>IF($N599="","",INDEX('Per Line'!$D$2:$D$3001,$N599))</f>
        <v/>
      </c>
      <c r="D599">
        <f>IF($N599="","",INDEX('Per Line'!$C$2:$C$3001,$N599))</f>
        <v/>
      </c>
      <c r="E599">
        <f>IF($N599="","",INDEX('Per Line'!$A$2:$A$3001,$N599))</f>
        <v/>
      </c>
      <c r="H599">
        <f>IF($N599="","",INDEX('Per Line'!$V$2:$V$3001,$N599))</f>
        <v/>
      </c>
      <c r="I599" s="5">
        <f>IF($N599="","",SUMIFS('Per Line'!$X$2:$X$3001,'Per Line'!$D$2:$D$3001,$C599))</f>
        <v/>
      </c>
      <c r="J599" s="5">
        <f>IF($N599="","",SUMIFS('Per Line'!$Y$2:$Y$3001,'Per Line'!$D$2:$D$3001,$C599))</f>
        <v/>
      </c>
      <c r="K599" s="5">
        <f>IF($N599="","",SUMIFS('Per Line'!$Z$2:$Z$3001,'Per Line'!$D$2:$D$3001,$C599))</f>
        <v/>
      </c>
      <c r="L599" s="5">
        <f>IF($N599="","",I599-J599)</f>
        <v/>
      </c>
      <c r="M599" s="5">
        <f>IF($N599="","",L599-K599)</f>
        <v/>
      </c>
      <c r="N599">
        <f>IF(ROWS($N$2:$N599)&lt;=MAX('Per Line'!$AG$2:$AG$3001),MATCH(ROWS($N$2:$N599),'Per Line'!$AG$2:$AG$3001,0),"")</f>
        <v/>
      </c>
      <c r="O599">
        <f>IF(B599="Above Claim Form",COUNTIF($B$2:B599,"Above Claim Form"),"")</f>
        <v/>
      </c>
      <c r="P599">
        <f>IF(B599="Below Claim Form",COUNTIF($B$2:B599,"Below Claim Form"),"")</f>
        <v/>
      </c>
    </row>
    <row r="600">
      <c r="B600">
        <f>IF($N600="","",IFERROR(INDEX(Settings!$C$27:$C$36,MATCH(E600,Settings!$B$27:$B$36,0)),"Unassigned"))</f>
        <v/>
      </c>
      <c r="C600">
        <f>IF($N600="","",INDEX('Per Line'!$D$2:$D$3001,$N600))</f>
        <v/>
      </c>
      <c r="D600">
        <f>IF($N600="","",INDEX('Per Line'!$C$2:$C$3001,$N600))</f>
        <v/>
      </c>
      <c r="E600">
        <f>IF($N600="","",INDEX('Per Line'!$A$2:$A$3001,$N600))</f>
        <v/>
      </c>
      <c r="H600">
        <f>IF($N600="","",INDEX('Per Line'!$V$2:$V$3001,$N600))</f>
        <v/>
      </c>
      <c r="I600" s="5">
        <f>IF($N600="","",SUMIFS('Per Line'!$X$2:$X$3001,'Per Line'!$D$2:$D$3001,$C600))</f>
        <v/>
      </c>
      <c r="J600" s="5">
        <f>IF($N600="","",SUMIFS('Per Line'!$Y$2:$Y$3001,'Per Line'!$D$2:$D$3001,$C600))</f>
        <v/>
      </c>
      <c r="K600" s="5">
        <f>IF($N600="","",SUMIFS('Per Line'!$Z$2:$Z$3001,'Per Line'!$D$2:$D$3001,$C600))</f>
        <v/>
      </c>
      <c r="L600" s="5">
        <f>IF($N600="","",I600-J600)</f>
        <v/>
      </c>
      <c r="M600" s="5">
        <f>IF($N600="","",L600-K600)</f>
        <v/>
      </c>
      <c r="N600">
        <f>IF(ROWS($N$2:$N600)&lt;=MAX('Per Line'!$AG$2:$AG$3001),MATCH(ROWS($N$2:$N600),'Per Line'!$AG$2:$AG$3001,0),"")</f>
        <v/>
      </c>
      <c r="O600">
        <f>IF(B600="Above Claim Form",COUNTIF($B$2:B600,"Above Claim Form"),"")</f>
        <v/>
      </c>
      <c r="P600">
        <f>IF(B600="Below Claim Form",COUNTIF($B$2:B600,"Below Claim Form"),"")</f>
        <v/>
      </c>
    </row>
    <row r="601">
      <c r="B601">
        <f>IF($N601="","",IFERROR(INDEX(Settings!$C$27:$C$36,MATCH(E601,Settings!$B$27:$B$36,0)),"Unassigned"))</f>
        <v/>
      </c>
      <c r="C601">
        <f>IF($N601="","",INDEX('Per Line'!$D$2:$D$3001,$N601))</f>
        <v/>
      </c>
      <c r="D601">
        <f>IF($N601="","",INDEX('Per Line'!$C$2:$C$3001,$N601))</f>
        <v/>
      </c>
      <c r="E601">
        <f>IF($N601="","",INDEX('Per Line'!$A$2:$A$3001,$N601))</f>
        <v/>
      </c>
      <c r="H601">
        <f>IF($N601="","",INDEX('Per Line'!$V$2:$V$3001,$N601))</f>
        <v/>
      </c>
      <c r="I601" s="5">
        <f>IF($N601="","",SUMIFS('Per Line'!$X$2:$X$3001,'Per Line'!$D$2:$D$3001,$C601))</f>
        <v/>
      </c>
      <c r="J601" s="5">
        <f>IF($N601="","",SUMIFS('Per Line'!$Y$2:$Y$3001,'Per Line'!$D$2:$D$3001,$C601))</f>
        <v/>
      </c>
      <c r="K601" s="5">
        <f>IF($N601="","",SUMIFS('Per Line'!$Z$2:$Z$3001,'Per Line'!$D$2:$D$3001,$C601))</f>
        <v/>
      </c>
      <c r="L601" s="5">
        <f>IF($N601="","",I601-J601)</f>
        <v/>
      </c>
      <c r="M601" s="5">
        <f>IF($N601="","",L601-K601)</f>
        <v/>
      </c>
      <c r="N601">
        <f>IF(ROWS($N$2:$N601)&lt;=MAX('Per Line'!$AG$2:$AG$3001),MATCH(ROWS($N$2:$N601),'Per Line'!$AG$2:$AG$3001,0),"")</f>
        <v/>
      </c>
      <c r="O601">
        <f>IF(B601="Above Claim Form",COUNTIF($B$2:B601,"Above Claim Form"),"")</f>
        <v/>
      </c>
      <c r="P601">
        <f>IF(B601="Below Claim Form",COUNTIF($B$2:B601,"Below Claim Form"),"")</f>
        <v/>
      </c>
    </row>
    <row r="602">
      <c r="B602">
        <f>IF($N602="","",IFERROR(INDEX(Settings!$C$27:$C$36,MATCH(E602,Settings!$B$27:$B$36,0)),"Unassigned"))</f>
        <v/>
      </c>
      <c r="C602">
        <f>IF($N602="","",INDEX('Per Line'!$D$2:$D$3001,$N602))</f>
        <v/>
      </c>
      <c r="D602">
        <f>IF($N602="","",INDEX('Per Line'!$C$2:$C$3001,$N602))</f>
        <v/>
      </c>
      <c r="E602">
        <f>IF($N602="","",INDEX('Per Line'!$A$2:$A$3001,$N602))</f>
        <v/>
      </c>
      <c r="H602">
        <f>IF($N602="","",INDEX('Per Line'!$V$2:$V$3001,$N602))</f>
        <v/>
      </c>
      <c r="I602" s="5">
        <f>IF($N602="","",SUMIFS('Per Line'!$X$2:$X$3001,'Per Line'!$D$2:$D$3001,$C602))</f>
        <v/>
      </c>
      <c r="J602" s="5">
        <f>IF($N602="","",SUMIFS('Per Line'!$Y$2:$Y$3001,'Per Line'!$D$2:$D$3001,$C602))</f>
        <v/>
      </c>
      <c r="K602" s="5">
        <f>IF($N602="","",SUMIFS('Per Line'!$Z$2:$Z$3001,'Per Line'!$D$2:$D$3001,$C602))</f>
        <v/>
      </c>
      <c r="L602" s="5">
        <f>IF($N602="","",I602-J602)</f>
        <v/>
      </c>
      <c r="M602" s="5">
        <f>IF($N602="","",L602-K602)</f>
        <v/>
      </c>
      <c r="N602">
        <f>IF(ROWS($N$2:$N602)&lt;=MAX('Per Line'!$AG$2:$AG$3001),MATCH(ROWS($N$2:$N602),'Per Line'!$AG$2:$AG$3001,0),"")</f>
        <v/>
      </c>
      <c r="O602">
        <f>IF(B602="Above Claim Form",COUNTIF($B$2:B602,"Above Claim Form"),"")</f>
        <v/>
      </c>
      <c r="P602">
        <f>IF(B602="Below Claim Form",COUNTIF($B$2:B602,"Below Claim Form"),"")</f>
        <v/>
      </c>
    </row>
    <row r="603">
      <c r="B603">
        <f>IF($N603="","",IFERROR(INDEX(Settings!$C$27:$C$36,MATCH(E603,Settings!$B$27:$B$36,0)),"Unassigned"))</f>
        <v/>
      </c>
      <c r="C603">
        <f>IF($N603="","",INDEX('Per Line'!$D$2:$D$3001,$N603))</f>
        <v/>
      </c>
      <c r="D603">
        <f>IF($N603="","",INDEX('Per Line'!$C$2:$C$3001,$N603))</f>
        <v/>
      </c>
      <c r="E603">
        <f>IF($N603="","",INDEX('Per Line'!$A$2:$A$3001,$N603))</f>
        <v/>
      </c>
      <c r="H603">
        <f>IF($N603="","",INDEX('Per Line'!$V$2:$V$3001,$N603))</f>
        <v/>
      </c>
      <c r="I603" s="5">
        <f>IF($N603="","",SUMIFS('Per Line'!$X$2:$X$3001,'Per Line'!$D$2:$D$3001,$C603))</f>
        <v/>
      </c>
      <c r="J603" s="5">
        <f>IF($N603="","",SUMIFS('Per Line'!$Y$2:$Y$3001,'Per Line'!$D$2:$D$3001,$C603))</f>
        <v/>
      </c>
      <c r="K603" s="5">
        <f>IF($N603="","",SUMIFS('Per Line'!$Z$2:$Z$3001,'Per Line'!$D$2:$D$3001,$C603))</f>
        <v/>
      </c>
      <c r="L603" s="5">
        <f>IF($N603="","",I603-J603)</f>
        <v/>
      </c>
      <c r="M603" s="5">
        <f>IF($N603="","",L603-K603)</f>
        <v/>
      </c>
      <c r="N603">
        <f>IF(ROWS($N$2:$N603)&lt;=MAX('Per Line'!$AG$2:$AG$3001),MATCH(ROWS($N$2:$N603),'Per Line'!$AG$2:$AG$3001,0),"")</f>
        <v/>
      </c>
      <c r="O603">
        <f>IF(B603="Above Claim Form",COUNTIF($B$2:B603,"Above Claim Form"),"")</f>
        <v/>
      </c>
      <c r="P603">
        <f>IF(B603="Below Claim Form",COUNTIF($B$2:B603,"Below Claim Form"),"")</f>
        <v/>
      </c>
    </row>
    <row r="604">
      <c r="B604">
        <f>IF($N604="","",IFERROR(INDEX(Settings!$C$27:$C$36,MATCH(E604,Settings!$B$27:$B$36,0)),"Unassigned"))</f>
        <v/>
      </c>
      <c r="C604">
        <f>IF($N604="","",INDEX('Per Line'!$D$2:$D$3001,$N604))</f>
        <v/>
      </c>
      <c r="D604">
        <f>IF($N604="","",INDEX('Per Line'!$C$2:$C$3001,$N604))</f>
        <v/>
      </c>
      <c r="E604">
        <f>IF($N604="","",INDEX('Per Line'!$A$2:$A$3001,$N604))</f>
        <v/>
      </c>
      <c r="H604">
        <f>IF($N604="","",INDEX('Per Line'!$V$2:$V$3001,$N604))</f>
        <v/>
      </c>
      <c r="I604" s="5">
        <f>IF($N604="","",SUMIFS('Per Line'!$X$2:$X$3001,'Per Line'!$D$2:$D$3001,$C604))</f>
        <v/>
      </c>
      <c r="J604" s="5">
        <f>IF($N604="","",SUMIFS('Per Line'!$Y$2:$Y$3001,'Per Line'!$D$2:$D$3001,$C604))</f>
        <v/>
      </c>
      <c r="K604" s="5">
        <f>IF($N604="","",SUMIFS('Per Line'!$Z$2:$Z$3001,'Per Line'!$D$2:$D$3001,$C604))</f>
        <v/>
      </c>
      <c r="L604" s="5">
        <f>IF($N604="","",I604-J604)</f>
        <v/>
      </c>
      <c r="M604" s="5">
        <f>IF($N604="","",L604-K604)</f>
        <v/>
      </c>
      <c r="N604">
        <f>IF(ROWS($N$2:$N604)&lt;=MAX('Per Line'!$AG$2:$AG$3001),MATCH(ROWS($N$2:$N604),'Per Line'!$AG$2:$AG$3001,0),"")</f>
        <v/>
      </c>
      <c r="O604">
        <f>IF(B604="Above Claim Form",COUNTIF($B$2:B604,"Above Claim Form"),"")</f>
        <v/>
      </c>
      <c r="P604">
        <f>IF(B604="Below Claim Form",COUNTIF($B$2:B604,"Below Claim Form"),"")</f>
        <v/>
      </c>
    </row>
    <row r="605">
      <c r="B605">
        <f>IF($N605="","",IFERROR(INDEX(Settings!$C$27:$C$36,MATCH(E605,Settings!$B$27:$B$36,0)),"Unassigned"))</f>
        <v/>
      </c>
      <c r="C605">
        <f>IF($N605="","",INDEX('Per Line'!$D$2:$D$3001,$N605))</f>
        <v/>
      </c>
      <c r="D605">
        <f>IF($N605="","",INDEX('Per Line'!$C$2:$C$3001,$N605))</f>
        <v/>
      </c>
      <c r="E605">
        <f>IF($N605="","",INDEX('Per Line'!$A$2:$A$3001,$N605))</f>
        <v/>
      </c>
      <c r="H605">
        <f>IF($N605="","",INDEX('Per Line'!$V$2:$V$3001,$N605))</f>
        <v/>
      </c>
      <c r="I605" s="5">
        <f>IF($N605="","",SUMIFS('Per Line'!$X$2:$X$3001,'Per Line'!$D$2:$D$3001,$C605))</f>
        <v/>
      </c>
      <c r="J605" s="5">
        <f>IF($N605="","",SUMIFS('Per Line'!$Y$2:$Y$3001,'Per Line'!$D$2:$D$3001,$C605))</f>
        <v/>
      </c>
      <c r="K605" s="5">
        <f>IF($N605="","",SUMIFS('Per Line'!$Z$2:$Z$3001,'Per Line'!$D$2:$D$3001,$C605))</f>
        <v/>
      </c>
      <c r="L605" s="5">
        <f>IF($N605="","",I605-J605)</f>
        <v/>
      </c>
      <c r="M605" s="5">
        <f>IF($N605="","",L605-K605)</f>
        <v/>
      </c>
      <c r="N605">
        <f>IF(ROWS($N$2:$N605)&lt;=MAX('Per Line'!$AG$2:$AG$3001),MATCH(ROWS($N$2:$N605),'Per Line'!$AG$2:$AG$3001,0),"")</f>
        <v/>
      </c>
      <c r="O605">
        <f>IF(B605="Above Claim Form",COUNTIF($B$2:B605,"Above Claim Form"),"")</f>
        <v/>
      </c>
      <c r="P605">
        <f>IF(B605="Below Claim Form",COUNTIF($B$2:B605,"Below Claim Form"),"")</f>
        <v/>
      </c>
    </row>
    <row r="606">
      <c r="B606">
        <f>IF($N606="","",IFERROR(INDEX(Settings!$C$27:$C$36,MATCH(E606,Settings!$B$27:$B$36,0)),"Unassigned"))</f>
        <v/>
      </c>
      <c r="C606">
        <f>IF($N606="","",INDEX('Per Line'!$D$2:$D$3001,$N606))</f>
        <v/>
      </c>
      <c r="D606">
        <f>IF($N606="","",INDEX('Per Line'!$C$2:$C$3001,$N606))</f>
        <v/>
      </c>
      <c r="E606">
        <f>IF($N606="","",INDEX('Per Line'!$A$2:$A$3001,$N606))</f>
        <v/>
      </c>
      <c r="H606">
        <f>IF($N606="","",INDEX('Per Line'!$V$2:$V$3001,$N606))</f>
        <v/>
      </c>
      <c r="I606" s="5">
        <f>IF($N606="","",SUMIFS('Per Line'!$X$2:$X$3001,'Per Line'!$D$2:$D$3001,$C606))</f>
        <v/>
      </c>
      <c r="J606" s="5">
        <f>IF($N606="","",SUMIFS('Per Line'!$Y$2:$Y$3001,'Per Line'!$D$2:$D$3001,$C606))</f>
        <v/>
      </c>
      <c r="K606" s="5">
        <f>IF($N606="","",SUMIFS('Per Line'!$Z$2:$Z$3001,'Per Line'!$D$2:$D$3001,$C606))</f>
        <v/>
      </c>
      <c r="L606" s="5">
        <f>IF($N606="","",I606-J606)</f>
        <v/>
      </c>
      <c r="M606" s="5">
        <f>IF($N606="","",L606-K606)</f>
        <v/>
      </c>
      <c r="N606">
        <f>IF(ROWS($N$2:$N606)&lt;=MAX('Per Line'!$AG$2:$AG$3001),MATCH(ROWS($N$2:$N606),'Per Line'!$AG$2:$AG$3001,0),"")</f>
        <v/>
      </c>
      <c r="O606">
        <f>IF(B606="Above Claim Form",COUNTIF($B$2:B606,"Above Claim Form"),"")</f>
        <v/>
      </c>
      <c r="P606">
        <f>IF(B606="Below Claim Form",COUNTIF($B$2:B606,"Below Claim Form"),"")</f>
        <v/>
      </c>
    </row>
    <row r="607">
      <c r="B607">
        <f>IF($N607="","",IFERROR(INDEX(Settings!$C$27:$C$36,MATCH(E607,Settings!$B$27:$B$36,0)),"Unassigned"))</f>
        <v/>
      </c>
      <c r="C607">
        <f>IF($N607="","",INDEX('Per Line'!$D$2:$D$3001,$N607))</f>
        <v/>
      </c>
      <c r="D607">
        <f>IF($N607="","",INDEX('Per Line'!$C$2:$C$3001,$N607))</f>
        <v/>
      </c>
      <c r="E607">
        <f>IF($N607="","",INDEX('Per Line'!$A$2:$A$3001,$N607))</f>
        <v/>
      </c>
      <c r="H607">
        <f>IF($N607="","",INDEX('Per Line'!$V$2:$V$3001,$N607))</f>
        <v/>
      </c>
      <c r="I607" s="5">
        <f>IF($N607="","",SUMIFS('Per Line'!$X$2:$X$3001,'Per Line'!$D$2:$D$3001,$C607))</f>
        <v/>
      </c>
      <c r="J607" s="5">
        <f>IF($N607="","",SUMIFS('Per Line'!$Y$2:$Y$3001,'Per Line'!$D$2:$D$3001,$C607))</f>
        <v/>
      </c>
      <c r="K607" s="5">
        <f>IF($N607="","",SUMIFS('Per Line'!$Z$2:$Z$3001,'Per Line'!$D$2:$D$3001,$C607))</f>
        <v/>
      </c>
      <c r="L607" s="5">
        <f>IF($N607="","",I607-J607)</f>
        <v/>
      </c>
      <c r="M607" s="5">
        <f>IF($N607="","",L607-K607)</f>
        <v/>
      </c>
      <c r="N607">
        <f>IF(ROWS($N$2:$N607)&lt;=MAX('Per Line'!$AG$2:$AG$3001),MATCH(ROWS($N$2:$N607),'Per Line'!$AG$2:$AG$3001,0),"")</f>
        <v/>
      </c>
      <c r="O607">
        <f>IF(B607="Above Claim Form",COUNTIF($B$2:B607,"Above Claim Form"),"")</f>
        <v/>
      </c>
      <c r="P607">
        <f>IF(B607="Below Claim Form",COUNTIF($B$2:B607,"Below Claim Form"),"")</f>
        <v/>
      </c>
    </row>
    <row r="608">
      <c r="B608">
        <f>IF($N608="","",IFERROR(INDEX(Settings!$C$27:$C$36,MATCH(E608,Settings!$B$27:$B$36,0)),"Unassigned"))</f>
        <v/>
      </c>
      <c r="C608">
        <f>IF($N608="","",INDEX('Per Line'!$D$2:$D$3001,$N608))</f>
        <v/>
      </c>
      <c r="D608">
        <f>IF($N608="","",INDEX('Per Line'!$C$2:$C$3001,$N608))</f>
        <v/>
      </c>
      <c r="E608">
        <f>IF($N608="","",INDEX('Per Line'!$A$2:$A$3001,$N608))</f>
        <v/>
      </c>
      <c r="H608">
        <f>IF($N608="","",INDEX('Per Line'!$V$2:$V$3001,$N608))</f>
        <v/>
      </c>
      <c r="I608" s="5">
        <f>IF($N608="","",SUMIFS('Per Line'!$X$2:$X$3001,'Per Line'!$D$2:$D$3001,$C608))</f>
        <v/>
      </c>
      <c r="J608" s="5">
        <f>IF($N608="","",SUMIFS('Per Line'!$Y$2:$Y$3001,'Per Line'!$D$2:$D$3001,$C608))</f>
        <v/>
      </c>
      <c r="K608" s="5">
        <f>IF($N608="","",SUMIFS('Per Line'!$Z$2:$Z$3001,'Per Line'!$D$2:$D$3001,$C608))</f>
        <v/>
      </c>
      <c r="L608" s="5">
        <f>IF($N608="","",I608-J608)</f>
        <v/>
      </c>
      <c r="M608" s="5">
        <f>IF($N608="","",L608-K608)</f>
        <v/>
      </c>
      <c r="N608">
        <f>IF(ROWS($N$2:$N608)&lt;=MAX('Per Line'!$AG$2:$AG$3001),MATCH(ROWS($N$2:$N608),'Per Line'!$AG$2:$AG$3001,0),"")</f>
        <v/>
      </c>
      <c r="O608">
        <f>IF(B608="Above Claim Form",COUNTIF($B$2:B608,"Above Claim Form"),"")</f>
        <v/>
      </c>
      <c r="P608">
        <f>IF(B608="Below Claim Form",COUNTIF($B$2:B608,"Below Claim Form"),"")</f>
        <v/>
      </c>
    </row>
    <row r="609">
      <c r="B609">
        <f>IF($N609="","",IFERROR(INDEX(Settings!$C$27:$C$36,MATCH(E609,Settings!$B$27:$B$36,0)),"Unassigned"))</f>
        <v/>
      </c>
      <c r="C609">
        <f>IF($N609="","",INDEX('Per Line'!$D$2:$D$3001,$N609))</f>
        <v/>
      </c>
      <c r="D609">
        <f>IF($N609="","",INDEX('Per Line'!$C$2:$C$3001,$N609))</f>
        <v/>
      </c>
      <c r="E609">
        <f>IF($N609="","",INDEX('Per Line'!$A$2:$A$3001,$N609))</f>
        <v/>
      </c>
      <c r="H609">
        <f>IF($N609="","",INDEX('Per Line'!$V$2:$V$3001,$N609))</f>
        <v/>
      </c>
      <c r="I609" s="5">
        <f>IF($N609="","",SUMIFS('Per Line'!$X$2:$X$3001,'Per Line'!$D$2:$D$3001,$C609))</f>
        <v/>
      </c>
      <c r="J609" s="5">
        <f>IF($N609="","",SUMIFS('Per Line'!$Y$2:$Y$3001,'Per Line'!$D$2:$D$3001,$C609))</f>
        <v/>
      </c>
      <c r="K609" s="5">
        <f>IF($N609="","",SUMIFS('Per Line'!$Z$2:$Z$3001,'Per Line'!$D$2:$D$3001,$C609))</f>
        <v/>
      </c>
      <c r="L609" s="5">
        <f>IF($N609="","",I609-J609)</f>
        <v/>
      </c>
      <c r="M609" s="5">
        <f>IF($N609="","",L609-K609)</f>
        <v/>
      </c>
      <c r="N609">
        <f>IF(ROWS($N$2:$N609)&lt;=MAX('Per Line'!$AG$2:$AG$3001),MATCH(ROWS($N$2:$N609),'Per Line'!$AG$2:$AG$3001,0),"")</f>
        <v/>
      </c>
      <c r="O609">
        <f>IF(B609="Above Claim Form",COUNTIF($B$2:B609,"Above Claim Form"),"")</f>
        <v/>
      </c>
      <c r="P609">
        <f>IF(B609="Below Claim Form",COUNTIF($B$2:B609,"Below Claim Form"),"")</f>
        <v/>
      </c>
    </row>
    <row r="610">
      <c r="B610">
        <f>IF($N610="","",IFERROR(INDEX(Settings!$C$27:$C$36,MATCH(E610,Settings!$B$27:$B$36,0)),"Unassigned"))</f>
        <v/>
      </c>
      <c r="C610">
        <f>IF($N610="","",INDEX('Per Line'!$D$2:$D$3001,$N610))</f>
        <v/>
      </c>
      <c r="D610">
        <f>IF($N610="","",INDEX('Per Line'!$C$2:$C$3001,$N610))</f>
        <v/>
      </c>
      <c r="E610">
        <f>IF($N610="","",INDEX('Per Line'!$A$2:$A$3001,$N610))</f>
        <v/>
      </c>
      <c r="H610">
        <f>IF($N610="","",INDEX('Per Line'!$V$2:$V$3001,$N610))</f>
        <v/>
      </c>
      <c r="I610" s="5">
        <f>IF($N610="","",SUMIFS('Per Line'!$X$2:$X$3001,'Per Line'!$D$2:$D$3001,$C610))</f>
        <v/>
      </c>
      <c r="J610" s="5">
        <f>IF($N610="","",SUMIFS('Per Line'!$Y$2:$Y$3001,'Per Line'!$D$2:$D$3001,$C610))</f>
        <v/>
      </c>
      <c r="K610" s="5">
        <f>IF($N610="","",SUMIFS('Per Line'!$Z$2:$Z$3001,'Per Line'!$D$2:$D$3001,$C610))</f>
        <v/>
      </c>
      <c r="L610" s="5">
        <f>IF($N610="","",I610-J610)</f>
        <v/>
      </c>
      <c r="M610" s="5">
        <f>IF($N610="","",L610-K610)</f>
        <v/>
      </c>
      <c r="N610">
        <f>IF(ROWS($N$2:$N610)&lt;=MAX('Per Line'!$AG$2:$AG$3001),MATCH(ROWS($N$2:$N610),'Per Line'!$AG$2:$AG$3001,0),"")</f>
        <v/>
      </c>
      <c r="O610">
        <f>IF(B610="Above Claim Form",COUNTIF($B$2:B610,"Above Claim Form"),"")</f>
        <v/>
      </c>
      <c r="P610">
        <f>IF(B610="Below Claim Form",COUNTIF($B$2:B610,"Below Claim Form"),"")</f>
        <v/>
      </c>
    </row>
    <row r="611">
      <c r="B611">
        <f>IF($N611="","",IFERROR(INDEX(Settings!$C$27:$C$36,MATCH(E611,Settings!$B$27:$B$36,0)),"Unassigned"))</f>
        <v/>
      </c>
      <c r="C611">
        <f>IF($N611="","",INDEX('Per Line'!$D$2:$D$3001,$N611))</f>
        <v/>
      </c>
      <c r="D611">
        <f>IF($N611="","",INDEX('Per Line'!$C$2:$C$3001,$N611))</f>
        <v/>
      </c>
      <c r="E611">
        <f>IF($N611="","",INDEX('Per Line'!$A$2:$A$3001,$N611))</f>
        <v/>
      </c>
      <c r="H611">
        <f>IF($N611="","",INDEX('Per Line'!$V$2:$V$3001,$N611))</f>
        <v/>
      </c>
      <c r="I611" s="5">
        <f>IF($N611="","",SUMIFS('Per Line'!$X$2:$X$3001,'Per Line'!$D$2:$D$3001,$C611))</f>
        <v/>
      </c>
      <c r="J611" s="5">
        <f>IF($N611="","",SUMIFS('Per Line'!$Y$2:$Y$3001,'Per Line'!$D$2:$D$3001,$C611))</f>
        <v/>
      </c>
      <c r="K611" s="5">
        <f>IF($N611="","",SUMIFS('Per Line'!$Z$2:$Z$3001,'Per Line'!$D$2:$D$3001,$C611))</f>
        <v/>
      </c>
      <c r="L611" s="5">
        <f>IF($N611="","",I611-J611)</f>
        <v/>
      </c>
      <c r="M611" s="5">
        <f>IF($N611="","",L611-K611)</f>
        <v/>
      </c>
      <c r="N611">
        <f>IF(ROWS($N$2:$N611)&lt;=MAX('Per Line'!$AG$2:$AG$3001),MATCH(ROWS($N$2:$N611),'Per Line'!$AG$2:$AG$3001,0),"")</f>
        <v/>
      </c>
      <c r="O611">
        <f>IF(B611="Above Claim Form",COUNTIF($B$2:B611,"Above Claim Form"),"")</f>
        <v/>
      </c>
      <c r="P611">
        <f>IF(B611="Below Claim Form",COUNTIF($B$2:B611,"Below Claim Form"),"")</f>
        <v/>
      </c>
    </row>
    <row r="612">
      <c r="B612">
        <f>IF($N612="","",IFERROR(INDEX(Settings!$C$27:$C$36,MATCH(E612,Settings!$B$27:$B$36,0)),"Unassigned"))</f>
        <v/>
      </c>
      <c r="C612">
        <f>IF($N612="","",INDEX('Per Line'!$D$2:$D$3001,$N612))</f>
        <v/>
      </c>
      <c r="D612">
        <f>IF($N612="","",INDEX('Per Line'!$C$2:$C$3001,$N612))</f>
        <v/>
      </c>
      <c r="E612">
        <f>IF($N612="","",INDEX('Per Line'!$A$2:$A$3001,$N612))</f>
        <v/>
      </c>
      <c r="H612">
        <f>IF($N612="","",INDEX('Per Line'!$V$2:$V$3001,$N612))</f>
        <v/>
      </c>
      <c r="I612" s="5">
        <f>IF($N612="","",SUMIFS('Per Line'!$X$2:$X$3001,'Per Line'!$D$2:$D$3001,$C612))</f>
        <v/>
      </c>
      <c r="J612" s="5">
        <f>IF($N612="","",SUMIFS('Per Line'!$Y$2:$Y$3001,'Per Line'!$D$2:$D$3001,$C612))</f>
        <v/>
      </c>
      <c r="K612" s="5">
        <f>IF($N612="","",SUMIFS('Per Line'!$Z$2:$Z$3001,'Per Line'!$D$2:$D$3001,$C612))</f>
        <v/>
      </c>
      <c r="L612" s="5">
        <f>IF($N612="","",I612-J612)</f>
        <v/>
      </c>
      <c r="M612" s="5">
        <f>IF($N612="","",L612-K612)</f>
        <v/>
      </c>
      <c r="N612">
        <f>IF(ROWS($N$2:$N612)&lt;=MAX('Per Line'!$AG$2:$AG$3001),MATCH(ROWS($N$2:$N612),'Per Line'!$AG$2:$AG$3001,0),"")</f>
        <v/>
      </c>
      <c r="O612">
        <f>IF(B612="Above Claim Form",COUNTIF($B$2:B612,"Above Claim Form"),"")</f>
        <v/>
      </c>
      <c r="P612">
        <f>IF(B612="Below Claim Form",COUNTIF($B$2:B612,"Below Claim Form"),"")</f>
        <v/>
      </c>
    </row>
    <row r="613">
      <c r="B613">
        <f>IF($N613="","",IFERROR(INDEX(Settings!$C$27:$C$36,MATCH(E613,Settings!$B$27:$B$36,0)),"Unassigned"))</f>
        <v/>
      </c>
      <c r="C613">
        <f>IF($N613="","",INDEX('Per Line'!$D$2:$D$3001,$N613))</f>
        <v/>
      </c>
      <c r="D613">
        <f>IF($N613="","",INDEX('Per Line'!$C$2:$C$3001,$N613))</f>
        <v/>
      </c>
      <c r="E613">
        <f>IF($N613="","",INDEX('Per Line'!$A$2:$A$3001,$N613))</f>
        <v/>
      </c>
      <c r="H613">
        <f>IF($N613="","",INDEX('Per Line'!$V$2:$V$3001,$N613))</f>
        <v/>
      </c>
      <c r="I613" s="5">
        <f>IF($N613="","",SUMIFS('Per Line'!$X$2:$X$3001,'Per Line'!$D$2:$D$3001,$C613))</f>
        <v/>
      </c>
      <c r="J613" s="5">
        <f>IF($N613="","",SUMIFS('Per Line'!$Y$2:$Y$3001,'Per Line'!$D$2:$D$3001,$C613))</f>
        <v/>
      </c>
      <c r="K613" s="5">
        <f>IF($N613="","",SUMIFS('Per Line'!$Z$2:$Z$3001,'Per Line'!$D$2:$D$3001,$C613))</f>
        <v/>
      </c>
      <c r="L613" s="5">
        <f>IF($N613="","",I613-J613)</f>
        <v/>
      </c>
      <c r="M613" s="5">
        <f>IF($N613="","",L613-K613)</f>
        <v/>
      </c>
      <c r="N613">
        <f>IF(ROWS($N$2:$N613)&lt;=MAX('Per Line'!$AG$2:$AG$3001),MATCH(ROWS($N$2:$N613),'Per Line'!$AG$2:$AG$3001,0),"")</f>
        <v/>
      </c>
      <c r="O613">
        <f>IF(B613="Above Claim Form",COUNTIF($B$2:B613,"Above Claim Form"),"")</f>
        <v/>
      </c>
      <c r="P613">
        <f>IF(B613="Below Claim Form",COUNTIF($B$2:B613,"Below Claim Form"),"")</f>
        <v/>
      </c>
    </row>
    <row r="614">
      <c r="B614">
        <f>IF($N614="","",IFERROR(INDEX(Settings!$C$27:$C$36,MATCH(E614,Settings!$B$27:$B$36,0)),"Unassigned"))</f>
        <v/>
      </c>
      <c r="C614">
        <f>IF($N614="","",INDEX('Per Line'!$D$2:$D$3001,$N614))</f>
        <v/>
      </c>
      <c r="D614">
        <f>IF($N614="","",INDEX('Per Line'!$C$2:$C$3001,$N614))</f>
        <v/>
      </c>
      <c r="E614">
        <f>IF($N614="","",INDEX('Per Line'!$A$2:$A$3001,$N614))</f>
        <v/>
      </c>
      <c r="H614">
        <f>IF($N614="","",INDEX('Per Line'!$V$2:$V$3001,$N614))</f>
        <v/>
      </c>
      <c r="I614" s="5">
        <f>IF($N614="","",SUMIFS('Per Line'!$X$2:$X$3001,'Per Line'!$D$2:$D$3001,$C614))</f>
        <v/>
      </c>
      <c r="J614" s="5">
        <f>IF($N614="","",SUMIFS('Per Line'!$Y$2:$Y$3001,'Per Line'!$D$2:$D$3001,$C614))</f>
        <v/>
      </c>
      <c r="K614" s="5">
        <f>IF($N614="","",SUMIFS('Per Line'!$Z$2:$Z$3001,'Per Line'!$D$2:$D$3001,$C614))</f>
        <v/>
      </c>
      <c r="L614" s="5">
        <f>IF($N614="","",I614-J614)</f>
        <v/>
      </c>
      <c r="M614" s="5">
        <f>IF($N614="","",L614-K614)</f>
        <v/>
      </c>
      <c r="N614">
        <f>IF(ROWS($N$2:$N614)&lt;=MAX('Per Line'!$AG$2:$AG$3001),MATCH(ROWS($N$2:$N614),'Per Line'!$AG$2:$AG$3001,0),"")</f>
        <v/>
      </c>
      <c r="O614">
        <f>IF(B614="Above Claim Form",COUNTIF($B$2:B614,"Above Claim Form"),"")</f>
        <v/>
      </c>
      <c r="P614">
        <f>IF(B614="Below Claim Form",COUNTIF($B$2:B614,"Below Claim Form"),"")</f>
        <v/>
      </c>
    </row>
    <row r="615">
      <c r="B615">
        <f>IF($N615="","",IFERROR(INDEX(Settings!$C$27:$C$36,MATCH(E615,Settings!$B$27:$B$36,0)),"Unassigned"))</f>
        <v/>
      </c>
      <c r="C615">
        <f>IF($N615="","",INDEX('Per Line'!$D$2:$D$3001,$N615))</f>
        <v/>
      </c>
      <c r="D615">
        <f>IF($N615="","",INDEX('Per Line'!$C$2:$C$3001,$N615))</f>
        <v/>
      </c>
      <c r="E615">
        <f>IF($N615="","",INDEX('Per Line'!$A$2:$A$3001,$N615))</f>
        <v/>
      </c>
      <c r="H615">
        <f>IF($N615="","",INDEX('Per Line'!$V$2:$V$3001,$N615))</f>
        <v/>
      </c>
      <c r="I615" s="5">
        <f>IF($N615="","",SUMIFS('Per Line'!$X$2:$X$3001,'Per Line'!$D$2:$D$3001,$C615))</f>
        <v/>
      </c>
      <c r="J615" s="5">
        <f>IF($N615="","",SUMIFS('Per Line'!$Y$2:$Y$3001,'Per Line'!$D$2:$D$3001,$C615))</f>
        <v/>
      </c>
      <c r="K615" s="5">
        <f>IF($N615="","",SUMIFS('Per Line'!$Z$2:$Z$3001,'Per Line'!$D$2:$D$3001,$C615))</f>
        <v/>
      </c>
      <c r="L615" s="5">
        <f>IF($N615="","",I615-J615)</f>
        <v/>
      </c>
      <c r="M615" s="5">
        <f>IF($N615="","",L615-K615)</f>
        <v/>
      </c>
      <c r="N615">
        <f>IF(ROWS($N$2:$N615)&lt;=MAX('Per Line'!$AG$2:$AG$3001),MATCH(ROWS($N$2:$N615),'Per Line'!$AG$2:$AG$3001,0),"")</f>
        <v/>
      </c>
      <c r="O615">
        <f>IF(B615="Above Claim Form",COUNTIF($B$2:B615,"Above Claim Form"),"")</f>
        <v/>
      </c>
      <c r="P615">
        <f>IF(B615="Below Claim Form",COUNTIF($B$2:B615,"Below Claim Form"),"")</f>
        <v/>
      </c>
    </row>
    <row r="616">
      <c r="B616">
        <f>IF($N616="","",IFERROR(INDEX(Settings!$C$27:$C$36,MATCH(E616,Settings!$B$27:$B$36,0)),"Unassigned"))</f>
        <v/>
      </c>
      <c r="C616">
        <f>IF($N616="","",INDEX('Per Line'!$D$2:$D$3001,$N616))</f>
        <v/>
      </c>
      <c r="D616">
        <f>IF($N616="","",INDEX('Per Line'!$C$2:$C$3001,$N616))</f>
        <v/>
      </c>
      <c r="E616">
        <f>IF($N616="","",INDEX('Per Line'!$A$2:$A$3001,$N616))</f>
        <v/>
      </c>
      <c r="H616">
        <f>IF($N616="","",INDEX('Per Line'!$V$2:$V$3001,$N616))</f>
        <v/>
      </c>
      <c r="I616" s="5">
        <f>IF($N616="","",SUMIFS('Per Line'!$X$2:$X$3001,'Per Line'!$D$2:$D$3001,$C616))</f>
        <v/>
      </c>
      <c r="J616" s="5">
        <f>IF($N616="","",SUMIFS('Per Line'!$Y$2:$Y$3001,'Per Line'!$D$2:$D$3001,$C616))</f>
        <v/>
      </c>
      <c r="K616" s="5">
        <f>IF($N616="","",SUMIFS('Per Line'!$Z$2:$Z$3001,'Per Line'!$D$2:$D$3001,$C616))</f>
        <v/>
      </c>
      <c r="L616" s="5">
        <f>IF($N616="","",I616-J616)</f>
        <v/>
      </c>
      <c r="M616" s="5">
        <f>IF($N616="","",L616-K616)</f>
        <v/>
      </c>
      <c r="N616">
        <f>IF(ROWS($N$2:$N616)&lt;=MAX('Per Line'!$AG$2:$AG$3001),MATCH(ROWS($N$2:$N616),'Per Line'!$AG$2:$AG$3001,0),"")</f>
        <v/>
      </c>
      <c r="O616">
        <f>IF(B616="Above Claim Form",COUNTIF($B$2:B616,"Above Claim Form"),"")</f>
        <v/>
      </c>
      <c r="P616">
        <f>IF(B616="Below Claim Form",COUNTIF($B$2:B616,"Below Claim Form"),"")</f>
        <v/>
      </c>
    </row>
    <row r="617">
      <c r="B617">
        <f>IF($N617="","",IFERROR(INDEX(Settings!$C$27:$C$36,MATCH(E617,Settings!$B$27:$B$36,0)),"Unassigned"))</f>
        <v/>
      </c>
      <c r="C617">
        <f>IF($N617="","",INDEX('Per Line'!$D$2:$D$3001,$N617))</f>
        <v/>
      </c>
      <c r="D617">
        <f>IF($N617="","",INDEX('Per Line'!$C$2:$C$3001,$N617))</f>
        <v/>
      </c>
      <c r="E617">
        <f>IF($N617="","",INDEX('Per Line'!$A$2:$A$3001,$N617))</f>
        <v/>
      </c>
      <c r="H617">
        <f>IF($N617="","",INDEX('Per Line'!$V$2:$V$3001,$N617))</f>
        <v/>
      </c>
      <c r="I617" s="5">
        <f>IF($N617="","",SUMIFS('Per Line'!$X$2:$X$3001,'Per Line'!$D$2:$D$3001,$C617))</f>
        <v/>
      </c>
      <c r="J617" s="5">
        <f>IF($N617="","",SUMIFS('Per Line'!$Y$2:$Y$3001,'Per Line'!$D$2:$D$3001,$C617))</f>
        <v/>
      </c>
      <c r="K617" s="5">
        <f>IF($N617="","",SUMIFS('Per Line'!$Z$2:$Z$3001,'Per Line'!$D$2:$D$3001,$C617))</f>
        <v/>
      </c>
      <c r="L617" s="5">
        <f>IF($N617="","",I617-J617)</f>
        <v/>
      </c>
      <c r="M617" s="5">
        <f>IF($N617="","",L617-K617)</f>
        <v/>
      </c>
      <c r="N617">
        <f>IF(ROWS($N$2:$N617)&lt;=MAX('Per Line'!$AG$2:$AG$3001),MATCH(ROWS($N$2:$N617),'Per Line'!$AG$2:$AG$3001,0),"")</f>
        <v/>
      </c>
      <c r="O617">
        <f>IF(B617="Above Claim Form",COUNTIF($B$2:B617,"Above Claim Form"),"")</f>
        <v/>
      </c>
      <c r="P617">
        <f>IF(B617="Below Claim Form",COUNTIF($B$2:B617,"Below Claim Form"),"")</f>
        <v/>
      </c>
    </row>
    <row r="618">
      <c r="B618">
        <f>IF($N618="","",IFERROR(INDEX(Settings!$C$27:$C$36,MATCH(E618,Settings!$B$27:$B$36,0)),"Unassigned"))</f>
        <v/>
      </c>
      <c r="C618">
        <f>IF($N618="","",INDEX('Per Line'!$D$2:$D$3001,$N618))</f>
        <v/>
      </c>
      <c r="D618">
        <f>IF($N618="","",INDEX('Per Line'!$C$2:$C$3001,$N618))</f>
        <v/>
      </c>
      <c r="E618">
        <f>IF($N618="","",INDEX('Per Line'!$A$2:$A$3001,$N618))</f>
        <v/>
      </c>
      <c r="H618">
        <f>IF($N618="","",INDEX('Per Line'!$V$2:$V$3001,$N618))</f>
        <v/>
      </c>
      <c r="I618" s="5">
        <f>IF($N618="","",SUMIFS('Per Line'!$X$2:$X$3001,'Per Line'!$D$2:$D$3001,$C618))</f>
        <v/>
      </c>
      <c r="J618" s="5">
        <f>IF($N618="","",SUMIFS('Per Line'!$Y$2:$Y$3001,'Per Line'!$D$2:$D$3001,$C618))</f>
        <v/>
      </c>
      <c r="K618" s="5">
        <f>IF($N618="","",SUMIFS('Per Line'!$Z$2:$Z$3001,'Per Line'!$D$2:$D$3001,$C618))</f>
        <v/>
      </c>
      <c r="L618" s="5">
        <f>IF($N618="","",I618-J618)</f>
        <v/>
      </c>
      <c r="M618" s="5">
        <f>IF($N618="","",L618-K618)</f>
        <v/>
      </c>
      <c r="N618">
        <f>IF(ROWS($N$2:$N618)&lt;=MAX('Per Line'!$AG$2:$AG$3001),MATCH(ROWS($N$2:$N618),'Per Line'!$AG$2:$AG$3001,0),"")</f>
        <v/>
      </c>
      <c r="O618">
        <f>IF(B618="Above Claim Form",COUNTIF($B$2:B618,"Above Claim Form"),"")</f>
        <v/>
      </c>
      <c r="P618">
        <f>IF(B618="Below Claim Form",COUNTIF($B$2:B618,"Below Claim Form"),"")</f>
        <v/>
      </c>
    </row>
    <row r="619">
      <c r="B619">
        <f>IF($N619="","",IFERROR(INDEX(Settings!$C$27:$C$36,MATCH(E619,Settings!$B$27:$B$36,0)),"Unassigned"))</f>
        <v/>
      </c>
      <c r="C619">
        <f>IF($N619="","",INDEX('Per Line'!$D$2:$D$3001,$N619))</f>
        <v/>
      </c>
      <c r="D619">
        <f>IF($N619="","",INDEX('Per Line'!$C$2:$C$3001,$N619))</f>
        <v/>
      </c>
      <c r="E619">
        <f>IF($N619="","",INDEX('Per Line'!$A$2:$A$3001,$N619))</f>
        <v/>
      </c>
      <c r="H619">
        <f>IF($N619="","",INDEX('Per Line'!$V$2:$V$3001,$N619))</f>
        <v/>
      </c>
      <c r="I619" s="5">
        <f>IF($N619="","",SUMIFS('Per Line'!$X$2:$X$3001,'Per Line'!$D$2:$D$3001,$C619))</f>
        <v/>
      </c>
      <c r="J619" s="5">
        <f>IF($N619="","",SUMIFS('Per Line'!$Y$2:$Y$3001,'Per Line'!$D$2:$D$3001,$C619))</f>
        <v/>
      </c>
      <c r="K619" s="5">
        <f>IF($N619="","",SUMIFS('Per Line'!$Z$2:$Z$3001,'Per Line'!$D$2:$D$3001,$C619))</f>
        <v/>
      </c>
      <c r="L619" s="5">
        <f>IF($N619="","",I619-J619)</f>
        <v/>
      </c>
      <c r="M619" s="5">
        <f>IF($N619="","",L619-K619)</f>
        <v/>
      </c>
      <c r="N619">
        <f>IF(ROWS($N$2:$N619)&lt;=MAX('Per Line'!$AG$2:$AG$3001),MATCH(ROWS($N$2:$N619),'Per Line'!$AG$2:$AG$3001,0),"")</f>
        <v/>
      </c>
      <c r="O619">
        <f>IF(B619="Above Claim Form",COUNTIF($B$2:B619,"Above Claim Form"),"")</f>
        <v/>
      </c>
      <c r="P619">
        <f>IF(B619="Below Claim Form",COUNTIF($B$2:B619,"Below Claim Form"),"")</f>
        <v/>
      </c>
    </row>
    <row r="620">
      <c r="B620">
        <f>IF($N620="","",IFERROR(INDEX(Settings!$C$27:$C$36,MATCH(E620,Settings!$B$27:$B$36,0)),"Unassigned"))</f>
        <v/>
      </c>
      <c r="C620">
        <f>IF($N620="","",INDEX('Per Line'!$D$2:$D$3001,$N620))</f>
        <v/>
      </c>
      <c r="D620">
        <f>IF($N620="","",INDEX('Per Line'!$C$2:$C$3001,$N620))</f>
        <v/>
      </c>
      <c r="E620">
        <f>IF($N620="","",INDEX('Per Line'!$A$2:$A$3001,$N620))</f>
        <v/>
      </c>
      <c r="H620">
        <f>IF($N620="","",INDEX('Per Line'!$V$2:$V$3001,$N620))</f>
        <v/>
      </c>
      <c r="I620" s="5">
        <f>IF($N620="","",SUMIFS('Per Line'!$X$2:$X$3001,'Per Line'!$D$2:$D$3001,$C620))</f>
        <v/>
      </c>
      <c r="J620" s="5">
        <f>IF($N620="","",SUMIFS('Per Line'!$Y$2:$Y$3001,'Per Line'!$D$2:$D$3001,$C620))</f>
        <v/>
      </c>
      <c r="K620" s="5">
        <f>IF($N620="","",SUMIFS('Per Line'!$Z$2:$Z$3001,'Per Line'!$D$2:$D$3001,$C620))</f>
        <v/>
      </c>
      <c r="L620" s="5">
        <f>IF($N620="","",I620-J620)</f>
        <v/>
      </c>
      <c r="M620" s="5">
        <f>IF($N620="","",L620-K620)</f>
        <v/>
      </c>
      <c r="N620">
        <f>IF(ROWS($N$2:$N620)&lt;=MAX('Per Line'!$AG$2:$AG$3001),MATCH(ROWS($N$2:$N620),'Per Line'!$AG$2:$AG$3001,0),"")</f>
        <v/>
      </c>
      <c r="O620">
        <f>IF(B620="Above Claim Form",COUNTIF($B$2:B620,"Above Claim Form"),"")</f>
        <v/>
      </c>
      <c r="P620">
        <f>IF(B620="Below Claim Form",COUNTIF($B$2:B620,"Below Claim Form"),"")</f>
        <v/>
      </c>
    </row>
    <row r="621">
      <c r="B621">
        <f>IF($N621="","",IFERROR(INDEX(Settings!$C$27:$C$36,MATCH(E621,Settings!$B$27:$B$36,0)),"Unassigned"))</f>
        <v/>
      </c>
      <c r="C621">
        <f>IF($N621="","",INDEX('Per Line'!$D$2:$D$3001,$N621))</f>
        <v/>
      </c>
      <c r="D621">
        <f>IF($N621="","",INDEX('Per Line'!$C$2:$C$3001,$N621))</f>
        <v/>
      </c>
      <c r="E621">
        <f>IF($N621="","",INDEX('Per Line'!$A$2:$A$3001,$N621))</f>
        <v/>
      </c>
      <c r="H621">
        <f>IF($N621="","",INDEX('Per Line'!$V$2:$V$3001,$N621))</f>
        <v/>
      </c>
      <c r="I621" s="5">
        <f>IF($N621="","",SUMIFS('Per Line'!$X$2:$X$3001,'Per Line'!$D$2:$D$3001,$C621))</f>
        <v/>
      </c>
      <c r="J621" s="5">
        <f>IF($N621="","",SUMIFS('Per Line'!$Y$2:$Y$3001,'Per Line'!$D$2:$D$3001,$C621))</f>
        <v/>
      </c>
      <c r="K621" s="5">
        <f>IF($N621="","",SUMIFS('Per Line'!$Z$2:$Z$3001,'Per Line'!$D$2:$D$3001,$C621))</f>
        <v/>
      </c>
      <c r="L621" s="5">
        <f>IF($N621="","",I621-J621)</f>
        <v/>
      </c>
      <c r="M621" s="5">
        <f>IF($N621="","",L621-K621)</f>
        <v/>
      </c>
      <c r="N621">
        <f>IF(ROWS($N$2:$N621)&lt;=MAX('Per Line'!$AG$2:$AG$3001),MATCH(ROWS($N$2:$N621),'Per Line'!$AG$2:$AG$3001,0),"")</f>
        <v/>
      </c>
      <c r="O621">
        <f>IF(B621="Above Claim Form",COUNTIF($B$2:B621,"Above Claim Form"),"")</f>
        <v/>
      </c>
      <c r="P621">
        <f>IF(B621="Below Claim Form",COUNTIF($B$2:B621,"Below Claim Form"),"")</f>
        <v/>
      </c>
    </row>
    <row r="622">
      <c r="B622">
        <f>IF($N622="","",IFERROR(INDEX(Settings!$C$27:$C$36,MATCH(E622,Settings!$B$27:$B$36,0)),"Unassigned"))</f>
        <v/>
      </c>
      <c r="C622">
        <f>IF($N622="","",INDEX('Per Line'!$D$2:$D$3001,$N622))</f>
        <v/>
      </c>
      <c r="D622">
        <f>IF($N622="","",INDEX('Per Line'!$C$2:$C$3001,$N622))</f>
        <v/>
      </c>
      <c r="E622">
        <f>IF($N622="","",INDEX('Per Line'!$A$2:$A$3001,$N622))</f>
        <v/>
      </c>
      <c r="H622">
        <f>IF($N622="","",INDEX('Per Line'!$V$2:$V$3001,$N622))</f>
        <v/>
      </c>
      <c r="I622" s="5">
        <f>IF($N622="","",SUMIFS('Per Line'!$X$2:$X$3001,'Per Line'!$D$2:$D$3001,$C622))</f>
        <v/>
      </c>
      <c r="J622" s="5">
        <f>IF($N622="","",SUMIFS('Per Line'!$Y$2:$Y$3001,'Per Line'!$D$2:$D$3001,$C622))</f>
        <v/>
      </c>
      <c r="K622" s="5">
        <f>IF($N622="","",SUMIFS('Per Line'!$Z$2:$Z$3001,'Per Line'!$D$2:$D$3001,$C622))</f>
        <v/>
      </c>
      <c r="L622" s="5">
        <f>IF($N622="","",I622-J622)</f>
        <v/>
      </c>
      <c r="M622" s="5">
        <f>IF($N622="","",L622-K622)</f>
        <v/>
      </c>
      <c r="N622">
        <f>IF(ROWS($N$2:$N622)&lt;=MAX('Per Line'!$AG$2:$AG$3001),MATCH(ROWS($N$2:$N622),'Per Line'!$AG$2:$AG$3001,0),"")</f>
        <v/>
      </c>
      <c r="O622">
        <f>IF(B622="Above Claim Form",COUNTIF($B$2:B622,"Above Claim Form"),"")</f>
        <v/>
      </c>
      <c r="P622">
        <f>IF(B622="Below Claim Form",COUNTIF($B$2:B622,"Below Claim Form"),"")</f>
        <v/>
      </c>
    </row>
    <row r="623">
      <c r="B623">
        <f>IF($N623="","",IFERROR(INDEX(Settings!$C$27:$C$36,MATCH(E623,Settings!$B$27:$B$36,0)),"Unassigned"))</f>
        <v/>
      </c>
      <c r="C623">
        <f>IF($N623="","",INDEX('Per Line'!$D$2:$D$3001,$N623))</f>
        <v/>
      </c>
      <c r="D623">
        <f>IF($N623="","",INDEX('Per Line'!$C$2:$C$3001,$N623))</f>
        <v/>
      </c>
      <c r="E623">
        <f>IF($N623="","",INDEX('Per Line'!$A$2:$A$3001,$N623))</f>
        <v/>
      </c>
      <c r="H623">
        <f>IF($N623="","",INDEX('Per Line'!$V$2:$V$3001,$N623))</f>
        <v/>
      </c>
      <c r="I623" s="5">
        <f>IF($N623="","",SUMIFS('Per Line'!$X$2:$X$3001,'Per Line'!$D$2:$D$3001,$C623))</f>
        <v/>
      </c>
      <c r="J623" s="5">
        <f>IF($N623="","",SUMIFS('Per Line'!$Y$2:$Y$3001,'Per Line'!$D$2:$D$3001,$C623))</f>
        <v/>
      </c>
      <c r="K623" s="5">
        <f>IF($N623="","",SUMIFS('Per Line'!$Z$2:$Z$3001,'Per Line'!$D$2:$D$3001,$C623))</f>
        <v/>
      </c>
      <c r="L623" s="5">
        <f>IF($N623="","",I623-J623)</f>
        <v/>
      </c>
      <c r="M623" s="5">
        <f>IF($N623="","",L623-K623)</f>
        <v/>
      </c>
      <c r="N623">
        <f>IF(ROWS($N$2:$N623)&lt;=MAX('Per Line'!$AG$2:$AG$3001),MATCH(ROWS($N$2:$N623),'Per Line'!$AG$2:$AG$3001,0),"")</f>
        <v/>
      </c>
      <c r="O623">
        <f>IF(B623="Above Claim Form",COUNTIF($B$2:B623,"Above Claim Form"),"")</f>
        <v/>
      </c>
      <c r="P623">
        <f>IF(B623="Below Claim Form",COUNTIF($B$2:B623,"Below Claim Form"),"")</f>
        <v/>
      </c>
    </row>
    <row r="624">
      <c r="B624">
        <f>IF($N624="","",IFERROR(INDEX(Settings!$C$27:$C$36,MATCH(E624,Settings!$B$27:$B$36,0)),"Unassigned"))</f>
        <v/>
      </c>
      <c r="C624">
        <f>IF($N624="","",INDEX('Per Line'!$D$2:$D$3001,$N624))</f>
        <v/>
      </c>
      <c r="D624">
        <f>IF($N624="","",INDEX('Per Line'!$C$2:$C$3001,$N624))</f>
        <v/>
      </c>
      <c r="E624">
        <f>IF($N624="","",INDEX('Per Line'!$A$2:$A$3001,$N624))</f>
        <v/>
      </c>
      <c r="H624">
        <f>IF($N624="","",INDEX('Per Line'!$V$2:$V$3001,$N624))</f>
        <v/>
      </c>
      <c r="I624" s="5">
        <f>IF($N624="","",SUMIFS('Per Line'!$X$2:$X$3001,'Per Line'!$D$2:$D$3001,$C624))</f>
        <v/>
      </c>
      <c r="J624" s="5">
        <f>IF($N624="","",SUMIFS('Per Line'!$Y$2:$Y$3001,'Per Line'!$D$2:$D$3001,$C624))</f>
        <v/>
      </c>
      <c r="K624" s="5">
        <f>IF($N624="","",SUMIFS('Per Line'!$Z$2:$Z$3001,'Per Line'!$D$2:$D$3001,$C624))</f>
        <v/>
      </c>
      <c r="L624" s="5">
        <f>IF($N624="","",I624-J624)</f>
        <v/>
      </c>
      <c r="M624" s="5">
        <f>IF($N624="","",L624-K624)</f>
        <v/>
      </c>
      <c r="N624">
        <f>IF(ROWS($N$2:$N624)&lt;=MAX('Per Line'!$AG$2:$AG$3001),MATCH(ROWS($N$2:$N624),'Per Line'!$AG$2:$AG$3001,0),"")</f>
        <v/>
      </c>
      <c r="O624">
        <f>IF(B624="Above Claim Form",COUNTIF($B$2:B624,"Above Claim Form"),"")</f>
        <v/>
      </c>
      <c r="P624">
        <f>IF(B624="Below Claim Form",COUNTIF($B$2:B624,"Below Claim Form"),"")</f>
        <v/>
      </c>
    </row>
    <row r="625">
      <c r="B625">
        <f>IF($N625="","",IFERROR(INDEX(Settings!$C$27:$C$36,MATCH(E625,Settings!$B$27:$B$36,0)),"Unassigned"))</f>
        <v/>
      </c>
      <c r="C625">
        <f>IF($N625="","",INDEX('Per Line'!$D$2:$D$3001,$N625))</f>
        <v/>
      </c>
      <c r="D625">
        <f>IF($N625="","",INDEX('Per Line'!$C$2:$C$3001,$N625))</f>
        <v/>
      </c>
      <c r="E625">
        <f>IF($N625="","",INDEX('Per Line'!$A$2:$A$3001,$N625))</f>
        <v/>
      </c>
      <c r="H625">
        <f>IF($N625="","",INDEX('Per Line'!$V$2:$V$3001,$N625))</f>
        <v/>
      </c>
      <c r="I625" s="5">
        <f>IF($N625="","",SUMIFS('Per Line'!$X$2:$X$3001,'Per Line'!$D$2:$D$3001,$C625))</f>
        <v/>
      </c>
      <c r="J625" s="5">
        <f>IF($N625="","",SUMIFS('Per Line'!$Y$2:$Y$3001,'Per Line'!$D$2:$D$3001,$C625))</f>
        <v/>
      </c>
      <c r="K625" s="5">
        <f>IF($N625="","",SUMIFS('Per Line'!$Z$2:$Z$3001,'Per Line'!$D$2:$D$3001,$C625))</f>
        <v/>
      </c>
      <c r="L625" s="5">
        <f>IF($N625="","",I625-J625)</f>
        <v/>
      </c>
      <c r="M625" s="5">
        <f>IF($N625="","",L625-K625)</f>
        <v/>
      </c>
      <c r="N625">
        <f>IF(ROWS($N$2:$N625)&lt;=MAX('Per Line'!$AG$2:$AG$3001),MATCH(ROWS($N$2:$N625),'Per Line'!$AG$2:$AG$3001,0),"")</f>
        <v/>
      </c>
      <c r="O625">
        <f>IF(B625="Above Claim Form",COUNTIF($B$2:B625,"Above Claim Form"),"")</f>
        <v/>
      </c>
      <c r="P625">
        <f>IF(B625="Below Claim Form",COUNTIF($B$2:B625,"Below Claim Form"),"")</f>
        <v/>
      </c>
    </row>
    <row r="626">
      <c r="B626">
        <f>IF($N626="","",IFERROR(INDEX(Settings!$C$27:$C$36,MATCH(E626,Settings!$B$27:$B$36,0)),"Unassigned"))</f>
        <v/>
      </c>
      <c r="C626">
        <f>IF($N626="","",INDEX('Per Line'!$D$2:$D$3001,$N626))</f>
        <v/>
      </c>
      <c r="D626">
        <f>IF($N626="","",INDEX('Per Line'!$C$2:$C$3001,$N626))</f>
        <v/>
      </c>
      <c r="E626">
        <f>IF($N626="","",INDEX('Per Line'!$A$2:$A$3001,$N626))</f>
        <v/>
      </c>
      <c r="H626">
        <f>IF($N626="","",INDEX('Per Line'!$V$2:$V$3001,$N626))</f>
        <v/>
      </c>
      <c r="I626" s="5">
        <f>IF($N626="","",SUMIFS('Per Line'!$X$2:$X$3001,'Per Line'!$D$2:$D$3001,$C626))</f>
        <v/>
      </c>
      <c r="J626" s="5">
        <f>IF($N626="","",SUMIFS('Per Line'!$Y$2:$Y$3001,'Per Line'!$D$2:$D$3001,$C626))</f>
        <v/>
      </c>
      <c r="K626" s="5">
        <f>IF($N626="","",SUMIFS('Per Line'!$Z$2:$Z$3001,'Per Line'!$D$2:$D$3001,$C626))</f>
        <v/>
      </c>
      <c r="L626" s="5">
        <f>IF($N626="","",I626-J626)</f>
        <v/>
      </c>
      <c r="M626" s="5">
        <f>IF($N626="","",L626-K626)</f>
        <v/>
      </c>
      <c r="N626">
        <f>IF(ROWS($N$2:$N626)&lt;=MAX('Per Line'!$AG$2:$AG$3001),MATCH(ROWS($N$2:$N626),'Per Line'!$AG$2:$AG$3001,0),"")</f>
        <v/>
      </c>
      <c r="O626">
        <f>IF(B626="Above Claim Form",COUNTIF($B$2:B626,"Above Claim Form"),"")</f>
        <v/>
      </c>
      <c r="P626">
        <f>IF(B626="Below Claim Form",COUNTIF($B$2:B626,"Below Claim Form"),"")</f>
        <v/>
      </c>
    </row>
    <row r="627">
      <c r="B627">
        <f>IF($N627="","",IFERROR(INDEX(Settings!$C$27:$C$36,MATCH(E627,Settings!$B$27:$B$36,0)),"Unassigned"))</f>
        <v/>
      </c>
      <c r="C627">
        <f>IF($N627="","",INDEX('Per Line'!$D$2:$D$3001,$N627))</f>
        <v/>
      </c>
      <c r="D627">
        <f>IF($N627="","",INDEX('Per Line'!$C$2:$C$3001,$N627))</f>
        <v/>
      </c>
      <c r="E627">
        <f>IF($N627="","",INDEX('Per Line'!$A$2:$A$3001,$N627))</f>
        <v/>
      </c>
      <c r="H627">
        <f>IF($N627="","",INDEX('Per Line'!$V$2:$V$3001,$N627))</f>
        <v/>
      </c>
      <c r="I627" s="5">
        <f>IF($N627="","",SUMIFS('Per Line'!$X$2:$X$3001,'Per Line'!$D$2:$D$3001,$C627))</f>
        <v/>
      </c>
      <c r="J627" s="5">
        <f>IF($N627="","",SUMIFS('Per Line'!$Y$2:$Y$3001,'Per Line'!$D$2:$D$3001,$C627))</f>
        <v/>
      </c>
      <c r="K627" s="5">
        <f>IF($N627="","",SUMIFS('Per Line'!$Z$2:$Z$3001,'Per Line'!$D$2:$D$3001,$C627))</f>
        <v/>
      </c>
      <c r="L627" s="5">
        <f>IF($N627="","",I627-J627)</f>
        <v/>
      </c>
      <c r="M627" s="5">
        <f>IF($N627="","",L627-K627)</f>
        <v/>
      </c>
      <c r="N627">
        <f>IF(ROWS($N$2:$N627)&lt;=MAX('Per Line'!$AG$2:$AG$3001),MATCH(ROWS($N$2:$N627),'Per Line'!$AG$2:$AG$3001,0),"")</f>
        <v/>
      </c>
      <c r="O627">
        <f>IF(B627="Above Claim Form",COUNTIF($B$2:B627,"Above Claim Form"),"")</f>
        <v/>
      </c>
      <c r="P627">
        <f>IF(B627="Below Claim Form",COUNTIF($B$2:B627,"Below Claim Form"),"")</f>
        <v/>
      </c>
    </row>
    <row r="628">
      <c r="B628">
        <f>IF($N628="","",IFERROR(INDEX(Settings!$C$27:$C$36,MATCH(E628,Settings!$B$27:$B$36,0)),"Unassigned"))</f>
        <v/>
      </c>
      <c r="C628">
        <f>IF($N628="","",INDEX('Per Line'!$D$2:$D$3001,$N628))</f>
        <v/>
      </c>
      <c r="D628">
        <f>IF($N628="","",INDEX('Per Line'!$C$2:$C$3001,$N628))</f>
        <v/>
      </c>
      <c r="E628">
        <f>IF($N628="","",INDEX('Per Line'!$A$2:$A$3001,$N628))</f>
        <v/>
      </c>
      <c r="H628">
        <f>IF($N628="","",INDEX('Per Line'!$V$2:$V$3001,$N628))</f>
        <v/>
      </c>
      <c r="I628" s="5">
        <f>IF($N628="","",SUMIFS('Per Line'!$X$2:$X$3001,'Per Line'!$D$2:$D$3001,$C628))</f>
        <v/>
      </c>
      <c r="J628" s="5">
        <f>IF($N628="","",SUMIFS('Per Line'!$Y$2:$Y$3001,'Per Line'!$D$2:$D$3001,$C628))</f>
        <v/>
      </c>
      <c r="K628" s="5">
        <f>IF($N628="","",SUMIFS('Per Line'!$Z$2:$Z$3001,'Per Line'!$D$2:$D$3001,$C628))</f>
        <v/>
      </c>
      <c r="L628" s="5">
        <f>IF($N628="","",I628-J628)</f>
        <v/>
      </c>
      <c r="M628" s="5">
        <f>IF($N628="","",L628-K628)</f>
        <v/>
      </c>
      <c r="N628">
        <f>IF(ROWS($N$2:$N628)&lt;=MAX('Per Line'!$AG$2:$AG$3001),MATCH(ROWS($N$2:$N628),'Per Line'!$AG$2:$AG$3001,0),"")</f>
        <v/>
      </c>
      <c r="O628">
        <f>IF(B628="Above Claim Form",COUNTIF($B$2:B628,"Above Claim Form"),"")</f>
        <v/>
      </c>
      <c r="P628">
        <f>IF(B628="Below Claim Form",COUNTIF($B$2:B628,"Below Claim Form"),"")</f>
        <v/>
      </c>
    </row>
    <row r="629">
      <c r="B629">
        <f>IF($N629="","",IFERROR(INDEX(Settings!$C$27:$C$36,MATCH(E629,Settings!$B$27:$B$36,0)),"Unassigned"))</f>
        <v/>
      </c>
      <c r="C629">
        <f>IF($N629="","",INDEX('Per Line'!$D$2:$D$3001,$N629))</f>
        <v/>
      </c>
      <c r="D629">
        <f>IF($N629="","",INDEX('Per Line'!$C$2:$C$3001,$N629))</f>
        <v/>
      </c>
      <c r="E629">
        <f>IF($N629="","",INDEX('Per Line'!$A$2:$A$3001,$N629))</f>
        <v/>
      </c>
      <c r="H629">
        <f>IF($N629="","",INDEX('Per Line'!$V$2:$V$3001,$N629))</f>
        <v/>
      </c>
      <c r="I629" s="5">
        <f>IF($N629="","",SUMIFS('Per Line'!$X$2:$X$3001,'Per Line'!$D$2:$D$3001,$C629))</f>
        <v/>
      </c>
      <c r="J629" s="5">
        <f>IF($N629="","",SUMIFS('Per Line'!$Y$2:$Y$3001,'Per Line'!$D$2:$D$3001,$C629))</f>
        <v/>
      </c>
      <c r="K629" s="5">
        <f>IF($N629="","",SUMIFS('Per Line'!$Z$2:$Z$3001,'Per Line'!$D$2:$D$3001,$C629))</f>
        <v/>
      </c>
      <c r="L629" s="5">
        <f>IF($N629="","",I629-J629)</f>
        <v/>
      </c>
      <c r="M629" s="5">
        <f>IF($N629="","",L629-K629)</f>
        <v/>
      </c>
      <c r="N629">
        <f>IF(ROWS($N$2:$N629)&lt;=MAX('Per Line'!$AG$2:$AG$3001),MATCH(ROWS($N$2:$N629),'Per Line'!$AG$2:$AG$3001,0),"")</f>
        <v/>
      </c>
      <c r="O629">
        <f>IF(B629="Above Claim Form",COUNTIF($B$2:B629,"Above Claim Form"),"")</f>
        <v/>
      </c>
      <c r="P629">
        <f>IF(B629="Below Claim Form",COUNTIF($B$2:B629,"Below Claim Form"),"")</f>
        <v/>
      </c>
    </row>
    <row r="630">
      <c r="B630">
        <f>IF($N630="","",IFERROR(INDEX(Settings!$C$27:$C$36,MATCH(E630,Settings!$B$27:$B$36,0)),"Unassigned"))</f>
        <v/>
      </c>
      <c r="C630">
        <f>IF($N630="","",INDEX('Per Line'!$D$2:$D$3001,$N630))</f>
        <v/>
      </c>
      <c r="D630">
        <f>IF($N630="","",INDEX('Per Line'!$C$2:$C$3001,$N630))</f>
        <v/>
      </c>
      <c r="E630">
        <f>IF($N630="","",INDEX('Per Line'!$A$2:$A$3001,$N630))</f>
        <v/>
      </c>
      <c r="H630">
        <f>IF($N630="","",INDEX('Per Line'!$V$2:$V$3001,$N630))</f>
        <v/>
      </c>
      <c r="I630" s="5">
        <f>IF($N630="","",SUMIFS('Per Line'!$X$2:$X$3001,'Per Line'!$D$2:$D$3001,$C630))</f>
        <v/>
      </c>
      <c r="J630" s="5">
        <f>IF($N630="","",SUMIFS('Per Line'!$Y$2:$Y$3001,'Per Line'!$D$2:$D$3001,$C630))</f>
        <v/>
      </c>
      <c r="K630" s="5">
        <f>IF($N630="","",SUMIFS('Per Line'!$Z$2:$Z$3001,'Per Line'!$D$2:$D$3001,$C630))</f>
        <v/>
      </c>
      <c r="L630" s="5">
        <f>IF($N630="","",I630-J630)</f>
        <v/>
      </c>
      <c r="M630" s="5">
        <f>IF($N630="","",L630-K630)</f>
        <v/>
      </c>
      <c r="N630">
        <f>IF(ROWS($N$2:$N630)&lt;=MAX('Per Line'!$AG$2:$AG$3001),MATCH(ROWS($N$2:$N630),'Per Line'!$AG$2:$AG$3001,0),"")</f>
        <v/>
      </c>
      <c r="O630">
        <f>IF(B630="Above Claim Form",COUNTIF($B$2:B630,"Above Claim Form"),"")</f>
        <v/>
      </c>
      <c r="P630">
        <f>IF(B630="Below Claim Form",COUNTIF($B$2:B630,"Below Claim Form"),"")</f>
        <v/>
      </c>
    </row>
    <row r="631">
      <c r="B631">
        <f>IF($N631="","",IFERROR(INDEX(Settings!$C$27:$C$36,MATCH(E631,Settings!$B$27:$B$36,0)),"Unassigned"))</f>
        <v/>
      </c>
      <c r="C631">
        <f>IF($N631="","",INDEX('Per Line'!$D$2:$D$3001,$N631))</f>
        <v/>
      </c>
      <c r="D631">
        <f>IF($N631="","",INDEX('Per Line'!$C$2:$C$3001,$N631))</f>
        <v/>
      </c>
      <c r="E631">
        <f>IF($N631="","",INDEX('Per Line'!$A$2:$A$3001,$N631))</f>
        <v/>
      </c>
      <c r="H631">
        <f>IF($N631="","",INDEX('Per Line'!$V$2:$V$3001,$N631))</f>
        <v/>
      </c>
      <c r="I631" s="5">
        <f>IF($N631="","",SUMIFS('Per Line'!$X$2:$X$3001,'Per Line'!$D$2:$D$3001,$C631))</f>
        <v/>
      </c>
      <c r="J631" s="5">
        <f>IF($N631="","",SUMIFS('Per Line'!$Y$2:$Y$3001,'Per Line'!$D$2:$D$3001,$C631))</f>
        <v/>
      </c>
      <c r="K631" s="5">
        <f>IF($N631="","",SUMIFS('Per Line'!$Z$2:$Z$3001,'Per Line'!$D$2:$D$3001,$C631))</f>
        <v/>
      </c>
      <c r="L631" s="5">
        <f>IF($N631="","",I631-J631)</f>
        <v/>
      </c>
      <c r="M631" s="5">
        <f>IF($N631="","",L631-K631)</f>
        <v/>
      </c>
      <c r="N631">
        <f>IF(ROWS($N$2:$N631)&lt;=MAX('Per Line'!$AG$2:$AG$3001),MATCH(ROWS($N$2:$N631),'Per Line'!$AG$2:$AG$3001,0),"")</f>
        <v/>
      </c>
      <c r="O631">
        <f>IF(B631="Above Claim Form",COUNTIF($B$2:B631,"Above Claim Form"),"")</f>
        <v/>
      </c>
      <c r="P631">
        <f>IF(B631="Below Claim Form",COUNTIF($B$2:B631,"Below Claim Form"),"")</f>
        <v/>
      </c>
    </row>
    <row r="632">
      <c r="B632">
        <f>IF($N632="","",IFERROR(INDEX(Settings!$C$27:$C$36,MATCH(E632,Settings!$B$27:$B$36,0)),"Unassigned"))</f>
        <v/>
      </c>
      <c r="C632">
        <f>IF($N632="","",INDEX('Per Line'!$D$2:$D$3001,$N632))</f>
        <v/>
      </c>
      <c r="D632">
        <f>IF($N632="","",INDEX('Per Line'!$C$2:$C$3001,$N632))</f>
        <v/>
      </c>
      <c r="E632">
        <f>IF($N632="","",INDEX('Per Line'!$A$2:$A$3001,$N632))</f>
        <v/>
      </c>
      <c r="H632">
        <f>IF($N632="","",INDEX('Per Line'!$V$2:$V$3001,$N632))</f>
        <v/>
      </c>
      <c r="I632" s="5">
        <f>IF($N632="","",SUMIFS('Per Line'!$X$2:$X$3001,'Per Line'!$D$2:$D$3001,$C632))</f>
        <v/>
      </c>
      <c r="J632" s="5">
        <f>IF($N632="","",SUMIFS('Per Line'!$Y$2:$Y$3001,'Per Line'!$D$2:$D$3001,$C632))</f>
        <v/>
      </c>
      <c r="K632" s="5">
        <f>IF($N632="","",SUMIFS('Per Line'!$Z$2:$Z$3001,'Per Line'!$D$2:$D$3001,$C632))</f>
        <v/>
      </c>
      <c r="L632" s="5">
        <f>IF($N632="","",I632-J632)</f>
        <v/>
      </c>
      <c r="M632" s="5">
        <f>IF($N632="","",L632-K632)</f>
        <v/>
      </c>
      <c r="N632">
        <f>IF(ROWS($N$2:$N632)&lt;=MAX('Per Line'!$AG$2:$AG$3001),MATCH(ROWS($N$2:$N632),'Per Line'!$AG$2:$AG$3001,0),"")</f>
        <v/>
      </c>
      <c r="O632">
        <f>IF(B632="Above Claim Form",COUNTIF($B$2:B632,"Above Claim Form"),"")</f>
        <v/>
      </c>
      <c r="P632">
        <f>IF(B632="Below Claim Form",COUNTIF($B$2:B632,"Below Claim Form"),"")</f>
        <v/>
      </c>
    </row>
    <row r="633">
      <c r="B633">
        <f>IF($N633="","",IFERROR(INDEX(Settings!$C$27:$C$36,MATCH(E633,Settings!$B$27:$B$36,0)),"Unassigned"))</f>
        <v/>
      </c>
      <c r="C633">
        <f>IF($N633="","",INDEX('Per Line'!$D$2:$D$3001,$N633))</f>
        <v/>
      </c>
      <c r="D633">
        <f>IF($N633="","",INDEX('Per Line'!$C$2:$C$3001,$N633))</f>
        <v/>
      </c>
      <c r="E633">
        <f>IF($N633="","",INDEX('Per Line'!$A$2:$A$3001,$N633))</f>
        <v/>
      </c>
      <c r="H633">
        <f>IF($N633="","",INDEX('Per Line'!$V$2:$V$3001,$N633))</f>
        <v/>
      </c>
      <c r="I633" s="5">
        <f>IF($N633="","",SUMIFS('Per Line'!$X$2:$X$3001,'Per Line'!$D$2:$D$3001,$C633))</f>
        <v/>
      </c>
      <c r="J633" s="5">
        <f>IF($N633="","",SUMIFS('Per Line'!$Y$2:$Y$3001,'Per Line'!$D$2:$D$3001,$C633))</f>
        <v/>
      </c>
      <c r="K633" s="5">
        <f>IF($N633="","",SUMIFS('Per Line'!$Z$2:$Z$3001,'Per Line'!$D$2:$D$3001,$C633))</f>
        <v/>
      </c>
      <c r="L633" s="5">
        <f>IF($N633="","",I633-J633)</f>
        <v/>
      </c>
      <c r="M633" s="5">
        <f>IF($N633="","",L633-K633)</f>
        <v/>
      </c>
      <c r="N633">
        <f>IF(ROWS($N$2:$N633)&lt;=MAX('Per Line'!$AG$2:$AG$3001),MATCH(ROWS($N$2:$N633),'Per Line'!$AG$2:$AG$3001,0),"")</f>
        <v/>
      </c>
      <c r="O633">
        <f>IF(B633="Above Claim Form",COUNTIF($B$2:B633,"Above Claim Form"),"")</f>
        <v/>
      </c>
      <c r="P633">
        <f>IF(B633="Below Claim Form",COUNTIF($B$2:B633,"Below Claim Form"),"")</f>
        <v/>
      </c>
    </row>
    <row r="634">
      <c r="B634">
        <f>IF($N634="","",IFERROR(INDEX(Settings!$C$27:$C$36,MATCH(E634,Settings!$B$27:$B$36,0)),"Unassigned"))</f>
        <v/>
      </c>
      <c r="C634">
        <f>IF($N634="","",INDEX('Per Line'!$D$2:$D$3001,$N634))</f>
        <v/>
      </c>
      <c r="D634">
        <f>IF($N634="","",INDEX('Per Line'!$C$2:$C$3001,$N634))</f>
        <v/>
      </c>
      <c r="E634">
        <f>IF($N634="","",INDEX('Per Line'!$A$2:$A$3001,$N634))</f>
        <v/>
      </c>
      <c r="H634">
        <f>IF($N634="","",INDEX('Per Line'!$V$2:$V$3001,$N634))</f>
        <v/>
      </c>
      <c r="I634" s="5">
        <f>IF($N634="","",SUMIFS('Per Line'!$X$2:$X$3001,'Per Line'!$D$2:$D$3001,$C634))</f>
        <v/>
      </c>
      <c r="J634" s="5">
        <f>IF($N634="","",SUMIFS('Per Line'!$Y$2:$Y$3001,'Per Line'!$D$2:$D$3001,$C634))</f>
        <v/>
      </c>
      <c r="K634" s="5">
        <f>IF($N634="","",SUMIFS('Per Line'!$Z$2:$Z$3001,'Per Line'!$D$2:$D$3001,$C634))</f>
        <v/>
      </c>
      <c r="L634" s="5">
        <f>IF($N634="","",I634-J634)</f>
        <v/>
      </c>
      <c r="M634" s="5">
        <f>IF($N634="","",L634-K634)</f>
        <v/>
      </c>
      <c r="N634">
        <f>IF(ROWS($N$2:$N634)&lt;=MAX('Per Line'!$AG$2:$AG$3001),MATCH(ROWS($N$2:$N634),'Per Line'!$AG$2:$AG$3001,0),"")</f>
        <v/>
      </c>
      <c r="O634">
        <f>IF(B634="Above Claim Form",COUNTIF($B$2:B634,"Above Claim Form"),"")</f>
        <v/>
      </c>
      <c r="P634">
        <f>IF(B634="Below Claim Form",COUNTIF($B$2:B634,"Below Claim Form"),"")</f>
        <v/>
      </c>
    </row>
    <row r="635">
      <c r="B635">
        <f>IF($N635="","",IFERROR(INDEX(Settings!$C$27:$C$36,MATCH(E635,Settings!$B$27:$B$36,0)),"Unassigned"))</f>
        <v/>
      </c>
      <c r="C635">
        <f>IF($N635="","",INDEX('Per Line'!$D$2:$D$3001,$N635))</f>
        <v/>
      </c>
      <c r="D635">
        <f>IF($N635="","",INDEX('Per Line'!$C$2:$C$3001,$N635))</f>
        <v/>
      </c>
      <c r="E635">
        <f>IF($N635="","",INDEX('Per Line'!$A$2:$A$3001,$N635))</f>
        <v/>
      </c>
      <c r="H635">
        <f>IF($N635="","",INDEX('Per Line'!$V$2:$V$3001,$N635))</f>
        <v/>
      </c>
      <c r="I635" s="5">
        <f>IF($N635="","",SUMIFS('Per Line'!$X$2:$X$3001,'Per Line'!$D$2:$D$3001,$C635))</f>
        <v/>
      </c>
      <c r="J635" s="5">
        <f>IF($N635="","",SUMIFS('Per Line'!$Y$2:$Y$3001,'Per Line'!$D$2:$D$3001,$C635))</f>
        <v/>
      </c>
      <c r="K635" s="5">
        <f>IF($N635="","",SUMIFS('Per Line'!$Z$2:$Z$3001,'Per Line'!$D$2:$D$3001,$C635))</f>
        <v/>
      </c>
      <c r="L635" s="5">
        <f>IF($N635="","",I635-J635)</f>
        <v/>
      </c>
      <c r="M635" s="5">
        <f>IF($N635="","",L635-K635)</f>
        <v/>
      </c>
      <c r="N635">
        <f>IF(ROWS($N$2:$N635)&lt;=MAX('Per Line'!$AG$2:$AG$3001),MATCH(ROWS($N$2:$N635),'Per Line'!$AG$2:$AG$3001,0),"")</f>
        <v/>
      </c>
      <c r="O635">
        <f>IF(B635="Above Claim Form",COUNTIF($B$2:B635,"Above Claim Form"),"")</f>
        <v/>
      </c>
      <c r="P635">
        <f>IF(B635="Below Claim Form",COUNTIF($B$2:B635,"Below Claim Form"),"")</f>
        <v/>
      </c>
    </row>
    <row r="636">
      <c r="B636">
        <f>IF($N636="","",IFERROR(INDEX(Settings!$C$27:$C$36,MATCH(E636,Settings!$B$27:$B$36,0)),"Unassigned"))</f>
        <v/>
      </c>
      <c r="C636">
        <f>IF($N636="","",INDEX('Per Line'!$D$2:$D$3001,$N636))</f>
        <v/>
      </c>
      <c r="D636">
        <f>IF($N636="","",INDEX('Per Line'!$C$2:$C$3001,$N636))</f>
        <v/>
      </c>
      <c r="E636">
        <f>IF($N636="","",INDEX('Per Line'!$A$2:$A$3001,$N636))</f>
        <v/>
      </c>
      <c r="H636">
        <f>IF($N636="","",INDEX('Per Line'!$V$2:$V$3001,$N636))</f>
        <v/>
      </c>
      <c r="I636" s="5">
        <f>IF($N636="","",SUMIFS('Per Line'!$X$2:$X$3001,'Per Line'!$D$2:$D$3001,$C636))</f>
        <v/>
      </c>
      <c r="J636" s="5">
        <f>IF($N636="","",SUMIFS('Per Line'!$Y$2:$Y$3001,'Per Line'!$D$2:$D$3001,$C636))</f>
        <v/>
      </c>
      <c r="K636" s="5">
        <f>IF($N636="","",SUMIFS('Per Line'!$Z$2:$Z$3001,'Per Line'!$D$2:$D$3001,$C636))</f>
        <v/>
      </c>
      <c r="L636" s="5">
        <f>IF($N636="","",I636-J636)</f>
        <v/>
      </c>
      <c r="M636" s="5">
        <f>IF($N636="","",L636-K636)</f>
        <v/>
      </c>
      <c r="N636">
        <f>IF(ROWS($N$2:$N636)&lt;=MAX('Per Line'!$AG$2:$AG$3001),MATCH(ROWS($N$2:$N636),'Per Line'!$AG$2:$AG$3001,0),"")</f>
        <v/>
      </c>
      <c r="O636">
        <f>IF(B636="Above Claim Form",COUNTIF($B$2:B636,"Above Claim Form"),"")</f>
        <v/>
      </c>
      <c r="P636">
        <f>IF(B636="Below Claim Form",COUNTIF($B$2:B636,"Below Claim Form"),"")</f>
        <v/>
      </c>
    </row>
    <row r="637">
      <c r="B637">
        <f>IF($N637="","",IFERROR(INDEX(Settings!$C$27:$C$36,MATCH(E637,Settings!$B$27:$B$36,0)),"Unassigned"))</f>
        <v/>
      </c>
      <c r="C637">
        <f>IF($N637="","",INDEX('Per Line'!$D$2:$D$3001,$N637))</f>
        <v/>
      </c>
      <c r="D637">
        <f>IF($N637="","",INDEX('Per Line'!$C$2:$C$3001,$N637))</f>
        <v/>
      </c>
      <c r="E637">
        <f>IF($N637="","",INDEX('Per Line'!$A$2:$A$3001,$N637))</f>
        <v/>
      </c>
      <c r="H637">
        <f>IF($N637="","",INDEX('Per Line'!$V$2:$V$3001,$N637))</f>
        <v/>
      </c>
      <c r="I637" s="5">
        <f>IF($N637="","",SUMIFS('Per Line'!$X$2:$X$3001,'Per Line'!$D$2:$D$3001,$C637))</f>
        <v/>
      </c>
      <c r="J637" s="5">
        <f>IF($N637="","",SUMIFS('Per Line'!$Y$2:$Y$3001,'Per Line'!$D$2:$D$3001,$C637))</f>
        <v/>
      </c>
      <c r="K637" s="5">
        <f>IF($N637="","",SUMIFS('Per Line'!$Z$2:$Z$3001,'Per Line'!$D$2:$D$3001,$C637))</f>
        <v/>
      </c>
      <c r="L637" s="5">
        <f>IF($N637="","",I637-J637)</f>
        <v/>
      </c>
      <c r="M637" s="5">
        <f>IF($N637="","",L637-K637)</f>
        <v/>
      </c>
      <c r="N637">
        <f>IF(ROWS($N$2:$N637)&lt;=MAX('Per Line'!$AG$2:$AG$3001),MATCH(ROWS($N$2:$N637),'Per Line'!$AG$2:$AG$3001,0),"")</f>
        <v/>
      </c>
      <c r="O637">
        <f>IF(B637="Above Claim Form",COUNTIF($B$2:B637,"Above Claim Form"),"")</f>
        <v/>
      </c>
      <c r="P637">
        <f>IF(B637="Below Claim Form",COUNTIF($B$2:B637,"Below Claim Form"),"")</f>
        <v/>
      </c>
    </row>
    <row r="638">
      <c r="B638">
        <f>IF($N638="","",IFERROR(INDEX(Settings!$C$27:$C$36,MATCH(E638,Settings!$B$27:$B$36,0)),"Unassigned"))</f>
        <v/>
      </c>
      <c r="C638">
        <f>IF($N638="","",INDEX('Per Line'!$D$2:$D$3001,$N638))</f>
        <v/>
      </c>
      <c r="D638">
        <f>IF($N638="","",INDEX('Per Line'!$C$2:$C$3001,$N638))</f>
        <v/>
      </c>
      <c r="E638">
        <f>IF($N638="","",INDEX('Per Line'!$A$2:$A$3001,$N638))</f>
        <v/>
      </c>
      <c r="H638">
        <f>IF($N638="","",INDEX('Per Line'!$V$2:$V$3001,$N638))</f>
        <v/>
      </c>
      <c r="I638" s="5">
        <f>IF($N638="","",SUMIFS('Per Line'!$X$2:$X$3001,'Per Line'!$D$2:$D$3001,$C638))</f>
        <v/>
      </c>
      <c r="J638" s="5">
        <f>IF($N638="","",SUMIFS('Per Line'!$Y$2:$Y$3001,'Per Line'!$D$2:$D$3001,$C638))</f>
        <v/>
      </c>
      <c r="K638" s="5">
        <f>IF($N638="","",SUMIFS('Per Line'!$Z$2:$Z$3001,'Per Line'!$D$2:$D$3001,$C638))</f>
        <v/>
      </c>
      <c r="L638" s="5">
        <f>IF($N638="","",I638-J638)</f>
        <v/>
      </c>
      <c r="M638" s="5">
        <f>IF($N638="","",L638-K638)</f>
        <v/>
      </c>
      <c r="N638">
        <f>IF(ROWS($N$2:$N638)&lt;=MAX('Per Line'!$AG$2:$AG$3001),MATCH(ROWS($N$2:$N638),'Per Line'!$AG$2:$AG$3001,0),"")</f>
        <v/>
      </c>
      <c r="O638">
        <f>IF(B638="Above Claim Form",COUNTIF($B$2:B638,"Above Claim Form"),"")</f>
        <v/>
      </c>
      <c r="P638">
        <f>IF(B638="Below Claim Form",COUNTIF($B$2:B638,"Below Claim Form"),"")</f>
        <v/>
      </c>
    </row>
    <row r="639">
      <c r="B639">
        <f>IF($N639="","",IFERROR(INDEX(Settings!$C$27:$C$36,MATCH(E639,Settings!$B$27:$B$36,0)),"Unassigned"))</f>
        <v/>
      </c>
      <c r="C639">
        <f>IF($N639="","",INDEX('Per Line'!$D$2:$D$3001,$N639))</f>
        <v/>
      </c>
      <c r="D639">
        <f>IF($N639="","",INDEX('Per Line'!$C$2:$C$3001,$N639))</f>
        <v/>
      </c>
      <c r="E639">
        <f>IF($N639="","",INDEX('Per Line'!$A$2:$A$3001,$N639))</f>
        <v/>
      </c>
      <c r="H639">
        <f>IF($N639="","",INDEX('Per Line'!$V$2:$V$3001,$N639))</f>
        <v/>
      </c>
      <c r="I639" s="5">
        <f>IF($N639="","",SUMIFS('Per Line'!$X$2:$X$3001,'Per Line'!$D$2:$D$3001,$C639))</f>
        <v/>
      </c>
      <c r="J639" s="5">
        <f>IF($N639="","",SUMIFS('Per Line'!$Y$2:$Y$3001,'Per Line'!$D$2:$D$3001,$C639))</f>
        <v/>
      </c>
      <c r="K639" s="5">
        <f>IF($N639="","",SUMIFS('Per Line'!$Z$2:$Z$3001,'Per Line'!$D$2:$D$3001,$C639))</f>
        <v/>
      </c>
      <c r="L639" s="5">
        <f>IF($N639="","",I639-J639)</f>
        <v/>
      </c>
      <c r="M639" s="5">
        <f>IF($N639="","",L639-K639)</f>
        <v/>
      </c>
      <c r="N639">
        <f>IF(ROWS($N$2:$N639)&lt;=MAX('Per Line'!$AG$2:$AG$3001),MATCH(ROWS($N$2:$N639),'Per Line'!$AG$2:$AG$3001,0),"")</f>
        <v/>
      </c>
      <c r="O639">
        <f>IF(B639="Above Claim Form",COUNTIF($B$2:B639,"Above Claim Form"),"")</f>
        <v/>
      </c>
      <c r="P639">
        <f>IF(B639="Below Claim Form",COUNTIF($B$2:B639,"Below Claim Form"),"")</f>
        <v/>
      </c>
    </row>
    <row r="640">
      <c r="B640">
        <f>IF($N640="","",IFERROR(INDEX(Settings!$C$27:$C$36,MATCH(E640,Settings!$B$27:$B$36,0)),"Unassigned"))</f>
        <v/>
      </c>
      <c r="C640">
        <f>IF($N640="","",INDEX('Per Line'!$D$2:$D$3001,$N640))</f>
        <v/>
      </c>
      <c r="D640">
        <f>IF($N640="","",INDEX('Per Line'!$C$2:$C$3001,$N640))</f>
        <v/>
      </c>
      <c r="E640">
        <f>IF($N640="","",INDEX('Per Line'!$A$2:$A$3001,$N640))</f>
        <v/>
      </c>
      <c r="H640">
        <f>IF($N640="","",INDEX('Per Line'!$V$2:$V$3001,$N640))</f>
        <v/>
      </c>
      <c r="I640" s="5">
        <f>IF($N640="","",SUMIFS('Per Line'!$X$2:$X$3001,'Per Line'!$D$2:$D$3001,$C640))</f>
        <v/>
      </c>
      <c r="J640" s="5">
        <f>IF($N640="","",SUMIFS('Per Line'!$Y$2:$Y$3001,'Per Line'!$D$2:$D$3001,$C640))</f>
        <v/>
      </c>
      <c r="K640" s="5">
        <f>IF($N640="","",SUMIFS('Per Line'!$Z$2:$Z$3001,'Per Line'!$D$2:$D$3001,$C640))</f>
        <v/>
      </c>
      <c r="L640" s="5">
        <f>IF($N640="","",I640-J640)</f>
        <v/>
      </c>
      <c r="M640" s="5">
        <f>IF($N640="","",L640-K640)</f>
        <v/>
      </c>
      <c r="N640">
        <f>IF(ROWS($N$2:$N640)&lt;=MAX('Per Line'!$AG$2:$AG$3001),MATCH(ROWS($N$2:$N640),'Per Line'!$AG$2:$AG$3001,0),"")</f>
        <v/>
      </c>
      <c r="O640">
        <f>IF(B640="Above Claim Form",COUNTIF($B$2:B640,"Above Claim Form"),"")</f>
        <v/>
      </c>
      <c r="P640">
        <f>IF(B640="Below Claim Form",COUNTIF($B$2:B640,"Below Claim Form"),"")</f>
        <v/>
      </c>
    </row>
    <row r="641">
      <c r="B641">
        <f>IF($N641="","",IFERROR(INDEX(Settings!$C$27:$C$36,MATCH(E641,Settings!$B$27:$B$36,0)),"Unassigned"))</f>
        <v/>
      </c>
      <c r="C641">
        <f>IF($N641="","",INDEX('Per Line'!$D$2:$D$3001,$N641))</f>
        <v/>
      </c>
      <c r="D641">
        <f>IF($N641="","",INDEX('Per Line'!$C$2:$C$3001,$N641))</f>
        <v/>
      </c>
      <c r="E641">
        <f>IF($N641="","",INDEX('Per Line'!$A$2:$A$3001,$N641))</f>
        <v/>
      </c>
      <c r="H641">
        <f>IF($N641="","",INDEX('Per Line'!$V$2:$V$3001,$N641))</f>
        <v/>
      </c>
      <c r="I641" s="5">
        <f>IF($N641="","",SUMIFS('Per Line'!$X$2:$X$3001,'Per Line'!$D$2:$D$3001,$C641))</f>
        <v/>
      </c>
      <c r="J641" s="5">
        <f>IF($N641="","",SUMIFS('Per Line'!$Y$2:$Y$3001,'Per Line'!$D$2:$D$3001,$C641))</f>
        <v/>
      </c>
      <c r="K641" s="5">
        <f>IF($N641="","",SUMIFS('Per Line'!$Z$2:$Z$3001,'Per Line'!$D$2:$D$3001,$C641))</f>
        <v/>
      </c>
      <c r="L641" s="5">
        <f>IF($N641="","",I641-J641)</f>
        <v/>
      </c>
      <c r="M641" s="5">
        <f>IF($N641="","",L641-K641)</f>
        <v/>
      </c>
      <c r="N641">
        <f>IF(ROWS($N$2:$N641)&lt;=MAX('Per Line'!$AG$2:$AG$3001),MATCH(ROWS($N$2:$N641),'Per Line'!$AG$2:$AG$3001,0),"")</f>
        <v/>
      </c>
      <c r="O641">
        <f>IF(B641="Above Claim Form",COUNTIF($B$2:B641,"Above Claim Form"),"")</f>
        <v/>
      </c>
      <c r="P641">
        <f>IF(B641="Below Claim Form",COUNTIF($B$2:B641,"Below Claim Form"),"")</f>
        <v/>
      </c>
    </row>
    <row r="642">
      <c r="B642">
        <f>IF($N642="","",IFERROR(INDEX(Settings!$C$27:$C$36,MATCH(E642,Settings!$B$27:$B$36,0)),"Unassigned"))</f>
        <v/>
      </c>
      <c r="C642">
        <f>IF($N642="","",INDEX('Per Line'!$D$2:$D$3001,$N642))</f>
        <v/>
      </c>
      <c r="D642">
        <f>IF($N642="","",INDEX('Per Line'!$C$2:$C$3001,$N642))</f>
        <v/>
      </c>
      <c r="E642">
        <f>IF($N642="","",INDEX('Per Line'!$A$2:$A$3001,$N642))</f>
        <v/>
      </c>
      <c r="H642">
        <f>IF($N642="","",INDEX('Per Line'!$V$2:$V$3001,$N642))</f>
        <v/>
      </c>
      <c r="I642" s="5">
        <f>IF($N642="","",SUMIFS('Per Line'!$X$2:$X$3001,'Per Line'!$D$2:$D$3001,$C642))</f>
        <v/>
      </c>
      <c r="J642" s="5">
        <f>IF($N642="","",SUMIFS('Per Line'!$Y$2:$Y$3001,'Per Line'!$D$2:$D$3001,$C642))</f>
        <v/>
      </c>
      <c r="K642" s="5">
        <f>IF($N642="","",SUMIFS('Per Line'!$Z$2:$Z$3001,'Per Line'!$D$2:$D$3001,$C642))</f>
        <v/>
      </c>
      <c r="L642" s="5">
        <f>IF($N642="","",I642-J642)</f>
        <v/>
      </c>
      <c r="M642" s="5">
        <f>IF($N642="","",L642-K642)</f>
        <v/>
      </c>
      <c r="N642">
        <f>IF(ROWS($N$2:$N642)&lt;=MAX('Per Line'!$AG$2:$AG$3001),MATCH(ROWS($N$2:$N642),'Per Line'!$AG$2:$AG$3001,0),"")</f>
        <v/>
      </c>
      <c r="O642">
        <f>IF(B642="Above Claim Form",COUNTIF($B$2:B642,"Above Claim Form"),"")</f>
        <v/>
      </c>
      <c r="P642">
        <f>IF(B642="Below Claim Form",COUNTIF($B$2:B642,"Below Claim Form"),"")</f>
        <v/>
      </c>
    </row>
    <row r="643">
      <c r="B643">
        <f>IF($N643="","",IFERROR(INDEX(Settings!$C$27:$C$36,MATCH(E643,Settings!$B$27:$B$36,0)),"Unassigned"))</f>
        <v/>
      </c>
      <c r="C643">
        <f>IF($N643="","",INDEX('Per Line'!$D$2:$D$3001,$N643))</f>
        <v/>
      </c>
      <c r="D643">
        <f>IF($N643="","",INDEX('Per Line'!$C$2:$C$3001,$N643))</f>
        <v/>
      </c>
      <c r="E643">
        <f>IF($N643="","",INDEX('Per Line'!$A$2:$A$3001,$N643))</f>
        <v/>
      </c>
      <c r="H643">
        <f>IF($N643="","",INDEX('Per Line'!$V$2:$V$3001,$N643))</f>
        <v/>
      </c>
      <c r="I643" s="5">
        <f>IF($N643="","",SUMIFS('Per Line'!$X$2:$X$3001,'Per Line'!$D$2:$D$3001,$C643))</f>
        <v/>
      </c>
      <c r="J643" s="5">
        <f>IF($N643="","",SUMIFS('Per Line'!$Y$2:$Y$3001,'Per Line'!$D$2:$D$3001,$C643))</f>
        <v/>
      </c>
      <c r="K643" s="5">
        <f>IF($N643="","",SUMIFS('Per Line'!$Z$2:$Z$3001,'Per Line'!$D$2:$D$3001,$C643))</f>
        <v/>
      </c>
      <c r="L643" s="5">
        <f>IF($N643="","",I643-J643)</f>
        <v/>
      </c>
      <c r="M643" s="5">
        <f>IF($N643="","",L643-K643)</f>
        <v/>
      </c>
      <c r="N643">
        <f>IF(ROWS($N$2:$N643)&lt;=MAX('Per Line'!$AG$2:$AG$3001),MATCH(ROWS($N$2:$N643),'Per Line'!$AG$2:$AG$3001,0),"")</f>
        <v/>
      </c>
      <c r="O643">
        <f>IF(B643="Above Claim Form",COUNTIF($B$2:B643,"Above Claim Form"),"")</f>
        <v/>
      </c>
      <c r="P643">
        <f>IF(B643="Below Claim Form",COUNTIF($B$2:B643,"Below Claim Form"),"")</f>
        <v/>
      </c>
    </row>
    <row r="644">
      <c r="B644">
        <f>IF($N644="","",IFERROR(INDEX(Settings!$C$27:$C$36,MATCH(E644,Settings!$B$27:$B$36,0)),"Unassigned"))</f>
        <v/>
      </c>
      <c r="C644">
        <f>IF($N644="","",INDEX('Per Line'!$D$2:$D$3001,$N644))</f>
        <v/>
      </c>
      <c r="D644">
        <f>IF($N644="","",INDEX('Per Line'!$C$2:$C$3001,$N644))</f>
        <v/>
      </c>
      <c r="E644">
        <f>IF($N644="","",INDEX('Per Line'!$A$2:$A$3001,$N644))</f>
        <v/>
      </c>
      <c r="H644">
        <f>IF($N644="","",INDEX('Per Line'!$V$2:$V$3001,$N644))</f>
        <v/>
      </c>
      <c r="I644" s="5">
        <f>IF($N644="","",SUMIFS('Per Line'!$X$2:$X$3001,'Per Line'!$D$2:$D$3001,$C644))</f>
        <v/>
      </c>
      <c r="J644" s="5">
        <f>IF($N644="","",SUMIFS('Per Line'!$Y$2:$Y$3001,'Per Line'!$D$2:$D$3001,$C644))</f>
        <v/>
      </c>
      <c r="K644" s="5">
        <f>IF($N644="","",SUMIFS('Per Line'!$Z$2:$Z$3001,'Per Line'!$D$2:$D$3001,$C644))</f>
        <v/>
      </c>
      <c r="L644" s="5">
        <f>IF($N644="","",I644-J644)</f>
        <v/>
      </c>
      <c r="M644" s="5">
        <f>IF($N644="","",L644-K644)</f>
        <v/>
      </c>
      <c r="N644">
        <f>IF(ROWS($N$2:$N644)&lt;=MAX('Per Line'!$AG$2:$AG$3001),MATCH(ROWS($N$2:$N644),'Per Line'!$AG$2:$AG$3001,0),"")</f>
        <v/>
      </c>
      <c r="O644">
        <f>IF(B644="Above Claim Form",COUNTIF($B$2:B644,"Above Claim Form"),"")</f>
        <v/>
      </c>
      <c r="P644">
        <f>IF(B644="Below Claim Form",COUNTIF($B$2:B644,"Below Claim Form"),"")</f>
        <v/>
      </c>
    </row>
    <row r="645">
      <c r="B645">
        <f>IF($N645="","",IFERROR(INDEX(Settings!$C$27:$C$36,MATCH(E645,Settings!$B$27:$B$36,0)),"Unassigned"))</f>
        <v/>
      </c>
      <c r="C645">
        <f>IF($N645="","",INDEX('Per Line'!$D$2:$D$3001,$N645))</f>
        <v/>
      </c>
      <c r="D645">
        <f>IF($N645="","",INDEX('Per Line'!$C$2:$C$3001,$N645))</f>
        <v/>
      </c>
      <c r="E645">
        <f>IF($N645="","",INDEX('Per Line'!$A$2:$A$3001,$N645))</f>
        <v/>
      </c>
      <c r="H645">
        <f>IF($N645="","",INDEX('Per Line'!$V$2:$V$3001,$N645))</f>
        <v/>
      </c>
      <c r="I645" s="5">
        <f>IF($N645="","",SUMIFS('Per Line'!$X$2:$X$3001,'Per Line'!$D$2:$D$3001,$C645))</f>
        <v/>
      </c>
      <c r="J645" s="5">
        <f>IF($N645="","",SUMIFS('Per Line'!$Y$2:$Y$3001,'Per Line'!$D$2:$D$3001,$C645))</f>
        <v/>
      </c>
      <c r="K645" s="5">
        <f>IF($N645="","",SUMIFS('Per Line'!$Z$2:$Z$3001,'Per Line'!$D$2:$D$3001,$C645))</f>
        <v/>
      </c>
      <c r="L645" s="5">
        <f>IF($N645="","",I645-J645)</f>
        <v/>
      </c>
      <c r="M645" s="5">
        <f>IF($N645="","",L645-K645)</f>
        <v/>
      </c>
      <c r="N645">
        <f>IF(ROWS($N$2:$N645)&lt;=MAX('Per Line'!$AG$2:$AG$3001),MATCH(ROWS($N$2:$N645),'Per Line'!$AG$2:$AG$3001,0),"")</f>
        <v/>
      </c>
      <c r="O645">
        <f>IF(B645="Above Claim Form",COUNTIF($B$2:B645,"Above Claim Form"),"")</f>
        <v/>
      </c>
      <c r="P645">
        <f>IF(B645="Below Claim Form",COUNTIF($B$2:B645,"Below Claim Form"),"")</f>
        <v/>
      </c>
    </row>
    <row r="646">
      <c r="B646">
        <f>IF($N646="","",IFERROR(INDEX(Settings!$C$27:$C$36,MATCH(E646,Settings!$B$27:$B$36,0)),"Unassigned"))</f>
        <v/>
      </c>
      <c r="C646">
        <f>IF($N646="","",INDEX('Per Line'!$D$2:$D$3001,$N646))</f>
        <v/>
      </c>
      <c r="D646">
        <f>IF($N646="","",INDEX('Per Line'!$C$2:$C$3001,$N646))</f>
        <v/>
      </c>
      <c r="E646">
        <f>IF($N646="","",INDEX('Per Line'!$A$2:$A$3001,$N646))</f>
        <v/>
      </c>
      <c r="H646">
        <f>IF($N646="","",INDEX('Per Line'!$V$2:$V$3001,$N646))</f>
        <v/>
      </c>
      <c r="I646" s="5">
        <f>IF($N646="","",SUMIFS('Per Line'!$X$2:$X$3001,'Per Line'!$D$2:$D$3001,$C646))</f>
        <v/>
      </c>
      <c r="J646" s="5">
        <f>IF($N646="","",SUMIFS('Per Line'!$Y$2:$Y$3001,'Per Line'!$D$2:$D$3001,$C646))</f>
        <v/>
      </c>
      <c r="K646" s="5">
        <f>IF($N646="","",SUMIFS('Per Line'!$Z$2:$Z$3001,'Per Line'!$D$2:$D$3001,$C646))</f>
        <v/>
      </c>
      <c r="L646" s="5">
        <f>IF($N646="","",I646-J646)</f>
        <v/>
      </c>
      <c r="M646" s="5">
        <f>IF($N646="","",L646-K646)</f>
        <v/>
      </c>
      <c r="N646">
        <f>IF(ROWS($N$2:$N646)&lt;=MAX('Per Line'!$AG$2:$AG$3001),MATCH(ROWS($N$2:$N646),'Per Line'!$AG$2:$AG$3001,0),"")</f>
        <v/>
      </c>
      <c r="O646">
        <f>IF(B646="Above Claim Form",COUNTIF($B$2:B646,"Above Claim Form"),"")</f>
        <v/>
      </c>
      <c r="P646">
        <f>IF(B646="Below Claim Form",COUNTIF($B$2:B646,"Below Claim Form"),"")</f>
        <v/>
      </c>
    </row>
    <row r="647">
      <c r="B647">
        <f>IF($N647="","",IFERROR(INDEX(Settings!$C$27:$C$36,MATCH(E647,Settings!$B$27:$B$36,0)),"Unassigned"))</f>
        <v/>
      </c>
      <c r="C647">
        <f>IF($N647="","",INDEX('Per Line'!$D$2:$D$3001,$N647))</f>
        <v/>
      </c>
      <c r="D647">
        <f>IF($N647="","",INDEX('Per Line'!$C$2:$C$3001,$N647))</f>
        <v/>
      </c>
      <c r="E647">
        <f>IF($N647="","",INDEX('Per Line'!$A$2:$A$3001,$N647))</f>
        <v/>
      </c>
      <c r="H647">
        <f>IF($N647="","",INDEX('Per Line'!$V$2:$V$3001,$N647))</f>
        <v/>
      </c>
      <c r="I647" s="5">
        <f>IF($N647="","",SUMIFS('Per Line'!$X$2:$X$3001,'Per Line'!$D$2:$D$3001,$C647))</f>
        <v/>
      </c>
      <c r="J647" s="5">
        <f>IF($N647="","",SUMIFS('Per Line'!$Y$2:$Y$3001,'Per Line'!$D$2:$D$3001,$C647))</f>
        <v/>
      </c>
      <c r="K647" s="5">
        <f>IF($N647="","",SUMIFS('Per Line'!$Z$2:$Z$3001,'Per Line'!$D$2:$D$3001,$C647))</f>
        <v/>
      </c>
      <c r="L647" s="5">
        <f>IF($N647="","",I647-J647)</f>
        <v/>
      </c>
      <c r="M647" s="5">
        <f>IF($N647="","",L647-K647)</f>
        <v/>
      </c>
      <c r="N647">
        <f>IF(ROWS($N$2:$N647)&lt;=MAX('Per Line'!$AG$2:$AG$3001),MATCH(ROWS($N$2:$N647),'Per Line'!$AG$2:$AG$3001,0),"")</f>
        <v/>
      </c>
      <c r="O647">
        <f>IF(B647="Above Claim Form",COUNTIF($B$2:B647,"Above Claim Form"),"")</f>
        <v/>
      </c>
      <c r="P647">
        <f>IF(B647="Below Claim Form",COUNTIF($B$2:B647,"Below Claim Form"),"")</f>
        <v/>
      </c>
    </row>
    <row r="648">
      <c r="B648">
        <f>IF($N648="","",IFERROR(INDEX(Settings!$C$27:$C$36,MATCH(E648,Settings!$B$27:$B$36,0)),"Unassigned"))</f>
        <v/>
      </c>
      <c r="C648">
        <f>IF($N648="","",INDEX('Per Line'!$D$2:$D$3001,$N648))</f>
        <v/>
      </c>
      <c r="D648">
        <f>IF($N648="","",INDEX('Per Line'!$C$2:$C$3001,$N648))</f>
        <v/>
      </c>
      <c r="E648">
        <f>IF($N648="","",INDEX('Per Line'!$A$2:$A$3001,$N648))</f>
        <v/>
      </c>
      <c r="H648">
        <f>IF($N648="","",INDEX('Per Line'!$V$2:$V$3001,$N648))</f>
        <v/>
      </c>
      <c r="I648" s="5">
        <f>IF($N648="","",SUMIFS('Per Line'!$X$2:$X$3001,'Per Line'!$D$2:$D$3001,$C648))</f>
        <v/>
      </c>
      <c r="J648" s="5">
        <f>IF($N648="","",SUMIFS('Per Line'!$Y$2:$Y$3001,'Per Line'!$D$2:$D$3001,$C648))</f>
        <v/>
      </c>
      <c r="K648" s="5">
        <f>IF($N648="","",SUMIFS('Per Line'!$Z$2:$Z$3001,'Per Line'!$D$2:$D$3001,$C648))</f>
        <v/>
      </c>
      <c r="L648" s="5">
        <f>IF($N648="","",I648-J648)</f>
        <v/>
      </c>
      <c r="M648" s="5">
        <f>IF($N648="","",L648-K648)</f>
        <v/>
      </c>
      <c r="N648">
        <f>IF(ROWS($N$2:$N648)&lt;=MAX('Per Line'!$AG$2:$AG$3001),MATCH(ROWS($N$2:$N648),'Per Line'!$AG$2:$AG$3001,0),"")</f>
        <v/>
      </c>
      <c r="O648">
        <f>IF(B648="Above Claim Form",COUNTIF($B$2:B648,"Above Claim Form"),"")</f>
        <v/>
      </c>
      <c r="P648">
        <f>IF(B648="Below Claim Form",COUNTIF($B$2:B648,"Below Claim Form"),"")</f>
        <v/>
      </c>
    </row>
    <row r="649">
      <c r="B649">
        <f>IF($N649="","",IFERROR(INDEX(Settings!$C$27:$C$36,MATCH(E649,Settings!$B$27:$B$36,0)),"Unassigned"))</f>
        <v/>
      </c>
      <c r="C649">
        <f>IF($N649="","",INDEX('Per Line'!$D$2:$D$3001,$N649))</f>
        <v/>
      </c>
      <c r="D649">
        <f>IF($N649="","",INDEX('Per Line'!$C$2:$C$3001,$N649))</f>
        <v/>
      </c>
      <c r="E649">
        <f>IF($N649="","",INDEX('Per Line'!$A$2:$A$3001,$N649))</f>
        <v/>
      </c>
      <c r="H649">
        <f>IF($N649="","",INDEX('Per Line'!$V$2:$V$3001,$N649))</f>
        <v/>
      </c>
      <c r="I649" s="5">
        <f>IF($N649="","",SUMIFS('Per Line'!$X$2:$X$3001,'Per Line'!$D$2:$D$3001,$C649))</f>
        <v/>
      </c>
      <c r="J649" s="5">
        <f>IF($N649="","",SUMIFS('Per Line'!$Y$2:$Y$3001,'Per Line'!$D$2:$D$3001,$C649))</f>
        <v/>
      </c>
      <c r="K649" s="5">
        <f>IF($N649="","",SUMIFS('Per Line'!$Z$2:$Z$3001,'Per Line'!$D$2:$D$3001,$C649))</f>
        <v/>
      </c>
      <c r="L649" s="5">
        <f>IF($N649="","",I649-J649)</f>
        <v/>
      </c>
      <c r="M649" s="5">
        <f>IF($N649="","",L649-K649)</f>
        <v/>
      </c>
      <c r="N649">
        <f>IF(ROWS($N$2:$N649)&lt;=MAX('Per Line'!$AG$2:$AG$3001),MATCH(ROWS($N$2:$N649),'Per Line'!$AG$2:$AG$3001,0),"")</f>
        <v/>
      </c>
      <c r="O649">
        <f>IF(B649="Above Claim Form",COUNTIF($B$2:B649,"Above Claim Form"),"")</f>
        <v/>
      </c>
      <c r="P649">
        <f>IF(B649="Below Claim Form",COUNTIF($B$2:B649,"Below Claim Form"),"")</f>
        <v/>
      </c>
    </row>
    <row r="650">
      <c r="B650">
        <f>IF($N650="","",IFERROR(INDEX(Settings!$C$27:$C$36,MATCH(E650,Settings!$B$27:$B$36,0)),"Unassigned"))</f>
        <v/>
      </c>
      <c r="C650">
        <f>IF($N650="","",INDEX('Per Line'!$D$2:$D$3001,$N650))</f>
        <v/>
      </c>
      <c r="D650">
        <f>IF($N650="","",INDEX('Per Line'!$C$2:$C$3001,$N650))</f>
        <v/>
      </c>
      <c r="E650">
        <f>IF($N650="","",INDEX('Per Line'!$A$2:$A$3001,$N650))</f>
        <v/>
      </c>
      <c r="H650">
        <f>IF($N650="","",INDEX('Per Line'!$V$2:$V$3001,$N650))</f>
        <v/>
      </c>
      <c r="I650" s="5">
        <f>IF($N650="","",SUMIFS('Per Line'!$X$2:$X$3001,'Per Line'!$D$2:$D$3001,$C650))</f>
        <v/>
      </c>
      <c r="J650" s="5">
        <f>IF($N650="","",SUMIFS('Per Line'!$Y$2:$Y$3001,'Per Line'!$D$2:$D$3001,$C650))</f>
        <v/>
      </c>
      <c r="K650" s="5">
        <f>IF($N650="","",SUMIFS('Per Line'!$Z$2:$Z$3001,'Per Line'!$D$2:$D$3001,$C650))</f>
        <v/>
      </c>
      <c r="L650" s="5">
        <f>IF($N650="","",I650-J650)</f>
        <v/>
      </c>
      <c r="M650" s="5">
        <f>IF($N650="","",L650-K650)</f>
        <v/>
      </c>
      <c r="N650">
        <f>IF(ROWS($N$2:$N650)&lt;=MAX('Per Line'!$AG$2:$AG$3001),MATCH(ROWS($N$2:$N650),'Per Line'!$AG$2:$AG$3001,0),"")</f>
        <v/>
      </c>
      <c r="O650">
        <f>IF(B650="Above Claim Form",COUNTIF($B$2:B650,"Above Claim Form"),"")</f>
        <v/>
      </c>
      <c r="P650">
        <f>IF(B650="Below Claim Form",COUNTIF($B$2:B650,"Below Claim Form"),"")</f>
        <v/>
      </c>
    </row>
    <row r="651">
      <c r="B651">
        <f>IF($N651="","",IFERROR(INDEX(Settings!$C$27:$C$36,MATCH(E651,Settings!$B$27:$B$36,0)),"Unassigned"))</f>
        <v/>
      </c>
      <c r="C651">
        <f>IF($N651="","",INDEX('Per Line'!$D$2:$D$3001,$N651))</f>
        <v/>
      </c>
      <c r="D651">
        <f>IF($N651="","",INDEX('Per Line'!$C$2:$C$3001,$N651))</f>
        <v/>
      </c>
      <c r="E651">
        <f>IF($N651="","",INDEX('Per Line'!$A$2:$A$3001,$N651))</f>
        <v/>
      </c>
      <c r="H651">
        <f>IF($N651="","",INDEX('Per Line'!$V$2:$V$3001,$N651))</f>
        <v/>
      </c>
      <c r="I651" s="5">
        <f>IF($N651="","",SUMIFS('Per Line'!$X$2:$X$3001,'Per Line'!$D$2:$D$3001,$C651))</f>
        <v/>
      </c>
      <c r="J651" s="5">
        <f>IF($N651="","",SUMIFS('Per Line'!$Y$2:$Y$3001,'Per Line'!$D$2:$D$3001,$C651))</f>
        <v/>
      </c>
      <c r="K651" s="5">
        <f>IF($N651="","",SUMIFS('Per Line'!$Z$2:$Z$3001,'Per Line'!$D$2:$D$3001,$C651))</f>
        <v/>
      </c>
      <c r="L651" s="5">
        <f>IF($N651="","",I651-J651)</f>
        <v/>
      </c>
      <c r="M651" s="5">
        <f>IF($N651="","",L651-K651)</f>
        <v/>
      </c>
      <c r="N651">
        <f>IF(ROWS($N$2:$N651)&lt;=MAX('Per Line'!$AG$2:$AG$3001),MATCH(ROWS($N$2:$N651),'Per Line'!$AG$2:$AG$3001,0),"")</f>
        <v/>
      </c>
      <c r="O651">
        <f>IF(B651="Above Claim Form",COUNTIF($B$2:B651,"Above Claim Form"),"")</f>
        <v/>
      </c>
      <c r="P651">
        <f>IF(B651="Below Claim Form",COUNTIF($B$2:B651,"Below Claim Form"),"")</f>
        <v/>
      </c>
    </row>
    <row r="652">
      <c r="B652">
        <f>IF($N652="","",IFERROR(INDEX(Settings!$C$27:$C$36,MATCH(E652,Settings!$B$27:$B$36,0)),"Unassigned"))</f>
        <v/>
      </c>
      <c r="C652">
        <f>IF($N652="","",INDEX('Per Line'!$D$2:$D$3001,$N652))</f>
        <v/>
      </c>
      <c r="D652">
        <f>IF($N652="","",INDEX('Per Line'!$C$2:$C$3001,$N652))</f>
        <v/>
      </c>
      <c r="E652">
        <f>IF($N652="","",INDEX('Per Line'!$A$2:$A$3001,$N652))</f>
        <v/>
      </c>
      <c r="H652">
        <f>IF($N652="","",INDEX('Per Line'!$V$2:$V$3001,$N652))</f>
        <v/>
      </c>
      <c r="I652" s="5">
        <f>IF($N652="","",SUMIFS('Per Line'!$X$2:$X$3001,'Per Line'!$D$2:$D$3001,$C652))</f>
        <v/>
      </c>
      <c r="J652" s="5">
        <f>IF($N652="","",SUMIFS('Per Line'!$Y$2:$Y$3001,'Per Line'!$D$2:$D$3001,$C652))</f>
        <v/>
      </c>
      <c r="K652" s="5">
        <f>IF($N652="","",SUMIFS('Per Line'!$Z$2:$Z$3001,'Per Line'!$D$2:$D$3001,$C652))</f>
        <v/>
      </c>
      <c r="L652" s="5">
        <f>IF($N652="","",I652-J652)</f>
        <v/>
      </c>
      <c r="M652" s="5">
        <f>IF($N652="","",L652-K652)</f>
        <v/>
      </c>
      <c r="N652">
        <f>IF(ROWS($N$2:$N652)&lt;=MAX('Per Line'!$AG$2:$AG$3001),MATCH(ROWS($N$2:$N652),'Per Line'!$AG$2:$AG$3001,0),"")</f>
        <v/>
      </c>
      <c r="O652">
        <f>IF(B652="Above Claim Form",COUNTIF($B$2:B652,"Above Claim Form"),"")</f>
        <v/>
      </c>
      <c r="P652">
        <f>IF(B652="Below Claim Form",COUNTIF($B$2:B652,"Below Claim Form"),"")</f>
        <v/>
      </c>
    </row>
    <row r="653">
      <c r="B653">
        <f>IF($N653="","",IFERROR(INDEX(Settings!$C$27:$C$36,MATCH(E653,Settings!$B$27:$B$36,0)),"Unassigned"))</f>
        <v/>
      </c>
      <c r="C653">
        <f>IF($N653="","",INDEX('Per Line'!$D$2:$D$3001,$N653))</f>
        <v/>
      </c>
      <c r="D653">
        <f>IF($N653="","",INDEX('Per Line'!$C$2:$C$3001,$N653))</f>
        <v/>
      </c>
      <c r="E653">
        <f>IF($N653="","",INDEX('Per Line'!$A$2:$A$3001,$N653))</f>
        <v/>
      </c>
      <c r="H653">
        <f>IF($N653="","",INDEX('Per Line'!$V$2:$V$3001,$N653))</f>
        <v/>
      </c>
      <c r="I653" s="5">
        <f>IF($N653="","",SUMIFS('Per Line'!$X$2:$X$3001,'Per Line'!$D$2:$D$3001,$C653))</f>
        <v/>
      </c>
      <c r="J653" s="5">
        <f>IF($N653="","",SUMIFS('Per Line'!$Y$2:$Y$3001,'Per Line'!$D$2:$D$3001,$C653))</f>
        <v/>
      </c>
      <c r="K653" s="5">
        <f>IF($N653="","",SUMIFS('Per Line'!$Z$2:$Z$3001,'Per Line'!$D$2:$D$3001,$C653))</f>
        <v/>
      </c>
      <c r="L653" s="5">
        <f>IF($N653="","",I653-J653)</f>
        <v/>
      </c>
      <c r="M653" s="5">
        <f>IF($N653="","",L653-K653)</f>
        <v/>
      </c>
      <c r="N653">
        <f>IF(ROWS($N$2:$N653)&lt;=MAX('Per Line'!$AG$2:$AG$3001),MATCH(ROWS($N$2:$N653),'Per Line'!$AG$2:$AG$3001,0),"")</f>
        <v/>
      </c>
      <c r="O653">
        <f>IF(B653="Above Claim Form",COUNTIF($B$2:B653,"Above Claim Form"),"")</f>
        <v/>
      </c>
      <c r="P653">
        <f>IF(B653="Below Claim Form",COUNTIF($B$2:B653,"Below Claim Form"),"")</f>
        <v/>
      </c>
    </row>
    <row r="654">
      <c r="B654">
        <f>IF($N654="","",IFERROR(INDEX(Settings!$C$27:$C$36,MATCH(E654,Settings!$B$27:$B$36,0)),"Unassigned"))</f>
        <v/>
      </c>
      <c r="C654">
        <f>IF($N654="","",INDEX('Per Line'!$D$2:$D$3001,$N654))</f>
        <v/>
      </c>
      <c r="D654">
        <f>IF($N654="","",INDEX('Per Line'!$C$2:$C$3001,$N654))</f>
        <v/>
      </c>
      <c r="E654">
        <f>IF($N654="","",INDEX('Per Line'!$A$2:$A$3001,$N654))</f>
        <v/>
      </c>
      <c r="H654">
        <f>IF($N654="","",INDEX('Per Line'!$V$2:$V$3001,$N654))</f>
        <v/>
      </c>
      <c r="I654" s="5">
        <f>IF($N654="","",SUMIFS('Per Line'!$X$2:$X$3001,'Per Line'!$D$2:$D$3001,$C654))</f>
        <v/>
      </c>
      <c r="J654" s="5">
        <f>IF($N654="","",SUMIFS('Per Line'!$Y$2:$Y$3001,'Per Line'!$D$2:$D$3001,$C654))</f>
        <v/>
      </c>
      <c r="K654" s="5">
        <f>IF($N654="","",SUMIFS('Per Line'!$Z$2:$Z$3001,'Per Line'!$D$2:$D$3001,$C654))</f>
        <v/>
      </c>
      <c r="L654" s="5">
        <f>IF($N654="","",I654-J654)</f>
        <v/>
      </c>
      <c r="M654" s="5">
        <f>IF($N654="","",L654-K654)</f>
        <v/>
      </c>
      <c r="N654">
        <f>IF(ROWS($N$2:$N654)&lt;=MAX('Per Line'!$AG$2:$AG$3001),MATCH(ROWS($N$2:$N654),'Per Line'!$AG$2:$AG$3001,0),"")</f>
        <v/>
      </c>
      <c r="O654">
        <f>IF(B654="Above Claim Form",COUNTIF($B$2:B654,"Above Claim Form"),"")</f>
        <v/>
      </c>
      <c r="P654">
        <f>IF(B654="Below Claim Form",COUNTIF($B$2:B654,"Below Claim Form"),"")</f>
        <v/>
      </c>
    </row>
    <row r="655">
      <c r="B655">
        <f>IF($N655="","",IFERROR(INDEX(Settings!$C$27:$C$36,MATCH(E655,Settings!$B$27:$B$36,0)),"Unassigned"))</f>
        <v/>
      </c>
      <c r="C655">
        <f>IF($N655="","",INDEX('Per Line'!$D$2:$D$3001,$N655))</f>
        <v/>
      </c>
      <c r="D655">
        <f>IF($N655="","",INDEX('Per Line'!$C$2:$C$3001,$N655))</f>
        <v/>
      </c>
      <c r="E655">
        <f>IF($N655="","",INDEX('Per Line'!$A$2:$A$3001,$N655))</f>
        <v/>
      </c>
      <c r="H655">
        <f>IF($N655="","",INDEX('Per Line'!$V$2:$V$3001,$N655))</f>
        <v/>
      </c>
      <c r="I655" s="5">
        <f>IF($N655="","",SUMIFS('Per Line'!$X$2:$X$3001,'Per Line'!$D$2:$D$3001,$C655))</f>
        <v/>
      </c>
      <c r="J655" s="5">
        <f>IF($N655="","",SUMIFS('Per Line'!$Y$2:$Y$3001,'Per Line'!$D$2:$D$3001,$C655))</f>
        <v/>
      </c>
      <c r="K655" s="5">
        <f>IF($N655="","",SUMIFS('Per Line'!$Z$2:$Z$3001,'Per Line'!$D$2:$D$3001,$C655))</f>
        <v/>
      </c>
      <c r="L655" s="5">
        <f>IF($N655="","",I655-J655)</f>
        <v/>
      </c>
      <c r="M655" s="5">
        <f>IF($N655="","",L655-K655)</f>
        <v/>
      </c>
      <c r="N655">
        <f>IF(ROWS($N$2:$N655)&lt;=MAX('Per Line'!$AG$2:$AG$3001),MATCH(ROWS($N$2:$N655),'Per Line'!$AG$2:$AG$3001,0),"")</f>
        <v/>
      </c>
      <c r="O655">
        <f>IF(B655="Above Claim Form",COUNTIF($B$2:B655,"Above Claim Form"),"")</f>
        <v/>
      </c>
      <c r="P655">
        <f>IF(B655="Below Claim Form",COUNTIF($B$2:B655,"Below Claim Form"),"")</f>
        <v/>
      </c>
    </row>
    <row r="656">
      <c r="B656">
        <f>IF($N656="","",IFERROR(INDEX(Settings!$C$27:$C$36,MATCH(E656,Settings!$B$27:$B$36,0)),"Unassigned"))</f>
        <v/>
      </c>
      <c r="C656">
        <f>IF($N656="","",INDEX('Per Line'!$D$2:$D$3001,$N656))</f>
        <v/>
      </c>
      <c r="D656">
        <f>IF($N656="","",INDEX('Per Line'!$C$2:$C$3001,$N656))</f>
        <v/>
      </c>
      <c r="E656">
        <f>IF($N656="","",INDEX('Per Line'!$A$2:$A$3001,$N656))</f>
        <v/>
      </c>
      <c r="H656">
        <f>IF($N656="","",INDEX('Per Line'!$V$2:$V$3001,$N656))</f>
        <v/>
      </c>
      <c r="I656" s="5">
        <f>IF($N656="","",SUMIFS('Per Line'!$X$2:$X$3001,'Per Line'!$D$2:$D$3001,$C656))</f>
        <v/>
      </c>
      <c r="J656" s="5">
        <f>IF($N656="","",SUMIFS('Per Line'!$Y$2:$Y$3001,'Per Line'!$D$2:$D$3001,$C656))</f>
        <v/>
      </c>
      <c r="K656" s="5">
        <f>IF($N656="","",SUMIFS('Per Line'!$Z$2:$Z$3001,'Per Line'!$D$2:$D$3001,$C656))</f>
        <v/>
      </c>
      <c r="L656" s="5">
        <f>IF($N656="","",I656-J656)</f>
        <v/>
      </c>
      <c r="M656" s="5">
        <f>IF($N656="","",L656-K656)</f>
        <v/>
      </c>
      <c r="N656">
        <f>IF(ROWS($N$2:$N656)&lt;=MAX('Per Line'!$AG$2:$AG$3001),MATCH(ROWS($N$2:$N656),'Per Line'!$AG$2:$AG$3001,0),"")</f>
        <v/>
      </c>
      <c r="O656">
        <f>IF(B656="Above Claim Form",COUNTIF($B$2:B656,"Above Claim Form"),"")</f>
        <v/>
      </c>
      <c r="P656">
        <f>IF(B656="Below Claim Form",COUNTIF($B$2:B656,"Below Claim Form"),"")</f>
        <v/>
      </c>
    </row>
    <row r="657">
      <c r="B657">
        <f>IF($N657="","",IFERROR(INDEX(Settings!$C$27:$C$36,MATCH(E657,Settings!$B$27:$B$36,0)),"Unassigned"))</f>
        <v/>
      </c>
      <c r="C657">
        <f>IF($N657="","",INDEX('Per Line'!$D$2:$D$3001,$N657))</f>
        <v/>
      </c>
      <c r="D657">
        <f>IF($N657="","",INDEX('Per Line'!$C$2:$C$3001,$N657))</f>
        <v/>
      </c>
      <c r="E657">
        <f>IF($N657="","",INDEX('Per Line'!$A$2:$A$3001,$N657))</f>
        <v/>
      </c>
      <c r="H657">
        <f>IF($N657="","",INDEX('Per Line'!$V$2:$V$3001,$N657))</f>
        <v/>
      </c>
      <c r="I657" s="5">
        <f>IF($N657="","",SUMIFS('Per Line'!$X$2:$X$3001,'Per Line'!$D$2:$D$3001,$C657))</f>
        <v/>
      </c>
      <c r="J657" s="5">
        <f>IF($N657="","",SUMIFS('Per Line'!$Y$2:$Y$3001,'Per Line'!$D$2:$D$3001,$C657))</f>
        <v/>
      </c>
      <c r="K657" s="5">
        <f>IF($N657="","",SUMIFS('Per Line'!$Z$2:$Z$3001,'Per Line'!$D$2:$D$3001,$C657))</f>
        <v/>
      </c>
      <c r="L657" s="5">
        <f>IF($N657="","",I657-J657)</f>
        <v/>
      </c>
      <c r="M657" s="5">
        <f>IF($N657="","",L657-K657)</f>
        <v/>
      </c>
      <c r="N657">
        <f>IF(ROWS($N$2:$N657)&lt;=MAX('Per Line'!$AG$2:$AG$3001),MATCH(ROWS($N$2:$N657),'Per Line'!$AG$2:$AG$3001,0),"")</f>
        <v/>
      </c>
      <c r="O657">
        <f>IF(B657="Above Claim Form",COUNTIF($B$2:B657,"Above Claim Form"),"")</f>
        <v/>
      </c>
      <c r="P657">
        <f>IF(B657="Below Claim Form",COUNTIF($B$2:B657,"Below Claim Form"),"")</f>
        <v/>
      </c>
    </row>
    <row r="658">
      <c r="B658">
        <f>IF($N658="","",IFERROR(INDEX(Settings!$C$27:$C$36,MATCH(E658,Settings!$B$27:$B$36,0)),"Unassigned"))</f>
        <v/>
      </c>
      <c r="C658">
        <f>IF($N658="","",INDEX('Per Line'!$D$2:$D$3001,$N658))</f>
        <v/>
      </c>
      <c r="D658">
        <f>IF($N658="","",INDEX('Per Line'!$C$2:$C$3001,$N658))</f>
        <v/>
      </c>
      <c r="E658">
        <f>IF($N658="","",INDEX('Per Line'!$A$2:$A$3001,$N658))</f>
        <v/>
      </c>
      <c r="H658">
        <f>IF($N658="","",INDEX('Per Line'!$V$2:$V$3001,$N658))</f>
        <v/>
      </c>
      <c r="I658" s="5">
        <f>IF($N658="","",SUMIFS('Per Line'!$X$2:$X$3001,'Per Line'!$D$2:$D$3001,$C658))</f>
        <v/>
      </c>
      <c r="J658" s="5">
        <f>IF($N658="","",SUMIFS('Per Line'!$Y$2:$Y$3001,'Per Line'!$D$2:$D$3001,$C658))</f>
        <v/>
      </c>
      <c r="K658" s="5">
        <f>IF($N658="","",SUMIFS('Per Line'!$Z$2:$Z$3001,'Per Line'!$D$2:$D$3001,$C658))</f>
        <v/>
      </c>
      <c r="L658" s="5">
        <f>IF($N658="","",I658-J658)</f>
        <v/>
      </c>
      <c r="M658" s="5">
        <f>IF($N658="","",L658-K658)</f>
        <v/>
      </c>
      <c r="N658">
        <f>IF(ROWS($N$2:$N658)&lt;=MAX('Per Line'!$AG$2:$AG$3001),MATCH(ROWS($N$2:$N658),'Per Line'!$AG$2:$AG$3001,0),"")</f>
        <v/>
      </c>
      <c r="O658">
        <f>IF(B658="Above Claim Form",COUNTIF($B$2:B658,"Above Claim Form"),"")</f>
        <v/>
      </c>
      <c r="P658">
        <f>IF(B658="Below Claim Form",COUNTIF($B$2:B658,"Below Claim Form"),"")</f>
        <v/>
      </c>
    </row>
    <row r="659">
      <c r="B659">
        <f>IF($N659="","",IFERROR(INDEX(Settings!$C$27:$C$36,MATCH(E659,Settings!$B$27:$B$36,0)),"Unassigned"))</f>
        <v/>
      </c>
      <c r="C659">
        <f>IF($N659="","",INDEX('Per Line'!$D$2:$D$3001,$N659))</f>
        <v/>
      </c>
      <c r="D659">
        <f>IF($N659="","",INDEX('Per Line'!$C$2:$C$3001,$N659))</f>
        <v/>
      </c>
      <c r="E659">
        <f>IF($N659="","",INDEX('Per Line'!$A$2:$A$3001,$N659))</f>
        <v/>
      </c>
      <c r="H659">
        <f>IF($N659="","",INDEX('Per Line'!$V$2:$V$3001,$N659))</f>
        <v/>
      </c>
      <c r="I659" s="5">
        <f>IF($N659="","",SUMIFS('Per Line'!$X$2:$X$3001,'Per Line'!$D$2:$D$3001,$C659))</f>
        <v/>
      </c>
      <c r="J659" s="5">
        <f>IF($N659="","",SUMIFS('Per Line'!$Y$2:$Y$3001,'Per Line'!$D$2:$D$3001,$C659))</f>
        <v/>
      </c>
      <c r="K659" s="5">
        <f>IF($N659="","",SUMIFS('Per Line'!$Z$2:$Z$3001,'Per Line'!$D$2:$D$3001,$C659))</f>
        <v/>
      </c>
      <c r="L659" s="5">
        <f>IF($N659="","",I659-J659)</f>
        <v/>
      </c>
      <c r="M659" s="5">
        <f>IF($N659="","",L659-K659)</f>
        <v/>
      </c>
      <c r="N659">
        <f>IF(ROWS($N$2:$N659)&lt;=MAX('Per Line'!$AG$2:$AG$3001),MATCH(ROWS($N$2:$N659),'Per Line'!$AG$2:$AG$3001,0),"")</f>
        <v/>
      </c>
      <c r="O659">
        <f>IF(B659="Above Claim Form",COUNTIF($B$2:B659,"Above Claim Form"),"")</f>
        <v/>
      </c>
      <c r="P659">
        <f>IF(B659="Below Claim Form",COUNTIF($B$2:B659,"Below Claim Form"),"")</f>
        <v/>
      </c>
    </row>
    <row r="660">
      <c r="B660">
        <f>IF($N660="","",IFERROR(INDEX(Settings!$C$27:$C$36,MATCH(E660,Settings!$B$27:$B$36,0)),"Unassigned"))</f>
        <v/>
      </c>
      <c r="C660">
        <f>IF($N660="","",INDEX('Per Line'!$D$2:$D$3001,$N660))</f>
        <v/>
      </c>
      <c r="D660">
        <f>IF($N660="","",INDEX('Per Line'!$C$2:$C$3001,$N660))</f>
        <v/>
      </c>
      <c r="E660">
        <f>IF($N660="","",INDEX('Per Line'!$A$2:$A$3001,$N660))</f>
        <v/>
      </c>
      <c r="H660">
        <f>IF($N660="","",INDEX('Per Line'!$V$2:$V$3001,$N660))</f>
        <v/>
      </c>
      <c r="I660" s="5">
        <f>IF($N660="","",SUMIFS('Per Line'!$X$2:$X$3001,'Per Line'!$D$2:$D$3001,$C660))</f>
        <v/>
      </c>
      <c r="J660" s="5">
        <f>IF($N660="","",SUMIFS('Per Line'!$Y$2:$Y$3001,'Per Line'!$D$2:$D$3001,$C660))</f>
        <v/>
      </c>
      <c r="K660" s="5">
        <f>IF($N660="","",SUMIFS('Per Line'!$Z$2:$Z$3001,'Per Line'!$D$2:$D$3001,$C660))</f>
        <v/>
      </c>
      <c r="L660" s="5">
        <f>IF($N660="","",I660-J660)</f>
        <v/>
      </c>
      <c r="M660" s="5">
        <f>IF($N660="","",L660-K660)</f>
        <v/>
      </c>
      <c r="N660">
        <f>IF(ROWS($N$2:$N660)&lt;=MAX('Per Line'!$AG$2:$AG$3001),MATCH(ROWS($N$2:$N660),'Per Line'!$AG$2:$AG$3001,0),"")</f>
        <v/>
      </c>
      <c r="O660">
        <f>IF(B660="Above Claim Form",COUNTIF($B$2:B660,"Above Claim Form"),"")</f>
        <v/>
      </c>
      <c r="P660">
        <f>IF(B660="Below Claim Form",COUNTIF($B$2:B660,"Below Claim Form"),"")</f>
        <v/>
      </c>
    </row>
    <row r="661">
      <c r="B661">
        <f>IF($N661="","",IFERROR(INDEX(Settings!$C$27:$C$36,MATCH(E661,Settings!$B$27:$B$36,0)),"Unassigned"))</f>
        <v/>
      </c>
      <c r="C661">
        <f>IF($N661="","",INDEX('Per Line'!$D$2:$D$3001,$N661))</f>
        <v/>
      </c>
      <c r="D661">
        <f>IF($N661="","",INDEX('Per Line'!$C$2:$C$3001,$N661))</f>
        <v/>
      </c>
      <c r="E661">
        <f>IF($N661="","",INDEX('Per Line'!$A$2:$A$3001,$N661))</f>
        <v/>
      </c>
      <c r="H661">
        <f>IF($N661="","",INDEX('Per Line'!$V$2:$V$3001,$N661))</f>
        <v/>
      </c>
      <c r="I661" s="5">
        <f>IF($N661="","",SUMIFS('Per Line'!$X$2:$X$3001,'Per Line'!$D$2:$D$3001,$C661))</f>
        <v/>
      </c>
      <c r="J661" s="5">
        <f>IF($N661="","",SUMIFS('Per Line'!$Y$2:$Y$3001,'Per Line'!$D$2:$D$3001,$C661))</f>
        <v/>
      </c>
      <c r="K661" s="5">
        <f>IF($N661="","",SUMIFS('Per Line'!$Z$2:$Z$3001,'Per Line'!$D$2:$D$3001,$C661))</f>
        <v/>
      </c>
      <c r="L661" s="5">
        <f>IF($N661="","",I661-J661)</f>
        <v/>
      </c>
      <c r="M661" s="5">
        <f>IF($N661="","",L661-K661)</f>
        <v/>
      </c>
      <c r="N661">
        <f>IF(ROWS($N$2:$N661)&lt;=MAX('Per Line'!$AG$2:$AG$3001),MATCH(ROWS($N$2:$N661),'Per Line'!$AG$2:$AG$3001,0),"")</f>
        <v/>
      </c>
      <c r="O661">
        <f>IF(B661="Above Claim Form",COUNTIF($B$2:B661,"Above Claim Form"),"")</f>
        <v/>
      </c>
      <c r="P661">
        <f>IF(B661="Below Claim Form",COUNTIF($B$2:B661,"Below Claim Form"),"")</f>
        <v/>
      </c>
    </row>
    <row r="662">
      <c r="B662">
        <f>IF($N662="","",IFERROR(INDEX(Settings!$C$27:$C$36,MATCH(E662,Settings!$B$27:$B$36,0)),"Unassigned"))</f>
        <v/>
      </c>
      <c r="C662">
        <f>IF($N662="","",INDEX('Per Line'!$D$2:$D$3001,$N662))</f>
        <v/>
      </c>
      <c r="D662">
        <f>IF($N662="","",INDEX('Per Line'!$C$2:$C$3001,$N662))</f>
        <v/>
      </c>
      <c r="E662">
        <f>IF($N662="","",INDEX('Per Line'!$A$2:$A$3001,$N662))</f>
        <v/>
      </c>
      <c r="H662">
        <f>IF($N662="","",INDEX('Per Line'!$V$2:$V$3001,$N662))</f>
        <v/>
      </c>
      <c r="I662" s="5">
        <f>IF($N662="","",SUMIFS('Per Line'!$X$2:$X$3001,'Per Line'!$D$2:$D$3001,$C662))</f>
        <v/>
      </c>
      <c r="J662" s="5">
        <f>IF($N662="","",SUMIFS('Per Line'!$Y$2:$Y$3001,'Per Line'!$D$2:$D$3001,$C662))</f>
        <v/>
      </c>
      <c r="K662" s="5">
        <f>IF($N662="","",SUMIFS('Per Line'!$Z$2:$Z$3001,'Per Line'!$D$2:$D$3001,$C662))</f>
        <v/>
      </c>
      <c r="L662" s="5">
        <f>IF($N662="","",I662-J662)</f>
        <v/>
      </c>
      <c r="M662" s="5">
        <f>IF($N662="","",L662-K662)</f>
        <v/>
      </c>
      <c r="N662">
        <f>IF(ROWS($N$2:$N662)&lt;=MAX('Per Line'!$AG$2:$AG$3001),MATCH(ROWS($N$2:$N662),'Per Line'!$AG$2:$AG$3001,0),"")</f>
        <v/>
      </c>
      <c r="O662">
        <f>IF(B662="Above Claim Form",COUNTIF($B$2:B662,"Above Claim Form"),"")</f>
        <v/>
      </c>
      <c r="P662">
        <f>IF(B662="Below Claim Form",COUNTIF($B$2:B662,"Below Claim Form"),"")</f>
        <v/>
      </c>
    </row>
    <row r="663">
      <c r="B663">
        <f>IF($N663="","",IFERROR(INDEX(Settings!$C$27:$C$36,MATCH(E663,Settings!$B$27:$B$36,0)),"Unassigned"))</f>
        <v/>
      </c>
      <c r="C663">
        <f>IF($N663="","",INDEX('Per Line'!$D$2:$D$3001,$N663))</f>
        <v/>
      </c>
      <c r="D663">
        <f>IF($N663="","",INDEX('Per Line'!$C$2:$C$3001,$N663))</f>
        <v/>
      </c>
      <c r="E663">
        <f>IF($N663="","",INDEX('Per Line'!$A$2:$A$3001,$N663))</f>
        <v/>
      </c>
      <c r="H663">
        <f>IF($N663="","",INDEX('Per Line'!$V$2:$V$3001,$N663))</f>
        <v/>
      </c>
      <c r="I663" s="5">
        <f>IF($N663="","",SUMIFS('Per Line'!$X$2:$X$3001,'Per Line'!$D$2:$D$3001,$C663))</f>
        <v/>
      </c>
      <c r="J663" s="5">
        <f>IF($N663="","",SUMIFS('Per Line'!$Y$2:$Y$3001,'Per Line'!$D$2:$D$3001,$C663))</f>
        <v/>
      </c>
      <c r="K663" s="5">
        <f>IF($N663="","",SUMIFS('Per Line'!$Z$2:$Z$3001,'Per Line'!$D$2:$D$3001,$C663))</f>
        <v/>
      </c>
      <c r="L663" s="5">
        <f>IF($N663="","",I663-J663)</f>
        <v/>
      </c>
      <c r="M663" s="5">
        <f>IF($N663="","",L663-K663)</f>
        <v/>
      </c>
      <c r="N663">
        <f>IF(ROWS($N$2:$N663)&lt;=MAX('Per Line'!$AG$2:$AG$3001),MATCH(ROWS($N$2:$N663),'Per Line'!$AG$2:$AG$3001,0),"")</f>
        <v/>
      </c>
      <c r="O663">
        <f>IF(B663="Above Claim Form",COUNTIF($B$2:B663,"Above Claim Form"),"")</f>
        <v/>
      </c>
      <c r="P663">
        <f>IF(B663="Below Claim Form",COUNTIF($B$2:B663,"Below Claim Form"),"")</f>
        <v/>
      </c>
    </row>
    <row r="664">
      <c r="B664">
        <f>IF($N664="","",IFERROR(INDEX(Settings!$C$27:$C$36,MATCH(E664,Settings!$B$27:$B$36,0)),"Unassigned"))</f>
        <v/>
      </c>
      <c r="C664">
        <f>IF($N664="","",INDEX('Per Line'!$D$2:$D$3001,$N664))</f>
        <v/>
      </c>
      <c r="D664">
        <f>IF($N664="","",INDEX('Per Line'!$C$2:$C$3001,$N664))</f>
        <v/>
      </c>
      <c r="E664">
        <f>IF($N664="","",INDEX('Per Line'!$A$2:$A$3001,$N664))</f>
        <v/>
      </c>
      <c r="H664">
        <f>IF($N664="","",INDEX('Per Line'!$V$2:$V$3001,$N664))</f>
        <v/>
      </c>
      <c r="I664" s="5">
        <f>IF($N664="","",SUMIFS('Per Line'!$X$2:$X$3001,'Per Line'!$D$2:$D$3001,$C664))</f>
        <v/>
      </c>
      <c r="J664" s="5">
        <f>IF($N664="","",SUMIFS('Per Line'!$Y$2:$Y$3001,'Per Line'!$D$2:$D$3001,$C664))</f>
        <v/>
      </c>
      <c r="K664" s="5">
        <f>IF($N664="","",SUMIFS('Per Line'!$Z$2:$Z$3001,'Per Line'!$D$2:$D$3001,$C664))</f>
        <v/>
      </c>
      <c r="L664" s="5">
        <f>IF($N664="","",I664-J664)</f>
        <v/>
      </c>
      <c r="M664" s="5">
        <f>IF($N664="","",L664-K664)</f>
        <v/>
      </c>
      <c r="N664">
        <f>IF(ROWS($N$2:$N664)&lt;=MAX('Per Line'!$AG$2:$AG$3001),MATCH(ROWS($N$2:$N664),'Per Line'!$AG$2:$AG$3001,0),"")</f>
        <v/>
      </c>
      <c r="O664">
        <f>IF(B664="Above Claim Form",COUNTIF($B$2:B664,"Above Claim Form"),"")</f>
        <v/>
      </c>
      <c r="P664">
        <f>IF(B664="Below Claim Form",COUNTIF($B$2:B664,"Below Claim Form"),"")</f>
        <v/>
      </c>
    </row>
    <row r="665">
      <c r="B665">
        <f>IF($N665="","",IFERROR(INDEX(Settings!$C$27:$C$36,MATCH(E665,Settings!$B$27:$B$36,0)),"Unassigned"))</f>
        <v/>
      </c>
      <c r="C665">
        <f>IF($N665="","",INDEX('Per Line'!$D$2:$D$3001,$N665))</f>
        <v/>
      </c>
      <c r="D665">
        <f>IF($N665="","",INDEX('Per Line'!$C$2:$C$3001,$N665))</f>
        <v/>
      </c>
      <c r="E665">
        <f>IF($N665="","",INDEX('Per Line'!$A$2:$A$3001,$N665))</f>
        <v/>
      </c>
      <c r="H665">
        <f>IF($N665="","",INDEX('Per Line'!$V$2:$V$3001,$N665))</f>
        <v/>
      </c>
      <c r="I665" s="5">
        <f>IF($N665="","",SUMIFS('Per Line'!$X$2:$X$3001,'Per Line'!$D$2:$D$3001,$C665))</f>
        <v/>
      </c>
      <c r="J665" s="5">
        <f>IF($N665="","",SUMIFS('Per Line'!$Y$2:$Y$3001,'Per Line'!$D$2:$D$3001,$C665))</f>
        <v/>
      </c>
      <c r="K665" s="5">
        <f>IF($N665="","",SUMIFS('Per Line'!$Z$2:$Z$3001,'Per Line'!$D$2:$D$3001,$C665))</f>
        <v/>
      </c>
      <c r="L665" s="5">
        <f>IF($N665="","",I665-J665)</f>
        <v/>
      </c>
      <c r="M665" s="5">
        <f>IF($N665="","",L665-K665)</f>
        <v/>
      </c>
      <c r="N665">
        <f>IF(ROWS($N$2:$N665)&lt;=MAX('Per Line'!$AG$2:$AG$3001),MATCH(ROWS($N$2:$N665),'Per Line'!$AG$2:$AG$3001,0),"")</f>
        <v/>
      </c>
      <c r="O665">
        <f>IF(B665="Above Claim Form",COUNTIF($B$2:B665,"Above Claim Form"),"")</f>
        <v/>
      </c>
      <c r="P665">
        <f>IF(B665="Below Claim Form",COUNTIF($B$2:B665,"Below Claim Form"),"")</f>
        <v/>
      </c>
    </row>
    <row r="666">
      <c r="B666">
        <f>IF($N666="","",IFERROR(INDEX(Settings!$C$27:$C$36,MATCH(E666,Settings!$B$27:$B$36,0)),"Unassigned"))</f>
        <v/>
      </c>
      <c r="C666">
        <f>IF($N666="","",INDEX('Per Line'!$D$2:$D$3001,$N666))</f>
        <v/>
      </c>
      <c r="D666">
        <f>IF($N666="","",INDEX('Per Line'!$C$2:$C$3001,$N666))</f>
        <v/>
      </c>
      <c r="E666">
        <f>IF($N666="","",INDEX('Per Line'!$A$2:$A$3001,$N666))</f>
        <v/>
      </c>
      <c r="H666">
        <f>IF($N666="","",INDEX('Per Line'!$V$2:$V$3001,$N666))</f>
        <v/>
      </c>
      <c r="I666" s="5">
        <f>IF($N666="","",SUMIFS('Per Line'!$X$2:$X$3001,'Per Line'!$D$2:$D$3001,$C666))</f>
        <v/>
      </c>
      <c r="J666" s="5">
        <f>IF($N666="","",SUMIFS('Per Line'!$Y$2:$Y$3001,'Per Line'!$D$2:$D$3001,$C666))</f>
        <v/>
      </c>
      <c r="K666" s="5">
        <f>IF($N666="","",SUMIFS('Per Line'!$Z$2:$Z$3001,'Per Line'!$D$2:$D$3001,$C666))</f>
        <v/>
      </c>
      <c r="L666" s="5">
        <f>IF($N666="","",I666-J666)</f>
        <v/>
      </c>
      <c r="M666" s="5">
        <f>IF($N666="","",L666-K666)</f>
        <v/>
      </c>
      <c r="N666">
        <f>IF(ROWS($N$2:$N666)&lt;=MAX('Per Line'!$AG$2:$AG$3001),MATCH(ROWS($N$2:$N666),'Per Line'!$AG$2:$AG$3001,0),"")</f>
        <v/>
      </c>
      <c r="O666">
        <f>IF(B666="Above Claim Form",COUNTIF($B$2:B666,"Above Claim Form"),"")</f>
        <v/>
      </c>
      <c r="P666">
        <f>IF(B666="Below Claim Form",COUNTIF($B$2:B666,"Below Claim Form"),"")</f>
        <v/>
      </c>
    </row>
    <row r="667">
      <c r="B667">
        <f>IF($N667="","",IFERROR(INDEX(Settings!$C$27:$C$36,MATCH(E667,Settings!$B$27:$B$36,0)),"Unassigned"))</f>
        <v/>
      </c>
      <c r="C667">
        <f>IF($N667="","",INDEX('Per Line'!$D$2:$D$3001,$N667))</f>
        <v/>
      </c>
      <c r="D667">
        <f>IF($N667="","",INDEX('Per Line'!$C$2:$C$3001,$N667))</f>
        <v/>
      </c>
      <c r="E667">
        <f>IF($N667="","",INDEX('Per Line'!$A$2:$A$3001,$N667))</f>
        <v/>
      </c>
      <c r="H667">
        <f>IF($N667="","",INDEX('Per Line'!$V$2:$V$3001,$N667))</f>
        <v/>
      </c>
      <c r="I667" s="5">
        <f>IF($N667="","",SUMIFS('Per Line'!$X$2:$X$3001,'Per Line'!$D$2:$D$3001,$C667))</f>
        <v/>
      </c>
      <c r="J667" s="5">
        <f>IF($N667="","",SUMIFS('Per Line'!$Y$2:$Y$3001,'Per Line'!$D$2:$D$3001,$C667))</f>
        <v/>
      </c>
      <c r="K667" s="5">
        <f>IF($N667="","",SUMIFS('Per Line'!$Z$2:$Z$3001,'Per Line'!$D$2:$D$3001,$C667))</f>
        <v/>
      </c>
      <c r="L667" s="5">
        <f>IF($N667="","",I667-J667)</f>
        <v/>
      </c>
      <c r="M667" s="5">
        <f>IF($N667="","",L667-K667)</f>
        <v/>
      </c>
      <c r="N667">
        <f>IF(ROWS($N$2:$N667)&lt;=MAX('Per Line'!$AG$2:$AG$3001),MATCH(ROWS($N$2:$N667),'Per Line'!$AG$2:$AG$3001,0),"")</f>
        <v/>
      </c>
      <c r="O667">
        <f>IF(B667="Above Claim Form",COUNTIF($B$2:B667,"Above Claim Form"),"")</f>
        <v/>
      </c>
      <c r="P667">
        <f>IF(B667="Below Claim Form",COUNTIF($B$2:B667,"Below Claim Form"),"")</f>
        <v/>
      </c>
    </row>
    <row r="668">
      <c r="B668">
        <f>IF($N668="","",IFERROR(INDEX(Settings!$C$27:$C$36,MATCH(E668,Settings!$B$27:$B$36,0)),"Unassigned"))</f>
        <v/>
      </c>
      <c r="C668">
        <f>IF($N668="","",INDEX('Per Line'!$D$2:$D$3001,$N668))</f>
        <v/>
      </c>
      <c r="D668">
        <f>IF($N668="","",INDEX('Per Line'!$C$2:$C$3001,$N668))</f>
        <v/>
      </c>
      <c r="E668">
        <f>IF($N668="","",INDEX('Per Line'!$A$2:$A$3001,$N668))</f>
        <v/>
      </c>
      <c r="H668">
        <f>IF($N668="","",INDEX('Per Line'!$V$2:$V$3001,$N668))</f>
        <v/>
      </c>
      <c r="I668" s="5">
        <f>IF($N668="","",SUMIFS('Per Line'!$X$2:$X$3001,'Per Line'!$D$2:$D$3001,$C668))</f>
        <v/>
      </c>
      <c r="J668" s="5">
        <f>IF($N668="","",SUMIFS('Per Line'!$Y$2:$Y$3001,'Per Line'!$D$2:$D$3001,$C668))</f>
        <v/>
      </c>
      <c r="K668" s="5">
        <f>IF($N668="","",SUMIFS('Per Line'!$Z$2:$Z$3001,'Per Line'!$D$2:$D$3001,$C668))</f>
        <v/>
      </c>
      <c r="L668" s="5">
        <f>IF($N668="","",I668-J668)</f>
        <v/>
      </c>
      <c r="M668" s="5">
        <f>IF($N668="","",L668-K668)</f>
        <v/>
      </c>
      <c r="N668">
        <f>IF(ROWS($N$2:$N668)&lt;=MAX('Per Line'!$AG$2:$AG$3001),MATCH(ROWS($N$2:$N668),'Per Line'!$AG$2:$AG$3001,0),"")</f>
        <v/>
      </c>
      <c r="O668">
        <f>IF(B668="Above Claim Form",COUNTIF($B$2:B668,"Above Claim Form"),"")</f>
        <v/>
      </c>
      <c r="P668">
        <f>IF(B668="Below Claim Form",COUNTIF($B$2:B668,"Below Claim Form"),"")</f>
        <v/>
      </c>
    </row>
    <row r="669">
      <c r="B669">
        <f>IF($N669="","",IFERROR(INDEX(Settings!$C$27:$C$36,MATCH(E669,Settings!$B$27:$B$36,0)),"Unassigned"))</f>
        <v/>
      </c>
      <c r="C669">
        <f>IF($N669="","",INDEX('Per Line'!$D$2:$D$3001,$N669))</f>
        <v/>
      </c>
      <c r="D669">
        <f>IF($N669="","",INDEX('Per Line'!$C$2:$C$3001,$N669))</f>
        <v/>
      </c>
      <c r="E669">
        <f>IF($N669="","",INDEX('Per Line'!$A$2:$A$3001,$N669))</f>
        <v/>
      </c>
      <c r="H669">
        <f>IF($N669="","",INDEX('Per Line'!$V$2:$V$3001,$N669))</f>
        <v/>
      </c>
      <c r="I669" s="5">
        <f>IF($N669="","",SUMIFS('Per Line'!$X$2:$X$3001,'Per Line'!$D$2:$D$3001,$C669))</f>
        <v/>
      </c>
      <c r="J669" s="5">
        <f>IF($N669="","",SUMIFS('Per Line'!$Y$2:$Y$3001,'Per Line'!$D$2:$D$3001,$C669))</f>
        <v/>
      </c>
      <c r="K669" s="5">
        <f>IF($N669="","",SUMIFS('Per Line'!$Z$2:$Z$3001,'Per Line'!$D$2:$D$3001,$C669))</f>
        <v/>
      </c>
      <c r="L669" s="5">
        <f>IF($N669="","",I669-J669)</f>
        <v/>
      </c>
      <c r="M669" s="5">
        <f>IF($N669="","",L669-K669)</f>
        <v/>
      </c>
      <c r="N669">
        <f>IF(ROWS($N$2:$N669)&lt;=MAX('Per Line'!$AG$2:$AG$3001),MATCH(ROWS($N$2:$N669),'Per Line'!$AG$2:$AG$3001,0),"")</f>
        <v/>
      </c>
      <c r="O669">
        <f>IF(B669="Above Claim Form",COUNTIF($B$2:B669,"Above Claim Form"),"")</f>
        <v/>
      </c>
      <c r="P669">
        <f>IF(B669="Below Claim Form",COUNTIF($B$2:B669,"Below Claim Form"),"")</f>
        <v/>
      </c>
    </row>
    <row r="670">
      <c r="B670">
        <f>IF($N670="","",IFERROR(INDEX(Settings!$C$27:$C$36,MATCH(E670,Settings!$B$27:$B$36,0)),"Unassigned"))</f>
        <v/>
      </c>
      <c r="C670">
        <f>IF($N670="","",INDEX('Per Line'!$D$2:$D$3001,$N670))</f>
        <v/>
      </c>
      <c r="D670">
        <f>IF($N670="","",INDEX('Per Line'!$C$2:$C$3001,$N670))</f>
        <v/>
      </c>
      <c r="E670">
        <f>IF($N670="","",INDEX('Per Line'!$A$2:$A$3001,$N670))</f>
        <v/>
      </c>
      <c r="H670">
        <f>IF($N670="","",INDEX('Per Line'!$V$2:$V$3001,$N670))</f>
        <v/>
      </c>
      <c r="I670" s="5">
        <f>IF($N670="","",SUMIFS('Per Line'!$X$2:$X$3001,'Per Line'!$D$2:$D$3001,$C670))</f>
        <v/>
      </c>
      <c r="J670" s="5">
        <f>IF($N670="","",SUMIFS('Per Line'!$Y$2:$Y$3001,'Per Line'!$D$2:$D$3001,$C670))</f>
        <v/>
      </c>
      <c r="K670" s="5">
        <f>IF($N670="","",SUMIFS('Per Line'!$Z$2:$Z$3001,'Per Line'!$D$2:$D$3001,$C670))</f>
        <v/>
      </c>
      <c r="L670" s="5">
        <f>IF($N670="","",I670-J670)</f>
        <v/>
      </c>
      <c r="M670" s="5">
        <f>IF($N670="","",L670-K670)</f>
        <v/>
      </c>
      <c r="N670">
        <f>IF(ROWS($N$2:$N670)&lt;=MAX('Per Line'!$AG$2:$AG$3001),MATCH(ROWS($N$2:$N670),'Per Line'!$AG$2:$AG$3001,0),"")</f>
        <v/>
      </c>
      <c r="O670">
        <f>IF(B670="Above Claim Form",COUNTIF($B$2:B670,"Above Claim Form"),"")</f>
        <v/>
      </c>
      <c r="P670">
        <f>IF(B670="Below Claim Form",COUNTIF($B$2:B670,"Below Claim Form"),"")</f>
        <v/>
      </c>
    </row>
    <row r="671">
      <c r="B671">
        <f>IF($N671="","",IFERROR(INDEX(Settings!$C$27:$C$36,MATCH(E671,Settings!$B$27:$B$36,0)),"Unassigned"))</f>
        <v/>
      </c>
      <c r="C671">
        <f>IF($N671="","",INDEX('Per Line'!$D$2:$D$3001,$N671))</f>
        <v/>
      </c>
      <c r="D671">
        <f>IF($N671="","",INDEX('Per Line'!$C$2:$C$3001,$N671))</f>
        <v/>
      </c>
      <c r="E671">
        <f>IF($N671="","",INDEX('Per Line'!$A$2:$A$3001,$N671))</f>
        <v/>
      </c>
      <c r="H671">
        <f>IF($N671="","",INDEX('Per Line'!$V$2:$V$3001,$N671))</f>
        <v/>
      </c>
      <c r="I671" s="5">
        <f>IF($N671="","",SUMIFS('Per Line'!$X$2:$X$3001,'Per Line'!$D$2:$D$3001,$C671))</f>
        <v/>
      </c>
      <c r="J671" s="5">
        <f>IF($N671="","",SUMIFS('Per Line'!$Y$2:$Y$3001,'Per Line'!$D$2:$D$3001,$C671))</f>
        <v/>
      </c>
      <c r="K671" s="5">
        <f>IF($N671="","",SUMIFS('Per Line'!$Z$2:$Z$3001,'Per Line'!$D$2:$D$3001,$C671))</f>
        <v/>
      </c>
      <c r="L671" s="5">
        <f>IF($N671="","",I671-J671)</f>
        <v/>
      </c>
      <c r="M671" s="5">
        <f>IF($N671="","",L671-K671)</f>
        <v/>
      </c>
      <c r="N671">
        <f>IF(ROWS($N$2:$N671)&lt;=MAX('Per Line'!$AG$2:$AG$3001),MATCH(ROWS($N$2:$N671),'Per Line'!$AG$2:$AG$3001,0),"")</f>
        <v/>
      </c>
      <c r="O671">
        <f>IF(B671="Above Claim Form",COUNTIF($B$2:B671,"Above Claim Form"),"")</f>
        <v/>
      </c>
      <c r="P671">
        <f>IF(B671="Below Claim Form",COUNTIF($B$2:B671,"Below Claim Form"),"")</f>
        <v/>
      </c>
    </row>
    <row r="672">
      <c r="B672">
        <f>IF($N672="","",IFERROR(INDEX(Settings!$C$27:$C$36,MATCH(E672,Settings!$B$27:$B$36,0)),"Unassigned"))</f>
        <v/>
      </c>
      <c r="C672">
        <f>IF($N672="","",INDEX('Per Line'!$D$2:$D$3001,$N672))</f>
        <v/>
      </c>
      <c r="D672">
        <f>IF($N672="","",INDEX('Per Line'!$C$2:$C$3001,$N672))</f>
        <v/>
      </c>
      <c r="E672">
        <f>IF($N672="","",INDEX('Per Line'!$A$2:$A$3001,$N672))</f>
        <v/>
      </c>
      <c r="H672">
        <f>IF($N672="","",INDEX('Per Line'!$V$2:$V$3001,$N672))</f>
        <v/>
      </c>
      <c r="I672" s="5">
        <f>IF($N672="","",SUMIFS('Per Line'!$X$2:$X$3001,'Per Line'!$D$2:$D$3001,$C672))</f>
        <v/>
      </c>
      <c r="J672" s="5">
        <f>IF($N672="","",SUMIFS('Per Line'!$Y$2:$Y$3001,'Per Line'!$D$2:$D$3001,$C672))</f>
        <v/>
      </c>
      <c r="K672" s="5">
        <f>IF($N672="","",SUMIFS('Per Line'!$Z$2:$Z$3001,'Per Line'!$D$2:$D$3001,$C672))</f>
        <v/>
      </c>
      <c r="L672" s="5">
        <f>IF($N672="","",I672-J672)</f>
        <v/>
      </c>
      <c r="M672" s="5">
        <f>IF($N672="","",L672-K672)</f>
        <v/>
      </c>
      <c r="N672">
        <f>IF(ROWS($N$2:$N672)&lt;=MAX('Per Line'!$AG$2:$AG$3001),MATCH(ROWS($N$2:$N672),'Per Line'!$AG$2:$AG$3001,0),"")</f>
        <v/>
      </c>
      <c r="O672">
        <f>IF(B672="Above Claim Form",COUNTIF($B$2:B672,"Above Claim Form"),"")</f>
        <v/>
      </c>
      <c r="P672">
        <f>IF(B672="Below Claim Form",COUNTIF($B$2:B672,"Below Claim Form"),"")</f>
        <v/>
      </c>
    </row>
    <row r="673">
      <c r="B673">
        <f>IF($N673="","",IFERROR(INDEX(Settings!$C$27:$C$36,MATCH(E673,Settings!$B$27:$B$36,0)),"Unassigned"))</f>
        <v/>
      </c>
      <c r="C673">
        <f>IF($N673="","",INDEX('Per Line'!$D$2:$D$3001,$N673))</f>
        <v/>
      </c>
      <c r="D673">
        <f>IF($N673="","",INDEX('Per Line'!$C$2:$C$3001,$N673))</f>
        <v/>
      </c>
      <c r="E673">
        <f>IF($N673="","",INDEX('Per Line'!$A$2:$A$3001,$N673))</f>
        <v/>
      </c>
      <c r="H673">
        <f>IF($N673="","",INDEX('Per Line'!$V$2:$V$3001,$N673))</f>
        <v/>
      </c>
      <c r="I673" s="5">
        <f>IF($N673="","",SUMIFS('Per Line'!$X$2:$X$3001,'Per Line'!$D$2:$D$3001,$C673))</f>
        <v/>
      </c>
      <c r="J673" s="5">
        <f>IF($N673="","",SUMIFS('Per Line'!$Y$2:$Y$3001,'Per Line'!$D$2:$D$3001,$C673))</f>
        <v/>
      </c>
      <c r="K673" s="5">
        <f>IF($N673="","",SUMIFS('Per Line'!$Z$2:$Z$3001,'Per Line'!$D$2:$D$3001,$C673))</f>
        <v/>
      </c>
      <c r="L673" s="5">
        <f>IF($N673="","",I673-J673)</f>
        <v/>
      </c>
      <c r="M673" s="5">
        <f>IF($N673="","",L673-K673)</f>
        <v/>
      </c>
      <c r="N673">
        <f>IF(ROWS($N$2:$N673)&lt;=MAX('Per Line'!$AG$2:$AG$3001),MATCH(ROWS($N$2:$N673),'Per Line'!$AG$2:$AG$3001,0),"")</f>
        <v/>
      </c>
      <c r="O673">
        <f>IF(B673="Above Claim Form",COUNTIF($B$2:B673,"Above Claim Form"),"")</f>
        <v/>
      </c>
      <c r="P673">
        <f>IF(B673="Below Claim Form",COUNTIF($B$2:B673,"Below Claim Form"),"")</f>
        <v/>
      </c>
    </row>
    <row r="674">
      <c r="B674">
        <f>IF($N674="","",IFERROR(INDEX(Settings!$C$27:$C$36,MATCH(E674,Settings!$B$27:$B$36,0)),"Unassigned"))</f>
        <v/>
      </c>
      <c r="C674">
        <f>IF($N674="","",INDEX('Per Line'!$D$2:$D$3001,$N674))</f>
        <v/>
      </c>
      <c r="D674">
        <f>IF($N674="","",INDEX('Per Line'!$C$2:$C$3001,$N674))</f>
        <v/>
      </c>
      <c r="E674">
        <f>IF($N674="","",INDEX('Per Line'!$A$2:$A$3001,$N674))</f>
        <v/>
      </c>
      <c r="H674">
        <f>IF($N674="","",INDEX('Per Line'!$V$2:$V$3001,$N674))</f>
        <v/>
      </c>
      <c r="I674" s="5">
        <f>IF($N674="","",SUMIFS('Per Line'!$X$2:$X$3001,'Per Line'!$D$2:$D$3001,$C674))</f>
        <v/>
      </c>
      <c r="J674" s="5">
        <f>IF($N674="","",SUMIFS('Per Line'!$Y$2:$Y$3001,'Per Line'!$D$2:$D$3001,$C674))</f>
        <v/>
      </c>
      <c r="K674" s="5">
        <f>IF($N674="","",SUMIFS('Per Line'!$Z$2:$Z$3001,'Per Line'!$D$2:$D$3001,$C674))</f>
        <v/>
      </c>
      <c r="L674" s="5">
        <f>IF($N674="","",I674-J674)</f>
        <v/>
      </c>
      <c r="M674" s="5">
        <f>IF($N674="","",L674-K674)</f>
        <v/>
      </c>
      <c r="N674">
        <f>IF(ROWS($N$2:$N674)&lt;=MAX('Per Line'!$AG$2:$AG$3001),MATCH(ROWS($N$2:$N674),'Per Line'!$AG$2:$AG$3001,0),"")</f>
        <v/>
      </c>
      <c r="O674">
        <f>IF(B674="Above Claim Form",COUNTIF($B$2:B674,"Above Claim Form"),"")</f>
        <v/>
      </c>
      <c r="P674">
        <f>IF(B674="Below Claim Form",COUNTIF($B$2:B674,"Below Claim Form"),"")</f>
        <v/>
      </c>
    </row>
    <row r="675">
      <c r="B675">
        <f>IF($N675="","",IFERROR(INDEX(Settings!$C$27:$C$36,MATCH(E675,Settings!$B$27:$B$36,0)),"Unassigned"))</f>
        <v/>
      </c>
      <c r="C675">
        <f>IF($N675="","",INDEX('Per Line'!$D$2:$D$3001,$N675))</f>
        <v/>
      </c>
      <c r="D675">
        <f>IF($N675="","",INDEX('Per Line'!$C$2:$C$3001,$N675))</f>
        <v/>
      </c>
      <c r="E675">
        <f>IF($N675="","",INDEX('Per Line'!$A$2:$A$3001,$N675))</f>
        <v/>
      </c>
      <c r="H675">
        <f>IF($N675="","",INDEX('Per Line'!$V$2:$V$3001,$N675))</f>
        <v/>
      </c>
      <c r="I675" s="5">
        <f>IF($N675="","",SUMIFS('Per Line'!$X$2:$X$3001,'Per Line'!$D$2:$D$3001,$C675))</f>
        <v/>
      </c>
      <c r="J675" s="5">
        <f>IF($N675="","",SUMIFS('Per Line'!$Y$2:$Y$3001,'Per Line'!$D$2:$D$3001,$C675))</f>
        <v/>
      </c>
      <c r="K675" s="5">
        <f>IF($N675="","",SUMIFS('Per Line'!$Z$2:$Z$3001,'Per Line'!$D$2:$D$3001,$C675))</f>
        <v/>
      </c>
      <c r="L675" s="5">
        <f>IF($N675="","",I675-J675)</f>
        <v/>
      </c>
      <c r="M675" s="5">
        <f>IF($N675="","",L675-K675)</f>
        <v/>
      </c>
      <c r="N675">
        <f>IF(ROWS($N$2:$N675)&lt;=MAX('Per Line'!$AG$2:$AG$3001),MATCH(ROWS($N$2:$N675),'Per Line'!$AG$2:$AG$3001,0),"")</f>
        <v/>
      </c>
      <c r="O675">
        <f>IF(B675="Above Claim Form",COUNTIF($B$2:B675,"Above Claim Form"),"")</f>
        <v/>
      </c>
      <c r="P675">
        <f>IF(B675="Below Claim Form",COUNTIF($B$2:B675,"Below Claim Form"),"")</f>
        <v/>
      </c>
    </row>
    <row r="676">
      <c r="B676">
        <f>IF($N676="","",IFERROR(INDEX(Settings!$C$27:$C$36,MATCH(E676,Settings!$B$27:$B$36,0)),"Unassigned"))</f>
        <v/>
      </c>
      <c r="C676">
        <f>IF($N676="","",INDEX('Per Line'!$D$2:$D$3001,$N676))</f>
        <v/>
      </c>
      <c r="D676">
        <f>IF($N676="","",INDEX('Per Line'!$C$2:$C$3001,$N676))</f>
        <v/>
      </c>
      <c r="E676">
        <f>IF($N676="","",INDEX('Per Line'!$A$2:$A$3001,$N676))</f>
        <v/>
      </c>
      <c r="H676">
        <f>IF($N676="","",INDEX('Per Line'!$V$2:$V$3001,$N676))</f>
        <v/>
      </c>
      <c r="I676" s="5">
        <f>IF($N676="","",SUMIFS('Per Line'!$X$2:$X$3001,'Per Line'!$D$2:$D$3001,$C676))</f>
        <v/>
      </c>
      <c r="J676" s="5">
        <f>IF($N676="","",SUMIFS('Per Line'!$Y$2:$Y$3001,'Per Line'!$D$2:$D$3001,$C676))</f>
        <v/>
      </c>
      <c r="K676" s="5">
        <f>IF($N676="","",SUMIFS('Per Line'!$Z$2:$Z$3001,'Per Line'!$D$2:$D$3001,$C676))</f>
        <v/>
      </c>
      <c r="L676" s="5">
        <f>IF($N676="","",I676-J676)</f>
        <v/>
      </c>
      <c r="M676" s="5">
        <f>IF($N676="","",L676-K676)</f>
        <v/>
      </c>
      <c r="N676">
        <f>IF(ROWS($N$2:$N676)&lt;=MAX('Per Line'!$AG$2:$AG$3001),MATCH(ROWS($N$2:$N676),'Per Line'!$AG$2:$AG$3001,0),"")</f>
        <v/>
      </c>
      <c r="O676">
        <f>IF(B676="Above Claim Form",COUNTIF($B$2:B676,"Above Claim Form"),"")</f>
        <v/>
      </c>
      <c r="P676">
        <f>IF(B676="Below Claim Form",COUNTIF($B$2:B676,"Below Claim Form"),"")</f>
        <v/>
      </c>
    </row>
    <row r="677">
      <c r="B677">
        <f>IF($N677="","",IFERROR(INDEX(Settings!$C$27:$C$36,MATCH(E677,Settings!$B$27:$B$36,0)),"Unassigned"))</f>
        <v/>
      </c>
      <c r="C677">
        <f>IF($N677="","",INDEX('Per Line'!$D$2:$D$3001,$N677))</f>
        <v/>
      </c>
      <c r="D677">
        <f>IF($N677="","",INDEX('Per Line'!$C$2:$C$3001,$N677))</f>
        <v/>
      </c>
      <c r="E677">
        <f>IF($N677="","",INDEX('Per Line'!$A$2:$A$3001,$N677))</f>
        <v/>
      </c>
      <c r="H677">
        <f>IF($N677="","",INDEX('Per Line'!$V$2:$V$3001,$N677))</f>
        <v/>
      </c>
      <c r="I677" s="5">
        <f>IF($N677="","",SUMIFS('Per Line'!$X$2:$X$3001,'Per Line'!$D$2:$D$3001,$C677))</f>
        <v/>
      </c>
      <c r="J677" s="5">
        <f>IF($N677="","",SUMIFS('Per Line'!$Y$2:$Y$3001,'Per Line'!$D$2:$D$3001,$C677))</f>
        <v/>
      </c>
      <c r="K677" s="5">
        <f>IF($N677="","",SUMIFS('Per Line'!$Z$2:$Z$3001,'Per Line'!$D$2:$D$3001,$C677))</f>
        <v/>
      </c>
      <c r="L677" s="5">
        <f>IF($N677="","",I677-J677)</f>
        <v/>
      </c>
      <c r="M677" s="5">
        <f>IF($N677="","",L677-K677)</f>
        <v/>
      </c>
      <c r="N677">
        <f>IF(ROWS($N$2:$N677)&lt;=MAX('Per Line'!$AG$2:$AG$3001),MATCH(ROWS($N$2:$N677),'Per Line'!$AG$2:$AG$3001,0),"")</f>
        <v/>
      </c>
      <c r="O677">
        <f>IF(B677="Above Claim Form",COUNTIF($B$2:B677,"Above Claim Form"),"")</f>
        <v/>
      </c>
      <c r="P677">
        <f>IF(B677="Below Claim Form",COUNTIF($B$2:B677,"Below Claim Form"),"")</f>
        <v/>
      </c>
    </row>
    <row r="678">
      <c r="B678">
        <f>IF($N678="","",IFERROR(INDEX(Settings!$C$27:$C$36,MATCH(E678,Settings!$B$27:$B$36,0)),"Unassigned"))</f>
        <v/>
      </c>
      <c r="C678">
        <f>IF($N678="","",INDEX('Per Line'!$D$2:$D$3001,$N678))</f>
        <v/>
      </c>
      <c r="D678">
        <f>IF($N678="","",INDEX('Per Line'!$C$2:$C$3001,$N678))</f>
        <v/>
      </c>
      <c r="E678">
        <f>IF($N678="","",INDEX('Per Line'!$A$2:$A$3001,$N678))</f>
        <v/>
      </c>
      <c r="H678">
        <f>IF($N678="","",INDEX('Per Line'!$V$2:$V$3001,$N678))</f>
        <v/>
      </c>
      <c r="I678" s="5">
        <f>IF($N678="","",SUMIFS('Per Line'!$X$2:$X$3001,'Per Line'!$D$2:$D$3001,$C678))</f>
        <v/>
      </c>
      <c r="J678" s="5">
        <f>IF($N678="","",SUMIFS('Per Line'!$Y$2:$Y$3001,'Per Line'!$D$2:$D$3001,$C678))</f>
        <v/>
      </c>
      <c r="K678" s="5">
        <f>IF($N678="","",SUMIFS('Per Line'!$Z$2:$Z$3001,'Per Line'!$D$2:$D$3001,$C678))</f>
        <v/>
      </c>
      <c r="L678" s="5">
        <f>IF($N678="","",I678-J678)</f>
        <v/>
      </c>
      <c r="M678" s="5">
        <f>IF($N678="","",L678-K678)</f>
        <v/>
      </c>
      <c r="N678">
        <f>IF(ROWS($N$2:$N678)&lt;=MAX('Per Line'!$AG$2:$AG$3001),MATCH(ROWS($N$2:$N678),'Per Line'!$AG$2:$AG$3001,0),"")</f>
        <v/>
      </c>
      <c r="O678">
        <f>IF(B678="Above Claim Form",COUNTIF($B$2:B678,"Above Claim Form"),"")</f>
        <v/>
      </c>
      <c r="P678">
        <f>IF(B678="Below Claim Form",COUNTIF($B$2:B678,"Below Claim Form"),"")</f>
        <v/>
      </c>
    </row>
    <row r="679">
      <c r="B679">
        <f>IF($N679="","",IFERROR(INDEX(Settings!$C$27:$C$36,MATCH(E679,Settings!$B$27:$B$36,0)),"Unassigned"))</f>
        <v/>
      </c>
      <c r="C679">
        <f>IF($N679="","",INDEX('Per Line'!$D$2:$D$3001,$N679))</f>
        <v/>
      </c>
      <c r="D679">
        <f>IF($N679="","",INDEX('Per Line'!$C$2:$C$3001,$N679))</f>
        <v/>
      </c>
      <c r="E679">
        <f>IF($N679="","",INDEX('Per Line'!$A$2:$A$3001,$N679))</f>
        <v/>
      </c>
      <c r="H679">
        <f>IF($N679="","",INDEX('Per Line'!$V$2:$V$3001,$N679))</f>
        <v/>
      </c>
      <c r="I679" s="5">
        <f>IF($N679="","",SUMIFS('Per Line'!$X$2:$X$3001,'Per Line'!$D$2:$D$3001,$C679))</f>
        <v/>
      </c>
      <c r="J679" s="5">
        <f>IF($N679="","",SUMIFS('Per Line'!$Y$2:$Y$3001,'Per Line'!$D$2:$D$3001,$C679))</f>
        <v/>
      </c>
      <c r="K679" s="5">
        <f>IF($N679="","",SUMIFS('Per Line'!$Z$2:$Z$3001,'Per Line'!$D$2:$D$3001,$C679))</f>
        <v/>
      </c>
      <c r="L679" s="5">
        <f>IF($N679="","",I679-J679)</f>
        <v/>
      </c>
      <c r="M679" s="5">
        <f>IF($N679="","",L679-K679)</f>
        <v/>
      </c>
      <c r="N679">
        <f>IF(ROWS($N$2:$N679)&lt;=MAX('Per Line'!$AG$2:$AG$3001),MATCH(ROWS($N$2:$N679),'Per Line'!$AG$2:$AG$3001,0),"")</f>
        <v/>
      </c>
      <c r="O679">
        <f>IF(B679="Above Claim Form",COUNTIF($B$2:B679,"Above Claim Form"),"")</f>
        <v/>
      </c>
      <c r="P679">
        <f>IF(B679="Below Claim Form",COUNTIF($B$2:B679,"Below Claim Form"),"")</f>
        <v/>
      </c>
    </row>
    <row r="680">
      <c r="B680">
        <f>IF($N680="","",IFERROR(INDEX(Settings!$C$27:$C$36,MATCH(E680,Settings!$B$27:$B$36,0)),"Unassigned"))</f>
        <v/>
      </c>
      <c r="C680">
        <f>IF($N680="","",INDEX('Per Line'!$D$2:$D$3001,$N680))</f>
        <v/>
      </c>
      <c r="D680">
        <f>IF($N680="","",INDEX('Per Line'!$C$2:$C$3001,$N680))</f>
        <v/>
      </c>
      <c r="E680">
        <f>IF($N680="","",INDEX('Per Line'!$A$2:$A$3001,$N680))</f>
        <v/>
      </c>
      <c r="H680">
        <f>IF($N680="","",INDEX('Per Line'!$V$2:$V$3001,$N680))</f>
        <v/>
      </c>
      <c r="I680" s="5">
        <f>IF($N680="","",SUMIFS('Per Line'!$X$2:$X$3001,'Per Line'!$D$2:$D$3001,$C680))</f>
        <v/>
      </c>
      <c r="J680" s="5">
        <f>IF($N680="","",SUMIFS('Per Line'!$Y$2:$Y$3001,'Per Line'!$D$2:$D$3001,$C680))</f>
        <v/>
      </c>
      <c r="K680" s="5">
        <f>IF($N680="","",SUMIFS('Per Line'!$Z$2:$Z$3001,'Per Line'!$D$2:$D$3001,$C680))</f>
        <v/>
      </c>
      <c r="L680" s="5">
        <f>IF($N680="","",I680-J680)</f>
        <v/>
      </c>
      <c r="M680" s="5">
        <f>IF($N680="","",L680-K680)</f>
        <v/>
      </c>
      <c r="N680">
        <f>IF(ROWS($N$2:$N680)&lt;=MAX('Per Line'!$AG$2:$AG$3001),MATCH(ROWS($N$2:$N680),'Per Line'!$AG$2:$AG$3001,0),"")</f>
        <v/>
      </c>
      <c r="O680">
        <f>IF(B680="Above Claim Form",COUNTIF($B$2:B680,"Above Claim Form"),"")</f>
        <v/>
      </c>
      <c r="P680">
        <f>IF(B680="Below Claim Form",COUNTIF($B$2:B680,"Below Claim Form"),"")</f>
        <v/>
      </c>
    </row>
    <row r="681">
      <c r="B681">
        <f>IF($N681="","",IFERROR(INDEX(Settings!$C$27:$C$36,MATCH(E681,Settings!$B$27:$B$36,0)),"Unassigned"))</f>
        <v/>
      </c>
      <c r="C681">
        <f>IF($N681="","",INDEX('Per Line'!$D$2:$D$3001,$N681))</f>
        <v/>
      </c>
      <c r="D681">
        <f>IF($N681="","",INDEX('Per Line'!$C$2:$C$3001,$N681))</f>
        <v/>
      </c>
      <c r="E681">
        <f>IF($N681="","",INDEX('Per Line'!$A$2:$A$3001,$N681))</f>
        <v/>
      </c>
      <c r="H681">
        <f>IF($N681="","",INDEX('Per Line'!$V$2:$V$3001,$N681))</f>
        <v/>
      </c>
      <c r="I681" s="5">
        <f>IF($N681="","",SUMIFS('Per Line'!$X$2:$X$3001,'Per Line'!$D$2:$D$3001,$C681))</f>
        <v/>
      </c>
      <c r="J681" s="5">
        <f>IF($N681="","",SUMIFS('Per Line'!$Y$2:$Y$3001,'Per Line'!$D$2:$D$3001,$C681))</f>
        <v/>
      </c>
      <c r="K681" s="5">
        <f>IF($N681="","",SUMIFS('Per Line'!$Z$2:$Z$3001,'Per Line'!$D$2:$D$3001,$C681))</f>
        <v/>
      </c>
      <c r="L681" s="5">
        <f>IF($N681="","",I681-J681)</f>
        <v/>
      </c>
      <c r="M681" s="5">
        <f>IF($N681="","",L681-K681)</f>
        <v/>
      </c>
      <c r="N681">
        <f>IF(ROWS($N$2:$N681)&lt;=MAX('Per Line'!$AG$2:$AG$3001),MATCH(ROWS($N$2:$N681),'Per Line'!$AG$2:$AG$3001,0),"")</f>
        <v/>
      </c>
      <c r="O681">
        <f>IF(B681="Above Claim Form",COUNTIF($B$2:B681,"Above Claim Form"),"")</f>
        <v/>
      </c>
      <c r="P681">
        <f>IF(B681="Below Claim Form",COUNTIF($B$2:B681,"Below Claim Form"),"")</f>
        <v/>
      </c>
    </row>
    <row r="682">
      <c r="B682">
        <f>IF($N682="","",IFERROR(INDEX(Settings!$C$27:$C$36,MATCH(E682,Settings!$B$27:$B$36,0)),"Unassigned"))</f>
        <v/>
      </c>
      <c r="C682">
        <f>IF($N682="","",INDEX('Per Line'!$D$2:$D$3001,$N682))</f>
        <v/>
      </c>
      <c r="D682">
        <f>IF($N682="","",INDEX('Per Line'!$C$2:$C$3001,$N682))</f>
        <v/>
      </c>
      <c r="E682">
        <f>IF($N682="","",INDEX('Per Line'!$A$2:$A$3001,$N682))</f>
        <v/>
      </c>
      <c r="H682">
        <f>IF($N682="","",INDEX('Per Line'!$V$2:$V$3001,$N682))</f>
        <v/>
      </c>
      <c r="I682" s="5">
        <f>IF($N682="","",SUMIFS('Per Line'!$X$2:$X$3001,'Per Line'!$D$2:$D$3001,$C682))</f>
        <v/>
      </c>
      <c r="J682" s="5">
        <f>IF($N682="","",SUMIFS('Per Line'!$Y$2:$Y$3001,'Per Line'!$D$2:$D$3001,$C682))</f>
        <v/>
      </c>
      <c r="K682" s="5">
        <f>IF($N682="","",SUMIFS('Per Line'!$Z$2:$Z$3001,'Per Line'!$D$2:$D$3001,$C682))</f>
        <v/>
      </c>
      <c r="L682" s="5">
        <f>IF($N682="","",I682-J682)</f>
        <v/>
      </c>
      <c r="M682" s="5">
        <f>IF($N682="","",L682-K682)</f>
        <v/>
      </c>
      <c r="N682">
        <f>IF(ROWS($N$2:$N682)&lt;=MAX('Per Line'!$AG$2:$AG$3001),MATCH(ROWS($N$2:$N682),'Per Line'!$AG$2:$AG$3001,0),"")</f>
        <v/>
      </c>
      <c r="O682">
        <f>IF(B682="Above Claim Form",COUNTIF($B$2:B682,"Above Claim Form"),"")</f>
        <v/>
      </c>
      <c r="P682">
        <f>IF(B682="Below Claim Form",COUNTIF($B$2:B682,"Below Claim Form"),"")</f>
        <v/>
      </c>
    </row>
    <row r="683">
      <c r="B683">
        <f>IF($N683="","",IFERROR(INDEX(Settings!$C$27:$C$36,MATCH(E683,Settings!$B$27:$B$36,0)),"Unassigned"))</f>
        <v/>
      </c>
      <c r="C683">
        <f>IF($N683="","",INDEX('Per Line'!$D$2:$D$3001,$N683))</f>
        <v/>
      </c>
      <c r="D683">
        <f>IF($N683="","",INDEX('Per Line'!$C$2:$C$3001,$N683))</f>
        <v/>
      </c>
      <c r="E683">
        <f>IF($N683="","",INDEX('Per Line'!$A$2:$A$3001,$N683))</f>
        <v/>
      </c>
      <c r="H683">
        <f>IF($N683="","",INDEX('Per Line'!$V$2:$V$3001,$N683))</f>
        <v/>
      </c>
      <c r="I683" s="5">
        <f>IF($N683="","",SUMIFS('Per Line'!$X$2:$X$3001,'Per Line'!$D$2:$D$3001,$C683))</f>
        <v/>
      </c>
      <c r="J683" s="5">
        <f>IF($N683="","",SUMIFS('Per Line'!$Y$2:$Y$3001,'Per Line'!$D$2:$D$3001,$C683))</f>
        <v/>
      </c>
      <c r="K683" s="5">
        <f>IF($N683="","",SUMIFS('Per Line'!$Z$2:$Z$3001,'Per Line'!$D$2:$D$3001,$C683))</f>
        <v/>
      </c>
      <c r="L683" s="5">
        <f>IF($N683="","",I683-J683)</f>
        <v/>
      </c>
      <c r="M683" s="5">
        <f>IF($N683="","",L683-K683)</f>
        <v/>
      </c>
      <c r="N683">
        <f>IF(ROWS($N$2:$N683)&lt;=MAX('Per Line'!$AG$2:$AG$3001),MATCH(ROWS($N$2:$N683),'Per Line'!$AG$2:$AG$3001,0),"")</f>
        <v/>
      </c>
      <c r="O683">
        <f>IF(B683="Above Claim Form",COUNTIF($B$2:B683,"Above Claim Form"),"")</f>
        <v/>
      </c>
      <c r="P683">
        <f>IF(B683="Below Claim Form",COUNTIF($B$2:B683,"Below Claim Form"),"")</f>
        <v/>
      </c>
    </row>
    <row r="684">
      <c r="B684">
        <f>IF($N684="","",IFERROR(INDEX(Settings!$C$27:$C$36,MATCH(E684,Settings!$B$27:$B$36,0)),"Unassigned"))</f>
        <v/>
      </c>
      <c r="C684">
        <f>IF($N684="","",INDEX('Per Line'!$D$2:$D$3001,$N684))</f>
        <v/>
      </c>
      <c r="D684">
        <f>IF($N684="","",INDEX('Per Line'!$C$2:$C$3001,$N684))</f>
        <v/>
      </c>
      <c r="E684">
        <f>IF($N684="","",INDEX('Per Line'!$A$2:$A$3001,$N684))</f>
        <v/>
      </c>
      <c r="H684">
        <f>IF($N684="","",INDEX('Per Line'!$V$2:$V$3001,$N684))</f>
        <v/>
      </c>
      <c r="I684" s="5">
        <f>IF($N684="","",SUMIFS('Per Line'!$X$2:$X$3001,'Per Line'!$D$2:$D$3001,$C684))</f>
        <v/>
      </c>
      <c r="J684" s="5">
        <f>IF($N684="","",SUMIFS('Per Line'!$Y$2:$Y$3001,'Per Line'!$D$2:$D$3001,$C684))</f>
        <v/>
      </c>
      <c r="K684" s="5">
        <f>IF($N684="","",SUMIFS('Per Line'!$Z$2:$Z$3001,'Per Line'!$D$2:$D$3001,$C684))</f>
        <v/>
      </c>
      <c r="L684" s="5">
        <f>IF($N684="","",I684-J684)</f>
        <v/>
      </c>
      <c r="M684" s="5">
        <f>IF($N684="","",L684-K684)</f>
        <v/>
      </c>
      <c r="N684">
        <f>IF(ROWS($N$2:$N684)&lt;=MAX('Per Line'!$AG$2:$AG$3001),MATCH(ROWS($N$2:$N684),'Per Line'!$AG$2:$AG$3001,0),"")</f>
        <v/>
      </c>
      <c r="O684">
        <f>IF(B684="Above Claim Form",COUNTIF($B$2:B684,"Above Claim Form"),"")</f>
        <v/>
      </c>
      <c r="P684">
        <f>IF(B684="Below Claim Form",COUNTIF($B$2:B684,"Below Claim Form"),"")</f>
        <v/>
      </c>
    </row>
    <row r="685">
      <c r="B685">
        <f>IF($N685="","",IFERROR(INDEX(Settings!$C$27:$C$36,MATCH(E685,Settings!$B$27:$B$36,0)),"Unassigned"))</f>
        <v/>
      </c>
      <c r="C685">
        <f>IF($N685="","",INDEX('Per Line'!$D$2:$D$3001,$N685))</f>
        <v/>
      </c>
      <c r="D685">
        <f>IF($N685="","",INDEX('Per Line'!$C$2:$C$3001,$N685))</f>
        <v/>
      </c>
      <c r="E685">
        <f>IF($N685="","",INDEX('Per Line'!$A$2:$A$3001,$N685))</f>
        <v/>
      </c>
      <c r="H685">
        <f>IF($N685="","",INDEX('Per Line'!$V$2:$V$3001,$N685))</f>
        <v/>
      </c>
      <c r="I685" s="5">
        <f>IF($N685="","",SUMIFS('Per Line'!$X$2:$X$3001,'Per Line'!$D$2:$D$3001,$C685))</f>
        <v/>
      </c>
      <c r="J685" s="5">
        <f>IF($N685="","",SUMIFS('Per Line'!$Y$2:$Y$3001,'Per Line'!$D$2:$D$3001,$C685))</f>
        <v/>
      </c>
      <c r="K685" s="5">
        <f>IF($N685="","",SUMIFS('Per Line'!$Z$2:$Z$3001,'Per Line'!$D$2:$D$3001,$C685))</f>
        <v/>
      </c>
      <c r="L685" s="5">
        <f>IF($N685="","",I685-J685)</f>
        <v/>
      </c>
      <c r="M685" s="5">
        <f>IF($N685="","",L685-K685)</f>
        <v/>
      </c>
      <c r="N685">
        <f>IF(ROWS($N$2:$N685)&lt;=MAX('Per Line'!$AG$2:$AG$3001),MATCH(ROWS($N$2:$N685),'Per Line'!$AG$2:$AG$3001,0),"")</f>
        <v/>
      </c>
      <c r="O685">
        <f>IF(B685="Above Claim Form",COUNTIF($B$2:B685,"Above Claim Form"),"")</f>
        <v/>
      </c>
      <c r="P685">
        <f>IF(B685="Below Claim Form",COUNTIF($B$2:B685,"Below Claim Form"),"")</f>
        <v/>
      </c>
    </row>
    <row r="686">
      <c r="B686">
        <f>IF($N686="","",IFERROR(INDEX(Settings!$C$27:$C$36,MATCH(E686,Settings!$B$27:$B$36,0)),"Unassigned"))</f>
        <v/>
      </c>
      <c r="C686">
        <f>IF($N686="","",INDEX('Per Line'!$D$2:$D$3001,$N686))</f>
        <v/>
      </c>
      <c r="D686">
        <f>IF($N686="","",INDEX('Per Line'!$C$2:$C$3001,$N686))</f>
        <v/>
      </c>
      <c r="E686">
        <f>IF($N686="","",INDEX('Per Line'!$A$2:$A$3001,$N686))</f>
        <v/>
      </c>
      <c r="H686">
        <f>IF($N686="","",INDEX('Per Line'!$V$2:$V$3001,$N686))</f>
        <v/>
      </c>
      <c r="I686" s="5">
        <f>IF($N686="","",SUMIFS('Per Line'!$X$2:$X$3001,'Per Line'!$D$2:$D$3001,$C686))</f>
        <v/>
      </c>
      <c r="J686" s="5">
        <f>IF($N686="","",SUMIFS('Per Line'!$Y$2:$Y$3001,'Per Line'!$D$2:$D$3001,$C686))</f>
        <v/>
      </c>
      <c r="K686" s="5">
        <f>IF($N686="","",SUMIFS('Per Line'!$Z$2:$Z$3001,'Per Line'!$D$2:$D$3001,$C686))</f>
        <v/>
      </c>
      <c r="L686" s="5">
        <f>IF($N686="","",I686-J686)</f>
        <v/>
      </c>
      <c r="M686" s="5">
        <f>IF($N686="","",L686-K686)</f>
        <v/>
      </c>
      <c r="N686">
        <f>IF(ROWS($N$2:$N686)&lt;=MAX('Per Line'!$AG$2:$AG$3001),MATCH(ROWS($N$2:$N686),'Per Line'!$AG$2:$AG$3001,0),"")</f>
        <v/>
      </c>
      <c r="O686">
        <f>IF(B686="Above Claim Form",COUNTIF($B$2:B686,"Above Claim Form"),"")</f>
        <v/>
      </c>
      <c r="P686">
        <f>IF(B686="Below Claim Form",COUNTIF($B$2:B686,"Below Claim Form"),"")</f>
        <v/>
      </c>
    </row>
    <row r="687">
      <c r="B687">
        <f>IF($N687="","",IFERROR(INDEX(Settings!$C$27:$C$36,MATCH(E687,Settings!$B$27:$B$36,0)),"Unassigned"))</f>
        <v/>
      </c>
      <c r="C687">
        <f>IF($N687="","",INDEX('Per Line'!$D$2:$D$3001,$N687))</f>
        <v/>
      </c>
      <c r="D687">
        <f>IF($N687="","",INDEX('Per Line'!$C$2:$C$3001,$N687))</f>
        <v/>
      </c>
      <c r="E687">
        <f>IF($N687="","",INDEX('Per Line'!$A$2:$A$3001,$N687))</f>
        <v/>
      </c>
      <c r="H687">
        <f>IF($N687="","",INDEX('Per Line'!$V$2:$V$3001,$N687))</f>
        <v/>
      </c>
      <c r="I687" s="5">
        <f>IF($N687="","",SUMIFS('Per Line'!$X$2:$X$3001,'Per Line'!$D$2:$D$3001,$C687))</f>
        <v/>
      </c>
      <c r="J687" s="5">
        <f>IF($N687="","",SUMIFS('Per Line'!$Y$2:$Y$3001,'Per Line'!$D$2:$D$3001,$C687))</f>
        <v/>
      </c>
      <c r="K687" s="5">
        <f>IF($N687="","",SUMIFS('Per Line'!$Z$2:$Z$3001,'Per Line'!$D$2:$D$3001,$C687))</f>
        <v/>
      </c>
      <c r="L687" s="5">
        <f>IF($N687="","",I687-J687)</f>
        <v/>
      </c>
      <c r="M687" s="5">
        <f>IF($N687="","",L687-K687)</f>
        <v/>
      </c>
      <c r="N687">
        <f>IF(ROWS($N$2:$N687)&lt;=MAX('Per Line'!$AG$2:$AG$3001),MATCH(ROWS($N$2:$N687),'Per Line'!$AG$2:$AG$3001,0),"")</f>
        <v/>
      </c>
      <c r="O687">
        <f>IF(B687="Above Claim Form",COUNTIF($B$2:B687,"Above Claim Form"),"")</f>
        <v/>
      </c>
      <c r="P687">
        <f>IF(B687="Below Claim Form",COUNTIF($B$2:B687,"Below Claim Form"),"")</f>
        <v/>
      </c>
    </row>
    <row r="688">
      <c r="B688">
        <f>IF($N688="","",IFERROR(INDEX(Settings!$C$27:$C$36,MATCH(E688,Settings!$B$27:$B$36,0)),"Unassigned"))</f>
        <v/>
      </c>
      <c r="C688">
        <f>IF($N688="","",INDEX('Per Line'!$D$2:$D$3001,$N688))</f>
        <v/>
      </c>
      <c r="D688">
        <f>IF($N688="","",INDEX('Per Line'!$C$2:$C$3001,$N688))</f>
        <v/>
      </c>
      <c r="E688">
        <f>IF($N688="","",INDEX('Per Line'!$A$2:$A$3001,$N688))</f>
        <v/>
      </c>
      <c r="H688">
        <f>IF($N688="","",INDEX('Per Line'!$V$2:$V$3001,$N688))</f>
        <v/>
      </c>
      <c r="I688" s="5">
        <f>IF($N688="","",SUMIFS('Per Line'!$X$2:$X$3001,'Per Line'!$D$2:$D$3001,$C688))</f>
        <v/>
      </c>
      <c r="J688" s="5">
        <f>IF($N688="","",SUMIFS('Per Line'!$Y$2:$Y$3001,'Per Line'!$D$2:$D$3001,$C688))</f>
        <v/>
      </c>
      <c r="K688" s="5">
        <f>IF($N688="","",SUMIFS('Per Line'!$Z$2:$Z$3001,'Per Line'!$D$2:$D$3001,$C688))</f>
        <v/>
      </c>
      <c r="L688" s="5">
        <f>IF($N688="","",I688-J688)</f>
        <v/>
      </c>
      <c r="M688" s="5">
        <f>IF($N688="","",L688-K688)</f>
        <v/>
      </c>
      <c r="N688">
        <f>IF(ROWS($N$2:$N688)&lt;=MAX('Per Line'!$AG$2:$AG$3001),MATCH(ROWS($N$2:$N688),'Per Line'!$AG$2:$AG$3001,0),"")</f>
        <v/>
      </c>
      <c r="O688">
        <f>IF(B688="Above Claim Form",COUNTIF($B$2:B688,"Above Claim Form"),"")</f>
        <v/>
      </c>
      <c r="P688">
        <f>IF(B688="Below Claim Form",COUNTIF($B$2:B688,"Below Claim Form"),"")</f>
        <v/>
      </c>
    </row>
    <row r="689">
      <c r="B689">
        <f>IF($N689="","",IFERROR(INDEX(Settings!$C$27:$C$36,MATCH(E689,Settings!$B$27:$B$36,0)),"Unassigned"))</f>
        <v/>
      </c>
      <c r="C689">
        <f>IF($N689="","",INDEX('Per Line'!$D$2:$D$3001,$N689))</f>
        <v/>
      </c>
      <c r="D689">
        <f>IF($N689="","",INDEX('Per Line'!$C$2:$C$3001,$N689))</f>
        <v/>
      </c>
      <c r="E689">
        <f>IF($N689="","",INDEX('Per Line'!$A$2:$A$3001,$N689))</f>
        <v/>
      </c>
      <c r="H689">
        <f>IF($N689="","",INDEX('Per Line'!$V$2:$V$3001,$N689))</f>
        <v/>
      </c>
      <c r="I689" s="5">
        <f>IF($N689="","",SUMIFS('Per Line'!$X$2:$X$3001,'Per Line'!$D$2:$D$3001,$C689))</f>
        <v/>
      </c>
      <c r="J689" s="5">
        <f>IF($N689="","",SUMIFS('Per Line'!$Y$2:$Y$3001,'Per Line'!$D$2:$D$3001,$C689))</f>
        <v/>
      </c>
      <c r="K689" s="5">
        <f>IF($N689="","",SUMIFS('Per Line'!$Z$2:$Z$3001,'Per Line'!$D$2:$D$3001,$C689))</f>
        <v/>
      </c>
      <c r="L689" s="5">
        <f>IF($N689="","",I689-J689)</f>
        <v/>
      </c>
      <c r="M689" s="5">
        <f>IF($N689="","",L689-K689)</f>
        <v/>
      </c>
      <c r="N689">
        <f>IF(ROWS($N$2:$N689)&lt;=MAX('Per Line'!$AG$2:$AG$3001),MATCH(ROWS($N$2:$N689),'Per Line'!$AG$2:$AG$3001,0),"")</f>
        <v/>
      </c>
      <c r="O689">
        <f>IF(B689="Above Claim Form",COUNTIF($B$2:B689,"Above Claim Form"),"")</f>
        <v/>
      </c>
      <c r="P689">
        <f>IF(B689="Below Claim Form",COUNTIF($B$2:B689,"Below Claim Form"),"")</f>
        <v/>
      </c>
    </row>
    <row r="690">
      <c r="B690">
        <f>IF($N690="","",IFERROR(INDEX(Settings!$C$27:$C$36,MATCH(E690,Settings!$B$27:$B$36,0)),"Unassigned"))</f>
        <v/>
      </c>
      <c r="C690">
        <f>IF($N690="","",INDEX('Per Line'!$D$2:$D$3001,$N690))</f>
        <v/>
      </c>
      <c r="D690">
        <f>IF($N690="","",INDEX('Per Line'!$C$2:$C$3001,$N690))</f>
        <v/>
      </c>
      <c r="E690">
        <f>IF($N690="","",INDEX('Per Line'!$A$2:$A$3001,$N690))</f>
        <v/>
      </c>
      <c r="H690">
        <f>IF($N690="","",INDEX('Per Line'!$V$2:$V$3001,$N690))</f>
        <v/>
      </c>
      <c r="I690" s="5">
        <f>IF($N690="","",SUMIFS('Per Line'!$X$2:$X$3001,'Per Line'!$D$2:$D$3001,$C690))</f>
        <v/>
      </c>
      <c r="J690" s="5">
        <f>IF($N690="","",SUMIFS('Per Line'!$Y$2:$Y$3001,'Per Line'!$D$2:$D$3001,$C690))</f>
        <v/>
      </c>
      <c r="K690" s="5">
        <f>IF($N690="","",SUMIFS('Per Line'!$Z$2:$Z$3001,'Per Line'!$D$2:$D$3001,$C690))</f>
        <v/>
      </c>
      <c r="L690" s="5">
        <f>IF($N690="","",I690-J690)</f>
        <v/>
      </c>
      <c r="M690" s="5">
        <f>IF($N690="","",L690-K690)</f>
        <v/>
      </c>
      <c r="N690">
        <f>IF(ROWS($N$2:$N690)&lt;=MAX('Per Line'!$AG$2:$AG$3001),MATCH(ROWS($N$2:$N690),'Per Line'!$AG$2:$AG$3001,0),"")</f>
        <v/>
      </c>
      <c r="O690">
        <f>IF(B690="Above Claim Form",COUNTIF($B$2:B690,"Above Claim Form"),"")</f>
        <v/>
      </c>
      <c r="P690">
        <f>IF(B690="Below Claim Form",COUNTIF($B$2:B690,"Below Claim Form"),"")</f>
        <v/>
      </c>
    </row>
    <row r="691">
      <c r="B691">
        <f>IF($N691="","",IFERROR(INDEX(Settings!$C$27:$C$36,MATCH(E691,Settings!$B$27:$B$36,0)),"Unassigned"))</f>
        <v/>
      </c>
      <c r="C691">
        <f>IF($N691="","",INDEX('Per Line'!$D$2:$D$3001,$N691))</f>
        <v/>
      </c>
      <c r="D691">
        <f>IF($N691="","",INDEX('Per Line'!$C$2:$C$3001,$N691))</f>
        <v/>
      </c>
      <c r="E691">
        <f>IF($N691="","",INDEX('Per Line'!$A$2:$A$3001,$N691))</f>
        <v/>
      </c>
      <c r="H691">
        <f>IF($N691="","",INDEX('Per Line'!$V$2:$V$3001,$N691))</f>
        <v/>
      </c>
      <c r="I691" s="5">
        <f>IF($N691="","",SUMIFS('Per Line'!$X$2:$X$3001,'Per Line'!$D$2:$D$3001,$C691))</f>
        <v/>
      </c>
      <c r="J691" s="5">
        <f>IF($N691="","",SUMIFS('Per Line'!$Y$2:$Y$3001,'Per Line'!$D$2:$D$3001,$C691))</f>
        <v/>
      </c>
      <c r="K691" s="5">
        <f>IF($N691="","",SUMIFS('Per Line'!$Z$2:$Z$3001,'Per Line'!$D$2:$D$3001,$C691))</f>
        <v/>
      </c>
      <c r="L691" s="5">
        <f>IF($N691="","",I691-J691)</f>
        <v/>
      </c>
      <c r="M691" s="5">
        <f>IF($N691="","",L691-K691)</f>
        <v/>
      </c>
      <c r="N691">
        <f>IF(ROWS($N$2:$N691)&lt;=MAX('Per Line'!$AG$2:$AG$3001),MATCH(ROWS($N$2:$N691),'Per Line'!$AG$2:$AG$3001,0),"")</f>
        <v/>
      </c>
      <c r="O691">
        <f>IF(B691="Above Claim Form",COUNTIF($B$2:B691,"Above Claim Form"),"")</f>
        <v/>
      </c>
      <c r="P691">
        <f>IF(B691="Below Claim Form",COUNTIF($B$2:B691,"Below Claim Form"),"")</f>
        <v/>
      </c>
    </row>
    <row r="692">
      <c r="B692">
        <f>IF($N692="","",IFERROR(INDEX(Settings!$C$27:$C$36,MATCH(E692,Settings!$B$27:$B$36,0)),"Unassigned"))</f>
        <v/>
      </c>
      <c r="C692">
        <f>IF($N692="","",INDEX('Per Line'!$D$2:$D$3001,$N692))</f>
        <v/>
      </c>
      <c r="D692">
        <f>IF($N692="","",INDEX('Per Line'!$C$2:$C$3001,$N692))</f>
        <v/>
      </c>
      <c r="E692">
        <f>IF($N692="","",INDEX('Per Line'!$A$2:$A$3001,$N692))</f>
        <v/>
      </c>
      <c r="H692">
        <f>IF($N692="","",INDEX('Per Line'!$V$2:$V$3001,$N692))</f>
        <v/>
      </c>
      <c r="I692" s="5">
        <f>IF($N692="","",SUMIFS('Per Line'!$X$2:$X$3001,'Per Line'!$D$2:$D$3001,$C692))</f>
        <v/>
      </c>
      <c r="J692" s="5">
        <f>IF($N692="","",SUMIFS('Per Line'!$Y$2:$Y$3001,'Per Line'!$D$2:$D$3001,$C692))</f>
        <v/>
      </c>
      <c r="K692" s="5">
        <f>IF($N692="","",SUMIFS('Per Line'!$Z$2:$Z$3001,'Per Line'!$D$2:$D$3001,$C692))</f>
        <v/>
      </c>
      <c r="L692" s="5">
        <f>IF($N692="","",I692-J692)</f>
        <v/>
      </c>
      <c r="M692" s="5">
        <f>IF($N692="","",L692-K692)</f>
        <v/>
      </c>
      <c r="N692">
        <f>IF(ROWS($N$2:$N692)&lt;=MAX('Per Line'!$AG$2:$AG$3001),MATCH(ROWS($N$2:$N692),'Per Line'!$AG$2:$AG$3001,0),"")</f>
        <v/>
      </c>
      <c r="O692">
        <f>IF(B692="Above Claim Form",COUNTIF($B$2:B692,"Above Claim Form"),"")</f>
        <v/>
      </c>
      <c r="P692">
        <f>IF(B692="Below Claim Form",COUNTIF($B$2:B692,"Below Claim Form"),"")</f>
        <v/>
      </c>
    </row>
    <row r="693">
      <c r="B693">
        <f>IF($N693="","",IFERROR(INDEX(Settings!$C$27:$C$36,MATCH(E693,Settings!$B$27:$B$36,0)),"Unassigned"))</f>
        <v/>
      </c>
      <c r="C693">
        <f>IF($N693="","",INDEX('Per Line'!$D$2:$D$3001,$N693))</f>
        <v/>
      </c>
      <c r="D693">
        <f>IF($N693="","",INDEX('Per Line'!$C$2:$C$3001,$N693))</f>
        <v/>
      </c>
      <c r="E693">
        <f>IF($N693="","",INDEX('Per Line'!$A$2:$A$3001,$N693))</f>
        <v/>
      </c>
      <c r="H693">
        <f>IF($N693="","",INDEX('Per Line'!$V$2:$V$3001,$N693))</f>
        <v/>
      </c>
      <c r="I693" s="5">
        <f>IF($N693="","",SUMIFS('Per Line'!$X$2:$X$3001,'Per Line'!$D$2:$D$3001,$C693))</f>
        <v/>
      </c>
      <c r="J693" s="5">
        <f>IF($N693="","",SUMIFS('Per Line'!$Y$2:$Y$3001,'Per Line'!$D$2:$D$3001,$C693))</f>
        <v/>
      </c>
      <c r="K693" s="5">
        <f>IF($N693="","",SUMIFS('Per Line'!$Z$2:$Z$3001,'Per Line'!$D$2:$D$3001,$C693))</f>
        <v/>
      </c>
      <c r="L693" s="5">
        <f>IF($N693="","",I693-J693)</f>
        <v/>
      </c>
      <c r="M693" s="5">
        <f>IF($N693="","",L693-K693)</f>
        <v/>
      </c>
      <c r="N693">
        <f>IF(ROWS($N$2:$N693)&lt;=MAX('Per Line'!$AG$2:$AG$3001),MATCH(ROWS($N$2:$N693),'Per Line'!$AG$2:$AG$3001,0),"")</f>
        <v/>
      </c>
      <c r="O693">
        <f>IF(B693="Above Claim Form",COUNTIF($B$2:B693,"Above Claim Form"),"")</f>
        <v/>
      </c>
      <c r="P693">
        <f>IF(B693="Below Claim Form",COUNTIF($B$2:B693,"Below Claim Form"),"")</f>
        <v/>
      </c>
    </row>
    <row r="694">
      <c r="B694">
        <f>IF($N694="","",IFERROR(INDEX(Settings!$C$27:$C$36,MATCH(E694,Settings!$B$27:$B$36,0)),"Unassigned"))</f>
        <v/>
      </c>
      <c r="C694">
        <f>IF($N694="","",INDEX('Per Line'!$D$2:$D$3001,$N694))</f>
        <v/>
      </c>
      <c r="D694">
        <f>IF($N694="","",INDEX('Per Line'!$C$2:$C$3001,$N694))</f>
        <v/>
      </c>
      <c r="E694">
        <f>IF($N694="","",INDEX('Per Line'!$A$2:$A$3001,$N694))</f>
        <v/>
      </c>
      <c r="H694">
        <f>IF($N694="","",INDEX('Per Line'!$V$2:$V$3001,$N694))</f>
        <v/>
      </c>
      <c r="I694" s="5">
        <f>IF($N694="","",SUMIFS('Per Line'!$X$2:$X$3001,'Per Line'!$D$2:$D$3001,$C694))</f>
        <v/>
      </c>
      <c r="J694" s="5">
        <f>IF($N694="","",SUMIFS('Per Line'!$Y$2:$Y$3001,'Per Line'!$D$2:$D$3001,$C694))</f>
        <v/>
      </c>
      <c r="K694" s="5">
        <f>IF($N694="","",SUMIFS('Per Line'!$Z$2:$Z$3001,'Per Line'!$D$2:$D$3001,$C694))</f>
        <v/>
      </c>
      <c r="L694" s="5">
        <f>IF($N694="","",I694-J694)</f>
        <v/>
      </c>
      <c r="M694" s="5">
        <f>IF($N694="","",L694-K694)</f>
        <v/>
      </c>
      <c r="N694">
        <f>IF(ROWS($N$2:$N694)&lt;=MAX('Per Line'!$AG$2:$AG$3001),MATCH(ROWS($N$2:$N694),'Per Line'!$AG$2:$AG$3001,0),"")</f>
        <v/>
      </c>
      <c r="O694">
        <f>IF(B694="Above Claim Form",COUNTIF($B$2:B694,"Above Claim Form"),"")</f>
        <v/>
      </c>
      <c r="P694">
        <f>IF(B694="Below Claim Form",COUNTIF($B$2:B694,"Below Claim Form"),"")</f>
        <v/>
      </c>
    </row>
    <row r="695">
      <c r="B695">
        <f>IF($N695="","",IFERROR(INDEX(Settings!$C$27:$C$36,MATCH(E695,Settings!$B$27:$B$36,0)),"Unassigned"))</f>
        <v/>
      </c>
      <c r="C695">
        <f>IF($N695="","",INDEX('Per Line'!$D$2:$D$3001,$N695))</f>
        <v/>
      </c>
      <c r="D695">
        <f>IF($N695="","",INDEX('Per Line'!$C$2:$C$3001,$N695))</f>
        <v/>
      </c>
      <c r="E695">
        <f>IF($N695="","",INDEX('Per Line'!$A$2:$A$3001,$N695))</f>
        <v/>
      </c>
      <c r="H695">
        <f>IF($N695="","",INDEX('Per Line'!$V$2:$V$3001,$N695))</f>
        <v/>
      </c>
      <c r="I695" s="5">
        <f>IF($N695="","",SUMIFS('Per Line'!$X$2:$X$3001,'Per Line'!$D$2:$D$3001,$C695))</f>
        <v/>
      </c>
      <c r="J695" s="5">
        <f>IF($N695="","",SUMIFS('Per Line'!$Y$2:$Y$3001,'Per Line'!$D$2:$D$3001,$C695))</f>
        <v/>
      </c>
      <c r="K695" s="5">
        <f>IF($N695="","",SUMIFS('Per Line'!$Z$2:$Z$3001,'Per Line'!$D$2:$D$3001,$C695))</f>
        <v/>
      </c>
      <c r="L695" s="5">
        <f>IF($N695="","",I695-J695)</f>
        <v/>
      </c>
      <c r="M695" s="5">
        <f>IF($N695="","",L695-K695)</f>
        <v/>
      </c>
      <c r="N695">
        <f>IF(ROWS($N$2:$N695)&lt;=MAX('Per Line'!$AG$2:$AG$3001),MATCH(ROWS($N$2:$N695),'Per Line'!$AG$2:$AG$3001,0),"")</f>
        <v/>
      </c>
      <c r="O695">
        <f>IF(B695="Above Claim Form",COUNTIF($B$2:B695,"Above Claim Form"),"")</f>
        <v/>
      </c>
      <c r="P695">
        <f>IF(B695="Below Claim Form",COUNTIF($B$2:B695,"Below Claim Form"),"")</f>
        <v/>
      </c>
    </row>
    <row r="696">
      <c r="B696">
        <f>IF($N696="","",IFERROR(INDEX(Settings!$C$27:$C$36,MATCH(E696,Settings!$B$27:$B$36,0)),"Unassigned"))</f>
        <v/>
      </c>
      <c r="C696">
        <f>IF($N696="","",INDEX('Per Line'!$D$2:$D$3001,$N696))</f>
        <v/>
      </c>
      <c r="D696">
        <f>IF($N696="","",INDEX('Per Line'!$C$2:$C$3001,$N696))</f>
        <v/>
      </c>
      <c r="E696">
        <f>IF($N696="","",INDEX('Per Line'!$A$2:$A$3001,$N696))</f>
        <v/>
      </c>
      <c r="H696">
        <f>IF($N696="","",INDEX('Per Line'!$V$2:$V$3001,$N696))</f>
        <v/>
      </c>
      <c r="I696" s="5">
        <f>IF($N696="","",SUMIFS('Per Line'!$X$2:$X$3001,'Per Line'!$D$2:$D$3001,$C696))</f>
        <v/>
      </c>
      <c r="J696" s="5">
        <f>IF($N696="","",SUMIFS('Per Line'!$Y$2:$Y$3001,'Per Line'!$D$2:$D$3001,$C696))</f>
        <v/>
      </c>
      <c r="K696" s="5">
        <f>IF($N696="","",SUMIFS('Per Line'!$Z$2:$Z$3001,'Per Line'!$D$2:$D$3001,$C696))</f>
        <v/>
      </c>
      <c r="L696" s="5">
        <f>IF($N696="","",I696-J696)</f>
        <v/>
      </c>
      <c r="M696" s="5">
        <f>IF($N696="","",L696-K696)</f>
        <v/>
      </c>
      <c r="N696">
        <f>IF(ROWS($N$2:$N696)&lt;=MAX('Per Line'!$AG$2:$AG$3001),MATCH(ROWS($N$2:$N696),'Per Line'!$AG$2:$AG$3001,0),"")</f>
        <v/>
      </c>
      <c r="O696">
        <f>IF(B696="Above Claim Form",COUNTIF($B$2:B696,"Above Claim Form"),"")</f>
        <v/>
      </c>
      <c r="P696">
        <f>IF(B696="Below Claim Form",COUNTIF($B$2:B696,"Below Claim Form"),"")</f>
        <v/>
      </c>
    </row>
    <row r="697">
      <c r="B697">
        <f>IF($N697="","",IFERROR(INDEX(Settings!$C$27:$C$36,MATCH(E697,Settings!$B$27:$B$36,0)),"Unassigned"))</f>
        <v/>
      </c>
      <c r="C697">
        <f>IF($N697="","",INDEX('Per Line'!$D$2:$D$3001,$N697))</f>
        <v/>
      </c>
      <c r="D697">
        <f>IF($N697="","",INDEX('Per Line'!$C$2:$C$3001,$N697))</f>
        <v/>
      </c>
      <c r="E697">
        <f>IF($N697="","",INDEX('Per Line'!$A$2:$A$3001,$N697))</f>
        <v/>
      </c>
      <c r="H697">
        <f>IF($N697="","",INDEX('Per Line'!$V$2:$V$3001,$N697))</f>
        <v/>
      </c>
      <c r="I697" s="5">
        <f>IF($N697="","",SUMIFS('Per Line'!$X$2:$X$3001,'Per Line'!$D$2:$D$3001,$C697))</f>
        <v/>
      </c>
      <c r="J697" s="5">
        <f>IF($N697="","",SUMIFS('Per Line'!$Y$2:$Y$3001,'Per Line'!$D$2:$D$3001,$C697))</f>
        <v/>
      </c>
      <c r="K697" s="5">
        <f>IF($N697="","",SUMIFS('Per Line'!$Z$2:$Z$3001,'Per Line'!$D$2:$D$3001,$C697))</f>
        <v/>
      </c>
      <c r="L697" s="5">
        <f>IF($N697="","",I697-J697)</f>
        <v/>
      </c>
      <c r="M697" s="5">
        <f>IF($N697="","",L697-K697)</f>
        <v/>
      </c>
      <c r="N697">
        <f>IF(ROWS($N$2:$N697)&lt;=MAX('Per Line'!$AG$2:$AG$3001),MATCH(ROWS($N$2:$N697),'Per Line'!$AG$2:$AG$3001,0),"")</f>
        <v/>
      </c>
      <c r="O697">
        <f>IF(B697="Above Claim Form",COUNTIF($B$2:B697,"Above Claim Form"),"")</f>
        <v/>
      </c>
      <c r="P697">
        <f>IF(B697="Below Claim Form",COUNTIF($B$2:B697,"Below Claim Form"),"")</f>
        <v/>
      </c>
    </row>
    <row r="698">
      <c r="B698">
        <f>IF($N698="","",IFERROR(INDEX(Settings!$C$27:$C$36,MATCH(E698,Settings!$B$27:$B$36,0)),"Unassigned"))</f>
        <v/>
      </c>
      <c r="C698">
        <f>IF($N698="","",INDEX('Per Line'!$D$2:$D$3001,$N698))</f>
        <v/>
      </c>
      <c r="D698">
        <f>IF($N698="","",INDEX('Per Line'!$C$2:$C$3001,$N698))</f>
        <v/>
      </c>
      <c r="E698">
        <f>IF($N698="","",INDEX('Per Line'!$A$2:$A$3001,$N698))</f>
        <v/>
      </c>
      <c r="H698">
        <f>IF($N698="","",INDEX('Per Line'!$V$2:$V$3001,$N698))</f>
        <v/>
      </c>
      <c r="I698" s="5">
        <f>IF($N698="","",SUMIFS('Per Line'!$X$2:$X$3001,'Per Line'!$D$2:$D$3001,$C698))</f>
        <v/>
      </c>
      <c r="J698" s="5">
        <f>IF($N698="","",SUMIFS('Per Line'!$Y$2:$Y$3001,'Per Line'!$D$2:$D$3001,$C698))</f>
        <v/>
      </c>
      <c r="K698" s="5">
        <f>IF($N698="","",SUMIFS('Per Line'!$Z$2:$Z$3001,'Per Line'!$D$2:$D$3001,$C698))</f>
        <v/>
      </c>
      <c r="L698" s="5">
        <f>IF($N698="","",I698-J698)</f>
        <v/>
      </c>
      <c r="M698" s="5">
        <f>IF($N698="","",L698-K698)</f>
        <v/>
      </c>
      <c r="N698">
        <f>IF(ROWS($N$2:$N698)&lt;=MAX('Per Line'!$AG$2:$AG$3001),MATCH(ROWS($N$2:$N698),'Per Line'!$AG$2:$AG$3001,0),"")</f>
        <v/>
      </c>
      <c r="O698">
        <f>IF(B698="Above Claim Form",COUNTIF($B$2:B698,"Above Claim Form"),"")</f>
        <v/>
      </c>
      <c r="P698">
        <f>IF(B698="Below Claim Form",COUNTIF($B$2:B698,"Below Claim Form"),"")</f>
        <v/>
      </c>
    </row>
    <row r="699">
      <c r="B699">
        <f>IF($N699="","",IFERROR(INDEX(Settings!$C$27:$C$36,MATCH(E699,Settings!$B$27:$B$36,0)),"Unassigned"))</f>
        <v/>
      </c>
      <c r="C699">
        <f>IF($N699="","",INDEX('Per Line'!$D$2:$D$3001,$N699))</f>
        <v/>
      </c>
      <c r="D699">
        <f>IF($N699="","",INDEX('Per Line'!$C$2:$C$3001,$N699))</f>
        <v/>
      </c>
      <c r="E699">
        <f>IF($N699="","",INDEX('Per Line'!$A$2:$A$3001,$N699))</f>
        <v/>
      </c>
      <c r="H699">
        <f>IF($N699="","",INDEX('Per Line'!$V$2:$V$3001,$N699))</f>
        <v/>
      </c>
      <c r="I699" s="5">
        <f>IF($N699="","",SUMIFS('Per Line'!$X$2:$X$3001,'Per Line'!$D$2:$D$3001,$C699))</f>
        <v/>
      </c>
      <c r="J699" s="5">
        <f>IF($N699="","",SUMIFS('Per Line'!$Y$2:$Y$3001,'Per Line'!$D$2:$D$3001,$C699))</f>
        <v/>
      </c>
      <c r="K699" s="5">
        <f>IF($N699="","",SUMIFS('Per Line'!$Z$2:$Z$3001,'Per Line'!$D$2:$D$3001,$C699))</f>
        <v/>
      </c>
      <c r="L699" s="5">
        <f>IF($N699="","",I699-J699)</f>
        <v/>
      </c>
      <c r="M699" s="5">
        <f>IF($N699="","",L699-K699)</f>
        <v/>
      </c>
      <c r="N699">
        <f>IF(ROWS($N$2:$N699)&lt;=MAX('Per Line'!$AG$2:$AG$3001),MATCH(ROWS($N$2:$N699),'Per Line'!$AG$2:$AG$3001,0),"")</f>
        <v/>
      </c>
      <c r="O699">
        <f>IF(B699="Above Claim Form",COUNTIF($B$2:B699,"Above Claim Form"),"")</f>
        <v/>
      </c>
      <c r="P699">
        <f>IF(B699="Below Claim Form",COUNTIF($B$2:B699,"Below Claim Form"),"")</f>
        <v/>
      </c>
    </row>
    <row r="700">
      <c r="B700">
        <f>IF($N700="","",IFERROR(INDEX(Settings!$C$27:$C$36,MATCH(E700,Settings!$B$27:$B$36,0)),"Unassigned"))</f>
        <v/>
      </c>
      <c r="C700">
        <f>IF($N700="","",INDEX('Per Line'!$D$2:$D$3001,$N700))</f>
        <v/>
      </c>
      <c r="D700">
        <f>IF($N700="","",INDEX('Per Line'!$C$2:$C$3001,$N700))</f>
        <v/>
      </c>
      <c r="E700">
        <f>IF($N700="","",INDEX('Per Line'!$A$2:$A$3001,$N700))</f>
        <v/>
      </c>
      <c r="H700">
        <f>IF($N700="","",INDEX('Per Line'!$V$2:$V$3001,$N700))</f>
        <v/>
      </c>
      <c r="I700" s="5">
        <f>IF($N700="","",SUMIFS('Per Line'!$X$2:$X$3001,'Per Line'!$D$2:$D$3001,$C700))</f>
        <v/>
      </c>
      <c r="J700" s="5">
        <f>IF($N700="","",SUMIFS('Per Line'!$Y$2:$Y$3001,'Per Line'!$D$2:$D$3001,$C700))</f>
        <v/>
      </c>
      <c r="K700" s="5">
        <f>IF($N700="","",SUMIFS('Per Line'!$Z$2:$Z$3001,'Per Line'!$D$2:$D$3001,$C700))</f>
        <v/>
      </c>
      <c r="L700" s="5">
        <f>IF($N700="","",I700-J700)</f>
        <v/>
      </c>
      <c r="M700" s="5">
        <f>IF($N700="","",L700-K700)</f>
        <v/>
      </c>
      <c r="N700">
        <f>IF(ROWS($N$2:$N700)&lt;=MAX('Per Line'!$AG$2:$AG$3001),MATCH(ROWS($N$2:$N700),'Per Line'!$AG$2:$AG$3001,0),"")</f>
        <v/>
      </c>
      <c r="O700">
        <f>IF(B700="Above Claim Form",COUNTIF($B$2:B700,"Above Claim Form"),"")</f>
        <v/>
      </c>
      <c r="P700">
        <f>IF(B700="Below Claim Form",COUNTIF($B$2:B700,"Below Claim Form"),"")</f>
        <v/>
      </c>
    </row>
    <row r="701">
      <c r="B701">
        <f>IF($N701="","",IFERROR(INDEX(Settings!$C$27:$C$36,MATCH(E701,Settings!$B$27:$B$36,0)),"Unassigned"))</f>
        <v/>
      </c>
      <c r="C701">
        <f>IF($N701="","",INDEX('Per Line'!$D$2:$D$3001,$N701))</f>
        <v/>
      </c>
      <c r="D701">
        <f>IF($N701="","",INDEX('Per Line'!$C$2:$C$3001,$N701))</f>
        <v/>
      </c>
      <c r="E701">
        <f>IF($N701="","",INDEX('Per Line'!$A$2:$A$3001,$N701))</f>
        <v/>
      </c>
      <c r="H701">
        <f>IF($N701="","",INDEX('Per Line'!$V$2:$V$3001,$N701))</f>
        <v/>
      </c>
      <c r="I701" s="5">
        <f>IF($N701="","",SUMIFS('Per Line'!$X$2:$X$3001,'Per Line'!$D$2:$D$3001,$C701))</f>
        <v/>
      </c>
      <c r="J701" s="5">
        <f>IF($N701="","",SUMIFS('Per Line'!$Y$2:$Y$3001,'Per Line'!$D$2:$D$3001,$C701))</f>
        <v/>
      </c>
      <c r="K701" s="5">
        <f>IF($N701="","",SUMIFS('Per Line'!$Z$2:$Z$3001,'Per Line'!$D$2:$D$3001,$C701))</f>
        <v/>
      </c>
      <c r="L701" s="5">
        <f>IF($N701="","",I701-J701)</f>
        <v/>
      </c>
      <c r="M701" s="5">
        <f>IF($N701="","",L701-K701)</f>
        <v/>
      </c>
      <c r="N701">
        <f>IF(ROWS($N$2:$N701)&lt;=MAX('Per Line'!$AG$2:$AG$3001),MATCH(ROWS($N$2:$N701),'Per Line'!$AG$2:$AG$3001,0),"")</f>
        <v/>
      </c>
      <c r="O701">
        <f>IF(B701="Above Claim Form",COUNTIF($B$2:B701,"Above Claim Form"),"")</f>
        <v/>
      </c>
      <c r="P701">
        <f>IF(B701="Below Claim Form",COUNTIF($B$2:B701,"Below Claim Form"),"")</f>
        <v/>
      </c>
    </row>
    <row r="702">
      <c r="B702">
        <f>IF($N702="","",IFERROR(INDEX(Settings!$C$27:$C$36,MATCH(E702,Settings!$B$27:$B$36,0)),"Unassigned"))</f>
        <v/>
      </c>
      <c r="C702">
        <f>IF($N702="","",INDEX('Per Line'!$D$2:$D$3001,$N702))</f>
        <v/>
      </c>
      <c r="D702">
        <f>IF($N702="","",INDEX('Per Line'!$C$2:$C$3001,$N702))</f>
        <v/>
      </c>
      <c r="E702">
        <f>IF($N702="","",INDEX('Per Line'!$A$2:$A$3001,$N702))</f>
        <v/>
      </c>
      <c r="H702">
        <f>IF($N702="","",INDEX('Per Line'!$V$2:$V$3001,$N702))</f>
        <v/>
      </c>
      <c r="I702" s="5">
        <f>IF($N702="","",SUMIFS('Per Line'!$X$2:$X$3001,'Per Line'!$D$2:$D$3001,$C702))</f>
        <v/>
      </c>
      <c r="J702" s="5">
        <f>IF($N702="","",SUMIFS('Per Line'!$Y$2:$Y$3001,'Per Line'!$D$2:$D$3001,$C702))</f>
        <v/>
      </c>
      <c r="K702" s="5">
        <f>IF($N702="","",SUMIFS('Per Line'!$Z$2:$Z$3001,'Per Line'!$D$2:$D$3001,$C702))</f>
        <v/>
      </c>
      <c r="L702" s="5">
        <f>IF($N702="","",I702-J702)</f>
        <v/>
      </c>
      <c r="M702" s="5">
        <f>IF($N702="","",L702-K702)</f>
        <v/>
      </c>
      <c r="N702">
        <f>IF(ROWS($N$2:$N702)&lt;=MAX('Per Line'!$AG$2:$AG$3001),MATCH(ROWS($N$2:$N702),'Per Line'!$AG$2:$AG$3001,0),"")</f>
        <v/>
      </c>
      <c r="O702">
        <f>IF(B702="Above Claim Form",COUNTIF($B$2:B702,"Above Claim Form"),"")</f>
        <v/>
      </c>
      <c r="P702">
        <f>IF(B702="Below Claim Form",COUNTIF($B$2:B702,"Below Claim Form"),"")</f>
        <v/>
      </c>
    </row>
    <row r="703">
      <c r="B703">
        <f>IF($N703="","",IFERROR(INDEX(Settings!$C$27:$C$36,MATCH(E703,Settings!$B$27:$B$36,0)),"Unassigned"))</f>
        <v/>
      </c>
      <c r="C703">
        <f>IF($N703="","",INDEX('Per Line'!$D$2:$D$3001,$N703))</f>
        <v/>
      </c>
      <c r="D703">
        <f>IF($N703="","",INDEX('Per Line'!$C$2:$C$3001,$N703))</f>
        <v/>
      </c>
      <c r="E703">
        <f>IF($N703="","",INDEX('Per Line'!$A$2:$A$3001,$N703))</f>
        <v/>
      </c>
      <c r="H703">
        <f>IF($N703="","",INDEX('Per Line'!$V$2:$V$3001,$N703))</f>
        <v/>
      </c>
      <c r="I703" s="5">
        <f>IF($N703="","",SUMIFS('Per Line'!$X$2:$X$3001,'Per Line'!$D$2:$D$3001,$C703))</f>
        <v/>
      </c>
      <c r="J703" s="5">
        <f>IF($N703="","",SUMIFS('Per Line'!$Y$2:$Y$3001,'Per Line'!$D$2:$D$3001,$C703))</f>
        <v/>
      </c>
      <c r="K703" s="5">
        <f>IF($N703="","",SUMIFS('Per Line'!$Z$2:$Z$3001,'Per Line'!$D$2:$D$3001,$C703))</f>
        <v/>
      </c>
      <c r="L703" s="5">
        <f>IF($N703="","",I703-J703)</f>
        <v/>
      </c>
      <c r="M703" s="5">
        <f>IF($N703="","",L703-K703)</f>
        <v/>
      </c>
      <c r="N703">
        <f>IF(ROWS($N$2:$N703)&lt;=MAX('Per Line'!$AG$2:$AG$3001),MATCH(ROWS($N$2:$N703),'Per Line'!$AG$2:$AG$3001,0),"")</f>
        <v/>
      </c>
      <c r="O703">
        <f>IF(B703="Above Claim Form",COUNTIF($B$2:B703,"Above Claim Form"),"")</f>
        <v/>
      </c>
      <c r="P703">
        <f>IF(B703="Below Claim Form",COUNTIF($B$2:B703,"Below Claim Form"),"")</f>
        <v/>
      </c>
    </row>
    <row r="704">
      <c r="B704">
        <f>IF($N704="","",IFERROR(INDEX(Settings!$C$27:$C$36,MATCH(E704,Settings!$B$27:$B$36,0)),"Unassigned"))</f>
        <v/>
      </c>
      <c r="C704">
        <f>IF($N704="","",INDEX('Per Line'!$D$2:$D$3001,$N704))</f>
        <v/>
      </c>
      <c r="D704">
        <f>IF($N704="","",INDEX('Per Line'!$C$2:$C$3001,$N704))</f>
        <v/>
      </c>
      <c r="E704">
        <f>IF($N704="","",INDEX('Per Line'!$A$2:$A$3001,$N704))</f>
        <v/>
      </c>
      <c r="H704">
        <f>IF($N704="","",INDEX('Per Line'!$V$2:$V$3001,$N704))</f>
        <v/>
      </c>
      <c r="I704" s="5">
        <f>IF($N704="","",SUMIFS('Per Line'!$X$2:$X$3001,'Per Line'!$D$2:$D$3001,$C704))</f>
        <v/>
      </c>
      <c r="J704" s="5">
        <f>IF($N704="","",SUMIFS('Per Line'!$Y$2:$Y$3001,'Per Line'!$D$2:$D$3001,$C704))</f>
        <v/>
      </c>
      <c r="K704" s="5">
        <f>IF($N704="","",SUMIFS('Per Line'!$Z$2:$Z$3001,'Per Line'!$D$2:$D$3001,$C704))</f>
        <v/>
      </c>
      <c r="L704" s="5">
        <f>IF($N704="","",I704-J704)</f>
        <v/>
      </c>
      <c r="M704" s="5">
        <f>IF($N704="","",L704-K704)</f>
        <v/>
      </c>
      <c r="N704">
        <f>IF(ROWS($N$2:$N704)&lt;=MAX('Per Line'!$AG$2:$AG$3001),MATCH(ROWS($N$2:$N704),'Per Line'!$AG$2:$AG$3001,0),"")</f>
        <v/>
      </c>
      <c r="O704">
        <f>IF(B704="Above Claim Form",COUNTIF($B$2:B704,"Above Claim Form"),"")</f>
        <v/>
      </c>
      <c r="P704">
        <f>IF(B704="Below Claim Form",COUNTIF($B$2:B704,"Below Claim Form"),"")</f>
        <v/>
      </c>
    </row>
    <row r="705">
      <c r="B705">
        <f>IF($N705="","",IFERROR(INDEX(Settings!$C$27:$C$36,MATCH(E705,Settings!$B$27:$B$36,0)),"Unassigned"))</f>
        <v/>
      </c>
      <c r="C705">
        <f>IF($N705="","",INDEX('Per Line'!$D$2:$D$3001,$N705))</f>
        <v/>
      </c>
      <c r="D705">
        <f>IF($N705="","",INDEX('Per Line'!$C$2:$C$3001,$N705))</f>
        <v/>
      </c>
      <c r="E705">
        <f>IF($N705="","",INDEX('Per Line'!$A$2:$A$3001,$N705))</f>
        <v/>
      </c>
      <c r="H705">
        <f>IF($N705="","",INDEX('Per Line'!$V$2:$V$3001,$N705))</f>
        <v/>
      </c>
      <c r="I705" s="5">
        <f>IF($N705="","",SUMIFS('Per Line'!$X$2:$X$3001,'Per Line'!$D$2:$D$3001,$C705))</f>
        <v/>
      </c>
      <c r="J705" s="5">
        <f>IF($N705="","",SUMIFS('Per Line'!$Y$2:$Y$3001,'Per Line'!$D$2:$D$3001,$C705))</f>
        <v/>
      </c>
      <c r="K705" s="5">
        <f>IF($N705="","",SUMIFS('Per Line'!$Z$2:$Z$3001,'Per Line'!$D$2:$D$3001,$C705))</f>
        <v/>
      </c>
      <c r="L705" s="5">
        <f>IF($N705="","",I705-J705)</f>
        <v/>
      </c>
      <c r="M705" s="5">
        <f>IF($N705="","",L705-K705)</f>
        <v/>
      </c>
      <c r="N705">
        <f>IF(ROWS($N$2:$N705)&lt;=MAX('Per Line'!$AG$2:$AG$3001),MATCH(ROWS($N$2:$N705),'Per Line'!$AG$2:$AG$3001,0),"")</f>
        <v/>
      </c>
      <c r="O705">
        <f>IF(B705="Above Claim Form",COUNTIF($B$2:B705,"Above Claim Form"),"")</f>
        <v/>
      </c>
      <c r="P705">
        <f>IF(B705="Below Claim Form",COUNTIF($B$2:B705,"Below Claim Form"),"")</f>
        <v/>
      </c>
    </row>
    <row r="706">
      <c r="B706">
        <f>IF($N706="","",IFERROR(INDEX(Settings!$C$27:$C$36,MATCH(E706,Settings!$B$27:$B$36,0)),"Unassigned"))</f>
        <v/>
      </c>
      <c r="C706">
        <f>IF($N706="","",INDEX('Per Line'!$D$2:$D$3001,$N706))</f>
        <v/>
      </c>
      <c r="D706">
        <f>IF($N706="","",INDEX('Per Line'!$C$2:$C$3001,$N706))</f>
        <v/>
      </c>
      <c r="E706">
        <f>IF($N706="","",INDEX('Per Line'!$A$2:$A$3001,$N706))</f>
        <v/>
      </c>
      <c r="H706">
        <f>IF($N706="","",INDEX('Per Line'!$V$2:$V$3001,$N706))</f>
        <v/>
      </c>
      <c r="I706" s="5">
        <f>IF($N706="","",SUMIFS('Per Line'!$X$2:$X$3001,'Per Line'!$D$2:$D$3001,$C706))</f>
        <v/>
      </c>
      <c r="J706" s="5">
        <f>IF($N706="","",SUMIFS('Per Line'!$Y$2:$Y$3001,'Per Line'!$D$2:$D$3001,$C706))</f>
        <v/>
      </c>
      <c r="K706" s="5">
        <f>IF($N706="","",SUMIFS('Per Line'!$Z$2:$Z$3001,'Per Line'!$D$2:$D$3001,$C706))</f>
        <v/>
      </c>
      <c r="L706" s="5">
        <f>IF($N706="","",I706-J706)</f>
        <v/>
      </c>
      <c r="M706" s="5">
        <f>IF($N706="","",L706-K706)</f>
        <v/>
      </c>
      <c r="N706">
        <f>IF(ROWS($N$2:$N706)&lt;=MAX('Per Line'!$AG$2:$AG$3001),MATCH(ROWS($N$2:$N706),'Per Line'!$AG$2:$AG$3001,0),"")</f>
        <v/>
      </c>
      <c r="O706">
        <f>IF(B706="Above Claim Form",COUNTIF($B$2:B706,"Above Claim Form"),"")</f>
        <v/>
      </c>
      <c r="P706">
        <f>IF(B706="Below Claim Form",COUNTIF($B$2:B706,"Below Claim Form"),"")</f>
        <v/>
      </c>
    </row>
    <row r="707">
      <c r="B707">
        <f>IF($N707="","",IFERROR(INDEX(Settings!$C$27:$C$36,MATCH(E707,Settings!$B$27:$B$36,0)),"Unassigned"))</f>
        <v/>
      </c>
      <c r="C707">
        <f>IF($N707="","",INDEX('Per Line'!$D$2:$D$3001,$N707))</f>
        <v/>
      </c>
      <c r="D707">
        <f>IF($N707="","",INDEX('Per Line'!$C$2:$C$3001,$N707))</f>
        <v/>
      </c>
      <c r="E707">
        <f>IF($N707="","",INDEX('Per Line'!$A$2:$A$3001,$N707))</f>
        <v/>
      </c>
      <c r="H707">
        <f>IF($N707="","",INDEX('Per Line'!$V$2:$V$3001,$N707))</f>
        <v/>
      </c>
      <c r="I707" s="5">
        <f>IF($N707="","",SUMIFS('Per Line'!$X$2:$X$3001,'Per Line'!$D$2:$D$3001,$C707))</f>
        <v/>
      </c>
      <c r="J707" s="5">
        <f>IF($N707="","",SUMIFS('Per Line'!$Y$2:$Y$3001,'Per Line'!$D$2:$D$3001,$C707))</f>
        <v/>
      </c>
      <c r="K707" s="5">
        <f>IF($N707="","",SUMIFS('Per Line'!$Z$2:$Z$3001,'Per Line'!$D$2:$D$3001,$C707))</f>
        <v/>
      </c>
      <c r="L707" s="5">
        <f>IF($N707="","",I707-J707)</f>
        <v/>
      </c>
      <c r="M707" s="5">
        <f>IF($N707="","",L707-K707)</f>
        <v/>
      </c>
      <c r="N707">
        <f>IF(ROWS($N$2:$N707)&lt;=MAX('Per Line'!$AG$2:$AG$3001),MATCH(ROWS($N$2:$N707),'Per Line'!$AG$2:$AG$3001,0),"")</f>
        <v/>
      </c>
      <c r="O707">
        <f>IF(B707="Above Claim Form",COUNTIF($B$2:B707,"Above Claim Form"),"")</f>
        <v/>
      </c>
      <c r="P707">
        <f>IF(B707="Below Claim Form",COUNTIF($B$2:B707,"Below Claim Form"),"")</f>
        <v/>
      </c>
    </row>
    <row r="708">
      <c r="B708">
        <f>IF($N708="","",IFERROR(INDEX(Settings!$C$27:$C$36,MATCH(E708,Settings!$B$27:$B$36,0)),"Unassigned"))</f>
        <v/>
      </c>
      <c r="C708">
        <f>IF($N708="","",INDEX('Per Line'!$D$2:$D$3001,$N708))</f>
        <v/>
      </c>
      <c r="D708">
        <f>IF($N708="","",INDEX('Per Line'!$C$2:$C$3001,$N708))</f>
        <v/>
      </c>
      <c r="E708">
        <f>IF($N708="","",INDEX('Per Line'!$A$2:$A$3001,$N708))</f>
        <v/>
      </c>
      <c r="H708">
        <f>IF($N708="","",INDEX('Per Line'!$V$2:$V$3001,$N708))</f>
        <v/>
      </c>
      <c r="I708" s="5">
        <f>IF($N708="","",SUMIFS('Per Line'!$X$2:$X$3001,'Per Line'!$D$2:$D$3001,$C708))</f>
        <v/>
      </c>
      <c r="J708" s="5">
        <f>IF($N708="","",SUMIFS('Per Line'!$Y$2:$Y$3001,'Per Line'!$D$2:$D$3001,$C708))</f>
        <v/>
      </c>
      <c r="K708" s="5">
        <f>IF($N708="","",SUMIFS('Per Line'!$Z$2:$Z$3001,'Per Line'!$D$2:$D$3001,$C708))</f>
        <v/>
      </c>
      <c r="L708" s="5">
        <f>IF($N708="","",I708-J708)</f>
        <v/>
      </c>
      <c r="M708" s="5">
        <f>IF($N708="","",L708-K708)</f>
        <v/>
      </c>
      <c r="N708">
        <f>IF(ROWS($N$2:$N708)&lt;=MAX('Per Line'!$AG$2:$AG$3001),MATCH(ROWS($N$2:$N708),'Per Line'!$AG$2:$AG$3001,0),"")</f>
        <v/>
      </c>
      <c r="O708">
        <f>IF(B708="Above Claim Form",COUNTIF($B$2:B708,"Above Claim Form"),"")</f>
        <v/>
      </c>
      <c r="P708">
        <f>IF(B708="Below Claim Form",COUNTIF($B$2:B708,"Below Claim Form"),"")</f>
        <v/>
      </c>
    </row>
    <row r="709">
      <c r="B709">
        <f>IF($N709="","",IFERROR(INDEX(Settings!$C$27:$C$36,MATCH(E709,Settings!$B$27:$B$36,0)),"Unassigned"))</f>
        <v/>
      </c>
      <c r="C709">
        <f>IF($N709="","",INDEX('Per Line'!$D$2:$D$3001,$N709))</f>
        <v/>
      </c>
      <c r="D709">
        <f>IF($N709="","",INDEX('Per Line'!$C$2:$C$3001,$N709))</f>
        <v/>
      </c>
      <c r="E709">
        <f>IF($N709="","",INDEX('Per Line'!$A$2:$A$3001,$N709))</f>
        <v/>
      </c>
      <c r="H709">
        <f>IF($N709="","",INDEX('Per Line'!$V$2:$V$3001,$N709))</f>
        <v/>
      </c>
      <c r="I709" s="5">
        <f>IF($N709="","",SUMIFS('Per Line'!$X$2:$X$3001,'Per Line'!$D$2:$D$3001,$C709))</f>
        <v/>
      </c>
      <c r="J709" s="5">
        <f>IF($N709="","",SUMIFS('Per Line'!$Y$2:$Y$3001,'Per Line'!$D$2:$D$3001,$C709))</f>
        <v/>
      </c>
      <c r="K709" s="5">
        <f>IF($N709="","",SUMIFS('Per Line'!$Z$2:$Z$3001,'Per Line'!$D$2:$D$3001,$C709))</f>
        <v/>
      </c>
      <c r="L709" s="5">
        <f>IF($N709="","",I709-J709)</f>
        <v/>
      </c>
      <c r="M709" s="5">
        <f>IF($N709="","",L709-K709)</f>
        <v/>
      </c>
      <c r="N709">
        <f>IF(ROWS($N$2:$N709)&lt;=MAX('Per Line'!$AG$2:$AG$3001),MATCH(ROWS($N$2:$N709),'Per Line'!$AG$2:$AG$3001,0),"")</f>
        <v/>
      </c>
      <c r="O709">
        <f>IF(B709="Above Claim Form",COUNTIF($B$2:B709,"Above Claim Form"),"")</f>
        <v/>
      </c>
      <c r="P709">
        <f>IF(B709="Below Claim Form",COUNTIF($B$2:B709,"Below Claim Form"),"")</f>
        <v/>
      </c>
    </row>
    <row r="710">
      <c r="B710">
        <f>IF($N710="","",IFERROR(INDEX(Settings!$C$27:$C$36,MATCH(E710,Settings!$B$27:$B$36,0)),"Unassigned"))</f>
        <v/>
      </c>
      <c r="C710">
        <f>IF($N710="","",INDEX('Per Line'!$D$2:$D$3001,$N710))</f>
        <v/>
      </c>
      <c r="D710">
        <f>IF($N710="","",INDEX('Per Line'!$C$2:$C$3001,$N710))</f>
        <v/>
      </c>
      <c r="E710">
        <f>IF($N710="","",INDEX('Per Line'!$A$2:$A$3001,$N710))</f>
        <v/>
      </c>
      <c r="H710">
        <f>IF($N710="","",INDEX('Per Line'!$V$2:$V$3001,$N710))</f>
        <v/>
      </c>
      <c r="I710" s="5">
        <f>IF($N710="","",SUMIFS('Per Line'!$X$2:$X$3001,'Per Line'!$D$2:$D$3001,$C710))</f>
        <v/>
      </c>
      <c r="J710" s="5">
        <f>IF($N710="","",SUMIFS('Per Line'!$Y$2:$Y$3001,'Per Line'!$D$2:$D$3001,$C710))</f>
        <v/>
      </c>
      <c r="K710" s="5">
        <f>IF($N710="","",SUMIFS('Per Line'!$Z$2:$Z$3001,'Per Line'!$D$2:$D$3001,$C710))</f>
        <v/>
      </c>
      <c r="L710" s="5">
        <f>IF($N710="","",I710-J710)</f>
        <v/>
      </c>
      <c r="M710" s="5">
        <f>IF($N710="","",L710-K710)</f>
        <v/>
      </c>
      <c r="N710">
        <f>IF(ROWS($N$2:$N710)&lt;=MAX('Per Line'!$AG$2:$AG$3001),MATCH(ROWS($N$2:$N710),'Per Line'!$AG$2:$AG$3001,0),"")</f>
        <v/>
      </c>
      <c r="O710">
        <f>IF(B710="Above Claim Form",COUNTIF($B$2:B710,"Above Claim Form"),"")</f>
        <v/>
      </c>
      <c r="P710">
        <f>IF(B710="Below Claim Form",COUNTIF($B$2:B710,"Below Claim Form"),"")</f>
        <v/>
      </c>
    </row>
    <row r="711">
      <c r="B711">
        <f>IF($N711="","",IFERROR(INDEX(Settings!$C$27:$C$36,MATCH(E711,Settings!$B$27:$B$36,0)),"Unassigned"))</f>
        <v/>
      </c>
      <c r="C711">
        <f>IF($N711="","",INDEX('Per Line'!$D$2:$D$3001,$N711))</f>
        <v/>
      </c>
      <c r="D711">
        <f>IF($N711="","",INDEX('Per Line'!$C$2:$C$3001,$N711))</f>
        <v/>
      </c>
      <c r="E711">
        <f>IF($N711="","",INDEX('Per Line'!$A$2:$A$3001,$N711))</f>
        <v/>
      </c>
      <c r="H711">
        <f>IF($N711="","",INDEX('Per Line'!$V$2:$V$3001,$N711))</f>
        <v/>
      </c>
      <c r="I711" s="5">
        <f>IF($N711="","",SUMIFS('Per Line'!$X$2:$X$3001,'Per Line'!$D$2:$D$3001,$C711))</f>
        <v/>
      </c>
      <c r="J711" s="5">
        <f>IF($N711="","",SUMIFS('Per Line'!$Y$2:$Y$3001,'Per Line'!$D$2:$D$3001,$C711))</f>
        <v/>
      </c>
      <c r="K711" s="5">
        <f>IF($N711="","",SUMIFS('Per Line'!$Z$2:$Z$3001,'Per Line'!$D$2:$D$3001,$C711))</f>
        <v/>
      </c>
      <c r="L711" s="5">
        <f>IF($N711="","",I711-J711)</f>
        <v/>
      </c>
      <c r="M711" s="5">
        <f>IF($N711="","",L711-K711)</f>
        <v/>
      </c>
      <c r="N711">
        <f>IF(ROWS($N$2:$N711)&lt;=MAX('Per Line'!$AG$2:$AG$3001),MATCH(ROWS($N$2:$N711),'Per Line'!$AG$2:$AG$3001,0),"")</f>
        <v/>
      </c>
      <c r="O711">
        <f>IF(B711="Above Claim Form",COUNTIF($B$2:B711,"Above Claim Form"),"")</f>
        <v/>
      </c>
      <c r="P711">
        <f>IF(B711="Below Claim Form",COUNTIF($B$2:B711,"Below Claim Form"),"")</f>
        <v/>
      </c>
    </row>
    <row r="712">
      <c r="B712">
        <f>IF($N712="","",IFERROR(INDEX(Settings!$C$27:$C$36,MATCH(E712,Settings!$B$27:$B$36,0)),"Unassigned"))</f>
        <v/>
      </c>
      <c r="C712">
        <f>IF($N712="","",INDEX('Per Line'!$D$2:$D$3001,$N712))</f>
        <v/>
      </c>
      <c r="D712">
        <f>IF($N712="","",INDEX('Per Line'!$C$2:$C$3001,$N712))</f>
        <v/>
      </c>
      <c r="E712">
        <f>IF($N712="","",INDEX('Per Line'!$A$2:$A$3001,$N712))</f>
        <v/>
      </c>
      <c r="H712">
        <f>IF($N712="","",INDEX('Per Line'!$V$2:$V$3001,$N712))</f>
        <v/>
      </c>
      <c r="I712" s="5">
        <f>IF($N712="","",SUMIFS('Per Line'!$X$2:$X$3001,'Per Line'!$D$2:$D$3001,$C712))</f>
        <v/>
      </c>
      <c r="J712" s="5">
        <f>IF($N712="","",SUMIFS('Per Line'!$Y$2:$Y$3001,'Per Line'!$D$2:$D$3001,$C712))</f>
        <v/>
      </c>
      <c r="K712" s="5">
        <f>IF($N712="","",SUMIFS('Per Line'!$Z$2:$Z$3001,'Per Line'!$D$2:$D$3001,$C712))</f>
        <v/>
      </c>
      <c r="L712" s="5">
        <f>IF($N712="","",I712-J712)</f>
        <v/>
      </c>
      <c r="M712" s="5">
        <f>IF($N712="","",L712-K712)</f>
        <v/>
      </c>
      <c r="N712">
        <f>IF(ROWS($N$2:$N712)&lt;=MAX('Per Line'!$AG$2:$AG$3001),MATCH(ROWS($N$2:$N712),'Per Line'!$AG$2:$AG$3001,0),"")</f>
        <v/>
      </c>
      <c r="O712">
        <f>IF(B712="Above Claim Form",COUNTIF($B$2:B712,"Above Claim Form"),"")</f>
        <v/>
      </c>
      <c r="P712">
        <f>IF(B712="Below Claim Form",COUNTIF($B$2:B712,"Below Claim Form"),"")</f>
        <v/>
      </c>
    </row>
    <row r="713">
      <c r="B713">
        <f>IF($N713="","",IFERROR(INDEX(Settings!$C$27:$C$36,MATCH(E713,Settings!$B$27:$B$36,0)),"Unassigned"))</f>
        <v/>
      </c>
      <c r="C713">
        <f>IF($N713="","",INDEX('Per Line'!$D$2:$D$3001,$N713))</f>
        <v/>
      </c>
      <c r="D713">
        <f>IF($N713="","",INDEX('Per Line'!$C$2:$C$3001,$N713))</f>
        <v/>
      </c>
      <c r="E713">
        <f>IF($N713="","",INDEX('Per Line'!$A$2:$A$3001,$N713))</f>
        <v/>
      </c>
      <c r="H713">
        <f>IF($N713="","",INDEX('Per Line'!$V$2:$V$3001,$N713))</f>
        <v/>
      </c>
      <c r="I713" s="5">
        <f>IF($N713="","",SUMIFS('Per Line'!$X$2:$X$3001,'Per Line'!$D$2:$D$3001,$C713))</f>
        <v/>
      </c>
      <c r="J713" s="5">
        <f>IF($N713="","",SUMIFS('Per Line'!$Y$2:$Y$3001,'Per Line'!$D$2:$D$3001,$C713))</f>
        <v/>
      </c>
      <c r="K713" s="5">
        <f>IF($N713="","",SUMIFS('Per Line'!$Z$2:$Z$3001,'Per Line'!$D$2:$D$3001,$C713))</f>
        <v/>
      </c>
      <c r="L713" s="5">
        <f>IF($N713="","",I713-J713)</f>
        <v/>
      </c>
      <c r="M713" s="5">
        <f>IF($N713="","",L713-K713)</f>
        <v/>
      </c>
      <c r="N713">
        <f>IF(ROWS($N$2:$N713)&lt;=MAX('Per Line'!$AG$2:$AG$3001),MATCH(ROWS($N$2:$N713),'Per Line'!$AG$2:$AG$3001,0),"")</f>
        <v/>
      </c>
      <c r="O713">
        <f>IF(B713="Above Claim Form",COUNTIF($B$2:B713,"Above Claim Form"),"")</f>
        <v/>
      </c>
      <c r="P713">
        <f>IF(B713="Below Claim Form",COUNTIF($B$2:B713,"Below Claim Form"),"")</f>
        <v/>
      </c>
    </row>
    <row r="714">
      <c r="B714">
        <f>IF($N714="","",IFERROR(INDEX(Settings!$C$27:$C$36,MATCH(E714,Settings!$B$27:$B$36,0)),"Unassigned"))</f>
        <v/>
      </c>
      <c r="C714">
        <f>IF($N714="","",INDEX('Per Line'!$D$2:$D$3001,$N714))</f>
        <v/>
      </c>
      <c r="D714">
        <f>IF($N714="","",INDEX('Per Line'!$C$2:$C$3001,$N714))</f>
        <v/>
      </c>
      <c r="E714">
        <f>IF($N714="","",INDEX('Per Line'!$A$2:$A$3001,$N714))</f>
        <v/>
      </c>
      <c r="H714">
        <f>IF($N714="","",INDEX('Per Line'!$V$2:$V$3001,$N714))</f>
        <v/>
      </c>
      <c r="I714" s="5">
        <f>IF($N714="","",SUMIFS('Per Line'!$X$2:$X$3001,'Per Line'!$D$2:$D$3001,$C714))</f>
        <v/>
      </c>
      <c r="J714" s="5">
        <f>IF($N714="","",SUMIFS('Per Line'!$Y$2:$Y$3001,'Per Line'!$D$2:$D$3001,$C714))</f>
        <v/>
      </c>
      <c r="K714" s="5">
        <f>IF($N714="","",SUMIFS('Per Line'!$Z$2:$Z$3001,'Per Line'!$D$2:$D$3001,$C714))</f>
        <v/>
      </c>
      <c r="L714" s="5">
        <f>IF($N714="","",I714-J714)</f>
        <v/>
      </c>
      <c r="M714" s="5">
        <f>IF($N714="","",L714-K714)</f>
        <v/>
      </c>
      <c r="N714">
        <f>IF(ROWS($N$2:$N714)&lt;=MAX('Per Line'!$AG$2:$AG$3001),MATCH(ROWS($N$2:$N714),'Per Line'!$AG$2:$AG$3001,0),"")</f>
        <v/>
      </c>
      <c r="O714">
        <f>IF(B714="Above Claim Form",COUNTIF($B$2:B714,"Above Claim Form"),"")</f>
        <v/>
      </c>
      <c r="P714">
        <f>IF(B714="Below Claim Form",COUNTIF($B$2:B714,"Below Claim Form"),"")</f>
        <v/>
      </c>
    </row>
    <row r="715">
      <c r="B715">
        <f>IF($N715="","",IFERROR(INDEX(Settings!$C$27:$C$36,MATCH(E715,Settings!$B$27:$B$36,0)),"Unassigned"))</f>
        <v/>
      </c>
      <c r="C715">
        <f>IF($N715="","",INDEX('Per Line'!$D$2:$D$3001,$N715))</f>
        <v/>
      </c>
      <c r="D715">
        <f>IF($N715="","",INDEX('Per Line'!$C$2:$C$3001,$N715))</f>
        <v/>
      </c>
      <c r="E715">
        <f>IF($N715="","",INDEX('Per Line'!$A$2:$A$3001,$N715))</f>
        <v/>
      </c>
      <c r="H715">
        <f>IF($N715="","",INDEX('Per Line'!$V$2:$V$3001,$N715))</f>
        <v/>
      </c>
      <c r="I715" s="5">
        <f>IF($N715="","",SUMIFS('Per Line'!$X$2:$X$3001,'Per Line'!$D$2:$D$3001,$C715))</f>
        <v/>
      </c>
      <c r="J715" s="5">
        <f>IF($N715="","",SUMIFS('Per Line'!$Y$2:$Y$3001,'Per Line'!$D$2:$D$3001,$C715))</f>
        <v/>
      </c>
      <c r="K715" s="5">
        <f>IF($N715="","",SUMIFS('Per Line'!$Z$2:$Z$3001,'Per Line'!$D$2:$D$3001,$C715))</f>
        <v/>
      </c>
      <c r="L715" s="5">
        <f>IF($N715="","",I715-J715)</f>
        <v/>
      </c>
      <c r="M715" s="5">
        <f>IF($N715="","",L715-K715)</f>
        <v/>
      </c>
      <c r="N715">
        <f>IF(ROWS($N$2:$N715)&lt;=MAX('Per Line'!$AG$2:$AG$3001),MATCH(ROWS($N$2:$N715),'Per Line'!$AG$2:$AG$3001,0),"")</f>
        <v/>
      </c>
      <c r="O715">
        <f>IF(B715="Above Claim Form",COUNTIF($B$2:B715,"Above Claim Form"),"")</f>
        <v/>
      </c>
      <c r="P715">
        <f>IF(B715="Below Claim Form",COUNTIF($B$2:B715,"Below Claim Form"),"")</f>
        <v/>
      </c>
    </row>
    <row r="716">
      <c r="B716">
        <f>IF($N716="","",IFERROR(INDEX(Settings!$C$27:$C$36,MATCH(E716,Settings!$B$27:$B$36,0)),"Unassigned"))</f>
        <v/>
      </c>
      <c r="C716">
        <f>IF($N716="","",INDEX('Per Line'!$D$2:$D$3001,$N716))</f>
        <v/>
      </c>
      <c r="D716">
        <f>IF($N716="","",INDEX('Per Line'!$C$2:$C$3001,$N716))</f>
        <v/>
      </c>
      <c r="E716">
        <f>IF($N716="","",INDEX('Per Line'!$A$2:$A$3001,$N716))</f>
        <v/>
      </c>
      <c r="H716">
        <f>IF($N716="","",INDEX('Per Line'!$V$2:$V$3001,$N716))</f>
        <v/>
      </c>
      <c r="I716" s="5">
        <f>IF($N716="","",SUMIFS('Per Line'!$X$2:$X$3001,'Per Line'!$D$2:$D$3001,$C716))</f>
        <v/>
      </c>
      <c r="J716" s="5">
        <f>IF($N716="","",SUMIFS('Per Line'!$Y$2:$Y$3001,'Per Line'!$D$2:$D$3001,$C716))</f>
        <v/>
      </c>
      <c r="K716" s="5">
        <f>IF($N716="","",SUMIFS('Per Line'!$Z$2:$Z$3001,'Per Line'!$D$2:$D$3001,$C716))</f>
        <v/>
      </c>
      <c r="L716" s="5">
        <f>IF($N716="","",I716-J716)</f>
        <v/>
      </c>
      <c r="M716" s="5">
        <f>IF($N716="","",L716-K716)</f>
        <v/>
      </c>
      <c r="N716">
        <f>IF(ROWS($N$2:$N716)&lt;=MAX('Per Line'!$AG$2:$AG$3001),MATCH(ROWS($N$2:$N716),'Per Line'!$AG$2:$AG$3001,0),"")</f>
        <v/>
      </c>
      <c r="O716">
        <f>IF(B716="Above Claim Form",COUNTIF($B$2:B716,"Above Claim Form"),"")</f>
        <v/>
      </c>
      <c r="P716">
        <f>IF(B716="Below Claim Form",COUNTIF($B$2:B716,"Below Claim Form"),"")</f>
        <v/>
      </c>
    </row>
    <row r="717">
      <c r="B717">
        <f>IF($N717="","",IFERROR(INDEX(Settings!$C$27:$C$36,MATCH(E717,Settings!$B$27:$B$36,0)),"Unassigned"))</f>
        <v/>
      </c>
      <c r="C717">
        <f>IF($N717="","",INDEX('Per Line'!$D$2:$D$3001,$N717))</f>
        <v/>
      </c>
      <c r="D717">
        <f>IF($N717="","",INDEX('Per Line'!$C$2:$C$3001,$N717))</f>
        <v/>
      </c>
      <c r="E717">
        <f>IF($N717="","",INDEX('Per Line'!$A$2:$A$3001,$N717))</f>
        <v/>
      </c>
      <c r="H717">
        <f>IF($N717="","",INDEX('Per Line'!$V$2:$V$3001,$N717))</f>
        <v/>
      </c>
      <c r="I717" s="5">
        <f>IF($N717="","",SUMIFS('Per Line'!$X$2:$X$3001,'Per Line'!$D$2:$D$3001,$C717))</f>
        <v/>
      </c>
      <c r="J717" s="5">
        <f>IF($N717="","",SUMIFS('Per Line'!$Y$2:$Y$3001,'Per Line'!$D$2:$D$3001,$C717))</f>
        <v/>
      </c>
      <c r="K717" s="5">
        <f>IF($N717="","",SUMIFS('Per Line'!$Z$2:$Z$3001,'Per Line'!$D$2:$D$3001,$C717))</f>
        <v/>
      </c>
      <c r="L717" s="5">
        <f>IF($N717="","",I717-J717)</f>
        <v/>
      </c>
      <c r="M717" s="5">
        <f>IF($N717="","",L717-K717)</f>
        <v/>
      </c>
      <c r="N717">
        <f>IF(ROWS($N$2:$N717)&lt;=MAX('Per Line'!$AG$2:$AG$3001),MATCH(ROWS($N$2:$N717),'Per Line'!$AG$2:$AG$3001,0),"")</f>
        <v/>
      </c>
      <c r="O717">
        <f>IF(B717="Above Claim Form",COUNTIF($B$2:B717,"Above Claim Form"),"")</f>
        <v/>
      </c>
      <c r="P717">
        <f>IF(B717="Below Claim Form",COUNTIF($B$2:B717,"Below Claim Form"),"")</f>
        <v/>
      </c>
    </row>
    <row r="718">
      <c r="B718">
        <f>IF($N718="","",IFERROR(INDEX(Settings!$C$27:$C$36,MATCH(E718,Settings!$B$27:$B$36,0)),"Unassigned"))</f>
        <v/>
      </c>
      <c r="C718">
        <f>IF($N718="","",INDEX('Per Line'!$D$2:$D$3001,$N718))</f>
        <v/>
      </c>
      <c r="D718">
        <f>IF($N718="","",INDEX('Per Line'!$C$2:$C$3001,$N718))</f>
        <v/>
      </c>
      <c r="E718">
        <f>IF($N718="","",INDEX('Per Line'!$A$2:$A$3001,$N718))</f>
        <v/>
      </c>
      <c r="H718">
        <f>IF($N718="","",INDEX('Per Line'!$V$2:$V$3001,$N718))</f>
        <v/>
      </c>
      <c r="I718" s="5">
        <f>IF($N718="","",SUMIFS('Per Line'!$X$2:$X$3001,'Per Line'!$D$2:$D$3001,$C718))</f>
        <v/>
      </c>
      <c r="J718" s="5">
        <f>IF($N718="","",SUMIFS('Per Line'!$Y$2:$Y$3001,'Per Line'!$D$2:$D$3001,$C718))</f>
        <v/>
      </c>
      <c r="K718" s="5">
        <f>IF($N718="","",SUMIFS('Per Line'!$Z$2:$Z$3001,'Per Line'!$D$2:$D$3001,$C718))</f>
        <v/>
      </c>
      <c r="L718" s="5">
        <f>IF($N718="","",I718-J718)</f>
        <v/>
      </c>
      <c r="M718" s="5">
        <f>IF($N718="","",L718-K718)</f>
        <v/>
      </c>
      <c r="N718">
        <f>IF(ROWS($N$2:$N718)&lt;=MAX('Per Line'!$AG$2:$AG$3001),MATCH(ROWS($N$2:$N718),'Per Line'!$AG$2:$AG$3001,0),"")</f>
        <v/>
      </c>
      <c r="O718">
        <f>IF(B718="Above Claim Form",COUNTIF($B$2:B718,"Above Claim Form"),"")</f>
        <v/>
      </c>
      <c r="P718">
        <f>IF(B718="Below Claim Form",COUNTIF($B$2:B718,"Below Claim Form"),"")</f>
        <v/>
      </c>
    </row>
    <row r="719">
      <c r="B719">
        <f>IF($N719="","",IFERROR(INDEX(Settings!$C$27:$C$36,MATCH(E719,Settings!$B$27:$B$36,0)),"Unassigned"))</f>
        <v/>
      </c>
      <c r="C719">
        <f>IF($N719="","",INDEX('Per Line'!$D$2:$D$3001,$N719))</f>
        <v/>
      </c>
      <c r="D719">
        <f>IF($N719="","",INDEX('Per Line'!$C$2:$C$3001,$N719))</f>
        <v/>
      </c>
      <c r="E719">
        <f>IF($N719="","",INDEX('Per Line'!$A$2:$A$3001,$N719))</f>
        <v/>
      </c>
      <c r="H719">
        <f>IF($N719="","",INDEX('Per Line'!$V$2:$V$3001,$N719))</f>
        <v/>
      </c>
      <c r="I719" s="5">
        <f>IF($N719="","",SUMIFS('Per Line'!$X$2:$X$3001,'Per Line'!$D$2:$D$3001,$C719))</f>
        <v/>
      </c>
      <c r="J719" s="5">
        <f>IF($N719="","",SUMIFS('Per Line'!$Y$2:$Y$3001,'Per Line'!$D$2:$D$3001,$C719))</f>
        <v/>
      </c>
      <c r="K719" s="5">
        <f>IF($N719="","",SUMIFS('Per Line'!$Z$2:$Z$3001,'Per Line'!$D$2:$D$3001,$C719))</f>
        <v/>
      </c>
      <c r="L719" s="5">
        <f>IF($N719="","",I719-J719)</f>
        <v/>
      </c>
      <c r="M719" s="5">
        <f>IF($N719="","",L719-K719)</f>
        <v/>
      </c>
      <c r="N719">
        <f>IF(ROWS($N$2:$N719)&lt;=MAX('Per Line'!$AG$2:$AG$3001),MATCH(ROWS($N$2:$N719),'Per Line'!$AG$2:$AG$3001,0),"")</f>
        <v/>
      </c>
      <c r="O719">
        <f>IF(B719="Above Claim Form",COUNTIF($B$2:B719,"Above Claim Form"),"")</f>
        <v/>
      </c>
      <c r="P719">
        <f>IF(B719="Below Claim Form",COUNTIF($B$2:B719,"Below Claim Form"),"")</f>
        <v/>
      </c>
    </row>
    <row r="720">
      <c r="B720">
        <f>IF($N720="","",IFERROR(INDEX(Settings!$C$27:$C$36,MATCH(E720,Settings!$B$27:$B$36,0)),"Unassigned"))</f>
        <v/>
      </c>
      <c r="C720">
        <f>IF($N720="","",INDEX('Per Line'!$D$2:$D$3001,$N720))</f>
        <v/>
      </c>
      <c r="D720">
        <f>IF($N720="","",INDEX('Per Line'!$C$2:$C$3001,$N720))</f>
        <v/>
      </c>
      <c r="E720">
        <f>IF($N720="","",INDEX('Per Line'!$A$2:$A$3001,$N720))</f>
        <v/>
      </c>
      <c r="H720">
        <f>IF($N720="","",INDEX('Per Line'!$V$2:$V$3001,$N720))</f>
        <v/>
      </c>
      <c r="I720" s="5">
        <f>IF($N720="","",SUMIFS('Per Line'!$X$2:$X$3001,'Per Line'!$D$2:$D$3001,$C720))</f>
        <v/>
      </c>
      <c r="J720" s="5">
        <f>IF($N720="","",SUMIFS('Per Line'!$Y$2:$Y$3001,'Per Line'!$D$2:$D$3001,$C720))</f>
        <v/>
      </c>
      <c r="K720" s="5">
        <f>IF($N720="","",SUMIFS('Per Line'!$Z$2:$Z$3001,'Per Line'!$D$2:$D$3001,$C720))</f>
        <v/>
      </c>
      <c r="L720" s="5">
        <f>IF($N720="","",I720-J720)</f>
        <v/>
      </c>
      <c r="M720" s="5">
        <f>IF($N720="","",L720-K720)</f>
        <v/>
      </c>
      <c r="N720">
        <f>IF(ROWS($N$2:$N720)&lt;=MAX('Per Line'!$AG$2:$AG$3001),MATCH(ROWS($N$2:$N720),'Per Line'!$AG$2:$AG$3001,0),"")</f>
        <v/>
      </c>
      <c r="O720">
        <f>IF(B720="Above Claim Form",COUNTIF($B$2:B720,"Above Claim Form"),"")</f>
        <v/>
      </c>
      <c r="P720">
        <f>IF(B720="Below Claim Form",COUNTIF($B$2:B720,"Below Claim Form"),"")</f>
        <v/>
      </c>
    </row>
    <row r="721">
      <c r="B721">
        <f>IF($N721="","",IFERROR(INDEX(Settings!$C$27:$C$36,MATCH(E721,Settings!$B$27:$B$36,0)),"Unassigned"))</f>
        <v/>
      </c>
      <c r="C721">
        <f>IF($N721="","",INDEX('Per Line'!$D$2:$D$3001,$N721))</f>
        <v/>
      </c>
      <c r="D721">
        <f>IF($N721="","",INDEX('Per Line'!$C$2:$C$3001,$N721))</f>
        <v/>
      </c>
      <c r="E721">
        <f>IF($N721="","",INDEX('Per Line'!$A$2:$A$3001,$N721))</f>
        <v/>
      </c>
      <c r="H721">
        <f>IF($N721="","",INDEX('Per Line'!$V$2:$V$3001,$N721))</f>
        <v/>
      </c>
      <c r="I721" s="5">
        <f>IF($N721="","",SUMIFS('Per Line'!$X$2:$X$3001,'Per Line'!$D$2:$D$3001,$C721))</f>
        <v/>
      </c>
      <c r="J721" s="5">
        <f>IF($N721="","",SUMIFS('Per Line'!$Y$2:$Y$3001,'Per Line'!$D$2:$D$3001,$C721))</f>
        <v/>
      </c>
      <c r="K721" s="5">
        <f>IF($N721="","",SUMIFS('Per Line'!$Z$2:$Z$3001,'Per Line'!$D$2:$D$3001,$C721))</f>
        <v/>
      </c>
      <c r="L721" s="5">
        <f>IF($N721="","",I721-J721)</f>
        <v/>
      </c>
      <c r="M721" s="5">
        <f>IF($N721="","",L721-K721)</f>
        <v/>
      </c>
      <c r="N721">
        <f>IF(ROWS($N$2:$N721)&lt;=MAX('Per Line'!$AG$2:$AG$3001),MATCH(ROWS($N$2:$N721),'Per Line'!$AG$2:$AG$3001,0),"")</f>
        <v/>
      </c>
      <c r="O721">
        <f>IF(B721="Above Claim Form",COUNTIF($B$2:B721,"Above Claim Form"),"")</f>
        <v/>
      </c>
      <c r="P721">
        <f>IF(B721="Below Claim Form",COUNTIF($B$2:B721,"Below Claim Form"),"")</f>
        <v/>
      </c>
    </row>
    <row r="722">
      <c r="B722">
        <f>IF($N722="","",IFERROR(INDEX(Settings!$C$27:$C$36,MATCH(E722,Settings!$B$27:$B$36,0)),"Unassigned"))</f>
        <v/>
      </c>
      <c r="C722">
        <f>IF($N722="","",INDEX('Per Line'!$D$2:$D$3001,$N722))</f>
        <v/>
      </c>
      <c r="D722">
        <f>IF($N722="","",INDEX('Per Line'!$C$2:$C$3001,$N722))</f>
        <v/>
      </c>
      <c r="E722">
        <f>IF($N722="","",INDEX('Per Line'!$A$2:$A$3001,$N722))</f>
        <v/>
      </c>
      <c r="H722">
        <f>IF($N722="","",INDEX('Per Line'!$V$2:$V$3001,$N722))</f>
        <v/>
      </c>
      <c r="I722" s="5">
        <f>IF($N722="","",SUMIFS('Per Line'!$X$2:$X$3001,'Per Line'!$D$2:$D$3001,$C722))</f>
        <v/>
      </c>
      <c r="J722" s="5">
        <f>IF($N722="","",SUMIFS('Per Line'!$Y$2:$Y$3001,'Per Line'!$D$2:$D$3001,$C722))</f>
        <v/>
      </c>
      <c r="K722" s="5">
        <f>IF($N722="","",SUMIFS('Per Line'!$Z$2:$Z$3001,'Per Line'!$D$2:$D$3001,$C722))</f>
        <v/>
      </c>
      <c r="L722" s="5">
        <f>IF($N722="","",I722-J722)</f>
        <v/>
      </c>
      <c r="M722" s="5">
        <f>IF($N722="","",L722-K722)</f>
        <v/>
      </c>
      <c r="N722">
        <f>IF(ROWS($N$2:$N722)&lt;=MAX('Per Line'!$AG$2:$AG$3001),MATCH(ROWS($N$2:$N722),'Per Line'!$AG$2:$AG$3001,0),"")</f>
        <v/>
      </c>
      <c r="O722">
        <f>IF(B722="Above Claim Form",COUNTIF($B$2:B722,"Above Claim Form"),"")</f>
        <v/>
      </c>
      <c r="P722">
        <f>IF(B722="Below Claim Form",COUNTIF($B$2:B722,"Below Claim Form"),"")</f>
        <v/>
      </c>
    </row>
    <row r="723">
      <c r="B723">
        <f>IF($N723="","",IFERROR(INDEX(Settings!$C$27:$C$36,MATCH(E723,Settings!$B$27:$B$36,0)),"Unassigned"))</f>
        <v/>
      </c>
      <c r="C723">
        <f>IF($N723="","",INDEX('Per Line'!$D$2:$D$3001,$N723))</f>
        <v/>
      </c>
      <c r="D723">
        <f>IF($N723="","",INDEX('Per Line'!$C$2:$C$3001,$N723))</f>
        <v/>
      </c>
      <c r="E723">
        <f>IF($N723="","",INDEX('Per Line'!$A$2:$A$3001,$N723))</f>
        <v/>
      </c>
      <c r="H723">
        <f>IF($N723="","",INDEX('Per Line'!$V$2:$V$3001,$N723))</f>
        <v/>
      </c>
      <c r="I723" s="5">
        <f>IF($N723="","",SUMIFS('Per Line'!$X$2:$X$3001,'Per Line'!$D$2:$D$3001,$C723))</f>
        <v/>
      </c>
      <c r="J723" s="5">
        <f>IF($N723="","",SUMIFS('Per Line'!$Y$2:$Y$3001,'Per Line'!$D$2:$D$3001,$C723))</f>
        <v/>
      </c>
      <c r="K723" s="5">
        <f>IF($N723="","",SUMIFS('Per Line'!$Z$2:$Z$3001,'Per Line'!$D$2:$D$3001,$C723))</f>
        <v/>
      </c>
      <c r="L723" s="5">
        <f>IF($N723="","",I723-J723)</f>
        <v/>
      </c>
      <c r="M723" s="5">
        <f>IF($N723="","",L723-K723)</f>
        <v/>
      </c>
      <c r="N723">
        <f>IF(ROWS($N$2:$N723)&lt;=MAX('Per Line'!$AG$2:$AG$3001),MATCH(ROWS($N$2:$N723),'Per Line'!$AG$2:$AG$3001,0),"")</f>
        <v/>
      </c>
      <c r="O723">
        <f>IF(B723="Above Claim Form",COUNTIF($B$2:B723,"Above Claim Form"),"")</f>
        <v/>
      </c>
      <c r="P723">
        <f>IF(B723="Below Claim Form",COUNTIF($B$2:B723,"Below Claim Form"),"")</f>
        <v/>
      </c>
    </row>
    <row r="724">
      <c r="B724">
        <f>IF($N724="","",IFERROR(INDEX(Settings!$C$27:$C$36,MATCH(E724,Settings!$B$27:$B$36,0)),"Unassigned"))</f>
        <v/>
      </c>
      <c r="C724">
        <f>IF($N724="","",INDEX('Per Line'!$D$2:$D$3001,$N724))</f>
        <v/>
      </c>
      <c r="D724">
        <f>IF($N724="","",INDEX('Per Line'!$C$2:$C$3001,$N724))</f>
        <v/>
      </c>
      <c r="E724">
        <f>IF($N724="","",INDEX('Per Line'!$A$2:$A$3001,$N724))</f>
        <v/>
      </c>
      <c r="H724">
        <f>IF($N724="","",INDEX('Per Line'!$V$2:$V$3001,$N724))</f>
        <v/>
      </c>
      <c r="I724" s="5">
        <f>IF($N724="","",SUMIFS('Per Line'!$X$2:$X$3001,'Per Line'!$D$2:$D$3001,$C724))</f>
        <v/>
      </c>
      <c r="J724" s="5">
        <f>IF($N724="","",SUMIFS('Per Line'!$Y$2:$Y$3001,'Per Line'!$D$2:$D$3001,$C724))</f>
        <v/>
      </c>
      <c r="K724" s="5">
        <f>IF($N724="","",SUMIFS('Per Line'!$Z$2:$Z$3001,'Per Line'!$D$2:$D$3001,$C724))</f>
        <v/>
      </c>
      <c r="L724" s="5">
        <f>IF($N724="","",I724-J724)</f>
        <v/>
      </c>
      <c r="M724" s="5">
        <f>IF($N724="","",L724-K724)</f>
        <v/>
      </c>
      <c r="N724">
        <f>IF(ROWS($N$2:$N724)&lt;=MAX('Per Line'!$AG$2:$AG$3001),MATCH(ROWS($N$2:$N724),'Per Line'!$AG$2:$AG$3001,0),"")</f>
        <v/>
      </c>
      <c r="O724">
        <f>IF(B724="Above Claim Form",COUNTIF($B$2:B724,"Above Claim Form"),"")</f>
        <v/>
      </c>
      <c r="P724">
        <f>IF(B724="Below Claim Form",COUNTIF($B$2:B724,"Below Claim Form"),"")</f>
        <v/>
      </c>
    </row>
    <row r="725">
      <c r="B725">
        <f>IF($N725="","",IFERROR(INDEX(Settings!$C$27:$C$36,MATCH(E725,Settings!$B$27:$B$36,0)),"Unassigned"))</f>
        <v/>
      </c>
      <c r="C725">
        <f>IF($N725="","",INDEX('Per Line'!$D$2:$D$3001,$N725))</f>
        <v/>
      </c>
      <c r="D725">
        <f>IF($N725="","",INDEX('Per Line'!$C$2:$C$3001,$N725))</f>
        <v/>
      </c>
      <c r="E725">
        <f>IF($N725="","",INDEX('Per Line'!$A$2:$A$3001,$N725))</f>
        <v/>
      </c>
      <c r="H725">
        <f>IF($N725="","",INDEX('Per Line'!$V$2:$V$3001,$N725))</f>
        <v/>
      </c>
      <c r="I725" s="5">
        <f>IF($N725="","",SUMIFS('Per Line'!$X$2:$X$3001,'Per Line'!$D$2:$D$3001,$C725))</f>
        <v/>
      </c>
      <c r="J725" s="5">
        <f>IF($N725="","",SUMIFS('Per Line'!$Y$2:$Y$3001,'Per Line'!$D$2:$D$3001,$C725))</f>
        <v/>
      </c>
      <c r="K725" s="5">
        <f>IF($N725="","",SUMIFS('Per Line'!$Z$2:$Z$3001,'Per Line'!$D$2:$D$3001,$C725))</f>
        <v/>
      </c>
      <c r="L725" s="5">
        <f>IF($N725="","",I725-J725)</f>
        <v/>
      </c>
      <c r="M725" s="5">
        <f>IF($N725="","",L725-K725)</f>
        <v/>
      </c>
      <c r="N725">
        <f>IF(ROWS($N$2:$N725)&lt;=MAX('Per Line'!$AG$2:$AG$3001),MATCH(ROWS($N$2:$N725),'Per Line'!$AG$2:$AG$3001,0),"")</f>
        <v/>
      </c>
      <c r="O725">
        <f>IF(B725="Above Claim Form",COUNTIF($B$2:B725,"Above Claim Form"),"")</f>
        <v/>
      </c>
      <c r="P725">
        <f>IF(B725="Below Claim Form",COUNTIF($B$2:B725,"Below Claim Form"),"")</f>
        <v/>
      </c>
    </row>
    <row r="726">
      <c r="B726">
        <f>IF($N726="","",IFERROR(INDEX(Settings!$C$27:$C$36,MATCH(E726,Settings!$B$27:$B$36,0)),"Unassigned"))</f>
        <v/>
      </c>
      <c r="C726">
        <f>IF($N726="","",INDEX('Per Line'!$D$2:$D$3001,$N726))</f>
        <v/>
      </c>
      <c r="D726">
        <f>IF($N726="","",INDEX('Per Line'!$C$2:$C$3001,$N726))</f>
        <v/>
      </c>
      <c r="E726">
        <f>IF($N726="","",INDEX('Per Line'!$A$2:$A$3001,$N726))</f>
        <v/>
      </c>
      <c r="H726">
        <f>IF($N726="","",INDEX('Per Line'!$V$2:$V$3001,$N726))</f>
        <v/>
      </c>
      <c r="I726" s="5">
        <f>IF($N726="","",SUMIFS('Per Line'!$X$2:$X$3001,'Per Line'!$D$2:$D$3001,$C726))</f>
        <v/>
      </c>
      <c r="J726" s="5">
        <f>IF($N726="","",SUMIFS('Per Line'!$Y$2:$Y$3001,'Per Line'!$D$2:$D$3001,$C726))</f>
        <v/>
      </c>
      <c r="K726" s="5">
        <f>IF($N726="","",SUMIFS('Per Line'!$Z$2:$Z$3001,'Per Line'!$D$2:$D$3001,$C726))</f>
        <v/>
      </c>
      <c r="L726" s="5">
        <f>IF($N726="","",I726-J726)</f>
        <v/>
      </c>
      <c r="M726" s="5">
        <f>IF($N726="","",L726-K726)</f>
        <v/>
      </c>
      <c r="N726">
        <f>IF(ROWS($N$2:$N726)&lt;=MAX('Per Line'!$AG$2:$AG$3001),MATCH(ROWS($N$2:$N726),'Per Line'!$AG$2:$AG$3001,0),"")</f>
        <v/>
      </c>
      <c r="O726">
        <f>IF(B726="Above Claim Form",COUNTIF($B$2:B726,"Above Claim Form"),"")</f>
        <v/>
      </c>
      <c r="P726">
        <f>IF(B726="Below Claim Form",COUNTIF($B$2:B726,"Below Claim Form"),"")</f>
        <v/>
      </c>
    </row>
    <row r="727">
      <c r="B727">
        <f>IF($N727="","",IFERROR(INDEX(Settings!$C$27:$C$36,MATCH(E727,Settings!$B$27:$B$36,0)),"Unassigned"))</f>
        <v/>
      </c>
      <c r="C727">
        <f>IF($N727="","",INDEX('Per Line'!$D$2:$D$3001,$N727))</f>
        <v/>
      </c>
      <c r="D727">
        <f>IF($N727="","",INDEX('Per Line'!$C$2:$C$3001,$N727))</f>
        <v/>
      </c>
      <c r="E727">
        <f>IF($N727="","",INDEX('Per Line'!$A$2:$A$3001,$N727))</f>
        <v/>
      </c>
      <c r="H727">
        <f>IF($N727="","",INDEX('Per Line'!$V$2:$V$3001,$N727))</f>
        <v/>
      </c>
      <c r="I727" s="5">
        <f>IF($N727="","",SUMIFS('Per Line'!$X$2:$X$3001,'Per Line'!$D$2:$D$3001,$C727))</f>
        <v/>
      </c>
      <c r="J727" s="5">
        <f>IF($N727="","",SUMIFS('Per Line'!$Y$2:$Y$3001,'Per Line'!$D$2:$D$3001,$C727))</f>
        <v/>
      </c>
      <c r="K727" s="5">
        <f>IF($N727="","",SUMIFS('Per Line'!$Z$2:$Z$3001,'Per Line'!$D$2:$D$3001,$C727))</f>
        <v/>
      </c>
      <c r="L727" s="5">
        <f>IF($N727="","",I727-J727)</f>
        <v/>
      </c>
      <c r="M727" s="5">
        <f>IF($N727="","",L727-K727)</f>
        <v/>
      </c>
      <c r="N727">
        <f>IF(ROWS($N$2:$N727)&lt;=MAX('Per Line'!$AG$2:$AG$3001),MATCH(ROWS($N$2:$N727),'Per Line'!$AG$2:$AG$3001,0),"")</f>
        <v/>
      </c>
      <c r="O727">
        <f>IF(B727="Above Claim Form",COUNTIF($B$2:B727,"Above Claim Form"),"")</f>
        <v/>
      </c>
      <c r="P727">
        <f>IF(B727="Below Claim Form",COUNTIF($B$2:B727,"Below Claim Form"),"")</f>
        <v/>
      </c>
    </row>
    <row r="728">
      <c r="B728">
        <f>IF($N728="","",IFERROR(INDEX(Settings!$C$27:$C$36,MATCH(E728,Settings!$B$27:$B$36,0)),"Unassigned"))</f>
        <v/>
      </c>
      <c r="C728">
        <f>IF($N728="","",INDEX('Per Line'!$D$2:$D$3001,$N728))</f>
        <v/>
      </c>
      <c r="D728">
        <f>IF($N728="","",INDEX('Per Line'!$C$2:$C$3001,$N728))</f>
        <v/>
      </c>
      <c r="E728">
        <f>IF($N728="","",INDEX('Per Line'!$A$2:$A$3001,$N728))</f>
        <v/>
      </c>
      <c r="H728">
        <f>IF($N728="","",INDEX('Per Line'!$V$2:$V$3001,$N728))</f>
        <v/>
      </c>
      <c r="I728" s="5">
        <f>IF($N728="","",SUMIFS('Per Line'!$X$2:$X$3001,'Per Line'!$D$2:$D$3001,$C728))</f>
        <v/>
      </c>
      <c r="J728" s="5">
        <f>IF($N728="","",SUMIFS('Per Line'!$Y$2:$Y$3001,'Per Line'!$D$2:$D$3001,$C728))</f>
        <v/>
      </c>
      <c r="K728" s="5">
        <f>IF($N728="","",SUMIFS('Per Line'!$Z$2:$Z$3001,'Per Line'!$D$2:$D$3001,$C728))</f>
        <v/>
      </c>
      <c r="L728" s="5">
        <f>IF($N728="","",I728-J728)</f>
        <v/>
      </c>
      <c r="M728" s="5">
        <f>IF($N728="","",L728-K728)</f>
        <v/>
      </c>
      <c r="N728">
        <f>IF(ROWS($N$2:$N728)&lt;=MAX('Per Line'!$AG$2:$AG$3001),MATCH(ROWS($N$2:$N728),'Per Line'!$AG$2:$AG$3001,0),"")</f>
        <v/>
      </c>
      <c r="O728">
        <f>IF(B728="Above Claim Form",COUNTIF($B$2:B728,"Above Claim Form"),"")</f>
        <v/>
      </c>
      <c r="P728">
        <f>IF(B728="Below Claim Form",COUNTIF($B$2:B728,"Below Claim Form"),"")</f>
        <v/>
      </c>
    </row>
    <row r="729">
      <c r="B729">
        <f>IF($N729="","",IFERROR(INDEX(Settings!$C$27:$C$36,MATCH(E729,Settings!$B$27:$B$36,0)),"Unassigned"))</f>
        <v/>
      </c>
      <c r="C729">
        <f>IF($N729="","",INDEX('Per Line'!$D$2:$D$3001,$N729))</f>
        <v/>
      </c>
      <c r="D729">
        <f>IF($N729="","",INDEX('Per Line'!$C$2:$C$3001,$N729))</f>
        <v/>
      </c>
      <c r="E729">
        <f>IF($N729="","",INDEX('Per Line'!$A$2:$A$3001,$N729))</f>
        <v/>
      </c>
      <c r="H729">
        <f>IF($N729="","",INDEX('Per Line'!$V$2:$V$3001,$N729))</f>
        <v/>
      </c>
      <c r="I729" s="5">
        <f>IF($N729="","",SUMIFS('Per Line'!$X$2:$X$3001,'Per Line'!$D$2:$D$3001,$C729))</f>
        <v/>
      </c>
      <c r="J729" s="5">
        <f>IF($N729="","",SUMIFS('Per Line'!$Y$2:$Y$3001,'Per Line'!$D$2:$D$3001,$C729))</f>
        <v/>
      </c>
      <c r="K729" s="5">
        <f>IF($N729="","",SUMIFS('Per Line'!$Z$2:$Z$3001,'Per Line'!$D$2:$D$3001,$C729))</f>
        <v/>
      </c>
      <c r="L729" s="5">
        <f>IF($N729="","",I729-J729)</f>
        <v/>
      </c>
      <c r="M729" s="5">
        <f>IF($N729="","",L729-K729)</f>
        <v/>
      </c>
      <c r="N729">
        <f>IF(ROWS($N$2:$N729)&lt;=MAX('Per Line'!$AG$2:$AG$3001),MATCH(ROWS($N$2:$N729),'Per Line'!$AG$2:$AG$3001,0),"")</f>
        <v/>
      </c>
      <c r="O729">
        <f>IF(B729="Above Claim Form",COUNTIF($B$2:B729,"Above Claim Form"),"")</f>
        <v/>
      </c>
      <c r="P729">
        <f>IF(B729="Below Claim Form",COUNTIF($B$2:B729,"Below Claim Form"),"")</f>
        <v/>
      </c>
    </row>
    <row r="730">
      <c r="B730">
        <f>IF($N730="","",IFERROR(INDEX(Settings!$C$27:$C$36,MATCH(E730,Settings!$B$27:$B$36,0)),"Unassigned"))</f>
        <v/>
      </c>
      <c r="C730">
        <f>IF($N730="","",INDEX('Per Line'!$D$2:$D$3001,$N730))</f>
        <v/>
      </c>
      <c r="D730">
        <f>IF($N730="","",INDEX('Per Line'!$C$2:$C$3001,$N730))</f>
        <v/>
      </c>
      <c r="E730">
        <f>IF($N730="","",INDEX('Per Line'!$A$2:$A$3001,$N730))</f>
        <v/>
      </c>
      <c r="H730">
        <f>IF($N730="","",INDEX('Per Line'!$V$2:$V$3001,$N730))</f>
        <v/>
      </c>
      <c r="I730" s="5">
        <f>IF($N730="","",SUMIFS('Per Line'!$X$2:$X$3001,'Per Line'!$D$2:$D$3001,$C730))</f>
        <v/>
      </c>
      <c r="J730" s="5">
        <f>IF($N730="","",SUMIFS('Per Line'!$Y$2:$Y$3001,'Per Line'!$D$2:$D$3001,$C730))</f>
        <v/>
      </c>
      <c r="K730" s="5">
        <f>IF($N730="","",SUMIFS('Per Line'!$Z$2:$Z$3001,'Per Line'!$D$2:$D$3001,$C730))</f>
        <v/>
      </c>
      <c r="L730" s="5">
        <f>IF($N730="","",I730-J730)</f>
        <v/>
      </c>
      <c r="M730" s="5">
        <f>IF($N730="","",L730-K730)</f>
        <v/>
      </c>
      <c r="N730">
        <f>IF(ROWS($N$2:$N730)&lt;=MAX('Per Line'!$AG$2:$AG$3001),MATCH(ROWS($N$2:$N730),'Per Line'!$AG$2:$AG$3001,0),"")</f>
        <v/>
      </c>
      <c r="O730">
        <f>IF(B730="Above Claim Form",COUNTIF($B$2:B730,"Above Claim Form"),"")</f>
        <v/>
      </c>
      <c r="P730">
        <f>IF(B730="Below Claim Form",COUNTIF($B$2:B730,"Below Claim Form"),"")</f>
        <v/>
      </c>
    </row>
    <row r="731">
      <c r="B731">
        <f>IF($N731="","",IFERROR(INDEX(Settings!$C$27:$C$36,MATCH(E731,Settings!$B$27:$B$36,0)),"Unassigned"))</f>
        <v/>
      </c>
      <c r="C731">
        <f>IF($N731="","",INDEX('Per Line'!$D$2:$D$3001,$N731))</f>
        <v/>
      </c>
      <c r="D731">
        <f>IF($N731="","",INDEX('Per Line'!$C$2:$C$3001,$N731))</f>
        <v/>
      </c>
      <c r="E731">
        <f>IF($N731="","",INDEX('Per Line'!$A$2:$A$3001,$N731))</f>
        <v/>
      </c>
      <c r="H731">
        <f>IF($N731="","",INDEX('Per Line'!$V$2:$V$3001,$N731))</f>
        <v/>
      </c>
      <c r="I731" s="5">
        <f>IF($N731="","",SUMIFS('Per Line'!$X$2:$X$3001,'Per Line'!$D$2:$D$3001,$C731))</f>
        <v/>
      </c>
      <c r="J731" s="5">
        <f>IF($N731="","",SUMIFS('Per Line'!$Y$2:$Y$3001,'Per Line'!$D$2:$D$3001,$C731))</f>
        <v/>
      </c>
      <c r="K731" s="5">
        <f>IF($N731="","",SUMIFS('Per Line'!$Z$2:$Z$3001,'Per Line'!$D$2:$D$3001,$C731))</f>
        <v/>
      </c>
      <c r="L731" s="5">
        <f>IF($N731="","",I731-J731)</f>
        <v/>
      </c>
      <c r="M731" s="5">
        <f>IF($N731="","",L731-K731)</f>
        <v/>
      </c>
      <c r="N731">
        <f>IF(ROWS($N$2:$N731)&lt;=MAX('Per Line'!$AG$2:$AG$3001),MATCH(ROWS($N$2:$N731),'Per Line'!$AG$2:$AG$3001,0),"")</f>
        <v/>
      </c>
      <c r="O731">
        <f>IF(B731="Above Claim Form",COUNTIF($B$2:B731,"Above Claim Form"),"")</f>
        <v/>
      </c>
      <c r="P731">
        <f>IF(B731="Below Claim Form",COUNTIF($B$2:B731,"Below Claim Form"),"")</f>
        <v/>
      </c>
    </row>
    <row r="732">
      <c r="B732">
        <f>IF($N732="","",IFERROR(INDEX(Settings!$C$27:$C$36,MATCH(E732,Settings!$B$27:$B$36,0)),"Unassigned"))</f>
        <v/>
      </c>
      <c r="C732">
        <f>IF($N732="","",INDEX('Per Line'!$D$2:$D$3001,$N732))</f>
        <v/>
      </c>
      <c r="D732">
        <f>IF($N732="","",INDEX('Per Line'!$C$2:$C$3001,$N732))</f>
        <v/>
      </c>
      <c r="E732">
        <f>IF($N732="","",INDEX('Per Line'!$A$2:$A$3001,$N732))</f>
        <v/>
      </c>
      <c r="H732">
        <f>IF($N732="","",INDEX('Per Line'!$V$2:$V$3001,$N732))</f>
        <v/>
      </c>
      <c r="I732" s="5">
        <f>IF($N732="","",SUMIFS('Per Line'!$X$2:$X$3001,'Per Line'!$D$2:$D$3001,$C732))</f>
        <v/>
      </c>
      <c r="J732" s="5">
        <f>IF($N732="","",SUMIFS('Per Line'!$Y$2:$Y$3001,'Per Line'!$D$2:$D$3001,$C732))</f>
        <v/>
      </c>
      <c r="K732" s="5">
        <f>IF($N732="","",SUMIFS('Per Line'!$Z$2:$Z$3001,'Per Line'!$D$2:$D$3001,$C732))</f>
        <v/>
      </c>
      <c r="L732" s="5">
        <f>IF($N732="","",I732-J732)</f>
        <v/>
      </c>
      <c r="M732" s="5">
        <f>IF($N732="","",L732-K732)</f>
        <v/>
      </c>
      <c r="N732">
        <f>IF(ROWS($N$2:$N732)&lt;=MAX('Per Line'!$AG$2:$AG$3001),MATCH(ROWS($N$2:$N732),'Per Line'!$AG$2:$AG$3001,0),"")</f>
        <v/>
      </c>
      <c r="O732">
        <f>IF(B732="Above Claim Form",COUNTIF($B$2:B732,"Above Claim Form"),"")</f>
        <v/>
      </c>
      <c r="P732">
        <f>IF(B732="Below Claim Form",COUNTIF($B$2:B732,"Below Claim Form"),"")</f>
        <v/>
      </c>
    </row>
    <row r="733">
      <c r="B733">
        <f>IF($N733="","",IFERROR(INDEX(Settings!$C$27:$C$36,MATCH(E733,Settings!$B$27:$B$36,0)),"Unassigned"))</f>
        <v/>
      </c>
      <c r="C733">
        <f>IF($N733="","",INDEX('Per Line'!$D$2:$D$3001,$N733))</f>
        <v/>
      </c>
      <c r="D733">
        <f>IF($N733="","",INDEX('Per Line'!$C$2:$C$3001,$N733))</f>
        <v/>
      </c>
      <c r="E733">
        <f>IF($N733="","",INDEX('Per Line'!$A$2:$A$3001,$N733))</f>
        <v/>
      </c>
      <c r="H733">
        <f>IF($N733="","",INDEX('Per Line'!$V$2:$V$3001,$N733))</f>
        <v/>
      </c>
      <c r="I733" s="5">
        <f>IF($N733="","",SUMIFS('Per Line'!$X$2:$X$3001,'Per Line'!$D$2:$D$3001,$C733))</f>
        <v/>
      </c>
      <c r="J733" s="5">
        <f>IF($N733="","",SUMIFS('Per Line'!$Y$2:$Y$3001,'Per Line'!$D$2:$D$3001,$C733))</f>
        <v/>
      </c>
      <c r="K733" s="5">
        <f>IF($N733="","",SUMIFS('Per Line'!$Z$2:$Z$3001,'Per Line'!$D$2:$D$3001,$C733))</f>
        <v/>
      </c>
      <c r="L733" s="5">
        <f>IF($N733="","",I733-J733)</f>
        <v/>
      </c>
      <c r="M733" s="5">
        <f>IF($N733="","",L733-K733)</f>
        <v/>
      </c>
      <c r="N733">
        <f>IF(ROWS($N$2:$N733)&lt;=MAX('Per Line'!$AG$2:$AG$3001),MATCH(ROWS($N$2:$N733),'Per Line'!$AG$2:$AG$3001,0),"")</f>
        <v/>
      </c>
      <c r="O733">
        <f>IF(B733="Above Claim Form",COUNTIF($B$2:B733,"Above Claim Form"),"")</f>
        <v/>
      </c>
      <c r="P733">
        <f>IF(B733="Below Claim Form",COUNTIF($B$2:B733,"Below Claim Form"),"")</f>
        <v/>
      </c>
    </row>
    <row r="734">
      <c r="B734">
        <f>IF($N734="","",IFERROR(INDEX(Settings!$C$27:$C$36,MATCH(E734,Settings!$B$27:$B$36,0)),"Unassigned"))</f>
        <v/>
      </c>
      <c r="C734">
        <f>IF($N734="","",INDEX('Per Line'!$D$2:$D$3001,$N734))</f>
        <v/>
      </c>
      <c r="D734">
        <f>IF($N734="","",INDEX('Per Line'!$C$2:$C$3001,$N734))</f>
        <v/>
      </c>
      <c r="E734">
        <f>IF($N734="","",INDEX('Per Line'!$A$2:$A$3001,$N734))</f>
        <v/>
      </c>
      <c r="H734">
        <f>IF($N734="","",INDEX('Per Line'!$V$2:$V$3001,$N734))</f>
        <v/>
      </c>
      <c r="I734" s="5">
        <f>IF($N734="","",SUMIFS('Per Line'!$X$2:$X$3001,'Per Line'!$D$2:$D$3001,$C734))</f>
        <v/>
      </c>
      <c r="J734" s="5">
        <f>IF($N734="","",SUMIFS('Per Line'!$Y$2:$Y$3001,'Per Line'!$D$2:$D$3001,$C734))</f>
        <v/>
      </c>
      <c r="K734" s="5">
        <f>IF($N734="","",SUMIFS('Per Line'!$Z$2:$Z$3001,'Per Line'!$D$2:$D$3001,$C734))</f>
        <v/>
      </c>
      <c r="L734" s="5">
        <f>IF($N734="","",I734-J734)</f>
        <v/>
      </c>
      <c r="M734" s="5">
        <f>IF($N734="","",L734-K734)</f>
        <v/>
      </c>
      <c r="N734">
        <f>IF(ROWS($N$2:$N734)&lt;=MAX('Per Line'!$AG$2:$AG$3001),MATCH(ROWS($N$2:$N734),'Per Line'!$AG$2:$AG$3001,0),"")</f>
        <v/>
      </c>
      <c r="O734">
        <f>IF(B734="Above Claim Form",COUNTIF($B$2:B734,"Above Claim Form"),"")</f>
        <v/>
      </c>
      <c r="P734">
        <f>IF(B734="Below Claim Form",COUNTIF($B$2:B734,"Below Claim Form"),"")</f>
        <v/>
      </c>
    </row>
    <row r="735">
      <c r="B735">
        <f>IF($N735="","",IFERROR(INDEX(Settings!$C$27:$C$36,MATCH(E735,Settings!$B$27:$B$36,0)),"Unassigned"))</f>
        <v/>
      </c>
      <c r="C735">
        <f>IF($N735="","",INDEX('Per Line'!$D$2:$D$3001,$N735))</f>
        <v/>
      </c>
      <c r="D735">
        <f>IF($N735="","",INDEX('Per Line'!$C$2:$C$3001,$N735))</f>
        <v/>
      </c>
      <c r="E735">
        <f>IF($N735="","",INDEX('Per Line'!$A$2:$A$3001,$N735))</f>
        <v/>
      </c>
      <c r="H735">
        <f>IF($N735="","",INDEX('Per Line'!$V$2:$V$3001,$N735))</f>
        <v/>
      </c>
      <c r="I735" s="5">
        <f>IF($N735="","",SUMIFS('Per Line'!$X$2:$X$3001,'Per Line'!$D$2:$D$3001,$C735))</f>
        <v/>
      </c>
      <c r="J735" s="5">
        <f>IF($N735="","",SUMIFS('Per Line'!$Y$2:$Y$3001,'Per Line'!$D$2:$D$3001,$C735))</f>
        <v/>
      </c>
      <c r="K735" s="5">
        <f>IF($N735="","",SUMIFS('Per Line'!$Z$2:$Z$3001,'Per Line'!$D$2:$D$3001,$C735))</f>
        <v/>
      </c>
      <c r="L735" s="5">
        <f>IF($N735="","",I735-J735)</f>
        <v/>
      </c>
      <c r="M735" s="5">
        <f>IF($N735="","",L735-K735)</f>
        <v/>
      </c>
      <c r="N735">
        <f>IF(ROWS($N$2:$N735)&lt;=MAX('Per Line'!$AG$2:$AG$3001),MATCH(ROWS($N$2:$N735),'Per Line'!$AG$2:$AG$3001,0),"")</f>
        <v/>
      </c>
      <c r="O735">
        <f>IF(B735="Above Claim Form",COUNTIF($B$2:B735,"Above Claim Form"),"")</f>
        <v/>
      </c>
      <c r="P735">
        <f>IF(B735="Below Claim Form",COUNTIF($B$2:B735,"Below Claim Form"),"")</f>
        <v/>
      </c>
    </row>
    <row r="736">
      <c r="B736">
        <f>IF($N736="","",IFERROR(INDEX(Settings!$C$27:$C$36,MATCH(E736,Settings!$B$27:$B$36,0)),"Unassigned"))</f>
        <v/>
      </c>
      <c r="C736">
        <f>IF($N736="","",INDEX('Per Line'!$D$2:$D$3001,$N736))</f>
        <v/>
      </c>
      <c r="D736">
        <f>IF($N736="","",INDEX('Per Line'!$C$2:$C$3001,$N736))</f>
        <v/>
      </c>
      <c r="E736">
        <f>IF($N736="","",INDEX('Per Line'!$A$2:$A$3001,$N736))</f>
        <v/>
      </c>
      <c r="H736">
        <f>IF($N736="","",INDEX('Per Line'!$V$2:$V$3001,$N736))</f>
        <v/>
      </c>
      <c r="I736" s="5">
        <f>IF($N736="","",SUMIFS('Per Line'!$X$2:$X$3001,'Per Line'!$D$2:$D$3001,$C736))</f>
        <v/>
      </c>
      <c r="J736" s="5">
        <f>IF($N736="","",SUMIFS('Per Line'!$Y$2:$Y$3001,'Per Line'!$D$2:$D$3001,$C736))</f>
        <v/>
      </c>
      <c r="K736" s="5">
        <f>IF($N736="","",SUMIFS('Per Line'!$Z$2:$Z$3001,'Per Line'!$D$2:$D$3001,$C736))</f>
        <v/>
      </c>
      <c r="L736" s="5">
        <f>IF($N736="","",I736-J736)</f>
        <v/>
      </c>
      <c r="M736" s="5">
        <f>IF($N736="","",L736-K736)</f>
        <v/>
      </c>
      <c r="N736">
        <f>IF(ROWS($N$2:$N736)&lt;=MAX('Per Line'!$AG$2:$AG$3001),MATCH(ROWS($N$2:$N736),'Per Line'!$AG$2:$AG$3001,0),"")</f>
        <v/>
      </c>
      <c r="O736">
        <f>IF(B736="Above Claim Form",COUNTIF($B$2:B736,"Above Claim Form"),"")</f>
        <v/>
      </c>
      <c r="P736">
        <f>IF(B736="Below Claim Form",COUNTIF($B$2:B736,"Below Claim Form"),"")</f>
        <v/>
      </c>
    </row>
    <row r="737">
      <c r="B737">
        <f>IF($N737="","",IFERROR(INDEX(Settings!$C$27:$C$36,MATCH(E737,Settings!$B$27:$B$36,0)),"Unassigned"))</f>
        <v/>
      </c>
      <c r="C737">
        <f>IF($N737="","",INDEX('Per Line'!$D$2:$D$3001,$N737))</f>
        <v/>
      </c>
      <c r="D737">
        <f>IF($N737="","",INDEX('Per Line'!$C$2:$C$3001,$N737))</f>
        <v/>
      </c>
      <c r="E737">
        <f>IF($N737="","",INDEX('Per Line'!$A$2:$A$3001,$N737))</f>
        <v/>
      </c>
      <c r="H737">
        <f>IF($N737="","",INDEX('Per Line'!$V$2:$V$3001,$N737))</f>
        <v/>
      </c>
      <c r="I737" s="5">
        <f>IF($N737="","",SUMIFS('Per Line'!$X$2:$X$3001,'Per Line'!$D$2:$D$3001,$C737))</f>
        <v/>
      </c>
      <c r="J737" s="5">
        <f>IF($N737="","",SUMIFS('Per Line'!$Y$2:$Y$3001,'Per Line'!$D$2:$D$3001,$C737))</f>
        <v/>
      </c>
      <c r="K737" s="5">
        <f>IF($N737="","",SUMIFS('Per Line'!$Z$2:$Z$3001,'Per Line'!$D$2:$D$3001,$C737))</f>
        <v/>
      </c>
      <c r="L737" s="5">
        <f>IF($N737="","",I737-J737)</f>
        <v/>
      </c>
      <c r="M737" s="5">
        <f>IF($N737="","",L737-K737)</f>
        <v/>
      </c>
      <c r="N737">
        <f>IF(ROWS($N$2:$N737)&lt;=MAX('Per Line'!$AG$2:$AG$3001),MATCH(ROWS($N$2:$N737),'Per Line'!$AG$2:$AG$3001,0),"")</f>
        <v/>
      </c>
      <c r="O737">
        <f>IF(B737="Above Claim Form",COUNTIF($B$2:B737,"Above Claim Form"),"")</f>
        <v/>
      </c>
      <c r="P737">
        <f>IF(B737="Below Claim Form",COUNTIF($B$2:B737,"Below Claim Form"),"")</f>
        <v/>
      </c>
    </row>
    <row r="738">
      <c r="B738">
        <f>IF($N738="","",IFERROR(INDEX(Settings!$C$27:$C$36,MATCH(E738,Settings!$B$27:$B$36,0)),"Unassigned"))</f>
        <v/>
      </c>
      <c r="C738">
        <f>IF($N738="","",INDEX('Per Line'!$D$2:$D$3001,$N738))</f>
        <v/>
      </c>
      <c r="D738">
        <f>IF($N738="","",INDEX('Per Line'!$C$2:$C$3001,$N738))</f>
        <v/>
      </c>
      <c r="E738">
        <f>IF($N738="","",INDEX('Per Line'!$A$2:$A$3001,$N738))</f>
        <v/>
      </c>
      <c r="H738">
        <f>IF($N738="","",INDEX('Per Line'!$V$2:$V$3001,$N738))</f>
        <v/>
      </c>
      <c r="I738" s="5">
        <f>IF($N738="","",SUMIFS('Per Line'!$X$2:$X$3001,'Per Line'!$D$2:$D$3001,$C738))</f>
        <v/>
      </c>
      <c r="J738" s="5">
        <f>IF($N738="","",SUMIFS('Per Line'!$Y$2:$Y$3001,'Per Line'!$D$2:$D$3001,$C738))</f>
        <v/>
      </c>
      <c r="K738" s="5">
        <f>IF($N738="","",SUMIFS('Per Line'!$Z$2:$Z$3001,'Per Line'!$D$2:$D$3001,$C738))</f>
        <v/>
      </c>
      <c r="L738" s="5">
        <f>IF($N738="","",I738-J738)</f>
        <v/>
      </c>
      <c r="M738" s="5">
        <f>IF($N738="","",L738-K738)</f>
        <v/>
      </c>
      <c r="N738">
        <f>IF(ROWS($N$2:$N738)&lt;=MAX('Per Line'!$AG$2:$AG$3001),MATCH(ROWS($N$2:$N738),'Per Line'!$AG$2:$AG$3001,0),"")</f>
        <v/>
      </c>
      <c r="O738">
        <f>IF(B738="Above Claim Form",COUNTIF($B$2:B738,"Above Claim Form"),"")</f>
        <v/>
      </c>
      <c r="P738">
        <f>IF(B738="Below Claim Form",COUNTIF($B$2:B738,"Below Claim Form"),"")</f>
        <v/>
      </c>
    </row>
    <row r="739">
      <c r="B739">
        <f>IF($N739="","",IFERROR(INDEX(Settings!$C$27:$C$36,MATCH(E739,Settings!$B$27:$B$36,0)),"Unassigned"))</f>
        <v/>
      </c>
      <c r="C739">
        <f>IF($N739="","",INDEX('Per Line'!$D$2:$D$3001,$N739))</f>
        <v/>
      </c>
      <c r="D739">
        <f>IF($N739="","",INDEX('Per Line'!$C$2:$C$3001,$N739))</f>
        <v/>
      </c>
      <c r="E739">
        <f>IF($N739="","",INDEX('Per Line'!$A$2:$A$3001,$N739))</f>
        <v/>
      </c>
      <c r="H739">
        <f>IF($N739="","",INDEX('Per Line'!$V$2:$V$3001,$N739))</f>
        <v/>
      </c>
      <c r="I739" s="5">
        <f>IF($N739="","",SUMIFS('Per Line'!$X$2:$X$3001,'Per Line'!$D$2:$D$3001,$C739))</f>
        <v/>
      </c>
      <c r="J739" s="5">
        <f>IF($N739="","",SUMIFS('Per Line'!$Y$2:$Y$3001,'Per Line'!$D$2:$D$3001,$C739))</f>
        <v/>
      </c>
      <c r="K739" s="5">
        <f>IF($N739="","",SUMIFS('Per Line'!$Z$2:$Z$3001,'Per Line'!$D$2:$D$3001,$C739))</f>
        <v/>
      </c>
      <c r="L739" s="5">
        <f>IF($N739="","",I739-J739)</f>
        <v/>
      </c>
      <c r="M739" s="5">
        <f>IF($N739="","",L739-K739)</f>
        <v/>
      </c>
      <c r="N739">
        <f>IF(ROWS($N$2:$N739)&lt;=MAX('Per Line'!$AG$2:$AG$3001),MATCH(ROWS($N$2:$N739),'Per Line'!$AG$2:$AG$3001,0),"")</f>
        <v/>
      </c>
      <c r="O739">
        <f>IF(B739="Above Claim Form",COUNTIF($B$2:B739,"Above Claim Form"),"")</f>
        <v/>
      </c>
      <c r="P739">
        <f>IF(B739="Below Claim Form",COUNTIF($B$2:B739,"Below Claim Form"),"")</f>
        <v/>
      </c>
    </row>
    <row r="740">
      <c r="B740">
        <f>IF($N740="","",IFERROR(INDEX(Settings!$C$27:$C$36,MATCH(E740,Settings!$B$27:$B$36,0)),"Unassigned"))</f>
        <v/>
      </c>
      <c r="C740">
        <f>IF($N740="","",INDEX('Per Line'!$D$2:$D$3001,$N740))</f>
        <v/>
      </c>
      <c r="D740">
        <f>IF($N740="","",INDEX('Per Line'!$C$2:$C$3001,$N740))</f>
        <v/>
      </c>
      <c r="E740">
        <f>IF($N740="","",INDEX('Per Line'!$A$2:$A$3001,$N740))</f>
        <v/>
      </c>
      <c r="H740">
        <f>IF($N740="","",INDEX('Per Line'!$V$2:$V$3001,$N740))</f>
        <v/>
      </c>
      <c r="I740" s="5">
        <f>IF($N740="","",SUMIFS('Per Line'!$X$2:$X$3001,'Per Line'!$D$2:$D$3001,$C740))</f>
        <v/>
      </c>
      <c r="J740" s="5">
        <f>IF($N740="","",SUMIFS('Per Line'!$Y$2:$Y$3001,'Per Line'!$D$2:$D$3001,$C740))</f>
        <v/>
      </c>
      <c r="K740" s="5">
        <f>IF($N740="","",SUMIFS('Per Line'!$Z$2:$Z$3001,'Per Line'!$D$2:$D$3001,$C740))</f>
        <v/>
      </c>
      <c r="L740" s="5">
        <f>IF($N740="","",I740-J740)</f>
        <v/>
      </c>
      <c r="M740" s="5">
        <f>IF($N740="","",L740-K740)</f>
        <v/>
      </c>
      <c r="N740">
        <f>IF(ROWS($N$2:$N740)&lt;=MAX('Per Line'!$AG$2:$AG$3001),MATCH(ROWS($N$2:$N740),'Per Line'!$AG$2:$AG$3001,0),"")</f>
        <v/>
      </c>
      <c r="O740">
        <f>IF(B740="Above Claim Form",COUNTIF($B$2:B740,"Above Claim Form"),"")</f>
        <v/>
      </c>
      <c r="P740">
        <f>IF(B740="Below Claim Form",COUNTIF($B$2:B740,"Below Claim Form"),"")</f>
        <v/>
      </c>
    </row>
    <row r="741">
      <c r="B741">
        <f>IF($N741="","",IFERROR(INDEX(Settings!$C$27:$C$36,MATCH(E741,Settings!$B$27:$B$36,0)),"Unassigned"))</f>
        <v/>
      </c>
      <c r="C741">
        <f>IF($N741="","",INDEX('Per Line'!$D$2:$D$3001,$N741))</f>
        <v/>
      </c>
      <c r="D741">
        <f>IF($N741="","",INDEX('Per Line'!$C$2:$C$3001,$N741))</f>
        <v/>
      </c>
      <c r="E741">
        <f>IF($N741="","",INDEX('Per Line'!$A$2:$A$3001,$N741))</f>
        <v/>
      </c>
      <c r="H741">
        <f>IF($N741="","",INDEX('Per Line'!$V$2:$V$3001,$N741))</f>
        <v/>
      </c>
      <c r="I741" s="5">
        <f>IF($N741="","",SUMIFS('Per Line'!$X$2:$X$3001,'Per Line'!$D$2:$D$3001,$C741))</f>
        <v/>
      </c>
      <c r="J741" s="5">
        <f>IF($N741="","",SUMIFS('Per Line'!$Y$2:$Y$3001,'Per Line'!$D$2:$D$3001,$C741))</f>
        <v/>
      </c>
      <c r="K741" s="5">
        <f>IF($N741="","",SUMIFS('Per Line'!$Z$2:$Z$3001,'Per Line'!$D$2:$D$3001,$C741))</f>
        <v/>
      </c>
      <c r="L741" s="5">
        <f>IF($N741="","",I741-J741)</f>
        <v/>
      </c>
      <c r="M741" s="5">
        <f>IF($N741="","",L741-K741)</f>
        <v/>
      </c>
      <c r="N741">
        <f>IF(ROWS($N$2:$N741)&lt;=MAX('Per Line'!$AG$2:$AG$3001),MATCH(ROWS($N$2:$N741),'Per Line'!$AG$2:$AG$3001,0),"")</f>
        <v/>
      </c>
      <c r="O741">
        <f>IF(B741="Above Claim Form",COUNTIF($B$2:B741,"Above Claim Form"),"")</f>
        <v/>
      </c>
      <c r="P741">
        <f>IF(B741="Below Claim Form",COUNTIF($B$2:B741,"Below Claim Form"),"")</f>
        <v/>
      </c>
    </row>
    <row r="742">
      <c r="B742">
        <f>IF($N742="","",IFERROR(INDEX(Settings!$C$27:$C$36,MATCH(E742,Settings!$B$27:$B$36,0)),"Unassigned"))</f>
        <v/>
      </c>
      <c r="C742">
        <f>IF($N742="","",INDEX('Per Line'!$D$2:$D$3001,$N742))</f>
        <v/>
      </c>
      <c r="D742">
        <f>IF($N742="","",INDEX('Per Line'!$C$2:$C$3001,$N742))</f>
        <v/>
      </c>
      <c r="E742">
        <f>IF($N742="","",INDEX('Per Line'!$A$2:$A$3001,$N742))</f>
        <v/>
      </c>
      <c r="H742">
        <f>IF($N742="","",INDEX('Per Line'!$V$2:$V$3001,$N742))</f>
        <v/>
      </c>
      <c r="I742" s="5">
        <f>IF($N742="","",SUMIFS('Per Line'!$X$2:$X$3001,'Per Line'!$D$2:$D$3001,$C742))</f>
        <v/>
      </c>
      <c r="J742" s="5">
        <f>IF($N742="","",SUMIFS('Per Line'!$Y$2:$Y$3001,'Per Line'!$D$2:$D$3001,$C742))</f>
        <v/>
      </c>
      <c r="K742" s="5">
        <f>IF($N742="","",SUMIFS('Per Line'!$Z$2:$Z$3001,'Per Line'!$D$2:$D$3001,$C742))</f>
        <v/>
      </c>
      <c r="L742" s="5">
        <f>IF($N742="","",I742-J742)</f>
        <v/>
      </c>
      <c r="M742" s="5">
        <f>IF($N742="","",L742-K742)</f>
        <v/>
      </c>
      <c r="N742">
        <f>IF(ROWS($N$2:$N742)&lt;=MAX('Per Line'!$AG$2:$AG$3001),MATCH(ROWS($N$2:$N742),'Per Line'!$AG$2:$AG$3001,0),"")</f>
        <v/>
      </c>
      <c r="O742">
        <f>IF(B742="Above Claim Form",COUNTIF($B$2:B742,"Above Claim Form"),"")</f>
        <v/>
      </c>
      <c r="P742">
        <f>IF(B742="Below Claim Form",COUNTIF($B$2:B742,"Below Claim Form"),"")</f>
        <v/>
      </c>
    </row>
    <row r="743">
      <c r="B743">
        <f>IF($N743="","",IFERROR(INDEX(Settings!$C$27:$C$36,MATCH(E743,Settings!$B$27:$B$36,0)),"Unassigned"))</f>
        <v/>
      </c>
      <c r="C743">
        <f>IF($N743="","",INDEX('Per Line'!$D$2:$D$3001,$N743))</f>
        <v/>
      </c>
      <c r="D743">
        <f>IF($N743="","",INDEX('Per Line'!$C$2:$C$3001,$N743))</f>
        <v/>
      </c>
      <c r="E743">
        <f>IF($N743="","",INDEX('Per Line'!$A$2:$A$3001,$N743))</f>
        <v/>
      </c>
      <c r="H743">
        <f>IF($N743="","",INDEX('Per Line'!$V$2:$V$3001,$N743))</f>
        <v/>
      </c>
      <c r="I743" s="5">
        <f>IF($N743="","",SUMIFS('Per Line'!$X$2:$X$3001,'Per Line'!$D$2:$D$3001,$C743))</f>
        <v/>
      </c>
      <c r="J743" s="5">
        <f>IF($N743="","",SUMIFS('Per Line'!$Y$2:$Y$3001,'Per Line'!$D$2:$D$3001,$C743))</f>
        <v/>
      </c>
      <c r="K743" s="5">
        <f>IF($N743="","",SUMIFS('Per Line'!$Z$2:$Z$3001,'Per Line'!$D$2:$D$3001,$C743))</f>
        <v/>
      </c>
      <c r="L743" s="5">
        <f>IF($N743="","",I743-J743)</f>
        <v/>
      </c>
      <c r="M743" s="5">
        <f>IF($N743="","",L743-K743)</f>
        <v/>
      </c>
      <c r="N743">
        <f>IF(ROWS($N$2:$N743)&lt;=MAX('Per Line'!$AG$2:$AG$3001),MATCH(ROWS($N$2:$N743),'Per Line'!$AG$2:$AG$3001,0),"")</f>
        <v/>
      </c>
      <c r="O743">
        <f>IF(B743="Above Claim Form",COUNTIF($B$2:B743,"Above Claim Form"),"")</f>
        <v/>
      </c>
      <c r="P743">
        <f>IF(B743="Below Claim Form",COUNTIF($B$2:B743,"Below Claim Form"),"")</f>
        <v/>
      </c>
    </row>
    <row r="744">
      <c r="B744">
        <f>IF($N744="","",IFERROR(INDEX(Settings!$C$27:$C$36,MATCH(E744,Settings!$B$27:$B$36,0)),"Unassigned"))</f>
        <v/>
      </c>
      <c r="C744">
        <f>IF($N744="","",INDEX('Per Line'!$D$2:$D$3001,$N744))</f>
        <v/>
      </c>
      <c r="D744">
        <f>IF($N744="","",INDEX('Per Line'!$C$2:$C$3001,$N744))</f>
        <v/>
      </c>
      <c r="E744">
        <f>IF($N744="","",INDEX('Per Line'!$A$2:$A$3001,$N744))</f>
        <v/>
      </c>
      <c r="H744">
        <f>IF($N744="","",INDEX('Per Line'!$V$2:$V$3001,$N744))</f>
        <v/>
      </c>
      <c r="I744" s="5">
        <f>IF($N744="","",SUMIFS('Per Line'!$X$2:$X$3001,'Per Line'!$D$2:$D$3001,$C744))</f>
        <v/>
      </c>
      <c r="J744" s="5">
        <f>IF($N744="","",SUMIFS('Per Line'!$Y$2:$Y$3001,'Per Line'!$D$2:$D$3001,$C744))</f>
        <v/>
      </c>
      <c r="K744" s="5">
        <f>IF($N744="","",SUMIFS('Per Line'!$Z$2:$Z$3001,'Per Line'!$D$2:$D$3001,$C744))</f>
        <v/>
      </c>
      <c r="L744" s="5">
        <f>IF($N744="","",I744-J744)</f>
        <v/>
      </c>
      <c r="M744" s="5">
        <f>IF($N744="","",L744-K744)</f>
        <v/>
      </c>
      <c r="N744">
        <f>IF(ROWS($N$2:$N744)&lt;=MAX('Per Line'!$AG$2:$AG$3001),MATCH(ROWS($N$2:$N744),'Per Line'!$AG$2:$AG$3001,0),"")</f>
        <v/>
      </c>
      <c r="O744">
        <f>IF(B744="Above Claim Form",COUNTIF($B$2:B744,"Above Claim Form"),"")</f>
        <v/>
      </c>
      <c r="P744">
        <f>IF(B744="Below Claim Form",COUNTIF($B$2:B744,"Below Claim Form"),"")</f>
        <v/>
      </c>
    </row>
    <row r="745">
      <c r="B745">
        <f>IF($N745="","",IFERROR(INDEX(Settings!$C$27:$C$36,MATCH(E745,Settings!$B$27:$B$36,0)),"Unassigned"))</f>
        <v/>
      </c>
      <c r="C745">
        <f>IF($N745="","",INDEX('Per Line'!$D$2:$D$3001,$N745))</f>
        <v/>
      </c>
      <c r="D745">
        <f>IF($N745="","",INDEX('Per Line'!$C$2:$C$3001,$N745))</f>
        <v/>
      </c>
      <c r="E745">
        <f>IF($N745="","",INDEX('Per Line'!$A$2:$A$3001,$N745))</f>
        <v/>
      </c>
      <c r="H745">
        <f>IF($N745="","",INDEX('Per Line'!$V$2:$V$3001,$N745))</f>
        <v/>
      </c>
      <c r="I745" s="5">
        <f>IF($N745="","",SUMIFS('Per Line'!$X$2:$X$3001,'Per Line'!$D$2:$D$3001,$C745))</f>
        <v/>
      </c>
      <c r="J745" s="5">
        <f>IF($N745="","",SUMIFS('Per Line'!$Y$2:$Y$3001,'Per Line'!$D$2:$D$3001,$C745))</f>
        <v/>
      </c>
      <c r="K745" s="5">
        <f>IF($N745="","",SUMIFS('Per Line'!$Z$2:$Z$3001,'Per Line'!$D$2:$D$3001,$C745))</f>
        <v/>
      </c>
      <c r="L745" s="5">
        <f>IF($N745="","",I745-J745)</f>
        <v/>
      </c>
      <c r="M745" s="5">
        <f>IF($N745="","",L745-K745)</f>
        <v/>
      </c>
      <c r="N745">
        <f>IF(ROWS($N$2:$N745)&lt;=MAX('Per Line'!$AG$2:$AG$3001),MATCH(ROWS($N$2:$N745),'Per Line'!$AG$2:$AG$3001,0),"")</f>
        <v/>
      </c>
      <c r="O745">
        <f>IF(B745="Above Claim Form",COUNTIF($B$2:B745,"Above Claim Form"),"")</f>
        <v/>
      </c>
      <c r="P745">
        <f>IF(B745="Below Claim Form",COUNTIF($B$2:B745,"Below Claim Form"),"")</f>
        <v/>
      </c>
    </row>
    <row r="746">
      <c r="B746">
        <f>IF($N746="","",IFERROR(INDEX(Settings!$C$27:$C$36,MATCH(E746,Settings!$B$27:$B$36,0)),"Unassigned"))</f>
        <v/>
      </c>
      <c r="C746">
        <f>IF($N746="","",INDEX('Per Line'!$D$2:$D$3001,$N746))</f>
        <v/>
      </c>
      <c r="D746">
        <f>IF($N746="","",INDEX('Per Line'!$C$2:$C$3001,$N746))</f>
        <v/>
      </c>
      <c r="E746">
        <f>IF($N746="","",INDEX('Per Line'!$A$2:$A$3001,$N746))</f>
        <v/>
      </c>
      <c r="H746">
        <f>IF($N746="","",INDEX('Per Line'!$V$2:$V$3001,$N746))</f>
        <v/>
      </c>
      <c r="I746" s="5">
        <f>IF($N746="","",SUMIFS('Per Line'!$X$2:$X$3001,'Per Line'!$D$2:$D$3001,$C746))</f>
        <v/>
      </c>
      <c r="J746" s="5">
        <f>IF($N746="","",SUMIFS('Per Line'!$Y$2:$Y$3001,'Per Line'!$D$2:$D$3001,$C746))</f>
        <v/>
      </c>
      <c r="K746" s="5">
        <f>IF($N746="","",SUMIFS('Per Line'!$Z$2:$Z$3001,'Per Line'!$D$2:$D$3001,$C746))</f>
        <v/>
      </c>
      <c r="L746" s="5">
        <f>IF($N746="","",I746-J746)</f>
        <v/>
      </c>
      <c r="M746" s="5">
        <f>IF($N746="","",L746-K746)</f>
        <v/>
      </c>
      <c r="N746">
        <f>IF(ROWS($N$2:$N746)&lt;=MAX('Per Line'!$AG$2:$AG$3001),MATCH(ROWS($N$2:$N746),'Per Line'!$AG$2:$AG$3001,0),"")</f>
        <v/>
      </c>
      <c r="O746">
        <f>IF(B746="Above Claim Form",COUNTIF($B$2:B746,"Above Claim Form"),"")</f>
        <v/>
      </c>
      <c r="P746">
        <f>IF(B746="Below Claim Form",COUNTIF($B$2:B746,"Below Claim Form"),"")</f>
        <v/>
      </c>
    </row>
    <row r="747">
      <c r="B747">
        <f>IF($N747="","",IFERROR(INDEX(Settings!$C$27:$C$36,MATCH(E747,Settings!$B$27:$B$36,0)),"Unassigned"))</f>
        <v/>
      </c>
      <c r="C747">
        <f>IF($N747="","",INDEX('Per Line'!$D$2:$D$3001,$N747))</f>
        <v/>
      </c>
      <c r="D747">
        <f>IF($N747="","",INDEX('Per Line'!$C$2:$C$3001,$N747))</f>
        <v/>
      </c>
      <c r="E747">
        <f>IF($N747="","",INDEX('Per Line'!$A$2:$A$3001,$N747))</f>
        <v/>
      </c>
      <c r="H747">
        <f>IF($N747="","",INDEX('Per Line'!$V$2:$V$3001,$N747))</f>
        <v/>
      </c>
      <c r="I747" s="5">
        <f>IF($N747="","",SUMIFS('Per Line'!$X$2:$X$3001,'Per Line'!$D$2:$D$3001,$C747))</f>
        <v/>
      </c>
      <c r="J747" s="5">
        <f>IF($N747="","",SUMIFS('Per Line'!$Y$2:$Y$3001,'Per Line'!$D$2:$D$3001,$C747))</f>
        <v/>
      </c>
      <c r="K747" s="5">
        <f>IF($N747="","",SUMIFS('Per Line'!$Z$2:$Z$3001,'Per Line'!$D$2:$D$3001,$C747))</f>
        <v/>
      </c>
      <c r="L747" s="5">
        <f>IF($N747="","",I747-J747)</f>
        <v/>
      </c>
      <c r="M747" s="5">
        <f>IF($N747="","",L747-K747)</f>
        <v/>
      </c>
      <c r="N747">
        <f>IF(ROWS($N$2:$N747)&lt;=MAX('Per Line'!$AG$2:$AG$3001),MATCH(ROWS($N$2:$N747),'Per Line'!$AG$2:$AG$3001,0),"")</f>
        <v/>
      </c>
      <c r="O747">
        <f>IF(B747="Above Claim Form",COUNTIF($B$2:B747,"Above Claim Form"),"")</f>
        <v/>
      </c>
      <c r="P747">
        <f>IF(B747="Below Claim Form",COUNTIF($B$2:B747,"Below Claim Form"),"")</f>
        <v/>
      </c>
    </row>
    <row r="748">
      <c r="B748">
        <f>IF($N748="","",IFERROR(INDEX(Settings!$C$27:$C$36,MATCH(E748,Settings!$B$27:$B$36,0)),"Unassigned"))</f>
        <v/>
      </c>
      <c r="C748">
        <f>IF($N748="","",INDEX('Per Line'!$D$2:$D$3001,$N748))</f>
        <v/>
      </c>
      <c r="D748">
        <f>IF($N748="","",INDEX('Per Line'!$C$2:$C$3001,$N748))</f>
        <v/>
      </c>
      <c r="E748">
        <f>IF($N748="","",INDEX('Per Line'!$A$2:$A$3001,$N748))</f>
        <v/>
      </c>
      <c r="H748">
        <f>IF($N748="","",INDEX('Per Line'!$V$2:$V$3001,$N748))</f>
        <v/>
      </c>
      <c r="I748" s="5">
        <f>IF($N748="","",SUMIFS('Per Line'!$X$2:$X$3001,'Per Line'!$D$2:$D$3001,$C748))</f>
        <v/>
      </c>
      <c r="J748" s="5">
        <f>IF($N748="","",SUMIFS('Per Line'!$Y$2:$Y$3001,'Per Line'!$D$2:$D$3001,$C748))</f>
        <v/>
      </c>
      <c r="K748" s="5">
        <f>IF($N748="","",SUMIFS('Per Line'!$Z$2:$Z$3001,'Per Line'!$D$2:$D$3001,$C748))</f>
        <v/>
      </c>
      <c r="L748" s="5">
        <f>IF($N748="","",I748-J748)</f>
        <v/>
      </c>
      <c r="M748" s="5">
        <f>IF($N748="","",L748-K748)</f>
        <v/>
      </c>
      <c r="N748">
        <f>IF(ROWS($N$2:$N748)&lt;=MAX('Per Line'!$AG$2:$AG$3001),MATCH(ROWS($N$2:$N748),'Per Line'!$AG$2:$AG$3001,0),"")</f>
        <v/>
      </c>
      <c r="O748">
        <f>IF(B748="Above Claim Form",COUNTIF($B$2:B748,"Above Claim Form"),"")</f>
        <v/>
      </c>
      <c r="P748">
        <f>IF(B748="Below Claim Form",COUNTIF($B$2:B748,"Below Claim Form"),"")</f>
        <v/>
      </c>
    </row>
    <row r="749">
      <c r="B749">
        <f>IF($N749="","",IFERROR(INDEX(Settings!$C$27:$C$36,MATCH(E749,Settings!$B$27:$B$36,0)),"Unassigned"))</f>
        <v/>
      </c>
      <c r="C749">
        <f>IF($N749="","",INDEX('Per Line'!$D$2:$D$3001,$N749))</f>
        <v/>
      </c>
      <c r="D749">
        <f>IF($N749="","",INDEX('Per Line'!$C$2:$C$3001,$N749))</f>
        <v/>
      </c>
      <c r="E749">
        <f>IF($N749="","",INDEX('Per Line'!$A$2:$A$3001,$N749))</f>
        <v/>
      </c>
      <c r="H749">
        <f>IF($N749="","",INDEX('Per Line'!$V$2:$V$3001,$N749))</f>
        <v/>
      </c>
      <c r="I749" s="5">
        <f>IF($N749="","",SUMIFS('Per Line'!$X$2:$X$3001,'Per Line'!$D$2:$D$3001,$C749))</f>
        <v/>
      </c>
      <c r="J749" s="5">
        <f>IF($N749="","",SUMIFS('Per Line'!$Y$2:$Y$3001,'Per Line'!$D$2:$D$3001,$C749))</f>
        <v/>
      </c>
      <c r="K749" s="5">
        <f>IF($N749="","",SUMIFS('Per Line'!$Z$2:$Z$3001,'Per Line'!$D$2:$D$3001,$C749))</f>
        <v/>
      </c>
      <c r="L749" s="5">
        <f>IF($N749="","",I749-J749)</f>
        <v/>
      </c>
      <c r="M749" s="5">
        <f>IF($N749="","",L749-K749)</f>
        <v/>
      </c>
      <c r="N749">
        <f>IF(ROWS($N$2:$N749)&lt;=MAX('Per Line'!$AG$2:$AG$3001),MATCH(ROWS($N$2:$N749),'Per Line'!$AG$2:$AG$3001,0),"")</f>
        <v/>
      </c>
      <c r="O749">
        <f>IF(B749="Above Claim Form",COUNTIF($B$2:B749,"Above Claim Form"),"")</f>
        <v/>
      </c>
      <c r="P749">
        <f>IF(B749="Below Claim Form",COUNTIF($B$2:B749,"Below Claim Form"),"")</f>
        <v/>
      </c>
    </row>
    <row r="750">
      <c r="B750">
        <f>IF($N750="","",IFERROR(INDEX(Settings!$C$27:$C$36,MATCH(E750,Settings!$B$27:$B$36,0)),"Unassigned"))</f>
        <v/>
      </c>
      <c r="C750">
        <f>IF($N750="","",INDEX('Per Line'!$D$2:$D$3001,$N750))</f>
        <v/>
      </c>
      <c r="D750">
        <f>IF($N750="","",INDEX('Per Line'!$C$2:$C$3001,$N750))</f>
        <v/>
      </c>
      <c r="E750">
        <f>IF($N750="","",INDEX('Per Line'!$A$2:$A$3001,$N750))</f>
        <v/>
      </c>
      <c r="H750">
        <f>IF($N750="","",INDEX('Per Line'!$V$2:$V$3001,$N750))</f>
        <v/>
      </c>
      <c r="I750" s="5">
        <f>IF($N750="","",SUMIFS('Per Line'!$X$2:$X$3001,'Per Line'!$D$2:$D$3001,$C750))</f>
        <v/>
      </c>
      <c r="J750" s="5">
        <f>IF($N750="","",SUMIFS('Per Line'!$Y$2:$Y$3001,'Per Line'!$D$2:$D$3001,$C750))</f>
        <v/>
      </c>
      <c r="K750" s="5">
        <f>IF($N750="","",SUMIFS('Per Line'!$Z$2:$Z$3001,'Per Line'!$D$2:$D$3001,$C750))</f>
        <v/>
      </c>
      <c r="L750" s="5">
        <f>IF($N750="","",I750-J750)</f>
        <v/>
      </c>
      <c r="M750" s="5">
        <f>IF($N750="","",L750-K750)</f>
        <v/>
      </c>
      <c r="N750">
        <f>IF(ROWS($N$2:$N750)&lt;=MAX('Per Line'!$AG$2:$AG$3001),MATCH(ROWS($N$2:$N750),'Per Line'!$AG$2:$AG$3001,0),"")</f>
        <v/>
      </c>
      <c r="O750">
        <f>IF(B750="Above Claim Form",COUNTIF($B$2:B750,"Above Claim Form"),"")</f>
        <v/>
      </c>
      <c r="P750">
        <f>IF(B750="Below Claim Form",COUNTIF($B$2:B750,"Below Claim Form"),"")</f>
        <v/>
      </c>
    </row>
    <row r="751">
      <c r="B751">
        <f>IF($N751="","",IFERROR(INDEX(Settings!$C$27:$C$36,MATCH(E751,Settings!$B$27:$B$36,0)),"Unassigned"))</f>
        <v/>
      </c>
      <c r="C751">
        <f>IF($N751="","",INDEX('Per Line'!$D$2:$D$3001,$N751))</f>
        <v/>
      </c>
      <c r="D751">
        <f>IF($N751="","",INDEX('Per Line'!$C$2:$C$3001,$N751))</f>
        <v/>
      </c>
      <c r="E751">
        <f>IF($N751="","",INDEX('Per Line'!$A$2:$A$3001,$N751))</f>
        <v/>
      </c>
      <c r="H751">
        <f>IF($N751="","",INDEX('Per Line'!$V$2:$V$3001,$N751))</f>
        <v/>
      </c>
      <c r="I751" s="5">
        <f>IF($N751="","",SUMIFS('Per Line'!$X$2:$X$3001,'Per Line'!$D$2:$D$3001,$C751))</f>
        <v/>
      </c>
      <c r="J751" s="5">
        <f>IF($N751="","",SUMIFS('Per Line'!$Y$2:$Y$3001,'Per Line'!$D$2:$D$3001,$C751))</f>
        <v/>
      </c>
      <c r="K751" s="5">
        <f>IF($N751="","",SUMIFS('Per Line'!$Z$2:$Z$3001,'Per Line'!$D$2:$D$3001,$C751))</f>
        <v/>
      </c>
      <c r="L751" s="5">
        <f>IF($N751="","",I751-J751)</f>
        <v/>
      </c>
      <c r="M751" s="5">
        <f>IF($N751="","",L751-K751)</f>
        <v/>
      </c>
      <c r="N751">
        <f>IF(ROWS($N$2:$N751)&lt;=MAX('Per Line'!$AG$2:$AG$3001),MATCH(ROWS($N$2:$N751),'Per Line'!$AG$2:$AG$3001,0),"")</f>
        <v/>
      </c>
      <c r="O751">
        <f>IF(B751="Above Claim Form",COUNTIF($B$2:B751,"Above Claim Form"),"")</f>
        <v/>
      </c>
      <c r="P751">
        <f>IF(B751="Below Claim Form",COUNTIF($B$2:B751,"Below Claim Form"),"")</f>
        <v/>
      </c>
    </row>
    <row r="752">
      <c r="B752">
        <f>IF($N752="","",IFERROR(INDEX(Settings!$C$27:$C$36,MATCH(E752,Settings!$B$27:$B$36,0)),"Unassigned"))</f>
        <v/>
      </c>
      <c r="C752">
        <f>IF($N752="","",INDEX('Per Line'!$D$2:$D$3001,$N752))</f>
        <v/>
      </c>
      <c r="D752">
        <f>IF($N752="","",INDEX('Per Line'!$C$2:$C$3001,$N752))</f>
        <v/>
      </c>
      <c r="E752">
        <f>IF($N752="","",INDEX('Per Line'!$A$2:$A$3001,$N752))</f>
        <v/>
      </c>
      <c r="H752">
        <f>IF($N752="","",INDEX('Per Line'!$V$2:$V$3001,$N752))</f>
        <v/>
      </c>
      <c r="I752" s="5">
        <f>IF($N752="","",SUMIFS('Per Line'!$X$2:$X$3001,'Per Line'!$D$2:$D$3001,$C752))</f>
        <v/>
      </c>
      <c r="J752" s="5">
        <f>IF($N752="","",SUMIFS('Per Line'!$Y$2:$Y$3001,'Per Line'!$D$2:$D$3001,$C752))</f>
        <v/>
      </c>
      <c r="K752" s="5">
        <f>IF($N752="","",SUMIFS('Per Line'!$Z$2:$Z$3001,'Per Line'!$D$2:$D$3001,$C752))</f>
        <v/>
      </c>
      <c r="L752" s="5">
        <f>IF($N752="","",I752-J752)</f>
        <v/>
      </c>
      <c r="M752" s="5">
        <f>IF($N752="","",L752-K752)</f>
        <v/>
      </c>
      <c r="N752">
        <f>IF(ROWS($N$2:$N752)&lt;=MAX('Per Line'!$AG$2:$AG$3001),MATCH(ROWS($N$2:$N752),'Per Line'!$AG$2:$AG$3001,0),"")</f>
        <v/>
      </c>
      <c r="O752">
        <f>IF(B752="Above Claim Form",COUNTIF($B$2:B752,"Above Claim Form"),"")</f>
        <v/>
      </c>
      <c r="P752">
        <f>IF(B752="Below Claim Form",COUNTIF($B$2:B752,"Below Claim Form"),"")</f>
        <v/>
      </c>
    </row>
    <row r="753">
      <c r="B753">
        <f>IF($N753="","",IFERROR(INDEX(Settings!$C$27:$C$36,MATCH(E753,Settings!$B$27:$B$36,0)),"Unassigned"))</f>
        <v/>
      </c>
      <c r="C753">
        <f>IF($N753="","",INDEX('Per Line'!$D$2:$D$3001,$N753))</f>
        <v/>
      </c>
      <c r="D753">
        <f>IF($N753="","",INDEX('Per Line'!$C$2:$C$3001,$N753))</f>
        <v/>
      </c>
      <c r="E753">
        <f>IF($N753="","",INDEX('Per Line'!$A$2:$A$3001,$N753))</f>
        <v/>
      </c>
      <c r="H753">
        <f>IF($N753="","",INDEX('Per Line'!$V$2:$V$3001,$N753))</f>
        <v/>
      </c>
      <c r="I753" s="5">
        <f>IF($N753="","",SUMIFS('Per Line'!$X$2:$X$3001,'Per Line'!$D$2:$D$3001,$C753))</f>
        <v/>
      </c>
      <c r="J753" s="5">
        <f>IF($N753="","",SUMIFS('Per Line'!$Y$2:$Y$3001,'Per Line'!$D$2:$D$3001,$C753))</f>
        <v/>
      </c>
      <c r="K753" s="5">
        <f>IF($N753="","",SUMIFS('Per Line'!$Z$2:$Z$3001,'Per Line'!$D$2:$D$3001,$C753))</f>
        <v/>
      </c>
      <c r="L753" s="5">
        <f>IF($N753="","",I753-J753)</f>
        <v/>
      </c>
      <c r="M753" s="5">
        <f>IF($N753="","",L753-K753)</f>
        <v/>
      </c>
      <c r="N753">
        <f>IF(ROWS($N$2:$N753)&lt;=MAX('Per Line'!$AG$2:$AG$3001),MATCH(ROWS($N$2:$N753),'Per Line'!$AG$2:$AG$3001,0),"")</f>
        <v/>
      </c>
      <c r="O753">
        <f>IF(B753="Above Claim Form",COUNTIF($B$2:B753,"Above Claim Form"),"")</f>
        <v/>
      </c>
      <c r="P753">
        <f>IF(B753="Below Claim Form",COUNTIF($B$2:B753,"Below Claim Form"),"")</f>
        <v/>
      </c>
    </row>
    <row r="754">
      <c r="B754">
        <f>IF($N754="","",IFERROR(INDEX(Settings!$C$27:$C$36,MATCH(E754,Settings!$B$27:$B$36,0)),"Unassigned"))</f>
        <v/>
      </c>
      <c r="C754">
        <f>IF($N754="","",INDEX('Per Line'!$D$2:$D$3001,$N754))</f>
        <v/>
      </c>
      <c r="D754">
        <f>IF($N754="","",INDEX('Per Line'!$C$2:$C$3001,$N754))</f>
        <v/>
      </c>
      <c r="E754">
        <f>IF($N754="","",INDEX('Per Line'!$A$2:$A$3001,$N754))</f>
        <v/>
      </c>
      <c r="H754">
        <f>IF($N754="","",INDEX('Per Line'!$V$2:$V$3001,$N754))</f>
        <v/>
      </c>
      <c r="I754" s="5">
        <f>IF($N754="","",SUMIFS('Per Line'!$X$2:$X$3001,'Per Line'!$D$2:$D$3001,$C754))</f>
        <v/>
      </c>
      <c r="J754" s="5">
        <f>IF($N754="","",SUMIFS('Per Line'!$Y$2:$Y$3001,'Per Line'!$D$2:$D$3001,$C754))</f>
        <v/>
      </c>
      <c r="K754" s="5">
        <f>IF($N754="","",SUMIFS('Per Line'!$Z$2:$Z$3001,'Per Line'!$D$2:$D$3001,$C754))</f>
        <v/>
      </c>
      <c r="L754" s="5">
        <f>IF($N754="","",I754-J754)</f>
        <v/>
      </c>
      <c r="M754" s="5">
        <f>IF($N754="","",L754-K754)</f>
        <v/>
      </c>
      <c r="N754">
        <f>IF(ROWS($N$2:$N754)&lt;=MAX('Per Line'!$AG$2:$AG$3001),MATCH(ROWS($N$2:$N754),'Per Line'!$AG$2:$AG$3001,0),"")</f>
        <v/>
      </c>
      <c r="O754">
        <f>IF(B754="Above Claim Form",COUNTIF($B$2:B754,"Above Claim Form"),"")</f>
        <v/>
      </c>
      <c r="P754">
        <f>IF(B754="Below Claim Form",COUNTIF($B$2:B754,"Below Claim Form"),"")</f>
        <v/>
      </c>
    </row>
    <row r="755">
      <c r="B755">
        <f>IF($N755="","",IFERROR(INDEX(Settings!$C$27:$C$36,MATCH(E755,Settings!$B$27:$B$36,0)),"Unassigned"))</f>
        <v/>
      </c>
      <c r="C755">
        <f>IF($N755="","",INDEX('Per Line'!$D$2:$D$3001,$N755))</f>
        <v/>
      </c>
      <c r="D755">
        <f>IF($N755="","",INDEX('Per Line'!$C$2:$C$3001,$N755))</f>
        <v/>
      </c>
      <c r="E755">
        <f>IF($N755="","",INDEX('Per Line'!$A$2:$A$3001,$N755))</f>
        <v/>
      </c>
      <c r="H755">
        <f>IF($N755="","",INDEX('Per Line'!$V$2:$V$3001,$N755))</f>
        <v/>
      </c>
      <c r="I755" s="5">
        <f>IF($N755="","",SUMIFS('Per Line'!$X$2:$X$3001,'Per Line'!$D$2:$D$3001,$C755))</f>
        <v/>
      </c>
      <c r="J755" s="5">
        <f>IF($N755="","",SUMIFS('Per Line'!$Y$2:$Y$3001,'Per Line'!$D$2:$D$3001,$C755))</f>
        <v/>
      </c>
      <c r="K755" s="5">
        <f>IF($N755="","",SUMIFS('Per Line'!$Z$2:$Z$3001,'Per Line'!$D$2:$D$3001,$C755))</f>
        <v/>
      </c>
      <c r="L755" s="5">
        <f>IF($N755="","",I755-J755)</f>
        <v/>
      </c>
      <c r="M755" s="5">
        <f>IF($N755="","",L755-K755)</f>
        <v/>
      </c>
      <c r="N755">
        <f>IF(ROWS($N$2:$N755)&lt;=MAX('Per Line'!$AG$2:$AG$3001),MATCH(ROWS($N$2:$N755),'Per Line'!$AG$2:$AG$3001,0),"")</f>
        <v/>
      </c>
      <c r="O755">
        <f>IF(B755="Above Claim Form",COUNTIF($B$2:B755,"Above Claim Form"),"")</f>
        <v/>
      </c>
      <c r="P755">
        <f>IF(B755="Below Claim Form",COUNTIF($B$2:B755,"Below Claim Form"),"")</f>
        <v/>
      </c>
    </row>
    <row r="756">
      <c r="B756">
        <f>IF($N756="","",IFERROR(INDEX(Settings!$C$27:$C$36,MATCH(E756,Settings!$B$27:$B$36,0)),"Unassigned"))</f>
        <v/>
      </c>
      <c r="C756">
        <f>IF($N756="","",INDEX('Per Line'!$D$2:$D$3001,$N756))</f>
        <v/>
      </c>
      <c r="D756">
        <f>IF($N756="","",INDEX('Per Line'!$C$2:$C$3001,$N756))</f>
        <v/>
      </c>
      <c r="E756">
        <f>IF($N756="","",INDEX('Per Line'!$A$2:$A$3001,$N756))</f>
        <v/>
      </c>
      <c r="H756">
        <f>IF($N756="","",INDEX('Per Line'!$V$2:$V$3001,$N756))</f>
        <v/>
      </c>
      <c r="I756" s="5">
        <f>IF($N756="","",SUMIFS('Per Line'!$X$2:$X$3001,'Per Line'!$D$2:$D$3001,$C756))</f>
        <v/>
      </c>
      <c r="J756" s="5">
        <f>IF($N756="","",SUMIFS('Per Line'!$Y$2:$Y$3001,'Per Line'!$D$2:$D$3001,$C756))</f>
        <v/>
      </c>
      <c r="K756" s="5">
        <f>IF($N756="","",SUMIFS('Per Line'!$Z$2:$Z$3001,'Per Line'!$D$2:$D$3001,$C756))</f>
        <v/>
      </c>
      <c r="L756" s="5">
        <f>IF($N756="","",I756-J756)</f>
        <v/>
      </c>
      <c r="M756" s="5">
        <f>IF($N756="","",L756-K756)</f>
        <v/>
      </c>
      <c r="N756">
        <f>IF(ROWS($N$2:$N756)&lt;=MAX('Per Line'!$AG$2:$AG$3001),MATCH(ROWS($N$2:$N756),'Per Line'!$AG$2:$AG$3001,0),"")</f>
        <v/>
      </c>
      <c r="O756">
        <f>IF(B756="Above Claim Form",COUNTIF($B$2:B756,"Above Claim Form"),"")</f>
        <v/>
      </c>
      <c r="P756">
        <f>IF(B756="Below Claim Form",COUNTIF($B$2:B756,"Below Claim Form"),"")</f>
        <v/>
      </c>
    </row>
    <row r="757">
      <c r="B757">
        <f>IF($N757="","",IFERROR(INDEX(Settings!$C$27:$C$36,MATCH(E757,Settings!$B$27:$B$36,0)),"Unassigned"))</f>
        <v/>
      </c>
      <c r="C757">
        <f>IF($N757="","",INDEX('Per Line'!$D$2:$D$3001,$N757))</f>
        <v/>
      </c>
      <c r="D757">
        <f>IF($N757="","",INDEX('Per Line'!$C$2:$C$3001,$N757))</f>
        <v/>
      </c>
      <c r="E757">
        <f>IF($N757="","",INDEX('Per Line'!$A$2:$A$3001,$N757))</f>
        <v/>
      </c>
      <c r="H757">
        <f>IF($N757="","",INDEX('Per Line'!$V$2:$V$3001,$N757))</f>
        <v/>
      </c>
      <c r="I757" s="5">
        <f>IF($N757="","",SUMIFS('Per Line'!$X$2:$X$3001,'Per Line'!$D$2:$D$3001,$C757))</f>
        <v/>
      </c>
      <c r="J757" s="5">
        <f>IF($N757="","",SUMIFS('Per Line'!$Y$2:$Y$3001,'Per Line'!$D$2:$D$3001,$C757))</f>
        <v/>
      </c>
      <c r="K757" s="5">
        <f>IF($N757="","",SUMIFS('Per Line'!$Z$2:$Z$3001,'Per Line'!$D$2:$D$3001,$C757))</f>
        <v/>
      </c>
      <c r="L757" s="5">
        <f>IF($N757="","",I757-J757)</f>
        <v/>
      </c>
      <c r="M757" s="5">
        <f>IF($N757="","",L757-K757)</f>
        <v/>
      </c>
      <c r="N757">
        <f>IF(ROWS($N$2:$N757)&lt;=MAX('Per Line'!$AG$2:$AG$3001),MATCH(ROWS($N$2:$N757),'Per Line'!$AG$2:$AG$3001,0),"")</f>
        <v/>
      </c>
      <c r="O757">
        <f>IF(B757="Above Claim Form",COUNTIF($B$2:B757,"Above Claim Form"),"")</f>
        <v/>
      </c>
      <c r="P757">
        <f>IF(B757="Below Claim Form",COUNTIF($B$2:B757,"Below Claim Form"),"")</f>
        <v/>
      </c>
    </row>
    <row r="758">
      <c r="B758">
        <f>IF($N758="","",IFERROR(INDEX(Settings!$C$27:$C$36,MATCH(E758,Settings!$B$27:$B$36,0)),"Unassigned"))</f>
        <v/>
      </c>
      <c r="C758">
        <f>IF($N758="","",INDEX('Per Line'!$D$2:$D$3001,$N758))</f>
        <v/>
      </c>
      <c r="D758">
        <f>IF($N758="","",INDEX('Per Line'!$C$2:$C$3001,$N758))</f>
        <v/>
      </c>
      <c r="E758">
        <f>IF($N758="","",INDEX('Per Line'!$A$2:$A$3001,$N758))</f>
        <v/>
      </c>
      <c r="H758">
        <f>IF($N758="","",INDEX('Per Line'!$V$2:$V$3001,$N758))</f>
        <v/>
      </c>
      <c r="I758" s="5">
        <f>IF($N758="","",SUMIFS('Per Line'!$X$2:$X$3001,'Per Line'!$D$2:$D$3001,$C758))</f>
        <v/>
      </c>
      <c r="J758" s="5">
        <f>IF($N758="","",SUMIFS('Per Line'!$Y$2:$Y$3001,'Per Line'!$D$2:$D$3001,$C758))</f>
        <v/>
      </c>
      <c r="K758" s="5">
        <f>IF($N758="","",SUMIFS('Per Line'!$Z$2:$Z$3001,'Per Line'!$D$2:$D$3001,$C758))</f>
        <v/>
      </c>
      <c r="L758" s="5">
        <f>IF($N758="","",I758-J758)</f>
        <v/>
      </c>
      <c r="M758" s="5">
        <f>IF($N758="","",L758-K758)</f>
        <v/>
      </c>
      <c r="N758">
        <f>IF(ROWS($N$2:$N758)&lt;=MAX('Per Line'!$AG$2:$AG$3001),MATCH(ROWS($N$2:$N758),'Per Line'!$AG$2:$AG$3001,0),"")</f>
        <v/>
      </c>
      <c r="O758">
        <f>IF(B758="Above Claim Form",COUNTIF($B$2:B758,"Above Claim Form"),"")</f>
        <v/>
      </c>
      <c r="P758">
        <f>IF(B758="Below Claim Form",COUNTIF($B$2:B758,"Below Claim Form"),"")</f>
        <v/>
      </c>
    </row>
    <row r="759">
      <c r="B759">
        <f>IF($N759="","",IFERROR(INDEX(Settings!$C$27:$C$36,MATCH(E759,Settings!$B$27:$B$36,0)),"Unassigned"))</f>
        <v/>
      </c>
      <c r="C759">
        <f>IF($N759="","",INDEX('Per Line'!$D$2:$D$3001,$N759))</f>
        <v/>
      </c>
      <c r="D759">
        <f>IF($N759="","",INDEX('Per Line'!$C$2:$C$3001,$N759))</f>
        <v/>
      </c>
      <c r="E759">
        <f>IF($N759="","",INDEX('Per Line'!$A$2:$A$3001,$N759))</f>
        <v/>
      </c>
      <c r="H759">
        <f>IF($N759="","",INDEX('Per Line'!$V$2:$V$3001,$N759))</f>
        <v/>
      </c>
      <c r="I759" s="5">
        <f>IF($N759="","",SUMIFS('Per Line'!$X$2:$X$3001,'Per Line'!$D$2:$D$3001,$C759))</f>
        <v/>
      </c>
      <c r="J759" s="5">
        <f>IF($N759="","",SUMIFS('Per Line'!$Y$2:$Y$3001,'Per Line'!$D$2:$D$3001,$C759))</f>
        <v/>
      </c>
      <c r="K759" s="5">
        <f>IF($N759="","",SUMIFS('Per Line'!$Z$2:$Z$3001,'Per Line'!$D$2:$D$3001,$C759))</f>
        <v/>
      </c>
      <c r="L759" s="5">
        <f>IF($N759="","",I759-J759)</f>
        <v/>
      </c>
      <c r="M759" s="5">
        <f>IF($N759="","",L759-K759)</f>
        <v/>
      </c>
      <c r="N759">
        <f>IF(ROWS($N$2:$N759)&lt;=MAX('Per Line'!$AG$2:$AG$3001),MATCH(ROWS($N$2:$N759),'Per Line'!$AG$2:$AG$3001,0),"")</f>
        <v/>
      </c>
      <c r="O759">
        <f>IF(B759="Above Claim Form",COUNTIF($B$2:B759,"Above Claim Form"),"")</f>
        <v/>
      </c>
      <c r="P759">
        <f>IF(B759="Below Claim Form",COUNTIF($B$2:B759,"Below Claim Form"),"")</f>
        <v/>
      </c>
    </row>
    <row r="760">
      <c r="B760">
        <f>IF($N760="","",IFERROR(INDEX(Settings!$C$27:$C$36,MATCH(E760,Settings!$B$27:$B$36,0)),"Unassigned"))</f>
        <v/>
      </c>
      <c r="C760">
        <f>IF($N760="","",INDEX('Per Line'!$D$2:$D$3001,$N760))</f>
        <v/>
      </c>
      <c r="D760">
        <f>IF($N760="","",INDEX('Per Line'!$C$2:$C$3001,$N760))</f>
        <v/>
      </c>
      <c r="E760">
        <f>IF($N760="","",INDEX('Per Line'!$A$2:$A$3001,$N760))</f>
        <v/>
      </c>
      <c r="H760">
        <f>IF($N760="","",INDEX('Per Line'!$V$2:$V$3001,$N760))</f>
        <v/>
      </c>
      <c r="I760" s="5">
        <f>IF($N760="","",SUMIFS('Per Line'!$X$2:$X$3001,'Per Line'!$D$2:$D$3001,$C760))</f>
        <v/>
      </c>
      <c r="J760" s="5">
        <f>IF($N760="","",SUMIFS('Per Line'!$Y$2:$Y$3001,'Per Line'!$D$2:$D$3001,$C760))</f>
        <v/>
      </c>
      <c r="K760" s="5">
        <f>IF($N760="","",SUMIFS('Per Line'!$Z$2:$Z$3001,'Per Line'!$D$2:$D$3001,$C760))</f>
        <v/>
      </c>
      <c r="L760" s="5">
        <f>IF($N760="","",I760-J760)</f>
        <v/>
      </c>
      <c r="M760" s="5">
        <f>IF($N760="","",L760-K760)</f>
        <v/>
      </c>
      <c r="N760">
        <f>IF(ROWS($N$2:$N760)&lt;=MAX('Per Line'!$AG$2:$AG$3001),MATCH(ROWS($N$2:$N760),'Per Line'!$AG$2:$AG$3001,0),"")</f>
        <v/>
      </c>
      <c r="O760">
        <f>IF(B760="Above Claim Form",COUNTIF($B$2:B760,"Above Claim Form"),"")</f>
        <v/>
      </c>
      <c r="P760">
        <f>IF(B760="Below Claim Form",COUNTIF($B$2:B760,"Below Claim Form"),"")</f>
        <v/>
      </c>
    </row>
    <row r="761">
      <c r="B761">
        <f>IF($N761="","",IFERROR(INDEX(Settings!$C$27:$C$36,MATCH(E761,Settings!$B$27:$B$36,0)),"Unassigned"))</f>
        <v/>
      </c>
      <c r="C761">
        <f>IF($N761="","",INDEX('Per Line'!$D$2:$D$3001,$N761))</f>
        <v/>
      </c>
      <c r="D761">
        <f>IF($N761="","",INDEX('Per Line'!$C$2:$C$3001,$N761))</f>
        <v/>
      </c>
      <c r="E761">
        <f>IF($N761="","",INDEX('Per Line'!$A$2:$A$3001,$N761))</f>
        <v/>
      </c>
      <c r="H761">
        <f>IF($N761="","",INDEX('Per Line'!$V$2:$V$3001,$N761))</f>
        <v/>
      </c>
      <c r="I761" s="5">
        <f>IF($N761="","",SUMIFS('Per Line'!$X$2:$X$3001,'Per Line'!$D$2:$D$3001,$C761))</f>
        <v/>
      </c>
      <c r="J761" s="5">
        <f>IF($N761="","",SUMIFS('Per Line'!$Y$2:$Y$3001,'Per Line'!$D$2:$D$3001,$C761))</f>
        <v/>
      </c>
      <c r="K761" s="5">
        <f>IF($N761="","",SUMIFS('Per Line'!$Z$2:$Z$3001,'Per Line'!$D$2:$D$3001,$C761))</f>
        <v/>
      </c>
      <c r="L761" s="5">
        <f>IF($N761="","",I761-J761)</f>
        <v/>
      </c>
      <c r="M761" s="5">
        <f>IF($N761="","",L761-K761)</f>
        <v/>
      </c>
      <c r="N761">
        <f>IF(ROWS($N$2:$N761)&lt;=MAX('Per Line'!$AG$2:$AG$3001),MATCH(ROWS($N$2:$N761),'Per Line'!$AG$2:$AG$3001,0),"")</f>
        <v/>
      </c>
      <c r="O761">
        <f>IF(B761="Above Claim Form",COUNTIF($B$2:B761,"Above Claim Form"),"")</f>
        <v/>
      </c>
      <c r="P761">
        <f>IF(B761="Below Claim Form",COUNTIF($B$2:B761,"Below Claim Form"),"")</f>
        <v/>
      </c>
    </row>
    <row r="762">
      <c r="B762">
        <f>IF($N762="","",IFERROR(INDEX(Settings!$C$27:$C$36,MATCH(E762,Settings!$B$27:$B$36,0)),"Unassigned"))</f>
        <v/>
      </c>
      <c r="C762">
        <f>IF($N762="","",INDEX('Per Line'!$D$2:$D$3001,$N762))</f>
        <v/>
      </c>
      <c r="D762">
        <f>IF($N762="","",INDEX('Per Line'!$C$2:$C$3001,$N762))</f>
        <v/>
      </c>
      <c r="E762">
        <f>IF($N762="","",INDEX('Per Line'!$A$2:$A$3001,$N762))</f>
        <v/>
      </c>
      <c r="H762">
        <f>IF($N762="","",INDEX('Per Line'!$V$2:$V$3001,$N762))</f>
        <v/>
      </c>
      <c r="I762" s="5">
        <f>IF($N762="","",SUMIFS('Per Line'!$X$2:$X$3001,'Per Line'!$D$2:$D$3001,$C762))</f>
        <v/>
      </c>
      <c r="J762" s="5">
        <f>IF($N762="","",SUMIFS('Per Line'!$Y$2:$Y$3001,'Per Line'!$D$2:$D$3001,$C762))</f>
        <v/>
      </c>
      <c r="K762" s="5">
        <f>IF($N762="","",SUMIFS('Per Line'!$Z$2:$Z$3001,'Per Line'!$D$2:$D$3001,$C762))</f>
        <v/>
      </c>
      <c r="L762" s="5">
        <f>IF($N762="","",I762-J762)</f>
        <v/>
      </c>
      <c r="M762" s="5">
        <f>IF($N762="","",L762-K762)</f>
        <v/>
      </c>
      <c r="N762">
        <f>IF(ROWS($N$2:$N762)&lt;=MAX('Per Line'!$AG$2:$AG$3001),MATCH(ROWS($N$2:$N762),'Per Line'!$AG$2:$AG$3001,0),"")</f>
        <v/>
      </c>
      <c r="O762">
        <f>IF(B762="Above Claim Form",COUNTIF($B$2:B762,"Above Claim Form"),"")</f>
        <v/>
      </c>
      <c r="P762">
        <f>IF(B762="Below Claim Form",COUNTIF($B$2:B762,"Below Claim Form"),"")</f>
        <v/>
      </c>
    </row>
    <row r="763">
      <c r="B763">
        <f>IF($N763="","",IFERROR(INDEX(Settings!$C$27:$C$36,MATCH(E763,Settings!$B$27:$B$36,0)),"Unassigned"))</f>
        <v/>
      </c>
      <c r="C763">
        <f>IF($N763="","",INDEX('Per Line'!$D$2:$D$3001,$N763))</f>
        <v/>
      </c>
      <c r="D763">
        <f>IF($N763="","",INDEX('Per Line'!$C$2:$C$3001,$N763))</f>
        <v/>
      </c>
      <c r="E763">
        <f>IF($N763="","",INDEX('Per Line'!$A$2:$A$3001,$N763))</f>
        <v/>
      </c>
      <c r="H763">
        <f>IF($N763="","",INDEX('Per Line'!$V$2:$V$3001,$N763))</f>
        <v/>
      </c>
      <c r="I763" s="5">
        <f>IF($N763="","",SUMIFS('Per Line'!$X$2:$X$3001,'Per Line'!$D$2:$D$3001,$C763))</f>
        <v/>
      </c>
      <c r="J763" s="5">
        <f>IF($N763="","",SUMIFS('Per Line'!$Y$2:$Y$3001,'Per Line'!$D$2:$D$3001,$C763))</f>
        <v/>
      </c>
      <c r="K763" s="5">
        <f>IF($N763="","",SUMIFS('Per Line'!$Z$2:$Z$3001,'Per Line'!$D$2:$D$3001,$C763))</f>
        <v/>
      </c>
      <c r="L763" s="5">
        <f>IF($N763="","",I763-J763)</f>
        <v/>
      </c>
      <c r="M763" s="5">
        <f>IF($N763="","",L763-K763)</f>
        <v/>
      </c>
      <c r="N763">
        <f>IF(ROWS($N$2:$N763)&lt;=MAX('Per Line'!$AG$2:$AG$3001),MATCH(ROWS($N$2:$N763),'Per Line'!$AG$2:$AG$3001,0),"")</f>
        <v/>
      </c>
      <c r="O763">
        <f>IF(B763="Above Claim Form",COUNTIF($B$2:B763,"Above Claim Form"),"")</f>
        <v/>
      </c>
      <c r="P763">
        <f>IF(B763="Below Claim Form",COUNTIF($B$2:B763,"Below Claim Form"),"")</f>
        <v/>
      </c>
    </row>
    <row r="764">
      <c r="B764">
        <f>IF($N764="","",IFERROR(INDEX(Settings!$C$27:$C$36,MATCH(E764,Settings!$B$27:$B$36,0)),"Unassigned"))</f>
        <v/>
      </c>
      <c r="C764">
        <f>IF($N764="","",INDEX('Per Line'!$D$2:$D$3001,$N764))</f>
        <v/>
      </c>
      <c r="D764">
        <f>IF($N764="","",INDEX('Per Line'!$C$2:$C$3001,$N764))</f>
        <v/>
      </c>
      <c r="E764">
        <f>IF($N764="","",INDEX('Per Line'!$A$2:$A$3001,$N764))</f>
        <v/>
      </c>
      <c r="H764">
        <f>IF($N764="","",INDEX('Per Line'!$V$2:$V$3001,$N764))</f>
        <v/>
      </c>
      <c r="I764" s="5">
        <f>IF($N764="","",SUMIFS('Per Line'!$X$2:$X$3001,'Per Line'!$D$2:$D$3001,$C764))</f>
        <v/>
      </c>
      <c r="J764" s="5">
        <f>IF($N764="","",SUMIFS('Per Line'!$Y$2:$Y$3001,'Per Line'!$D$2:$D$3001,$C764))</f>
        <v/>
      </c>
      <c r="K764" s="5">
        <f>IF($N764="","",SUMIFS('Per Line'!$Z$2:$Z$3001,'Per Line'!$D$2:$D$3001,$C764))</f>
        <v/>
      </c>
      <c r="L764" s="5">
        <f>IF($N764="","",I764-J764)</f>
        <v/>
      </c>
      <c r="M764" s="5">
        <f>IF($N764="","",L764-K764)</f>
        <v/>
      </c>
      <c r="N764">
        <f>IF(ROWS($N$2:$N764)&lt;=MAX('Per Line'!$AG$2:$AG$3001),MATCH(ROWS($N$2:$N764),'Per Line'!$AG$2:$AG$3001,0),"")</f>
        <v/>
      </c>
      <c r="O764">
        <f>IF(B764="Above Claim Form",COUNTIF($B$2:B764,"Above Claim Form"),"")</f>
        <v/>
      </c>
      <c r="P764">
        <f>IF(B764="Below Claim Form",COUNTIF($B$2:B764,"Below Claim Form"),"")</f>
        <v/>
      </c>
    </row>
    <row r="765">
      <c r="B765">
        <f>IF($N765="","",IFERROR(INDEX(Settings!$C$27:$C$36,MATCH(E765,Settings!$B$27:$B$36,0)),"Unassigned"))</f>
        <v/>
      </c>
      <c r="C765">
        <f>IF($N765="","",INDEX('Per Line'!$D$2:$D$3001,$N765))</f>
        <v/>
      </c>
      <c r="D765">
        <f>IF($N765="","",INDEX('Per Line'!$C$2:$C$3001,$N765))</f>
        <v/>
      </c>
      <c r="E765">
        <f>IF($N765="","",INDEX('Per Line'!$A$2:$A$3001,$N765))</f>
        <v/>
      </c>
      <c r="H765">
        <f>IF($N765="","",INDEX('Per Line'!$V$2:$V$3001,$N765))</f>
        <v/>
      </c>
      <c r="I765" s="5">
        <f>IF($N765="","",SUMIFS('Per Line'!$X$2:$X$3001,'Per Line'!$D$2:$D$3001,$C765))</f>
        <v/>
      </c>
      <c r="J765" s="5">
        <f>IF($N765="","",SUMIFS('Per Line'!$Y$2:$Y$3001,'Per Line'!$D$2:$D$3001,$C765))</f>
        <v/>
      </c>
      <c r="K765" s="5">
        <f>IF($N765="","",SUMIFS('Per Line'!$Z$2:$Z$3001,'Per Line'!$D$2:$D$3001,$C765))</f>
        <v/>
      </c>
      <c r="L765" s="5">
        <f>IF($N765="","",I765-J765)</f>
        <v/>
      </c>
      <c r="M765" s="5">
        <f>IF($N765="","",L765-K765)</f>
        <v/>
      </c>
      <c r="N765">
        <f>IF(ROWS($N$2:$N765)&lt;=MAX('Per Line'!$AG$2:$AG$3001),MATCH(ROWS($N$2:$N765),'Per Line'!$AG$2:$AG$3001,0),"")</f>
        <v/>
      </c>
      <c r="O765">
        <f>IF(B765="Above Claim Form",COUNTIF($B$2:B765,"Above Claim Form"),"")</f>
        <v/>
      </c>
      <c r="P765">
        <f>IF(B765="Below Claim Form",COUNTIF($B$2:B765,"Below Claim Form"),"")</f>
        <v/>
      </c>
    </row>
    <row r="766">
      <c r="B766">
        <f>IF($N766="","",IFERROR(INDEX(Settings!$C$27:$C$36,MATCH(E766,Settings!$B$27:$B$36,0)),"Unassigned"))</f>
        <v/>
      </c>
      <c r="C766">
        <f>IF($N766="","",INDEX('Per Line'!$D$2:$D$3001,$N766))</f>
        <v/>
      </c>
      <c r="D766">
        <f>IF($N766="","",INDEX('Per Line'!$C$2:$C$3001,$N766))</f>
        <v/>
      </c>
      <c r="E766">
        <f>IF($N766="","",INDEX('Per Line'!$A$2:$A$3001,$N766))</f>
        <v/>
      </c>
      <c r="H766">
        <f>IF($N766="","",INDEX('Per Line'!$V$2:$V$3001,$N766))</f>
        <v/>
      </c>
      <c r="I766" s="5">
        <f>IF($N766="","",SUMIFS('Per Line'!$X$2:$X$3001,'Per Line'!$D$2:$D$3001,$C766))</f>
        <v/>
      </c>
      <c r="J766" s="5">
        <f>IF($N766="","",SUMIFS('Per Line'!$Y$2:$Y$3001,'Per Line'!$D$2:$D$3001,$C766))</f>
        <v/>
      </c>
      <c r="K766" s="5">
        <f>IF($N766="","",SUMIFS('Per Line'!$Z$2:$Z$3001,'Per Line'!$D$2:$D$3001,$C766))</f>
        <v/>
      </c>
      <c r="L766" s="5">
        <f>IF($N766="","",I766-J766)</f>
        <v/>
      </c>
      <c r="M766" s="5">
        <f>IF($N766="","",L766-K766)</f>
        <v/>
      </c>
      <c r="N766">
        <f>IF(ROWS($N$2:$N766)&lt;=MAX('Per Line'!$AG$2:$AG$3001),MATCH(ROWS($N$2:$N766),'Per Line'!$AG$2:$AG$3001,0),"")</f>
        <v/>
      </c>
      <c r="O766">
        <f>IF(B766="Above Claim Form",COUNTIF($B$2:B766,"Above Claim Form"),"")</f>
        <v/>
      </c>
      <c r="P766">
        <f>IF(B766="Below Claim Form",COUNTIF($B$2:B766,"Below Claim Form"),"")</f>
        <v/>
      </c>
    </row>
    <row r="767">
      <c r="B767">
        <f>IF($N767="","",IFERROR(INDEX(Settings!$C$27:$C$36,MATCH(E767,Settings!$B$27:$B$36,0)),"Unassigned"))</f>
        <v/>
      </c>
      <c r="C767">
        <f>IF($N767="","",INDEX('Per Line'!$D$2:$D$3001,$N767))</f>
        <v/>
      </c>
      <c r="D767">
        <f>IF($N767="","",INDEX('Per Line'!$C$2:$C$3001,$N767))</f>
        <v/>
      </c>
      <c r="E767">
        <f>IF($N767="","",INDEX('Per Line'!$A$2:$A$3001,$N767))</f>
        <v/>
      </c>
      <c r="H767">
        <f>IF($N767="","",INDEX('Per Line'!$V$2:$V$3001,$N767))</f>
        <v/>
      </c>
      <c r="I767" s="5">
        <f>IF($N767="","",SUMIFS('Per Line'!$X$2:$X$3001,'Per Line'!$D$2:$D$3001,$C767))</f>
        <v/>
      </c>
      <c r="J767" s="5">
        <f>IF($N767="","",SUMIFS('Per Line'!$Y$2:$Y$3001,'Per Line'!$D$2:$D$3001,$C767))</f>
        <v/>
      </c>
      <c r="K767" s="5">
        <f>IF($N767="","",SUMIFS('Per Line'!$Z$2:$Z$3001,'Per Line'!$D$2:$D$3001,$C767))</f>
        <v/>
      </c>
      <c r="L767" s="5">
        <f>IF($N767="","",I767-J767)</f>
        <v/>
      </c>
      <c r="M767" s="5">
        <f>IF($N767="","",L767-K767)</f>
        <v/>
      </c>
      <c r="N767">
        <f>IF(ROWS($N$2:$N767)&lt;=MAX('Per Line'!$AG$2:$AG$3001),MATCH(ROWS($N$2:$N767),'Per Line'!$AG$2:$AG$3001,0),"")</f>
        <v/>
      </c>
      <c r="O767">
        <f>IF(B767="Above Claim Form",COUNTIF($B$2:B767,"Above Claim Form"),"")</f>
        <v/>
      </c>
      <c r="P767">
        <f>IF(B767="Below Claim Form",COUNTIF($B$2:B767,"Below Claim Form"),"")</f>
        <v/>
      </c>
    </row>
    <row r="768">
      <c r="B768">
        <f>IF($N768="","",IFERROR(INDEX(Settings!$C$27:$C$36,MATCH(E768,Settings!$B$27:$B$36,0)),"Unassigned"))</f>
        <v/>
      </c>
      <c r="C768">
        <f>IF($N768="","",INDEX('Per Line'!$D$2:$D$3001,$N768))</f>
        <v/>
      </c>
      <c r="D768">
        <f>IF($N768="","",INDEX('Per Line'!$C$2:$C$3001,$N768))</f>
        <v/>
      </c>
      <c r="E768">
        <f>IF($N768="","",INDEX('Per Line'!$A$2:$A$3001,$N768))</f>
        <v/>
      </c>
      <c r="H768">
        <f>IF($N768="","",INDEX('Per Line'!$V$2:$V$3001,$N768))</f>
        <v/>
      </c>
      <c r="I768" s="5">
        <f>IF($N768="","",SUMIFS('Per Line'!$X$2:$X$3001,'Per Line'!$D$2:$D$3001,$C768))</f>
        <v/>
      </c>
      <c r="J768" s="5">
        <f>IF($N768="","",SUMIFS('Per Line'!$Y$2:$Y$3001,'Per Line'!$D$2:$D$3001,$C768))</f>
        <v/>
      </c>
      <c r="K768" s="5">
        <f>IF($N768="","",SUMIFS('Per Line'!$Z$2:$Z$3001,'Per Line'!$D$2:$D$3001,$C768))</f>
        <v/>
      </c>
      <c r="L768" s="5">
        <f>IF($N768="","",I768-J768)</f>
        <v/>
      </c>
      <c r="M768" s="5">
        <f>IF($N768="","",L768-K768)</f>
        <v/>
      </c>
      <c r="N768">
        <f>IF(ROWS($N$2:$N768)&lt;=MAX('Per Line'!$AG$2:$AG$3001),MATCH(ROWS($N$2:$N768),'Per Line'!$AG$2:$AG$3001,0),"")</f>
        <v/>
      </c>
      <c r="O768">
        <f>IF(B768="Above Claim Form",COUNTIF($B$2:B768,"Above Claim Form"),"")</f>
        <v/>
      </c>
      <c r="P768">
        <f>IF(B768="Below Claim Form",COUNTIF($B$2:B768,"Below Claim Form"),"")</f>
        <v/>
      </c>
    </row>
    <row r="769">
      <c r="B769">
        <f>IF($N769="","",IFERROR(INDEX(Settings!$C$27:$C$36,MATCH(E769,Settings!$B$27:$B$36,0)),"Unassigned"))</f>
        <v/>
      </c>
      <c r="C769">
        <f>IF($N769="","",INDEX('Per Line'!$D$2:$D$3001,$N769))</f>
        <v/>
      </c>
      <c r="D769">
        <f>IF($N769="","",INDEX('Per Line'!$C$2:$C$3001,$N769))</f>
        <v/>
      </c>
      <c r="E769">
        <f>IF($N769="","",INDEX('Per Line'!$A$2:$A$3001,$N769))</f>
        <v/>
      </c>
      <c r="H769">
        <f>IF($N769="","",INDEX('Per Line'!$V$2:$V$3001,$N769))</f>
        <v/>
      </c>
      <c r="I769" s="5">
        <f>IF($N769="","",SUMIFS('Per Line'!$X$2:$X$3001,'Per Line'!$D$2:$D$3001,$C769))</f>
        <v/>
      </c>
      <c r="J769" s="5">
        <f>IF($N769="","",SUMIFS('Per Line'!$Y$2:$Y$3001,'Per Line'!$D$2:$D$3001,$C769))</f>
        <v/>
      </c>
      <c r="K769" s="5">
        <f>IF($N769="","",SUMIFS('Per Line'!$Z$2:$Z$3001,'Per Line'!$D$2:$D$3001,$C769))</f>
        <v/>
      </c>
      <c r="L769" s="5">
        <f>IF($N769="","",I769-J769)</f>
        <v/>
      </c>
      <c r="M769" s="5">
        <f>IF($N769="","",L769-K769)</f>
        <v/>
      </c>
      <c r="N769">
        <f>IF(ROWS($N$2:$N769)&lt;=MAX('Per Line'!$AG$2:$AG$3001),MATCH(ROWS($N$2:$N769),'Per Line'!$AG$2:$AG$3001,0),"")</f>
        <v/>
      </c>
      <c r="O769">
        <f>IF(B769="Above Claim Form",COUNTIF($B$2:B769,"Above Claim Form"),"")</f>
        <v/>
      </c>
      <c r="P769">
        <f>IF(B769="Below Claim Form",COUNTIF($B$2:B769,"Below Claim Form"),"")</f>
        <v/>
      </c>
    </row>
    <row r="770">
      <c r="B770">
        <f>IF($N770="","",IFERROR(INDEX(Settings!$C$27:$C$36,MATCH(E770,Settings!$B$27:$B$36,0)),"Unassigned"))</f>
        <v/>
      </c>
      <c r="C770">
        <f>IF($N770="","",INDEX('Per Line'!$D$2:$D$3001,$N770))</f>
        <v/>
      </c>
      <c r="D770">
        <f>IF($N770="","",INDEX('Per Line'!$C$2:$C$3001,$N770))</f>
        <v/>
      </c>
      <c r="E770">
        <f>IF($N770="","",INDEX('Per Line'!$A$2:$A$3001,$N770))</f>
        <v/>
      </c>
      <c r="H770">
        <f>IF($N770="","",INDEX('Per Line'!$V$2:$V$3001,$N770))</f>
        <v/>
      </c>
      <c r="I770" s="5">
        <f>IF($N770="","",SUMIFS('Per Line'!$X$2:$X$3001,'Per Line'!$D$2:$D$3001,$C770))</f>
        <v/>
      </c>
      <c r="J770" s="5">
        <f>IF($N770="","",SUMIFS('Per Line'!$Y$2:$Y$3001,'Per Line'!$D$2:$D$3001,$C770))</f>
        <v/>
      </c>
      <c r="K770" s="5">
        <f>IF($N770="","",SUMIFS('Per Line'!$Z$2:$Z$3001,'Per Line'!$D$2:$D$3001,$C770))</f>
        <v/>
      </c>
      <c r="L770" s="5">
        <f>IF($N770="","",I770-J770)</f>
        <v/>
      </c>
      <c r="M770" s="5">
        <f>IF($N770="","",L770-K770)</f>
        <v/>
      </c>
      <c r="N770">
        <f>IF(ROWS($N$2:$N770)&lt;=MAX('Per Line'!$AG$2:$AG$3001),MATCH(ROWS($N$2:$N770),'Per Line'!$AG$2:$AG$3001,0),"")</f>
        <v/>
      </c>
      <c r="O770">
        <f>IF(B770="Above Claim Form",COUNTIF($B$2:B770,"Above Claim Form"),"")</f>
        <v/>
      </c>
      <c r="P770">
        <f>IF(B770="Below Claim Form",COUNTIF($B$2:B770,"Below Claim Form"),"")</f>
        <v/>
      </c>
    </row>
    <row r="771">
      <c r="B771">
        <f>IF($N771="","",IFERROR(INDEX(Settings!$C$27:$C$36,MATCH(E771,Settings!$B$27:$B$36,0)),"Unassigned"))</f>
        <v/>
      </c>
      <c r="C771">
        <f>IF($N771="","",INDEX('Per Line'!$D$2:$D$3001,$N771))</f>
        <v/>
      </c>
      <c r="D771">
        <f>IF($N771="","",INDEX('Per Line'!$C$2:$C$3001,$N771))</f>
        <v/>
      </c>
      <c r="E771">
        <f>IF($N771="","",INDEX('Per Line'!$A$2:$A$3001,$N771))</f>
        <v/>
      </c>
      <c r="H771">
        <f>IF($N771="","",INDEX('Per Line'!$V$2:$V$3001,$N771))</f>
        <v/>
      </c>
      <c r="I771" s="5">
        <f>IF($N771="","",SUMIFS('Per Line'!$X$2:$X$3001,'Per Line'!$D$2:$D$3001,$C771))</f>
        <v/>
      </c>
      <c r="J771" s="5">
        <f>IF($N771="","",SUMIFS('Per Line'!$Y$2:$Y$3001,'Per Line'!$D$2:$D$3001,$C771))</f>
        <v/>
      </c>
      <c r="K771" s="5">
        <f>IF($N771="","",SUMIFS('Per Line'!$Z$2:$Z$3001,'Per Line'!$D$2:$D$3001,$C771))</f>
        <v/>
      </c>
      <c r="L771" s="5">
        <f>IF($N771="","",I771-J771)</f>
        <v/>
      </c>
      <c r="M771" s="5">
        <f>IF($N771="","",L771-K771)</f>
        <v/>
      </c>
      <c r="N771">
        <f>IF(ROWS($N$2:$N771)&lt;=MAX('Per Line'!$AG$2:$AG$3001),MATCH(ROWS($N$2:$N771),'Per Line'!$AG$2:$AG$3001,0),"")</f>
        <v/>
      </c>
      <c r="O771">
        <f>IF(B771="Above Claim Form",COUNTIF($B$2:B771,"Above Claim Form"),"")</f>
        <v/>
      </c>
      <c r="P771">
        <f>IF(B771="Below Claim Form",COUNTIF($B$2:B771,"Below Claim Form"),"")</f>
        <v/>
      </c>
    </row>
    <row r="772">
      <c r="B772">
        <f>IF($N772="","",IFERROR(INDEX(Settings!$C$27:$C$36,MATCH(E772,Settings!$B$27:$B$36,0)),"Unassigned"))</f>
        <v/>
      </c>
      <c r="C772">
        <f>IF($N772="","",INDEX('Per Line'!$D$2:$D$3001,$N772))</f>
        <v/>
      </c>
      <c r="D772">
        <f>IF($N772="","",INDEX('Per Line'!$C$2:$C$3001,$N772))</f>
        <v/>
      </c>
      <c r="E772">
        <f>IF($N772="","",INDEX('Per Line'!$A$2:$A$3001,$N772))</f>
        <v/>
      </c>
      <c r="H772">
        <f>IF($N772="","",INDEX('Per Line'!$V$2:$V$3001,$N772))</f>
        <v/>
      </c>
      <c r="I772" s="5">
        <f>IF($N772="","",SUMIFS('Per Line'!$X$2:$X$3001,'Per Line'!$D$2:$D$3001,$C772))</f>
        <v/>
      </c>
      <c r="J772" s="5">
        <f>IF($N772="","",SUMIFS('Per Line'!$Y$2:$Y$3001,'Per Line'!$D$2:$D$3001,$C772))</f>
        <v/>
      </c>
      <c r="K772" s="5">
        <f>IF($N772="","",SUMIFS('Per Line'!$Z$2:$Z$3001,'Per Line'!$D$2:$D$3001,$C772))</f>
        <v/>
      </c>
      <c r="L772" s="5">
        <f>IF($N772="","",I772-J772)</f>
        <v/>
      </c>
      <c r="M772" s="5">
        <f>IF($N772="","",L772-K772)</f>
        <v/>
      </c>
      <c r="N772">
        <f>IF(ROWS($N$2:$N772)&lt;=MAX('Per Line'!$AG$2:$AG$3001),MATCH(ROWS($N$2:$N772),'Per Line'!$AG$2:$AG$3001,0),"")</f>
        <v/>
      </c>
      <c r="O772">
        <f>IF(B772="Above Claim Form",COUNTIF($B$2:B772,"Above Claim Form"),"")</f>
        <v/>
      </c>
      <c r="P772">
        <f>IF(B772="Below Claim Form",COUNTIF($B$2:B772,"Below Claim Form"),"")</f>
        <v/>
      </c>
    </row>
    <row r="773">
      <c r="B773">
        <f>IF($N773="","",IFERROR(INDEX(Settings!$C$27:$C$36,MATCH(E773,Settings!$B$27:$B$36,0)),"Unassigned"))</f>
        <v/>
      </c>
      <c r="C773">
        <f>IF($N773="","",INDEX('Per Line'!$D$2:$D$3001,$N773))</f>
        <v/>
      </c>
      <c r="D773">
        <f>IF($N773="","",INDEX('Per Line'!$C$2:$C$3001,$N773))</f>
        <v/>
      </c>
      <c r="E773">
        <f>IF($N773="","",INDEX('Per Line'!$A$2:$A$3001,$N773))</f>
        <v/>
      </c>
      <c r="H773">
        <f>IF($N773="","",INDEX('Per Line'!$V$2:$V$3001,$N773))</f>
        <v/>
      </c>
      <c r="I773" s="5">
        <f>IF($N773="","",SUMIFS('Per Line'!$X$2:$X$3001,'Per Line'!$D$2:$D$3001,$C773))</f>
        <v/>
      </c>
      <c r="J773" s="5">
        <f>IF($N773="","",SUMIFS('Per Line'!$Y$2:$Y$3001,'Per Line'!$D$2:$D$3001,$C773))</f>
        <v/>
      </c>
      <c r="K773" s="5">
        <f>IF($N773="","",SUMIFS('Per Line'!$Z$2:$Z$3001,'Per Line'!$D$2:$D$3001,$C773))</f>
        <v/>
      </c>
      <c r="L773" s="5">
        <f>IF($N773="","",I773-J773)</f>
        <v/>
      </c>
      <c r="M773" s="5">
        <f>IF($N773="","",L773-K773)</f>
        <v/>
      </c>
      <c r="N773">
        <f>IF(ROWS($N$2:$N773)&lt;=MAX('Per Line'!$AG$2:$AG$3001),MATCH(ROWS($N$2:$N773),'Per Line'!$AG$2:$AG$3001,0),"")</f>
        <v/>
      </c>
      <c r="O773">
        <f>IF(B773="Above Claim Form",COUNTIF($B$2:B773,"Above Claim Form"),"")</f>
        <v/>
      </c>
      <c r="P773">
        <f>IF(B773="Below Claim Form",COUNTIF($B$2:B773,"Below Claim Form"),"")</f>
        <v/>
      </c>
    </row>
    <row r="774">
      <c r="B774">
        <f>IF($N774="","",IFERROR(INDEX(Settings!$C$27:$C$36,MATCH(E774,Settings!$B$27:$B$36,0)),"Unassigned"))</f>
        <v/>
      </c>
      <c r="C774">
        <f>IF($N774="","",INDEX('Per Line'!$D$2:$D$3001,$N774))</f>
        <v/>
      </c>
      <c r="D774">
        <f>IF($N774="","",INDEX('Per Line'!$C$2:$C$3001,$N774))</f>
        <v/>
      </c>
      <c r="E774">
        <f>IF($N774="","",INDEX('Per Line'!$A$2:$A$3001,$N774))</f>
        <v/>
      </c>
      <c r="H774">
        <f>IF($N774="","",INDEX('Per Line'!$V$2:$V$3001,$N774))</f>
        <v/>
      </c>
      <c r="I774" s="5">
        <f>IF($N774="","",SUMIFS('Per Line'!$X$2:$X$3001,'Per Line'!$D$2:$D$3001,$C774))</f>
        <v/>
      </c>
      <c r="J774" s="5">
        <f>IF($N774="","",SUMIFS('Per Line'!$Y$2:$Y$3001,'Per Line'!$D$2:$D$3001,$C774))</f>
        <v/>
      </c>
      <c r="K774" s="5">
        <f>IF($N774="","",SUMIFS('Per Line'!$Z$2:$Z$3001,'Per Line'!$D$2:$D$3001,$C774))</f>
        <v/>
      </c>
      <c r="L774" s="5">
        <f>IF($N774="","",I774-J774)</f>
        <v/>
      </c>
      <c r="M774" s="5">
        <f>IF($N774="","",L774-K774)</f>
        <v/>
      </c>
      <c r="N774">
        <f>IF(ROWS($N$2:$N774)&lt;=MAX('Per Line'!$AG$2:$AG$3001),MATCH(ROWS($N$2:$N774),'Per Line'!$AG$2:$AG$3001,0),"")</f>
        <v/>
      </c>
      <c r="O774">
        <f>IF(B774="Above Claim Form",COUNTIF($B$2:B774,"Above Claim Form"),"")</f>
        <v/>
      </c>
      <c r="P774">
        <f>IF(B774="Below Claim Form",COUNTIF($B$2:B774,"Below Claim Form"),"")</f>
        <v/>
      </c>
    </row>
    <row r="775">
      <c r="B775">
        <f>IF($N775="","",IFERROR(INDEX(Settings!$C$27:$C$36,MATCH(E775,Settings!$B$27:$B$36,0)),"Unassigned"))</f>
        <v/>
      </c>
      <c r="C775">
        <f>IF($N775="","",INDEX('Per Line'!$D$2:$D$3001,$N775))</f>
        <v/>
      </c>
      <c r="D775">
        <f>IF($N775="","",INDEX('Per Line'!$C$2:$C$3001,$N775))</f>
        <v/>
      </c>
      <c r="E775">
        <f>IF($N775="","",INDEX('Per Line'!$A$2:$A$3001,$N775))</f>
        <v/>
      </c>
      <c r="H775">
        <f>IF($N775="","",INDEX('Per Line'!$V$2:$V$3001,$N775))</f>
        <v/>
      </c>
      <c r="I775" s="5">
        <f>IF($N775="","",SUMIFS('Per Line'!$X$2:$X$3001,'Per Line'!$D$2:$D$3001,$C775))</f>
        <v/>
      </c>
      <c r="J775" s="5">
        <f>IF($N775="","",SUMIFS('Per Line'!$Y$2:$Y$3001,'Per Line'!$D$2:$D$3001,$C775))</f>
        <v/>
      </c>
      <c r="K775" s="5">
        <f>IF($N775="","",SUMIFS('Per Line'!$Z$2:$Z$3001,'Per Line'!$D$2:$D$3001,$C775))</f>
        <v/>
      </c>
      <c r="L775" s="5">
        <f>IF($N775="","",I775-J775)</f>
        <v/>
      </c>
      <c r="M775" s="5">
        <f>IF($N775="","",L775-K775)</f>
        <v/>
      </c>
      <c r="N775">
        <f>IF(ROWS($N$2:$N775)&lt;=MAX('Per Line'!$AG$2:$AG$3001),MATCH(ROWS($N$2:$N775),'Per Line'!$AG$2:$AG$3001,0),"")</f>
        <v/>
      </c>
      <c r="O775">
        <f>IF(B775="Above Claim Form",COUNTIF($B$2:B775,"Above Claim Form"),"")</f>
        <v/>
      </c>
      <c r="P775">
        <f>IF(B775="Below Claim Form",COUNTIF($B$2:B775,"Below Claim Form"),"")</f>
        <v/>
      </c>
    </row>
    <row r="776">
      <c r="B776">
        <f>IF($N776="","",IFERROR(INDEX(Settings!$C$27:$C$36,MATCH(E776,Settings!$B$27:$B$36,0)),"Unassigned"))</f>
        <v/>
      </c>
      <c r="C776">
        <f>IF($N776="","",INDEX('Per Line'!$D$2:$D$3001,$N776))</f>
        <v/>
      </c>
      <c r="D776">
        <f>IF($N776="","",INDEX('Per Line'!$C$2:$C$3001,$N776))</f>
        <v/>
      </c>
      <c r="E776">
        <f>IF($N776="","",INDEX('Per Line'!$A$2:$A$3001,$N776))</f>
        <v/>
      </c>
      <c r="H776">
        <f>IF($N776="","",INDEX('Per Line'!$V$2:$V$3001,$N776))</f>
        <v/>
      </c>
      <c r="I776" s="5">
        <f>IF($N776="","",SUMIFS('Per Line'!$X$2:$X$3001,'Per Line'!$D$2:$D$3001,$C776))</f>
        <v/>
      </c>
      <c r="J776" s="5">
        <f>IF($N776="","",SUMIFS('Per Line'!$Y$2:$Y$3001,'Per Line'!$D$2:$D$3001,$C776))</f>
        <v/>
      </c>
      <c r="K776" s="5">
        <f>IF($N776="","",SUMIFS('Per Line'!$Z$2:$Z$3001,'Per Line'!$D$2:$D$3001,$C776))</f>
        <v/>
      </c>
      <c r="L776" s="5">
        <f>IF($N776="","",I776-J776)</f>
        <v/>
      </c>
      <c r="M776" s="5">
        <f>IF($N776="","",L776-K776)</f>
        <v/>
      </c>
      <c r="N776">
        <f>IF(ROWS($N$2:$N776)&lt;=MAX('Per Line'!$AG$2:$AG$3001),MATCH(ROWS($N$2:$N776),'Per Line'!$AG$2:$AG$3001,0),"")</f>
        <v/>
      </c>
      <c r="O776">
        <f>IF(B776="Above Claim Form",COUNTIF($B$2:B776,"Above Claim Form"),"")</f>
        <v/>
      </c>
      <c r="P776">
        <f>IF(B776="Below Claim Form",COUNTIF($B$2:B776,"Below Claim Form"),"")</f>
        <v/>
      </c>
    </row>
    <row r="777">
      <c r="B777">
        <f>IF($N777="","",IFERROR(INDEX(Settings!$C$27:$C$36,MATCH(E777,Settings!$B$27:$B$36,0)),"Unassigned"))</f>
        <v/>
      </c>
      <c r="C777">
        <f>IF($N777="","",INDEX('Per Line'!$D$2:$D$3001,$N777))</f>
        <v/>
      </c>
      <c r="D777">
        <f>IF($N777="","",INDEX('Per Line'!$C$2:$C$3001,$N777))</f>
        <v/>
      </c>
      <c r="E777">
        <f>IF($N777="","",INDEX('Per Line'!$A$2:$A$3001,$N777))</f>
        <v/>
      </c>
      <c r="H777">
        <f>IF($N777="","",INDEX('Per Line'!$V$2:$V$3001,$N777))</f>
        <v/>
      </c>
      <c r="I777" s="5">
        <f>IF($N777="","",SUMIFS('Per Line'!$X$2:$X$3001,'Per Line'!$D$2:$D$3001,$C777))</f>
        <v/>
      </c>
      <c r="J777" s="5">
        <f>IF($N777="","",SUMIFS('Per Line'!$Y$2:$Y$3001,'Per Line'!$D$2:$D$3001,$C777))</f>
        <v/>
      </c>
      <c r="K777" s="5">
        <f>IF($N777="","",SUMIFS('Per Line'!$Z$2:$Z$3001,'Per Line'!$D$2:$D$3001,$C777))</f>
        <v/>
      </c>
      <c r="L777" s="5">
        <f>IF($N777="","",I777-J777)</f>
        <v/>
      </c>
      <c r="M777" s="5">
        <f>IF($N777="","",L777-K777)</f>
        <v/>
      </c>
      <c r="N777">
        <f>IF(ROWS($N$2:$N777)&lt;=MAX('Per Line'!$AG$2:$AG$3001),MATCH(ROWS($N$2:$N777),'Per Line'!$AG$2:$AG$3001,0),"")</f>
        <v/>
      </c>
      <c r="O777">
        <f>IF(B777="Above Claim Form",COUNTIF($B$2:B777,"Above Claim Form"),"")</f>
        <v/>
      </c>
      <c r="P777">
        <f>IF(B777="Below Claim Form",COUNTIF($B$2:B777,"Below Claim Form"),"")</f>
        <v/>
      </c>
    </row>
    <row r="778">
      <c r="B778">
        <f>IF($N778="","",IFERROR(INDEX(Settings!$C$27:$C$36,MATCH(E778,Settings!$B$27:$B$36,0)),"Unassigned"))</f>
        <v/>
      </c>
      <c r="C778">
        <f>IF($N778="","",INDEX('Per Line'!$D$2:$D$3001,$N778))</f>
        <v/>
      </c>
      <c r="D778">
        <f>IF($N778="","",INDEX('Per Line'!$C$2:$C$3001,$N778))</f>
        <v/>
      </c>
      <c r="E778">
        <f>IF($N778="","",INDEX('Per Line'!$A$2:$A$3001,$N778))</f>
        <v/>
      </c>
      <c r="H778">
        <f>IF($N778="","",INDEX('Per Line'!$V$2:$V$3001,$N778))</f>
        <v/>
      </c>
      <c r="I778" s="5">
        <f>IF($N778="","",SUMIFS('Per Line'!$X$2:$X$3001,'Per Line'!$D$2:$D$3001,$C778))</f>
        <v/>
      </c>
      <c r="J778" s="5">
        <f>IF($N778="","",SUMIFS('Per Line'!$Y$2:$Y$3001,'Per Line'!$D$2:$D$3001,$C778))</f>
        <v/>
      </c>
      <c r="K778" s="5">
        <f>IF($N778="","",SUMIFS('Per Line'!$Z$2:$Z$3001,'Per Line'!$D$2:$D$3001,$C778))</f>
        <v/>
      </c>
      <c r="L778" s="5">
        <f>IF($N778="","",I778-J778)</f>
        <v/>
      </c>
      <c r="M778" s="5">
        <f>IF($N778="","",L778-K778)</f>
        <v/>
      </c>
      <c r="N778">
        <f>IF(ROWS($N$2:$N778)&lt;=MAX('Per Line'!$AG$2:$AG$3001),MATCH(ROWS($N$2:$N778),'Per Line'!$AG$2:$AG$3001,0),"")</f>
        <v/>
      </c>
      <c r="O778">
        <f>IF(B778="Above Claim Form",COUNTIF($B$2:B778,"Above Claim Form"),"")</f>
        <v/>
      </c>
      <c r="P778">
        <f>IF(B778="Below Claim Form",COUNTIF($B$2:B778,"Below Claim Form"),"")</f>
        <v/>
      </c>
    </row>
    <row r="779">
      <c r="B779">
        <f>IF($N779="","",IFERROR(INDEX(Settings!$C$27:$C$36,MATCH(E779,Settings!$B$27:$B$36,0)),"Unassigned"))</f>
        <v/>
      </c>
      <c r="C779">
        <f>IF($N779="","",INDEX('Per Line'!$D$2:$D$3001,$N779))</f>
        <v/>
      </c>
      <c r="D779">
        <f>IF($N779="","",INDEX('Per Line'!$C$2:$C$3001,$N779))</f>
        <v/>
      </c>
      <c r="E779">
        <f>IF($N779="","",INDEX('Per Line'!$A$2:$A$3001,$N779))</f>
        <v/>
      </c>
      <c r="H779">
        <f>IF($N779="","",INDEX('Per Line'!$V$2:$V$3001,$N779))</f>
        <v/>
      </c>
      <c r="I779" s="5">
        <f>IF($N779="","",SUMIFS('Per Line'!$X$2:$X$3001,'Per Line'!$D$2:$D$3001,$C779))</f>
        <v/>
      </c>
      <c r="J779" s="5">
        <f>IF($N779="","",SUMIFS('Per Line'!$Y$2:$Y$3001,'Per Line'!$D$2:$D$3001,$C779))</f>
        <v/>
      </c>
      <c r="K779" s="5">
        <f>IF($N779="","",SUMIFS('Per Line'!$Z$2:$Z$3001,'Per Line'!$D$2:$D$3001,$C779))</f>
        <v/>
      </c>
      <c r="L779" s="5">
        <f>IF($N779="","",I779-J779)</f>
        <v/>
      </c>
      <c r="M779" s="5">
        <f>IF($N779="","",L779-K779)</f>
        <v/>
      </c>
      <c r="N779">
        <f>IF(ROWS($N$2:$N779)&lt;=MAX('Per Line'!$AG$2:$AG$3001),MATCH(ROWS($N$2:$N779),'Per Line'!$AG$2:$AG$3001,0),"")</f>
        <v/>
      </c>
      <c r="O779">
        <f>IF(B779="Above Claim Form",COUNTIF($B$2:B779,"Above Claim Form"),"")</f>
        <v/>
      </c>
      <c r="P779">
        <f>IF(B779="Below Claim Form",COUNTIF($B$2:B779,"Below Claim Form"),"")</f>
        <v/>
      </c>
    </row>
    <row r="780">
      <c r="B780">
        <f>IF($N780="","",IFERROR(INDEX(Settings!$C$27:$C$36,MATCH(E780,Settings!$B$27:$B$36,0)),"Unassigned"))</f>
        <v/>
      </c>
      <c r="C780">
        <f>IF($N780="","",INDEX('Per Line'!$D$2:$D$3001,$N780))</f>
        <v/>
      </c>
      <c r="D780">
        <f>IF($N780="","",INDEX('Per Line'!$C$2:$C$3001,$N780))</f>
        <v/>
      </c>
      <c r="E780">
        <f>IF($N780="","",INDEX('Per Line'!$A$2:$A$3001,$N780))</f>
        <v/>
      </c>
      <c r="H780">
        <f>IF($N780="","",INDEX('Per Line'!$V$2:$V$3001,$N780))</f>
        <v/>
      </c>
      <c r="I780" s="5">
        <f>IF($N780="","",SUMIFS('Per Line'!$X$2:$X$3001,'Per Line'!$D$2:$D$3001,$C780))</f>
        <v/>
      </c>
      <c r="J780" s="5">
        <f>IF($N780="","",SUMIFS('Per Line'!$Y$2:$Y$3001,'Per Line'!$D$2:$D$3001,$C780))</f>
        <v/>
      </c>
      <c r="K780" s="5">
        <f>IF($N780="","",SUMIFS('Per Line'!$Z$2:$Z$3001,'Per Line'!$D$2:$D$3001,$C780))</f>
        <v/>
      </c>
      <c r="L780" s="5">
        <f>IF($N780="","",I780-J780)</f>
        <v/>
      </c>
      <c r="M780" s="5">
        <f>IF($N780="","",L780-K780)</f>
        <v/>
      </c>
      <c r="N780">
        <f>IF(ROWS($N$2:$N780)&lt;=MAX('Per Line'!$AG$2:$AG$3001),MATCH(ROWS($N$2:$N780),'Per Line'!$AG$2:$AG$3001,0),"")</f>
        <v/>
      </c>
      <c r="O780">
        <f>IF(B780="Above Claim Form",COUNTIF($B$2:B780,"Above Claim Form"),"")</f>
        <v/>
      </c>
      <c r="P780">
        <f>IF(B780="Below Claim Form",COUNTIF($B$2:B780,"Below Claim Form"),"")</f>
        <v/>
      </c>
    </row>
    <row r="781">
      <c r="B781">
        <f>IF($N781="","",IFERROR(INDEX(Settings!$C$27:$C$36,MATCH(E781,Settings!$B$27:$B$36,0)),"Unassigned"))</f>
        <v/>
      </c>
      <c r="C781">
        <f>IF($N781="","",INDEX('Per Line'!$D$2:$D$3001,$N781))</f>
        <v/>
      </c>
      <c r="D781">
        <f>IF($N781="","",INDEX('Per Line'!$C$2:$C$3001,$N781))</f>
        <v/>
      </c>
      <c r="E781">
        <f>IF($N781="","",INDEX('Per Line'!$A$2:$A$3001,$N781))</f>
        <v/>
      </c>
      <c r="H781">
        <f>IF($N781="","",INDEX('Per Line'!$V$2:$V$3001,$N781))</f>
        <v/>
      </c>
      <c r="I781" s="5">
        <f>IF($N781="","",SUMIFS('Per Line'!$X$2:$X$3001,'Per Line'!$D$2:$D$3001,$C781))</f>
        <v/>
      </c>
      <c r="J781" s="5">
        <f>IF($N781="","",SUMIFS('Per Line'!$Y$2:$Y$3001,'Per Line'!$D$2:$D$3001,$C781))</f>
        <v/>
      </c>
      <c r="K781" s="5">
        <f>IF($N781="","",SUMIFS('Per Line'!$Z$2:$Z$3001,'Per Line'!$D$2:$D$3001,$C781))</f>
        <v/>
      </c>
      <c r="L781" s="5">
        <f>IF($N781="","",I781-J781)</f>
        <v/>
      </c>
      <c r="M781" s="5">
        <f>IF($N781="","",L781-K781)</f>
        <v/>
      </c>
      <c r="N781">
        <f>IF(ROWS($N$2:$N781)&lt;=MAX('Per Line'!$AG$2:$AG$3001),MATCH(ROWS($N$2:$N781),'Per Line'!$AG$2:$AG$3001,0),"")</f>
        <v/>
      </c>
      <c r="O781">
        <f>IF(B781="Above Claim Form",COUNTIF($B$2:B781,"Above Claim Form"),"")</f>
        <v/>
      </c>
      <c r="P781">
        <f>IF(B781="Below Claim Form",COUNTIF($B$2:B781,"Below Claim Form"),"")</f>
        <v/>
      </c>
    </row>
    <row r="782">
      <c r="B782">
        <f>IF($N782="","",IFERROR(INDEX(Settings!$C$27:$C$36,MATCH(E782,Settings!$B$27:$B$36,0)),"Unassigned"))</f>
        <v/>
      </c>
      <c r="C782">
        <f>IF($N782="","",INDEX('Per Line'!$D$2:$D$3001,$N782))</f>
        <v/>
      </c>
      <c r="D782">
        <f>IF($N782="","",INDEX('Per Line'!$C$2:$C$3001,$N782))</f>
        <v/>
      </c>
      <c r="E782">
        <f>IF($N782="","",INDEX('Per Line'!$A$2:$A$3001,$N782))</f>
        <v/>
      </c>
      <c r="H782">
        <f>IF($N782="","",INDEX('Per Line'!$V$2:$V$3001,$N782))</f>
        <v/>
      </c>
      <c r="I782" s="5">
        <f>IF($N782="","",SUMIFS('Per Line'!$X$2:$X$3001,'Per Line'!$D$2:$D$3001,$C782))</f>
        <v/>
      </c>
      <c r="J782" s="5">
        <f>IF($N782="","",SUMIFS('Per Line'!$Y$2:$Y$3001,'Per Line'!$D$2:$D$3001,$C782))</f>
        <v/>
      </c>
      <c r="K782" s="5">
        <f>IF($N782="","",SUMIFS('Per Line'!$Z$2:$Z$3001,'Per Line'!$D$2:$D$3001,$C782))</f>
        <v/>
      </c>
      <c r="L782" s="5">
        <f>IF($N782="","",I782-J782)</f>
        <v/>
      </c>
      <c r="M782" s="5">
        <f>IF($N782="","",L782-K782)</f>
        <v/>
      </c>
      <c r="N782">
        <f>IF(ROWS($N$2:$N782)&lt;=MAX('Per Line'!$AG$2:$AG$3001),MATCH(ROWS($N$2:$N782),'Per Line'!$AG$2:$AG$3001,0),"")</f>
        <v/>
      </c>
      <c r="O782">
        <f>IF(B782="Above Claim Form",COUNTIF($B$2:B782,"Above Claim Form"),"")</f>
        <v/>
      </c>
      <c r="P782">
        <f>IF(B782="Below Claim Form",COUNTIF($B$2:B782,"Below Claim Form"),"")</f>
        <v/>
      </c>
    </row>
    <row r="783">
      <c r="B783">
        <f>IF($N783="","",IFERROR(INDEX(Settings!$C$27:$C$36,MATCH(E783,Settings!$B$27:$B$36,0)),"Unassigned"))</f>
        <v/>
      </c>
      <c r="C783">
        <f>IF($N783="","",INDEX('Per Line'!$D$2:$D$3001,$N783))</f>
        <v/>
      </c>
      <c r="D783">
        <f>IF($N783="","",INDEX('Per Line'!$C$2:$C$3001,$N783))</f>
        <v/>
      </c>
      <c r="E783">
        <f>IF($N783="","",INDEX('Per Line'!$A$2:$A$3001,$N783))</f>
        <v/>
      </c>
      <c r="H783">
        <f>IF($N783="","",INDEX('Per Line'!$V$2:$V$3001,$N783))</f>
        <v/>
      </c>
      <c r="I783" s="5">
        <f>IF($N783="","",SUMIFS('Per Line'!$X$2:$X$3001,'Per Line'!$D$2:$D$3001,$C783))</f>
        <v/>
      </c>
      <c r="J783" s="5">
        <f>IF($N783="","",SUMIFS('Per Line'!$Y$2:$Y$3001,'Per Line'!$D$2:$D$3001,$C783))</f>
        <v/>
      </c>
      <c r="K783" s="5">
        <f>IF($N783="","",SUMIFS('Per Line'!$Z$2:$Z$3001,'Per Line'!$D$2:$D$3001,$C783))</f>
        <v/>
      </c>
      <c r="L783" s="5">
        <f>IF($N783="","",I783-J783)</f>
        <v/>
      </c>
      <c r="M783" s="5">
        <f>IF($N783="","",L783-K783)</f>
        <v/>
      </c>
      <c r="N783">
        <f>IF(ROWS($N$2:$N783)&lt;=MAX('Per Line'!$AG$2:$AG$3001),MATCH(ROWS($N$2:$N783),'Per Line'!$AG$2:$AG$3001,0),"")</f>
        <v/>
      </c>
      <c r="O783">
        <f>IF(B783="Above Claim Form",COUNTIF($B$2:B783,"Above Claim Form"),"")</f>
        <v/>
      </c>
      <c r="P783">
        <f>IF(B783="Below Claim Form",COUNTIF($B$2:B783,"Below Claim Form"),"")</f>
        <v/>
      </c>
    </row>
    <row r="784">
      <c r="B784">
        <f>IF($N784="","",IFERROR(INDEX(Settings!$C$27:$C$36,MATCH(E784,Settings!$B$27:$B$36,0)),"Unassigned"))</f>
        <v/>
      </c>
      <c r="C784">
        <f>IF($N784="","",INDEX('Per Line'!$D$2:$D$3001,$N784))</f>
        <v/>
      </c>
      <c r="D784">
        <f>IF($N784="","",INDEX('Per Line'!$C$2:$C$3001,$N784))</f>
        <v/>
      </c>
      <c r="E784">
        <f>IF($N784="","",INDEX('Per Line'!$A$2:$A$3001,$N784))</f>
        <v/>
      </c>
      <c r="H784">
        <f>IF($N784="","",INDEX('Per Line'!$V$2:$V$3001,$N784))</f>
        <v/>
      </c>
      <c r="I784" s="5">
        <f>IF($N784="","",SUMIFS('Per Line'!$X$2:$X$3001,'Per Line'!$D$2:$D$3001,$C784))</f>
        <v/>
      </c>
      <c r="J784" s="5">
        <f>IF($N784="","",SUMIFS('Per Line'!$Y$2:$Y$3001,'Per Line'!$D$2:$D$3001,$C784))</f>
        <v/>
      </c>
      <c r="K784" s="5">
        <f>IF($N784="","",SUMIFS('Per Line'!$Z$2:$Z$3001,'Per Line'!$D$2:$D$3001,$C784))</f>
        <v/>
      </c>
      <c r="L784" s="5">
        <f>IF($N784="","",I784-J784)</f>
        <v/>
      </c>
      <c r="M784" s="5">
        <f>IF($N784="","",L784-K784)</f>
        <v/>
      </c>
      <c r="N784">
        <f>IF(ROWS($N$2:$N784)&lt;=MAX('Per Line'!$AG$2:$AG$3001),MATCH(ROWS($N$2:$N784),'Per Line'!$AG$2:$AG$3001,0),"")</f>
        <v/>
      </c>
      <c r="O784">
        <f>IF(B784="Above Claim Form",COUNTIF($B$2:B784,"Above Claim Form"),"")</f>
        <v/>
      </c>
      <c r="P784">
        <f>IF(B784="Below Claim Form",COUNTIF($B$2:B784,"Below Claim Form"),"")</f>
        <v/>
      </c>
    </row>
    <row r="785">
      <c r="B785">
        <f>IF($N785="","",IFERROR(INDEX(Settings!$C$27:$C$36,MATCH(E785,Settings!$B$27:$B$36,0)),"Unassigned"))</f>
        <v/>
      </c>
      <c r="C785">
        <f>IF($N785="","",INDEX('Per Line'!$D$2:$D$3001,$N785))</f>
        <v/>
      </c>
      <c r="D785">
        <f>IF($N785="","",INDEX('Per Line'!$C$2:$C$3001,$N785))</f>
        <v/>
      </c>
      <c r="E785">
        <f>IF($N785="","",INDEX('Per Line'!$A$2:$A$3001,$N785))</f>
        <v/>
      </c>
      <c r="H785">
        <f>IF($N785="","",INDEX('Per Line'!$V$2:$V$3001,$N785))</f>
        <v/>
      </c>
      <c r="I785" s="5">
        <f>IF($N785="","",SUMIFS('Per Line'!$X$2:$X$3001,'Per Line'!$D$2:$D$3001,$C785))</f>
        <v/>
      </c>
      <c r="J785" s="5">
        <f>IF($N785="","",SUMIFS('Per Line'!$Y$2:$Y$3001,'Per Line'!$D$2:$D$3001,$C785))</f>
        <v/>
      </c>
      <c r="K785" s="5">
        <f>IF($N785="","",SUMIFS('Per Line'!$Z$2:$Z$3001,'Per Line'!$D$2:$D$3001,$C785))</f>
        <v/>
      </c>
      <c r="L785" s="5">
        <f>IF($N785="","",I785-J785)</f>
        <v/>
      </c>
      <c r="M785" s="5">
        <f>IF($N785="","",L785-K785)</f>
        <v/>
      </c>
      <c r="N785">
        <f>IF(ROWS($N$2:$N785)&lt;=MAX('Per Line'!$AG$2:$AG$3001),MATCH(ROWS($N$2:$N785),'Per Line'!$AG$2:$AG$3001,0),"")</f>
        <v/>
      </c>
      <c r="O785">
        <f>IF(B785="Above Claim Form",COUNTIF($B$2:B785,"Above Claim Form"),"")</f>
        <v/>
      </c>
      <c r="P785">
        <f>IF(B785="Below Claim Form",COUNTIF($B$2:B785,"Below Claim Form"),"")</f>
        <v/>
      </c>
    </row>
    <row r="786">
      <c r="B786">
        <f>IF($N786="","",IFERROR(INDEX(Settings!$C$27:$C$36,MATCH(E786,Settings!$B$27:$B$36,0)),"Unassigned"))</f>
        <v/>
      </c>
      <c r="C786">
        <f>IF($N786="","",INDEX('Per Line'!$D$2:$D$3001,$N786))</f>
        <v/>
      </c>
      <c r="D786">
        <f>IF($N786="","",INDEX('Per Line'!$C$2:$C$3001,$N786))</f>
        <v/>
      </c>
      <c r="E786">
        <f>IF($N786="","",INDEX('Per Line'!$A$2:$A$3001,$N786))</f>
        <v/>
      </c>
      <c r="H786">
        <f>IF($N786="","",INDEX('Per Line'!$V$2:$V$3001,$N786))</f>
        <v/>
      </c>
      <c r="I786" s="5">
        <f>IF($N786="","",SUMIFS('Per Line'!$X$2:$X$3001,'Per Line'!$D$2:$D$3001,$C786))</f>
        <v/>
      </c>
      <c r="J786" s="5">
        <f>IF($N786="","",SUMIFS('Per Line'!$Y$2:$Y$3001,'Per Line'!$D$2:$D$3001,$C786))</f>
        <v/>
      </c>
      <c r="K786" s="5">
        <f>IF($N786="","",SUMIFS('Per Line'!$Z$2:$Z$3001,'Per Line'!$D$2:$D$3001,$C786))</f>
        <v/>
      </c>
      <c r="L786" s="5">
        <f>IF($N786="","",I786-J786)</f>
        <v/>
      </c>
      <c r="M786" s="5">
        <f>IF($N786="","",L786-K786)</f>
        <v/>
      </c>
      <c r="N786">
        <f>IF(ROWS($N$2:$N786)&lt;=MAX('Per Line'!$AG$2:$AG$3001),MATCH(ROWS($N$2:$N786),'Per Line'!$AG$2:$AG$3001,0),"")</f>
        <v/>
      </c>
      <c r="O786">
        <f>IF(B786="Above Claim Form",COUNTIF($B$2:B786,"Above Claim Form"),"")</f>
        <v/>
      </c>
      <c r="P786">
        <f>IF(B786="Below Claim Form",COUNTIF($B$2:B786,"Below Claim Form"),"")</f>
        <v/>
      </c>
    </row>
    <row r="787">
      <c r="B787">
        <f>IF($N787="","",IFERROR(INDEX(Settings!$C$27:$C$36,MATCH(E787,Settings!$B$27:$B$36,0)),"Unassigned"))</f>
        <v/>
      </c>
      <c r="C787">
        <f>IF($N787="","",INDEX('Per Line'!$D$2:$D$3001,$N787))</f>
        <v/>
      </c>
      <c r="D787">
        <f>IF($N787="","",INDEX('Per Line'!$C$2:$C$3001,$N787))</f>
        <v/>
      </c>
      <c r="E787">
        <f>IF($N787="","",INDEX('Per Line'!$A$2:$A$3001,$N787))</f>
        <v/>
      </c>
      <c r="H787">
        <f>IF($N787="","",INDEX('Per Line'!$V$2:$V$3001,$N787))</f>
        <v/>
      </c>
      <c r="I787" s="5">
        <f>IF($N787="","",SUMIFS('Per Line'!$X$2:$X$3001,'Per Line'!$D$2:$D$3001,$C787))</f>
        <v/>
      </c>
      <c r="J787" s="5">
        <f>IF($N787="","",SUMIFS('Per Line'!$Y$2:$Y$3001,'Per Line'!$D$2:$D$3001,$C787))</f>
        <v/>
      </c>
      <c r="K787" s="5">
        <f>IF($N787="","",SUMIFS('Per Line'!$Z$2:$Z$3001,'Per Line'!$D$2:$D$3001,$C787))</f>
        <v/>
      </c>
      <c r="L787" s="5">
        <f>IF($N787="","",I787-J787)</f>
        <v/>
      </c>
      <c r="M787" s="5">
        <f>IF($N787="","",L787-K787)</f>
        <v/>
      </c>
      <c r="N787">
        <f>IF(ROWS($N$2:$N787)&lt;=MAX('Per Line'!$AG$2:$AG$3001),MATCH(ROWS($N$2:$N787),'Per Line'!$AG$2:$AG$3001,0),"")</f>
        <v/>
      </c>
      <c r="O787">
        <f>IF(B787="Above Claim Form",COUNTIF($B$2:B787,"Above Claim Form"),"")</f>
        <v/>
      </c>
      <c r="P787">
        <f>IF(B787="Below Claim Form",COUNTIF($B$2:B787,"Below Claim Form"),"")</f>
        <v/>
      </c>
    </row>
    <row r="788">
      <c r="B788">
        <f>IF($N788="","",IFERROR(INDEX(Settings!$C$27:$C$36,MATCH(E788,Settings!$B$27:$B$36,0)),"Unassigned"))</f>
        <v/>
      </c>
      <c r="C788">
        <f>IF($N788="","",INDEX('Per Line'!$D$2:$D$3001,$N788))</f>
        <v/>
      </c>
      <c r="D788">
        <f>IF($N788="","",INDEX('Per Line'!$C$2:$C$3001,$N788))</f>
        <v/>
      </c>
      <c r="E788">
        <f>IF($N788="","",INDEX('Per Line'!$A$2:$A$3001,$N788))</f>
        <v/>
      </c>
      <c r="H788">
        <f>IF($N788="","",INDEX('Per Line'!$V$2:$V$3001,$N788))</f>
        <v/>
      </c>
      <c r="I788" s="5">
        <f>IF($N788="","",SUMIFS('Per Line'!$X$2:$X$3001,'Per Line'!$D$2:$D$3001,$C788))</f>
        <v/>
      </c>
      <c r="J788" s="5">
        <f>IF($N788="","",SUMIFS('Per Line'!$Y$2:$Y$3001,'Per Line'!$D$2:$D$3001,$C788))</f>
        <v/>
      </c>
      <c r="K788" s="5">
        <f>IF($N788="","",SUMIFS('Per Line'!$Z$2:$Z$3001,'Per Line'!$D$2:$D$3001,$C788))</f>
        <v/>
      </c>
      <c r="L788" s="5">
        <f>IF($N788="","",I788-J788)</f>
        <v/>
      </c>
      <c r="M788" s="5">
        <f>IF($N788="","",L788-K788)</f>
        <v/>
      </c>
      <c r="N788">
        <f>IF(ROWS($N$2:$N788)&lt;=MAX('Per Line'!$AG$2:$AG$3001),MATCH(ROWS($N$2:$N788),'Per Line'!$AG$2:$AG$3001,0),"")</f>
        <v/>
      </c>
      <c r="O788">
        <f>IF(B788="Above Claim Form",COUNTIF($B$2:B788,"Above Claim Form"),"")</f>
        <v/>
      </c>
      <c r="P788">
        <f>IF(B788="Below Claim Form",COUNTIF($B$2:B788,"Below Claim Form"),"")</f>
        <v/>
      </c>
    </row>
    <row r="789">
      <c r="B789">
        <f>IF($N789="","",IFERROR(INDEX(Settings!$C$27:$C$36,MATCH(E789,Settings!$B$27:$B$36,0)),"Unassigned"))</f>
        <v/>
      </c>
      <c r="C789">
        <f>IF($N789="","",INDEX('Per Line'!$D$2:$D$3001,$N789))</f>
        <v/>
      </c>
      <c r="D789">
        <f>IF($N789="","",INDEX('Per Line'!$C$2:$C$3001,$N789))</f>
        <v/>
      </c>
      <c r="E789">
        <f>IF($N789="","",INDEX('Per Line'!$A$2:$A$3001,$N789))</f>
        <v/>
      </c>
      <c r="H789">
        <f>IF($N789="","",INDEX('Per Line'!$V$2:$V$3001,$N789))</f>
        <v/>
      </c>
      <c r="I789" s="5">
        <f>IF($N789="","",SUMIFS('Per Line'!$X$2:$X$3001,'Per Line'!$D$2:$D$3001,$C789))</f>
        <v/>
      </c>
      <c r="J789" s="5">
        <f>IF($N789="","",SUMIFS('Per Line'!$Y$2:$Y$3001,'Per Line'!$D$2:$D$3001,$C789))</f>
        <v/>
      </c>
      <c r="K789" s="5">
        <f>IF($N789="","",SUMIFS('Per Line'!$Z$2:$Z$3001,'Per Line'!$D$2:$D$3001,$C789))</f>
        <v/>
      </c>
      <c r="L789" s="5">
        <f>IF($N789="","",I789-J789)</f>
        <v/>
      </c>
      <c r="M789" s="5">
        <f>IF($N789="","",L789-K789)</f>
        <v/>
      </c>
      <c r="N789">
        <f>IF(ROWS($N$2:$N789)&lt;=MAX('Per Line'!$AG$2:$AG$3001),MATCH(ROWS($N$2:$N789),'Per Line'!$AG$2:$AG$3001,0),"")</f>
        <v/>
      </c>
      <c r="O789">
        <f>IF(B789="Above Claim Form",COUNTIF($B$2:B789,"Above Claim Form"),"")</f>
        <v/>
      </c>
      <c r="P789">
        <f>IF(B789="Below Claim Form",COUNTIF($B$2:B789,"Below Claim Form"),"")</f>
        <v/>
      </c>
    </row>
    <row r="790">
      <c r="B790">
        <f>IF($N790="","",IFERROR(INDEX(Settings!$C$27:$C$36,MATCH(E790,Settings!$B$27:$B$36,0)),"Unassigned"))</f>
        <v/>
      </c>
      <c r="C790">
        <f>IF($N790="","",INDEX('Per Line'!$D$2:$D$3001,$N790))</f>
        <v/>
      </c>
      <c r="D790">
        <f>IF($N790="","",INDEX('Per Line'!$C$2:$C$3001,$N790))</f>
        <v/>
      </c>
      <c r="E790">
        <f>IF($N790="","",INDEX('Per Line'!$A$2:$A$3001,$N790))</f>
        <v/>
      </c>
      <c r="H790">
        <f>IF($N790="","",INDEX('Per Line'!$V$2:$V$3001,$N790))</f>
        <v/>
      </c>
      <c r="I790" s="5">
        <f>IF($N790="","",SUMIFS('Per Line'!$X$2:$X$3001,'Per Line'!$D$2:$D$3001,$C790))</f>
        <v/>
      </c>
      <c r="J790" s="5">
        <f>IF($N790="","",SUMIFS('Per Line'!$Y$2:$Y$3001,'Per Line'!$D$2:$D$3001,$C790))</f>
        <v/>
      </c>
      <c r="K790" s="5">
        <f>IF($N790="","",SUMIFS('Per Line'!$Z$2:$Z$3001,'Per Line'!$D$2:$D$3001,$C790))</f>
        <v/>
      </c>
      <c r="L790" s="5">
        <f>IF($N790="","",I790-J790)</f>
        <v/>
      </c>
      <c r="M790" s="5">
        <f>IF($N790="","",L790-K790)</f>
        <v/>
      </c>
      <c r="N790">
        <f>IF(ROWS($N$2:$N790)&lt;=MAX('Per Line'!$AG$2:$AG$3001),MATCH(ROWS($N$2:$N790),'Per Line'!$AG$2:$AG$3001,0),"")</f>
        <v/>
      </c>
      <c r="O790">
        <f>IF(B790="Above Claim Form",COUNTIF($B$2:B790,"Above Claim Form"),"")</f>
        <v/>
      </c>
      <c r="P790">
        <f>IF(B790="Below Claim Form",COUNTIF($B$2:B790,"Below Claim Form"),"")</f>
        <v/>
      </c>
    </row>
    <row r="791">
      <c r="B791">
        <f>IF($N791="","",IFERROR(INDEX(Settings!$C$27:$C$36,MATCH(E791,Settings!$B$27:$B$36,0)),"Unassigned"))</f>
        <v/>
      </c>
      <c r="C791">
        <f>IF($N791="","",INDEX('Per Line'!$D$2:$D$3001,$N791))</f>
        <v/>
      </c>
      <c r="D791">
        <f>IF($N791="","",INDEX('Per Line'!$C$2:$C$3001,$N791))</f>
        <v/>
      </c>
      <c r="E791">
        <f>IF($N791="","",INDEX('Per Line'!$A$2:$A$3001,$N791))</f>
        <v/>
      </c>
      <c r="H791">
        <f>IF($N791="","",INDEX('Per Line'!$V$2:$V$3001,$N791))</f>
        <v/>
      </c>
      <c r="I791" s="5">
        <f>IF($N791="","",SUMIFS('Per Line'!$X$2:$X$3001,'Per Line'!$D$2:$D$3001,$C791))</f>
        <v/>
      </c>
      <c r="J791" s="5">
        <f>IF($N791="","",SUMIFS('Per Line'!$Y$2:$Y$3001,'Per Line'!$D$2:$D$3001,$C791))</f>
        <v/>
      </c>
      <c r="K791" s="5">
        <f>IF($N791="","",SUMIFS('Per Line'!$Z$2:$Z$3001,'Per Line'!$D$2:$D$3001,$C791))</f>
        <v/>
      </c>
      <c r="L791" s="5">
        <f>IF($N791="","",I791-J791)</f>
        <v/>
      </c>
      <c r="M791" s="5">
        <f>IF($N791="","",L791-K791)</f>
        <v/>
      </c>
      <c r="N791">
        <f>IF(ROWS($N$2:$N791)&lt;=MAX('Per Line'!$AG$2:$AG$3001),MATCH(ROWS($N$2:$N791),'Per Line'!$AG$2:$AG$3001,0),"")</f>
        <v/>
      </c>
      <c r="O791">
        <f>IF(B791="Above Claim Form",COUNTIF($B$2:B791,"Above Claim Form"),"")</f>
        <v/>
      </c>
      <c r="P791">
        <f>IF(B791="Below Claim Form",COUNTIF($B$2:B791,"Below Claim Form"),"")</f>
        <v/>
      </c>
    </row>
    <row r="792">
      <c r="B792">
        <f>IF($N792="","",IFERROR(INDEX(Settings!$C$27:$C$36,MATCH(E792,Settings!$B$27:$B$36,0)),"Unassigned"))</f>
        <v/>
      </c>
      <c r="C792">
        <f>IF($N792="","",INDEX('Per Line'!$D$2:$D$3001,$N792))</f>
        <v/>
      </c>
      <c r="D792">
        <f>IF($N792="","",INDEX('Per Line'!$C$2:$C$3001,$N792))</f>
        <v/>
      </c>
      <c r="E792">
        <f>IF($N792="","",INDEX('Per Line'!$A$2:$A$3001,$N792))</f>
        <v/>
      </c>
      <c r="H792">
        <f>IF($N792="","",INDEX('Per Line'!$V$2:$V$3001,$N792))</f>
        <v/>
      </c>
      <c r="I792" s="5">
        <f>IF($N792="","",SUMIFS('Per Line'!$X$2:$X$3001,'Per Line'!$D$2:$D$3001,$C792))</f>
        <v/>
      </c>
      <c r="J792" s="5">
        <f>IF($N792="","",SUMIFS('Per Line'!$Y$2:$Y$3001,'Per Line'!$D$2:$D$3001,$C792))</f>
        <v/>
      </c>
      <c r="K792" s="5">
        <f>IF($N792="","",SUMIFS('Per Line'!$Z$2:$Z$3001,'Per Line'!$D$2:$D$3001,$C792))</f>
        <v/>
      </c>
      <c r="L792" s="5">
        <f>IF($N792="","",I792-J792)</f>
        <v/>
      </c>
      <c r="M792" s="5">
        <f>IF($N792="","",L792-K792)</f>
        <v/>
      </c>
      <c r="N792">
        <f>IF(ROWS($N$2:$N792)&lt;=MAX('Per Line'!$AG$2:$AG$3001),MATCH(ROWS($N$2:$N792),'Per Line'!$AG$2:$AG$3001,0),"")</f>
        <v/>
      </c>
      <c r="O792">
        <f>IF(B792="Above Claim Form",COUNTIF($B$2:B792,"Above Claim Form"),"")</f>
        <v/>
      </c>
      <c r="P792">
        <f>IF(B792="Below Claim Form",COUNTIF($B$2:B792,"Below Claim Form"),"")</f>
        <v/>
      </c>
    </row>
    <row r="793">
      <c r="B793">
        <f>IF($N793="","",IFERROR(INDEX(Settings!$C$27:$C$36,MATCH(E793,Settings!$B$27:$B$36,0)),"Unassigned"))</f>
        <v/>
      </c>
      <c r="C793">
        <f>IF($N793="","",INDEX('Per Line'!$D$2:$D$3001,$N793))</f>
        <v/>
      </c>
      <c r="D793">
        <f>IF($N793="","",INDEX('Per Line'!$C$2:$C$3001,$N793))</f>
        <v/>
      </c>
      <c r="E793">
        <f>IF($N793="","",INDEX('Per Line'!$A$2:$A$3001,$N793))</f>
        <v/>
      </c>
      <c r="H793">
        <f>IF($N793="","",INDEX('Per Line'!$V$2:$V$3001,$N793))</f>
        <v/>
      </c>
      <c r="I793" s="5">
        <f>IF($N793="","",SUMIFS('Per Line'!$X$2:$X$3001,'Per Line'!$D$2:$D$3001,$C793))</f>
        <v/>
      </c>
      <c r="J793" s="5">
        <f>IF($N793="","",SUMIFS('Per Line'!$Y$2:$Y$3001,'Per Line'!$D$2:$D$3001,$C793))</f>
        <v/>
      </c>
      <c r="K793" s="5">
        <f>IF($N793="","",SUMIFS('Per Line'!$Z$2:$Z$3001,'Per Line'!$D$2:$D$3001,$C793))</f>
        <v/>
      </c>
      <c r="L793" s="5">
        <f>IF($N793="","",I793-J793)</f>
        <v/>
      </c>
      <c r="M793" s="5">
        <f>IF($N793="","",L793-K793)</f>
        <v/>
      </c>
      <c r="N793">
        <f>IF(ROWS($N$2:$N793)&lt;=MAX('Per Line'!$AG$2:$AG$3001),MATCH(ROWS($N$2:$N793),'Per Line'!$AG$2:$AG$3001,0),"")</f>
        <v/>
      </c>
      <c r="O793">
        <f>IF(B793="Above Claim Form",COUNTIF($B$2:B793,"Above Claim Form"),"")</f>
        <v/>
      </c>
      <c r="P793">
        <f>IF(B793="Below Claim Form",COUNTIF($B$2:B793,"Below Claim Form"),"")</f>
        <v/>
      </c>
    </row>
    <row r="794">
      <c r="B794">
        <f>IF($N794="","",IFERROR(INDEX(Settings!$C$27:$C$36,MATCH(E794,Settings!$B$27:$B$36,0)),"Unassigned"))</f>
        <v/>
      </c>
      <c r="C794">
        <f>IF($N794="","",INDEX('Per Line'!$D$2:$D$3001,$N794))</f>
        <v/>
      </c>
      <c r="D794">
        <f>IF($N794="","",INDEX('Per Line'!$C$2:$C$3001,$N794))</f>
        <v/>
      </c>
      <c r="E794">
        <f>IF($N794="","",INDEX('Per Line'!$A$2:$A$3001,$N794))</f>
        <v/>
      </c>
      <c r="H794">
        <f>IF($N794="","",INDEX('Per Line'!$V$2:$V$3001,$N794))</f>
        <v/>
      </c>
      <c r="I794" s="5">
        <f>IF($N794="","",SUMIFS('Per Line'!$X$2:$X$3001,'Per Line'!$D$2:$D$3001,$C794))</f>
        <v/>
      </c>
      <c r="J794" s="5">
        <f>IF($N794="","",SUMIFS('Per Line'!$Y$2:$Y$3001,'Per Line'!$D$2:$D$3001,$C794))</f>
        <v/>
      </c>
      <c r="K794" s="5">
        <f>IF($N794="","",SUMIFS('Per Line'!$Z$2:$Z$3001,'Per Line'!$D$2:$D$3001,$C794))</f>
        <v/>
      </c>
      <c r="L794" s="5">
        <f>IF($N794="","",I794-J794)</f>
        <v/>
      </c>
      <c r="M794" s="5">
        <f>IF($N794="","",L794-K794)</f>
        <v/>
      </c>
      <c r="N794">
        <f>IF(ROWS($N$2:$N794)&lt;=MAX('Per Line'!$AG$2:$AG$3001),MATCH(ROWS($N$2:$N794),'Per Line'!$AG$2:$AG$3001,0),"")</f>
        <v/>
      </c>
      <c r="O794">
        <f>IF(B794="Above Claim Form",COUNTIF($B$2:B794,"Above Claim Form"),"")</f>
        <v/>
      </c>
      <c r="P794">
        <f>IF(B794="Below Claim Form",COUNTIF($B$2:B794,"Below Claim Form"),"")</f>
        <v/>
      </c>
    </row>
    <row r="795">
      <c r="B795">
        <f>IF($N795="","",IFERROR(INDEX(Settings!$C$27:$C$36,MATCH(E795,Settings!$B$27:$B$36,0)),"Unassigned"))</f>
        <v/>
      </c>
      <c r="C795">
        <f>IF($N795="","",INDEX('Per Line'!$D$2:$D$3001,$N795))</f>
        <v/>
      </c>
      <c r="D795">
        <f>IF($N795="","",INDEX('Per Line'!$C$2:$C$3001,$N795))</f>
        <v/>
      </c>
      <c r="E795">
        <f>IF($N795="","",INDEX('Per Line'!$A$2:$A$3001,$N795))</f>
        <v/>
      </c>
      <c r="H795">
        <f>IF($N795="","",INDEX('Per Line'!$V$2:$V$3001,$N795))</f>
        <v/>
      </c>
      <c r="I795" s="5">
        <f>IF($N795="","",SUMIFS('Per Line'!$X$2:$X$3001,'Per Line'!$D$2:$D$3001,$C795))</f>
        <v/>
      </c>
      <c r="J795" s="5">
        <f>IF($N795="","",SUMIFS('Per Line'!$Y$2:$Y$3001,'Per Line'!$D$2:$D$3001,$C795))</f>
        <v/>
      </c>
      <c r="K795" s="5">
        <f>IF($N795="","",SUMIFS('Per Line'!$Z$2:$Z$3001,'Per Line'!$D$2:$D$3001,$C795))</f>
        <v/>
      </c>
      <c r="L795" s="5">
        <f>IF($N795="","",I795-J795)</f>
        <v/>
      </c>
      <c r="M795" s="5">
        <f>IF($N795="","",L795-K795)</f>
        <v/>
      </c>
      <c r="N795">
        <f>IF(ROWS($N$2:$N795)&lt;=MAX('Per Line'!$AG$2:$AG$3001),MATCH(ROWS($N$2:$N795),'Per Line'!$AG$2:$AG$3001,0),"")</f>
        <v/>
      </c>
      <c r="O795">
        <f>IF(B795="Above Claim Form",COUNTIF($B$2:B795,"Above Claim Form"),"")</f>
        <v/>
      </c>
      <c r="P795">
        <f>IF(B795="Below Claim Form",COUNTIF($B$2:B795,"Below Claim Form"),"")</f>
        <v/>
      </c>
    </row>
    <row r="796">
      <c r="B796">
        <f>IF($N796="","",IFERROR(INDEX(Settings!$C$27:$C$36,MATCH(E796,Settings!$B$27:$B$36,0)),"Unassigned"))</f>
        <v/>
      </c>
      <c r="C796">
        <f>IF($N796="","",INDEX('Per Line'!$D$2:$D$3001,$N796))</f>
        <v/>
      </c>
      <c r="D796">
        <f>IF($N796="","",INDEX('Per Line'!$C$2:$C$3001,$N796))</f>
        <v/>
      </c>
      <c r="E796">
        <f>IF($N796="","",INDEX('Per Line'!$A$2:$A$3001,$N796))</f>
        <v/>
      </c>
      <c r="H796">
        <f>IF($N796="","",INDEX('Per Line'!$V$2:$V$3001,$N796))</f>
        <v/>
      </c>
      <c r="I796" s="5">
        <f>IF($N796="","",SUMIFS('Per Line'!$X$2:$X$3001,'Per Line'!$D$2:$D$3001,$C796))</f>
        <v/>
      </c>
      <c r="J796" s="5">
        <f>IF($N796="","",SUMIFS('Per Line'!$Y$2:$Y$3001,'Per Line'!$D$2:$D$3001,$C796))</f>
        <v/>
      </c>
      <c r="K796" s="5">
        <f>IF($N796="","",SUMIFS('Per Line'!$Z$2:$Z$3001,'Per Line'!$D$2:$D$3001,$C796))</f>
        <v/>
      </c>
      <c r="L796" s="5">
        <f>IF($N796="","",I796-J796)</f>
        <v/>
      </c>
      <c r="M796" s="5">
        <f>IF($N796="","",L796-K796)</f>
        <v/>
      </c>
      <c r="N796">
        <f>IF(ROWS($N$2:$N796)&lt;=MAX('Per Line'!$AG$2:$AG$3001),MATCH(ROWS($N$2:$N796),'Per Line'!$AG$2:$AG$3001,0),"")</f>
        <v/>
      </c>
      <c r="O796">
        <f>IF(B796="Above Claim Form",COUNTIF($B$2:B796,"Above Claim Form"),"")</f>
        <v/>
      </c>
      <c r="P796">
        <f>IF(B796="Below Claim Form",COUNTIF($B$2:B796,"Below Claim Form"),"")</f>
        <v/>
      </c>
    </row>
    <row r="797">
      <c r="B797">
        <f>IF($N797="","",IFERROR(INDEX(Settings!$C$27:$C$36,MATCH(E797,Settings!$B$27:$B$36,0)),"Unassigned"))</f>
        <v/>
      </c>
      <c r="C797">
        <f>IF($N797="","",INDEX('Per Line'!$D$2:$D$3001,$N797))</f>
        <v/>
      </c>
      <c r="D797">
        <f>IF($N797="","",INDEX('Per Line'!$C$2:$C$3001,$N797))</f>
        <v/>
      </c>
      <c r="E797">
        <f>IF($N797="","",INDEX('Per Line'!$A$2:$A$3001,$N797))</f>
        <v/>
      </c>
      <c r="H797">
        <f>IF($N797="","",INDEX('Per Line'!$V$2:$V$3001,$N797))</f>
        <v/>
      </c>
      <c r="I797" s="5">
        <f>IF($N797="","",SUMIFS('Per Line'!$X$2:$X$3001,'Per Line'!$D$2:$D$3001,$C797))</f>
        <v/>
      </c>
      <c r="J797" s="5">
        <f>IF($N797="","",SUMIFS('Per Line'!$Y$2:$Y$3001,'Per Line'!$D$2:$D$3001,$C797))</f>
        <v/>
      </c>
      <c r="K797" s="5">
        <f>IF($N797="","",SUMIFS('Per Line'!$Z$2:$Z$3001,'Per Line'!$D$2:$D$3001,$C797))</f>
        <v/>
      </c>
      <c r="L797" s="5">
        <f>IF($N797="","",I797-J797)</f>
        <v/>
      </c>
      <c r="M797" s="5">
        <f>IF($N797="","",L797-K797)</f>
        <v/>
      </c>
      <c r="N797">
        <f>IF(ROWS($N$2:$N797)&lt;=MAX('Per Line'!$AG$2:$AG$3001),MATCH(ROWS($N$2:$N797),'Per Line'!$AG$2:$AG$3001,0),"")</f>
        <v/>
      </c>
      <c r="O797">
        <f>IF(B797="Above Claim Form",COUNTIF($B$2:B797,"Above Claim Form"),"")</f>
        <v/>
      </c>
      <c r="P797">
        <f>IF(B797="Below Claim Form",COUNTIF($B$2:B797,"Below Claim Form"),"")</f>
        <v/>
      </c>
    </row>
    <row r="798">
      <c r="B798">
        <f>IF($N798="","",IFERROR(INDEX(Settings!$C$27:$C$36,MATCH(E798,Settings!$B$27:$B$36,0)),"Unassigned"))</f>
        <v/>
      </c>
      <c r="C798">
        <f>IF($N798="","",INDEX('Per Line'!$D$2:$D$3001,$N798))</f>
        <v/>
      </c>
      <c r="D798">
        <f>IF($N798="","",INDEX('Per Line'!$C$2:$C$3001,$N798))</f>
        <v/>
      </c>
      <c r="E798">
        <f>IF($N798="","",INDEX('Per Line'!$A$2:$A$3001,$N798))</f>
        <v/>
      </c>
      <c r="H798">
        <f>IF($N798="","",INDEX('Per Line'!$V$2:$V$3001,$N798))</f>
        <v/>
      </c>
      <c r="I798" s="5">
        <f>IF($N798="","",SUMIFS('Per Line'!$X$2:$X$3001,'Per Line'!$D$2:$D$3001,$C798))</f>
        <v/>
      </c>
      <c r="J798" s="5">
        <f>IF($N798="","",SUMIFS('Per Line'!$Y$2:$Y$3001,'Per Line'!$D$2:$D$3001,$C798))</f>
        <v/>
      </c>
      <c r="K798" s="5">
        <f>IF($N798="","",SUMIFS('Per Line'!$Z$2:$Z$3001,'Per Line'!$D$2:$D$3001,$C798))</f>
        <v/>
      </c>
      <c r="L798" s="5">
        <f>IF($N798="","",I798-J798)</f>
        <v/>
      </c>
      <c r="M798" s="5">
        <f>IF($N798="","",L798-K798)</f>
        <v/>
      </c>
      <c r="N798">
        <f>IF(ROWS($N$2:$N798)&lt;=MAX('Per Line'!$AG$2:$AG$3001),MATCH(ROWS($N$2:$N798),'Per Line'!$AG$2:$AG$3001,0),"")</f>
        <v/>
      </c>
      <c r="O798">
        <f>IF(B798="Above Claim Form",COUNTIF($B$2:B798,"Above Claim Form"),"")</f>
        <v/>
      </c>
      <c r="P798">
        <f>IF(B798="Below Claim Form",COUNTIF($B$2:B798,"Below Claim Form"),"")</f>
        <v/>
      </c>
    </row>
    <row r="799">
      <c r="B799">
        <f>IF($N799="","",IFERROR(INDEX(Settings!$C$27:$C$36,MATCH(E799,Settings!$B$27:$B$36,0)),"Unassigned"))</f>
        <v/>
      </c>
      <c r="C799">
        <f>IF($N799="","",INDEX('Per Line'!$D$2:$D$3001,$N799))</f>
        <v/>
      </c>
      <c r="D799">
        <f>IF($N799="","",INDEX('Per Line'!$C$2:$C$3001,$N799))</f>
        <v/>
      </c>
      <c r="E799">
        <f>IF($N799="","",INDEX('Per Line'!$A$2:$A$3001,$N799))</f>
        <v/>
      </c>
      <c r="H799">
        <f>IF($N799="","",INDEX('Per Line'!$V$2:$V$3001,$N799))</f>
        <v/>
      </c>
      <c r="I799" s="5">
        <f>IF($N799="","",SUMIFS('Per Line'!$X$2:$X$3001,'Per Line'!$D$2:$D$3001,$C799))</f>
        <v/>
      </c>
      <c r="J799" s="5">
        <f>IF($N799="","",SUMIFS('Per Line'!$Y$2:$Y$3001,'Per Line'!$D$2:$D$3001,$C799))</f>
        <v/>
      </c>
      <c r="K799" s="5">
        <f>IF($N799="","",SUMIFS('Per Line'!$Z$2:$Z$3001,'Per Line'!$D$2:$D$3001,$C799))</f>
        <v/>
      </c>
      <c r="L799" s="5">
        <f>IF($N799="","",I799-J799)</f>
        <v/>
      </c>
      <c r="M799" s="5">
        <f>IF($N799="","",L799-K799)</f>
        <v/>
      </c>
      <c r="N799">
        <f>IF(ROWS($N$2:$N799)&lt;=MAX('Per Line'!$AG$2:$AG$3001),MATCH(ROWS($N$2:$N799),'Per Line'!$AG$2:$AG$3001,0),"")</f>
        <v/>
      </c>
      <c r="O799">
        <f>IF(B799="Above Claim Form",COUNTIF($B$2:B799,"Above Claim Form"),"")</f>
        <v/>
      </c>
      <c r="P799">
        <f>IF(B799="Below Claim Form",COUNTIF($B$2:B799,"Below Claim Form"),"")</f>
        <v/>
      </c>
    </row>
    <row r="800">
      <c r="B800">
        <f>IF($N800="","",IFERROR(INDEX(Settings!$C$27:$C$36,MATCH(E800,Settings!$B$27:$B$36,0)),"Unassigned"))</f>
        <v/>
      </c>
      <c r="C800">
        <f>IF($N800="","",INDEX('Per Line'!$D$2:$D$3001,$N800))</f>
        <v/>
      </c>
      <c r="D800">
        <f>IF($N800="","",INDEX('Per Line'!$C$2:$C$3001,$N800))</f>
        <v/>
      </c>
      <c r="E800">
        <f>IF($N800="","",INDEX('Per Line'!$A$2:$A$3001,$N800))</f>
        <v/>
      </c>
      <c r="H800">
        <f>IF($N800="","",INDEX('Per Line'!$V$2:$V$3001,$N800))</f>
        <v/>
      </c>
      <c r="I800" s="5">
        <f>IF($N800="","",SUMIFS('Per Line'!$X$2:$X$3001,'Per Line'!$D$2:$D$3001,$C800))</f>
        <v/>
      </c>
      <c r="J800" s="5">
        <f>IF($N800="","",SUMIFS('Per Line'!$Y$2:$Y$3001,'Per Line'!$D$2:$D$3001,$C800))</f>
        <v/>
      </c>
      <c r="K800" s="5">
        <f>IF($N800="","",SUMIFS('Per Line'!$Z$2:$Z$3001,'Per Line'!$D$2:$D$3001,$C800))</f>
        <v/>
      </c>
      <c r="L800" s="5">
        <f>IF($N800="","",I800-J800)</f>
        <v/>
      </c>
      <c r="M800" s="5">
        <f>IF($N800="","",L800-K800)</f>
        <v/>
      </c>
      <c r="N800">
        <f>IF(ROWS($N$2:$N800)&lt;=MAX('Per Line'!$AG$2:$AG$3001),MATCH(ROWS($N$2:$N800),'Per Line'!$AG$2:$AG$3001,0),"")</f>
        <v/>
      </c>
      <c r="O800">
        <f>IF(B800="Above Claim Form",COUNTIF($B$2:B800,"Above Claim Form"),"")</f>
        <v/>
      </c>
      <c r="P800">
        <f>IF(B800="Below Claim Form",COUNTIF($B$2:B800,"Below Claim Form"),"")</f>
        <v/>
      </c>
    </row>
    <row r="801">
      <c r="B801">
        <f>IF($N801="","",IFERROR(INDEX(Settings!$C$27:$C$36,MATCH(E801,Settings!$B$27:$B$36,0)),"Unassigned"))</f>
        <v/>
      </c>
      <c r="C801">
        <f>IF($N801="","",INDEX('Per Line'!$D$2:$D$3001,$N801))</f>
        <v/>
      </c>
      <c r="D801">
        <f>IF($N801="","",INDEX('Per Line'!$C$2:$C$3001,$N801))</f>
        <v/>
      </c>
      <c r="E801">
        <f>IF($N801="","",INDEX('Per Line'!$A$2:$A$3001,$N801))</f>
        <v/>
      </c>
      <c r="H801">
        <f>IF($N801="","",INDEX('Per Line'!$V$2:$V$3001,$N801))</f>
        <v/>
      </c>
      <c r="I801" s="5">
        <f>IF($N801="","",SUMIFS('Per Line'!$X$2:$X$3001,'Per Line'!$D$2:$D$3001,$C801))</f>
        <v/>
      </c>
      <c r="J801" s="5">
        <f>IF($N801="","",SUMIFS('Per Line'!$Y$2:$Y$3001,'Per Line'!$D$2:$D$3001,$C801))</f>
        <v/>
      </c>
      <c r="K801" s="5">
        <f>IF($N801="","",SUMIFS('Per Line'!$Z$2:$Z$3001,'Per Line'!$D$2:$D$3001,$C801))</f>
        <v/>
      </c>
      <c r="L801" s="5">
        <f>IF($N801="","",I801-J801)</f>
        <v/>
      </c>
      <c r="M801" s="5">
        <f>IF($N801="","",L801-K801)</f>
        <v/>
      </c>
      <c r="N801">
        <f>IF(ROWS($N$2:$N801)&lt;=MAX('Per Line'!$AG$2:$AG$3001),MATCH(ROWS($N$2:$N801),'Per Line'!$AG$2:$AG$3001,0),"")</f>
        <v/>
      </c>
      <c r="O801">
        <f>IF(B801="Above Claim Form",COUNTIF($B$2:B801,"Above Claim Form"),"")</f>
        <v/>
      </c>
      <c r="P801">
        <f>IF(B801="Below Claim Form",COUNTIF($B$2:B801,"Below Claim Form"),"")</f>
        <v/>
      </c>
    </row>
  </sheetData>
  <autoFilter ref="A1:P8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D18E"/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22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32" customHeight="1">
      <c r="A1" s="7" t="inlineStr">
        <is>
          <t>Invoice</t>
        </is>
      </c>
      <c r="B1" s="7" t="inlineStr">
        <is>
          <t>Seg</t>
        </is>
      </c>
      <c r="C1" s="7" t="inlineStr">
        <is>
          <t>So</t>
        </is>
      </c>
      <c r="D1" s="7" t="inlineStr">
        <is>
          <t>SSNBR</t>
        </is>
      </c>
      <c r="E1" s="7" t="inlineStr">
        <is>
          <t>Lot</t>
        </is>
      </c>
      <c r="F1" s="7" t="inlineStr">
        <is>
          <t>ERX</t>
        </is>
      </c>
      <c r="G1" s="7" t="inlineStr">
        <is>
          <t>Card</t>
        </is>
      </c>
      <c r="H1" s="7" t="inlineStr">
        <is>
          <t>Svc Date</t>
        </is>
      </c>
      <c r="I1" s="7" t="inlineStr">
        <is>
          <t>Sum of Total Approved</t>
        </is>
      </c>
      <c r="J1" s="7" t="inlineStr">
        <is>
          <t>Sum of dis</t>
        </is>
      </c>
      <c r="K1" s="7" t="inlineStr">
        <is>
          <t>Sum of Paid Amount</t>
        </is>
      </c>
      <c r="L1" s="7" t="inlineStr">
        <is>
          <t>Sum of Subtotal</t>
        </is>
      </c>
      <c r="M1" s="7" t="inlineStr">
        <is>
          <t>Sum of Net Amt</t>
        </is>
      </c>
      <c r="N1" s="10" t="inlineStr">
        <is>
          <t>Per Invoice Row (helper)</t>
        </is>
      </c>
    </row>
    <row r="2">
      <c r="A2">
        <f>IF($N2="","",IF(INDEX('Per Invoice'!$A$2:$A$801,$N2)="","",INDEX('Per Invoice'!$A$2:$A$801,$N2)))</f>
        <v/>
      </c>
      <c r="B2">
        <f>IF($N2="","",IF(INDEX('Per Invoice'!$B$2:$B$801,$N2)="","",INDEX('Per Invoice'!$B$2:$B$801,$N2)))</f>
        <v/>
      </c>
      <c r="C2">
        <f>IF($N2="","",IF(INDEX('Per Invoice'!$C$2:$C$801,$N2)="","",INDEX('Per Invoice'!$C$2:$C$801,$N2)))</f>
        <v/>
      </c>
      <c r="D2">
        <f>IF($N2="","",IF(INDEX('Per Invoice'!$D$2:$D$801,$N2)="","",INDEX('Per Invoice'!$D$2:$D$801,$N2)))</f>
        <v/>
      </c>
      <c r="E2">
        <f>IF($N2="","",IF(INDEX('Per Invoice'!$E$2:$E$801,$N2)="","",INDEX('Per Invoice'!$E$2:$E$801,$N2)))</f>
        <v/>
      </c>
      <c r="F2">
        <f>IF($N2="","",IF(INDEX('Per Invoice'!$F$2:$F$801,$N2)="","",INDEX('Per Invoice'!$F$2:$F$801,$N2)))</f>
        <v/>
      </c>
      <c r="G2">
        <f>IF($N2="","",IF(INDEX('Per Invoice'!$G$2:$G$801,$N2)="","",INDEX('Per Invoice'!$G$2:$G$801,$N2)))</f>
        <v/>
      </c>
      <c r="H2">
        <f>IF($N2="","",IF(INDEX('Per Invoice'!$H$2:$H$801,$N2)="","",INDEX('Per Invoice'!$H$2:$H$801,$N2)))</f>
        <v/>
      </c>
      <c r="I2" s="5">
        <f>IF($N2="","",IF(INDEX('Per Invoice'!$I$2:$I$801,$N2)="","",INDEX('Per Invoice'!$I$2:$I$801,$N2)))</f>
        <v/>
      </c>
      <c r="J2" s="5">
        <f>IF($N2="","",IF(INDEX('Per Invoice'!$J$2:$J$801,$N2)="","",INDEX('Per Invoice'!$J$2:$J$801,$N2)))</f>
        <v/>
      </c>
      <c r="K2" s="5">
        <f>IF($N2="","",IF(INDEX('Per Invoice'!$K$2:$K$801,$N2)="","",INDEX('Per Invoice'!$K$2:$K$801,$N2)))</f>
        <v/>
      </c>
      <c r="L2" s="5">
        <f>IF($N2="","",IF(INDEX('Per Invoice'!$L$2:$L$801,$N2)="","",INDEX('Per Invoice'!$L$2:$L$801,$N2)))</f>
        <v/>
      </c>
      <c r="M2" s="5">
        <f>IF($N2="","",IF(INDEX('Per Invoice'!$M$2:$M$801,$N2)="","",INDEX('Per Invoice'!$M$2:$M$801,$N2)))</f>
        <v/>
      </c>
      <c r="N2">
        <f>IF(ROWS($N$2:$N2)&lt;=COUNT('Per Invoice'!$O$2:$O$801),MATCH(ROWS($N$2:$N2),'Per Invoice'!$O$2:$O$801,0),"")</f>
        <v/>
      </c>
    </row>
    <row r="3">
      <c r="A3">
        <f>IF($N3="","",IF(INDEX('Per Invoice'!$A$2:$A$801,$N3)="","",INDEX('Per Invoice'!$A$2:$A$801,$N3)))</f>
        <v/>
      </c>
      <c r="B3">
        <f>IF($N3="","",IF(INDEX('Per Invoice'!$B$2:$B$801,$N3)="","",INDEX('Per Invoice'!$B$2:$B$801,$N3)))</f>
        <v/>
      </c>
      <c r="C3">
        <f>IF($N3="","",IF(INDEX('Per Invoice'!$C$2:$C$801,$N3)="","",INDEX('Per Invoice'!$C$2:$C$801,$N3)))</f>
        <v/>
      </c>
      <c r="D3">
        <f>IF($N3="","",IF(INDEX('Per Invoice'!$D$2:$D$801,$N3)="","",INDEX('Per Invoice'!$D$2:$D$801,$N3)))</f>
        <v/>
      </c>
      <c r="E3">
        <f>IF($N3="","",IF(INDEX('Per Invoice'!$E$2:$E$801,$N3)="","",INDEX('Per Invoice'!$E$2:$E$801,$N3)))</f>
        <v/>
      </c>
      <c r="F3">
        <f>IF($N3="","",IF(INDEX('Per Invoice'!$F$2:$F$801,$N3)="","",INDEX('Per Invoice'!$F$2:$F$801,$N3)))</f>
        <v/>
      </c>
      <c r="G3">
        <f>IF($N3="","",IF(INDEX('Per Invoice'!$G$2:$G$801,$N3)="","",INDEX('Per Invoice'!$G$2:$G$801,$N3)))</f>
        <v/>
      </c>
      <c r="H3">
        <f>IF($N3="","",IF(INDEX('Per Invoice'!$H$2:$H$801,$N3)="","",INDEX('Per Invoice'!$H$2:$H$801,$N3)))</f>
        <v/>
      </c>
      <c r="I3" s="5">
        <f>IF($N3="","",IF(INDEX('Per Invoice'!$I$2:$I$801,$N3)="","",INDEX('Per Invoice'!$I$2:$I$801,$N3)))</f>
        <v/>
      </c>
      <c r="J3" s="5">
        <f>IF($N3="","",IF(INDEX('Per Invoice'!$J$2:$J$801,$N3)="","",INDEX('Per Invoice'!$J$2:$J$801,$N3)))</f>
        <v/>
      </c>
      <c r="K3" s="5">
        <f>IF($N3="","",IF(INDEX('Per Invoice'!$K$2:$K$801,$N3)="","",INDEX('Per Invoice'!$K$2:$K$801,$N3)))</f>
        <v/>
      </c>
      <c r="L3" s="5">
        <f>IF($N3="","",IF(INDEX('Per Invoice'!$L$2:$L$801,$N3)="","",INDEX('Per Invoice'!$L$2:$L$801,$N3)))</f>
        <v/>
      </c>
      <c r="M3" s="5">
        <f>IF($N3="","",IF(INDEX('Per Invoice'!$M$2:$M$801,$N3)="","",INDEX('Per Invoice'!$M$2:$M$801,$N3)))</f>
        <v/>
      </c>
      <c r="N3">
        <f>IF(ROWS($N$2:$N3)&lt;=COUNT('Per Invoice'!$O$2:$O$801),MATCH(ROWS($N$2:$N3),'Per Invoice'!$O$2:$O$801,0),"")</f>
        <v/>
      </c>
    </row>
    <row r="4">
      <c r="A4">
        <f>IF($N4="","",IF(INDEX('Per Invoice'!$A$2:$A$801,$N4)="","",INDEX('Per Invoice'!$A$2:$A$801,$N4)))</f>
        <v/>
      </c>
      <c r="B4">
        <f>IF($N4="","",IF(INDEX('Per Invoice'!$B$2:$B$801,$N4)="","",INDEX('Per Invoice'!$B$2:$B$801,$N4)))</f>
        <v/>
      </c>
      <c r="C4">
        <f>IF($N4="","",IF(INDEX('Per Invoice'!$C$2:$C$801,$N4)="","",INDEX('Per Invoice'!$C$2:$C$801,$N4)))</f>
        <v/>
      </c>
      <c r="D4">
        <f>IF($N4="","",IF(INDEX('Per Invoice'!$D$2:$D$801,$N4)="","",INDEX('Per Invoice'!$D$2:$D$801,$N4)))</f>
        <v/>
      </c>
      <c r="E4">
        <f>IF($N4="","",IF(INDEX('Per Invoice'!$E$2:$E$801,$N4)="","",INDEX('Per Invoice'!$E$2:$E$801,$N4)))</f>
        <v/>
      </c>
      <c r="F4">
        <f>IF($N4="","",IF(INDEX('Per Invoice'!$F$2:$F$801,$N4)="","",INDEX('Per Invoice'!$F$2:$F$801,$N4)))</f>
        <v/>
      </c>
      <c r="G4">
        <f>IF($N4="","",IF(INDEX('Per Invoice'!$G$2:$G$801,$N4)="","",INDEX('Per Invoice'!$G$2:$G$801,$N4)))</f>
        <v/>
      </c>
      <c r="H4">
        <f>IF($N4="","",IF(INDEX('Per Invoice'!$H$2:$H$801,$N4)="","",INDEX('Per Invoice'!$H$2:$H$801,$N4)))</f>
        <v/>
      </c>
      <c r="I4" s="5">
        <f>IF($N4="","",IF(INDEX('Per Invoice'!$I$2:$I$801,$N4)="","",INDEX('Per Invoice'!$I$2:$I$801,$N4)))</f>
        <v/>
      </c>
      <c r="J4" s="5">
        <f>IF($N4="","",IF(INDEX('Per Invoice'!$J$2:$J$801,$N4)="","",INDEX('Per Invoice'!$J$2:$J$801,$N4)))</f>
        <v/>
      </c>
      <c r="K4" s="5">
        <f>IF($N4="","",IF(INDEX('Per Invoice'!$K$2:$K$801,$N4)="","",INDEX('Per Invoice'!$K$2:$K$801,$N4)))</f>
        <v/>
      </c>
      <c r="L4" s="5">
        <f>IF($N4="","",IF(INDEX('Per Invoice'!$L$2:$L$801,$N4)="","",INDEX('Per Invoice'!$L$2:$L$801,$N4)))</f>
        <v/>
      </c>
      <c r="M4" s="5">
        <f>IF($N4="","",IF(INDEX('Per Invoice'!$M$2:$M$801,$N4)="","",INDEX('Per Invoice'!$M$2:$M$801,$N4)))</f>
        <v/>
      </c>
      <c r="N4">
        <f>IF(ROWS($N$2:$N4)&lt;=COUNT('Per Invoice'!$O$2:$O$801),MATCH(ROWS($N$2:$N4),'Per Invoice'!$O$2:$O$801,0),"")</f>
        <v/>
      </c>
    </row>
    <row r="5">
      <c r="A5">
        <f>IF($N5="","",IF(INDEX('Per Invoice'!$A$2:$A$801,$N5)="","",INDEX('Per Invoice'!$A$2:$A$801,$N5)))</f>
        <v/>
      </c>
      <c r="B5">
        <f>IF($N5="","",IF(INDEX('Per Invoice'!$B$2:$B$801,$N5)="","",INDEX('Per Invoice'!$B$2:$B$801,$N5)))</f>
        <v/>
      </c>
      <c r="C5">
        <f>IF($N5="","",IF(INDEX('Per Invoice'!$C$2:$C$801,$N5)="","",INDEX('Per Invoice'!$C$2:$C$801,$N5)))</f>
        <v/>
      </c>
      <c r="D5">
        <f>IF($N5="","",IF(INDEX('Per Invoice'!$D$2:$D$801,$N5)="","",INDEX('Per Invoice'!$D$2:$D$801,$N5)))</f>
        <v/>
      </c>
      <c r="E5">
        <f>IF($N5="","",IF(INDEX('Per Invoice'!$E$2:$E$801,$N5)="","",INDEX('Per Invoice'!$E$2:$E$801,$N5)))</f>
        <v/>
      </c>
      <c r="F5">
        <f>IF($N5="","",IF(INDEX('Per Invoice'!$F$2:$F$801,$N5)="","",INDEX('Per Invoice'!$F$2:$F$801,$N5)))</f>
        <v/>
      </c>
      <c r="G5">
        <f>IF($N5="","",IF(INDEX('Per Invoice'!$G$2:$G$801,$N5)="","",INDEX('Per Invoice'!$G$2:$G$801,$N5)))</f>
        <v/>
      </c>
      <c r="H5">
        <f>IF($N5="","",IF(INDEX('Per Invoice'!$H$2:$H$801,$N5)="","",INDEX('Per Invoice'!$H$2:$H$801,$N5)))</f>
        <v/>
      </c>
      <c r="I5" s="5">
        <f>IF($N5="","",IF(INDEX('Per Invoice'!$I$2:$I$801,$N5)="","",INDEX('Per Invoice'!$I$2:$I$801,$N5)))</f>
        <v/>
      </c>
      <c r="J5" s="5">
        <f>IF($N5="","",IF(INDEX('Per Invoice'!$J$2:$J$801,$N5)="","",INDEX('Per Invoice'!$J$2:$J$801,$N5)))</f>
        <v/>
      </c>
      <c r="K5" s="5">
        <f>IF($N5="","",IF(INDEX('Per Invoice'!$K$2:$K$801,$N5)="","",INDEX('Per Invoice'!$K$2:$K$801,$N5)))</f>
        <v/>
      </c>
      <c r="L5" s="5">
        <f>IF($N5="","",IF(INDEX('Per Invoice'!$L$2:$L$801,$N5)="","",INDEX('Per Invoice'!$L$2:$L$801,$N5)))</f>
        <v/>
      </c>
      <c r="M5" s="5">
        <f>IF($N5="","",IF(INDEX('Per Invoice'!$M$2:$M$801,$N5)="","",INDEX('Per Invoice'!$M$2:$M$801,$N5)))</f>
        <v/>
      </c>
      <c r="N5">
        <f>IF(ROWS($N$2:$N5)&lt;=COUNT('Per Invoice'!$O$2:$O$801),MATCH(ROWS($N$2:$N5),'Per Invoice'!$O$2:$O$801,0),"")</f>
        <v/>
      </c>
    </row>
    <row r="6">
      <c r="A6">
        <f>IF($N6="","",IF(INDEX('Per Invoice'!$A$2:$A$801,$N6)="","",INDEX('Per Invoice'!$A$2:$A$801,$N6)))</f>
        <v/>
      </c>
      <c r="B6">
        <f>IF($N6="","",IF(INDEX('Per Invoice'!$B$2:$B$801,$N6)="","",INDEX('Per Invoice'!$B$2:$B$801,$N6)))</f>
        <v/>
      </c>
      <c r="C6">
        <f>IF($N6="","",IF(INDEX('Per Invoice'!$C$2:$C$801,$N6)="","",INDEX('Per Invoice'!$C$2:$C$801,$N6)))</f>
        <v/>
      </c>
      <c r="D6">
        <f>IF($N6="","",IF(INDEX('Per Invoice'!$D$2:$D$801,$N6)="","",INDEX('Per Invoice'!$D$2:$D$801,$N6)))</f>
        <v/>
      </c>
      <c r="E6">
        <f>IF($N6="","",IF(INDEX('Per Invoice'!$E$2:$E$801,$N6)="","",INDEX('Per Invoice'!$E$2:$E$801,$N6)))</f>
        <v/>
      </c>
      <c r="F6">
        <f>IF($N6="","",IF(INDEX('Per Invoice'!$F$2:$F$801,$N6)="","",INDEX('Per Invoice'!$F$2:$F$801,$N6)))</f>
        <v/>
      </c>
      <c r="G6">
        <f>IF($N6="","",IF(INDEX('Per Invoice'!$G$2:$G$801,$N6)="","",INDEX('Per Invoice'!$G$2:$G$801,$N6)))</f>
        <v/>
      </c>
      <c r="H6">
        <f>IF($N6="","",IF(INDEX('Per Invoice'!$H$2:$H$801,$N6)="","",INDEX('Per Invoice'!$H$2:$H$801,$N6)))</f>
        <v/>
      </c>
      <c r="I6" s="5">
        <f>IF($N6="","",IF(INDEX('Per Invoice'!$I$2:$I$801,$N6)="","",INDEX('Per Invoice'!$I$2:$I$801,$N6)))</f>
        <v/>
      </c>
      <c r="J6" s="5">
        <f>IF($N6="","",IF(INDEX('Per Invoice'!$J$2:$J$801,$N6)="","",INDEX('Per Invoice'!$J$2:$J$801,$N6)))</f>
        <v/>
      </c>
      <c r="K6" s="5">
        <f>IF($N6="","",IF(INDEX('Per Invoice'!$K$2:$K$801,$N6)="","",INDEX('Per Invoice'!$K$2:$K$801,$N6)))</f>
        <v/>
      </c>
      <c r="L6" s="5">
        <f>IF($N6="","",IF(INDEX('Per Invoice'!$L$2:$L$801,$N6)="","",INDEX('Per Invoice'!$L$2:$L$801,$N6)))</f>
        <v/>
      </c>
      <c r="M6" s="5">
        <f>IF($N6="","",IF(INDEX('Per Invoice'!$M$2:$M$801,$N6)="","",INDEX('Per Invoice'!$M$2:$M$801,$N6)))</f>
        <v/>
      </c>
      <c r="N6">
        <f>IF(ROWS($N$2:$N6)&lt;=COUNT('Per Invoice'!$O$2:$O$801),MATCH(ROWS($N$2:$N6),'Per Invoice'!$O$2:$O$801,0),"")</f>
        <v/>
      </c>
    </row>
    <row r="7">
      <c r="A7">
        <f>IF($N7="","",IF(INDEX('Per Invoice'!$A$2:$A$801,$N7)="","",INDEX('Per Invoice'!$A$2:$A$801,$N7)))</f>
        <v/>
      </c>
      <c r="B7">
        <f>IF($N7="","",IF(INDEX('Per Invoice'!$B$2:$B$801,$N7)="","",INDEX('Per Invoice'!$B$2:$B$801,$N7)))</f>
        <v/>
      </c>
      <c r="C7">
        <f>IF($N7="","",IF(INDEX('Per Invoice'!$C$2:$C$801,$N7)="","",INDEX('Per Invoice'!$C$2:$C$801,$N7)))</f>
        <v/>
      </c>
      <c r="D7">
        <f>IF($N7="","",IF(INDEX('Per Invoice'!$D$2:$D$801,$N7)="","",INDEX('Per Invoice'!$D$2:$D$801,$N7)))</f>
        <v/>
      </c>
      <c r="E7">
        <f>IF($N7="","",IF(INDEX('Per Invoice'!$E$2:$E$801,$N7)="","",INDEX('Per Invoice'!$E$2:$E$801,$N7)))</f>
        <v/>
      </c>
      <c r="F7">
        <f>IF($N7="","",IF(INDEX('Per Invoice'!$F$2:$F$801,$N7)="","",INDEX('Per Invoice'!$F$2:$F$801,$N7)))</f>
        <v/>
      </c>
      <c r="G7">
        <f>IF($N7="","",IF(INDEX('Per Invoice'!$G$2:$G$801,$N7)="","",INDEX('Per Invoice'!$G$2:$G$801,$N7)))</f>
        <v/>
      </c>
      <c r="H7">
        <f>IF($N7="","",IF(INDEX('Per Invoice'!$H$2:$H$801,$N7)="","",INDEX('Per Invoice'!$H$2:$H$801,$N7)))</f>
        <v/>
      </c>
      <c r="I7" s="5">
        <f>IF($N7="","",IF(INDEX('Per Invoice'!$I$2:$I$801,$N7)="","",INDEX('Per Invoice'!$I$2:$I$801,$N7)))</f>
        <v/>
      </c>
      <c r="J7" s="5">
        <f>IF($N7="","",IF(INDEX('Per Invoice'!$J$2:$J$801,$N7)="","",INDEX('Per Invoice'!$J$2:$J$801,$N7)))</f>
        <v/>
      </c>
      <c r="K7" s="5">
        <f>IF($N7="","",IF(INDEX('Per Invoice'!$K$2:$K$801,$N7)="","",INDEX('Per Invoice'!$K$2:$K$801,$N7)))</f>
        <v/>
      </c>
      <c r="L7" s="5">
        <f>IF($N7="","",IF(INDEX('Per Invoice'!$L$2:$L$801,$N7)="","",INDEX('Per Invoice'!$L$2:$L$801,$N7)))</f>
        <v/>
      </c>
      <c r="M7" s="5">
        <f>IF($N7="","",IF(INDEX('Per Invoice'!$M$2:$M$801,$N7)="","",INDEX('Per Invoice'!$M$2:$M$801,$N7)))</f>
        <v/>
      </c>
      <c r="N7">
        <f>IF(ROWS($N$2:$N7)&lt;=COUNT('Per Invoice'!$O$2:$O$801),MATCH(ROWS($N$2:$N7),'Per Invoice'!$O$2:$O$801,0),"")</f>
        <v/>
      </c>
    </row>
    <row r="8">
      <c r="A8">
        <f>IF($N8="","",IF(INDEX('Per Invoice'!$A$2:$A$801,$N8)="","",INDEX('Per Invoice'!$A$2:$A$801,$N8)))</f>
        <v/>
      </c>
      <c r="B8">
        <f>IF($N8="","",IF(INDEX('Per Invoice'!$B$2:$B$801,$N8)="","",INDEX('Per Invoice'!$B$2:$B$801,$N8)))</f>
        <v/>
      </c>
      <c r="C8">
        <f>IF($N8="","",IF(INDEX('Per Invoice'!$C$2:$C$801,$N8)="","",INDEX('Per Invoice'!$C$2:$C$801,$N8)))</f>
        <v/>
      </c>
      <c r="D8">
        <f>IF($N8="","",IF(INDEX('Per Invoice'!$D$2:$D$801,$N8)="","",INDEX('Per Invoice'!$D$2:$D$801,$N8)))</f>
        <v/>
      </c>
      <c r="E8">
        <f>IF($N8="","",IF(INDEX('Per Invoice'!$E$2:$E$801,$N8)="","",INDEX('Per Invoice'!$E$2:$E$801,$N8)))</f>
        <v/>
      </c>
      <c r="F8">
        <f>IF($N8="","",IF(INDEX('Per Invoice'!$F$2:$F$801,$N8)="","",INDEX('Per Invoice'!$F$2:$F$801,$N8)))</f>
        <v/>
      </c>
      <c r="G8">
        <f>IF($N8="","",IF(INDEX('Per Invoice'!$G$2:$G$801,$N8)="","",INDEX('Per Invoice'!$G$2:$G$801,$N8)))</f>
        <v/>
      </c>
      <c r="H8">
        <f>IF($N8="","",IF(INDEX('Per Invoice'!$H$2:$H$801,$N8)="","",INDEX('Per Invoice'!$H$2:$H$801,$N8)))</f>
        <v/>
      </c>
      <c r="I8" s="5">
        <f>IF($N8="","",IF(INDEX('Per Invoice'!$I$2:$I$801,$N8)="","",INDEX('Per Invoice'!$I$2:$I$801,$N8)))</f>
        <v/>
      </c>
      <c r="J8" s="5">
        <f>IF($N8="","",IF(INDEX('Per Invoice'!$J$2:$J$801,$N8)="","",INDEX('Per Invoice'!$J$2:$J$801,$N8)))</f>
        <v/>
      </c>
      <c r="K8" s="5">
        <f>IF($N8="","",IF(INDEX('Per Invoice'!$K$2:$K$801,$N8)="","",INDEX('Per Invoice'!$K$2:$K$801,$N8)))</f>
        <v/>
      </c>
      <c r="L8" s="5">
        <f>IF($N8="","",IF(INDEX('Per Invoice'!$L$2:$L$801,$N8)="","",INDEX('Per Invoice'!$L$2:$L$801,$N8)))</f>
        <v/>
      </c>
      <c r="M8" s="5">
        <f>IF($N8="","",IF(INDEX('Per Invoice'!$M$2:$M$801,$N8)="","",INDEX('Per Invoice'!$M$2:$M$801,$N8)))</f>
        <v/>
      </c>
      <c r="N8">
        <f>IF(ROWS($N$2:$N8)&lt;=COUNT('Per Invoice'!$O$2:$O$801),MATCH(ROWS($N$2:$N8),'Per Invoice'!$O$2:$O$801,0),"")</f>
        <v/>
      </c>
    </row>
    <row r="9">
      <c r="A9">
        <f>IF($N9="","",IF(INDEX('Per Invoice'!$A$2:$A$801,$N9)="","",INDEX('Per Invoice'!$A$2:$A$801,$N9)))</f>
        <v/>
      </c>
      <c r="B9">
        <f>IF($N9="","",IF(INDEX('Per Invoice'!$B$2:$B$801,$N9)="","",INDEX('Per Invoice'!$B$2:$B$801,$N9)))</f>
        <v/>
      </c>
      <c r="C9">
        <f>IF($N9="","",IF(INDEX('Per Invoice'!$C$2:$C$801,$N9)="","",INDEX('Per Invoice'!$C$2:$C$801,$N9)))</f>
        <v/>
      </c>
      <c r="D9">
        <f>IF($N9="","",IF(INDEX('Per Invoice'!$D$2:$D$801,$N9)="","",INDEX('Per Invoice'!$D$2:$D$801,$N9)))</f>
        <v/>
      </c>
      <c r="E9">
        <f>IF($N9="","",IF(INDEX('Per Invoice'!$E$2:$E$801,$N9)="","",INDEX('Per Invoice'!$E$2:$E$801,$N9)))</f>
        <v/>
      </c>
      <c r="F9">
        <f>IF($N9="","",IF(INDEX('Per Invoice'!$F$2:$F$801,$N9)="","",INDEX('Per Invoice'!$F$2:$F$801,$N9)))</f>
        <v/>
      </c>
      <c r="G9">
        <f>IF($N9="","",IF(INDEX('Per Invoice'!$G$2:$G$801,$N9)="","",INDEX('Per Invoice'!$G$2:$G$801,$N9)))</f>
        <v/>
      </c>
      <c r="H9">
        <f>IF($N9="","",IF(INDEX('Per Invoice'!$H$2:$H$801,$N9)="","",INDEX('Per Invoice'!$H$2:$H$801,$N9)))</f>
        <v/>
      </c>
      <c r="I9" s="5">
        <f>IF($N9="","",IF(INDEX('Per Invoice'!$I$2:$I$801,$N9)="","",INDEX('Per Invoice'!$I$2:$I$801,$N9)))</f>
        <v/>
      </c>
      <c r="J9" s="5">
        <f>IF($N9="","",IF(INDEX('Per Invoice'!$J$2:$J$801,$N9)="","",INDEX('Per Invoice'!$J$2:$J$801,$N9)))</f>
        <v/>
      </c>
      <c r="K9" s="5">
        <f>IF($N9="","",IF(INDEX('Per Invoice'!$K$2:$K$801,$N9)="","",INDEX('Per Invoice'!$K$2:$K$801,$N9)))</f>
        <v/>
      </c>
      <c r="L9" s="5">
        <f>IF($N9="","",IF(INDEX('Per Invoice'!$L$2:$L$801,$N9)="","",INDEX('Per Invoice'!$L$2:$L$801,$N9)))</f>
        <v/>
      </c>
      <c r="M9" s="5">
        <f>IF($N9="","",IF(INDEX('Per Invoice'!$M$2:$M$801,$N9)="","",INDEX('Per Invoice'!$M$2:$M$801,$N9)))</f>
        <v/>
      </c>
      <c r="N9">
        <f>IF(ROWS($N$2:$N9)&lt;=COUNT('Per Invoice'!$O$2:$O$801),MATCH(ROWS($N$2:$N9),'Per Invoice'!$O$2:$O$801,0),"")</f>
        <v/>
      </c>
    </row>
    <row r="10">
      <c r="A10">
        <f>IF($N10="","",IF(INDEX('Per Invoice'!$A$2:$A$801,$N10)="","",INDEX('Per Invoice'!$A$2:$A$801,$N10)))</f>
        <v/>
      </c>
      <c r="B10">
        <f>IF($N10="","",IF(INDEX('Per Invoice'!$B$2:$B$801,$N10)="","",INDEX('Per Invoice'!$B$2:$B$801,$N10)))</f>
        <v/>
      </c>
      <c r="C10">
        <f>IF($N10="","",IF(INDEX('Per Invoice'!$C$2:$C$801,$N10)="","",INDEX('Per Invoice'!$C$2:$C$801,$N10)))</f>
        <v/>
      </c>
      <c r="D10">
        <f>IF($N10="","",IF(INDEX('Per Invoice'!$D$2:$D$801,$N10)="","",INDEX('Per Invoice'!$D$2:$D$801,$N10)))</f>
        <v/>
      </c>
      <c r="E10">
        <f>IF($N10="","",IF(INDEX('Per Invoice'!$E$2:$E$801,$N10)="","",INDEX('Per Invoice'!$E$2:$E$801,$N10)))</f>
        <v/>
      </c>
      <c r="F10">
        <f>IF($N10="","",IF(INDEX('Per Invoice'!$F$2:$F$801,$N10)="","",INDEX('Per Invoice'!$F$2:$F$801,$N10)))</f>
        <v/>
      </c>
      <c r="G10">
        <f>IF($N10="","",IF(INDEX('Per Invoice'!$G$2:$G$801,$N10)="","",INDEX('Per Invoice'!$G$2:$G$801,$N10)))</f>
        <v/>
      </c>
      <c r="H10">
        <f>IF($N10="","",IF(INDEX('Per Invoice'!$H$2:$H$801,$N10)="","",INDEX('Per Invoice'!$H$2:$H$801,$N10)))</f>
        <v/>
      </c>
      <c r="I10" s="5">
        <f>IF($N10="","",IF(INDEX('Per Invoice'!$I$2:$I$801,$N10)="","",INDEX('Per Invoice'!$I$2:$I$801,$N10)))</f>
        <v/>
      </c>
      <c r="J10" s="5">
        <f>IF($N10="","",IF(INDEX('Per Invoice'!$J$2:$J$801,$N10)="","",INDEX('Per Invoice'!$J$2:$J$801,$N10)))</f>
        <v/>
      </c>
      <c r="K10" s="5">
        <f>IF($N10="","",IF(INDEX('Per Invoice'!$K$2:$K$801,$N10)="","",INDEX('Per Invoice'!$K$2:$K$801,$N10)))</f>
        <v/>
      </c>
      <c r="L10" s="5">
        <f>IF($N10="","",IF(INDEX('Per Invoice'!$L$2:$L$801,$N10)="","",INDEX('Per Invoice'!$L$2:$L$801,$N10)))</f>
        <v/>
      </c>
      <c r="M10" s="5">
        <f>IF($N10="","",IF(INDEX('Per Invoice'!$M$2:$M$801,$N10)="","",INDEX('Per Invoice'!$M$2:$M$801,$N10)))</f>
        <v/>
      </c>
      <c r="N10">
        <f>IF(ROWS($N$2:$N10)&lt;=COUNT('Per Invoice'!$O$2:$O$801),MATCH(ROWS($N$2:$N10),'Per Invoice'!$O$2:$O$801,0),"")</f>
        <v/>
      </c>
    </row>
    <row r="11">
      <c r="A11">
        <f>IF($N11="","",IF(INDEX('Per Invoice'!$A$2:$A$801,$N11)="","",INDEX('Per Invoice'!$A$2:$A$801,$N11)))</f>
        <v/>
      </c>
      <c r="B11">
        <f>IF($N11="","",IF(INDEX('Per Invoice'!$B$2:$B$801,$N11)="","",INDEX('Per Invoice'!$B$2:$B$801,$N11)))</f>
        <v/>
      </c>
      <c r="C11">
        <f>IF($N11="","",IF(INDEX('Per Invoice'!$C$2:$C$801,$N11)="","",INDEX('Per Invoice'!$C$2:$C$801,$N11)))</f>
        <v/>
      </c>
      <c r="D11">
        <f>IF($N11="","",IF(INDEX('Per Invoice'!$D$2:$D$801,$N11)="","",INDEX('Per Invoice'!$D$2:$D$801,$N11)))</f>
        <v/>
      </c>
      <c r="E11">
        <f>IF($N11="","",IF(INDEX('Per Invoice'!$E$2:$E$801,$N11)="","",INDEX('Per Invoice'!$E$2:$E$801,$N11)))</f>
        <v/>
      </c>
      <c r="F11">
        <f>IF($N11="","",IF(INDEX('Per Invoice'!$F$2:$F$801,$N11)="","",INDEX('Per Invoice'!$F$2:$F$801,$N11)))</f>
        <v/>
      </c>
      <c r="G11">
        <f>IF($N11="","",IF(INDEX('Per Invoice'!$G$2:$G$801,$N11)="","",INDEX('Per Invoice'!$G$2:$G$801,$N11)))</f>
        <v/>
      </c>
      <c r="H11">
        <f>IF($N11="","",IF(INDEX('Per Invoice'!$H$2:$H$801,$N11)="","",INDEX('Per Invoice'!$H$2:$H$801,$N11)))</f>
        <v/>
      </c>
      <c r="I11" s="5">
        <f>IF($N11="","",IF(INDEX('Per Invoice'!$I$2:$I$801,$N11)="","",INDEX('Per Invoice'!$I$2:$I$801,$N11)))</f>
        <v/>
      </c>
      <c r="J11" s="5">
        <f>IF($N11="","",IF(INDEX('Per Invoice'!$J$2:$J$801,$N11)="","",INDEX('Per Invoice'!$J$2:$J$801,$N11)))</f>
        <v/>
      </c>
      <c r="K11" s="5">
        <f>IF($N11="","",IF(INDEX('Per Invoice'!$K$2:$K$801,$N11)="","",INDEX('Per Invoice'!$K$2:$K$801,$N11)))</f>
        <v/>
      </c>
      <c r="L11" s="5">
        <f>IF($N11="","",IF(INDEX('Per Invoice'!$L$2:$L$801,$N11)="","",INDEX('Per Invoice'!$L$2:$L$801,$N11)))</f>
        <v/>
      </c>
      <c r="M11" s="5">
        <f>IF($N11="","",IF(INDEX('Per Invoice'!$M$2:$M$801,$N11)="","",INDEX('Per Invoice'!$M$2:$M$801,$N11)))</f>
        <v/>
      </c>
      <c r="N11">
        <f>IF(ROWS($N$2:$N11)&lt;=COUNT('Per Invoice'!$O$2:$O$801),MATCH(ROWS($N$2:$N11),'Per Invoice'!$O$2:$O$801,0),"")</f>
        <v/>
      </c>
    </row>
    <row r="12">
      <c r="A12">
        <f>IF($N12="","",IF(INDEX('Per Invoice'!$A$2:$A$801,$N12)="","",INDEX('Per Invoice'!$A$2:$A$801,$N12)))</f>
        <v/>
      </c>
      <c r="B12">
        <f>IF($N12="","",IF(INDEX('Per Invoice'!$B$2:$B$801,$N12)="","",INDEX('Per Invoice'!$B$2:$B$801,$N12)))</f>
        <v/>
      </c>
      <c r="C12">
        <f>IF($N12="","",IF(INDEX('Per Invoice'!$C$2:$C$801,$N12)="","",INDEX('Per Invoice'!$C$2:$C$801,$N12)))</f>
        <v/>
      </c>
      <c r="D12">
        <f>IF($N12="","",IF(INDEX('Per Invoice'!$D$2:$D$801,$N12)="","",INDEX('Per Invoice'!$D$2:$D$801,$N12)))</f>
        <v/>
      </c>
      <c r="E12">
        <f>IF($N12="","",IF(INDEX('Per Invoice'!$E$2:$E$801,$N12)="","",INDEX('Per Invoice'!$E$2:$E$801,$N12)))</f>
        <v/>
      </c>
      <c r="F12">
        <f>IF($N12="","",IF(INDEX('Per Invoice'!$F$2:$F$801,$N12)="","",INDEX('Per Invoice'!$F$2:$F$801,$N12)))</f>
        <v/>
      </c>
      <c r="G12">
        <f>IF($N12="","",IF(INDEX('Per Invoice'!$G$2:$G$801,$N12)="","",INDEX('Per Invoice'!$G$2:$G$801,$N12)))</f>
        <v/>
      </c>
      <c r="H12">
        <f>IF($N12="","",IF(INDEX('Per Invoice'!$H$2:$H$801,$N12)="","",INDEX('Per Invoice'!$H$2:$H$801,$N12)))</f>
        <v/>
      </c>
      <c r="I12" s="5">
        <f>IF($N12="","",IF(INDEX('Per Invoice'!$I$2:$I$801,$N12)="","",INDEX('Per Invoice'!$I$2:$I$801,$N12)))</f>
        <v/>
      </c>
      <c r="J12" s="5">
        <f>IF($N12="","",IF(INDEX('Per Invoice'!$J$2:$J$801,$N12)="","",INDEX('Per Invoice'!$J$2:$J$801,$N12)))</f>
        <v/>
      </c>
      <c r="K12" s="5">
        <f>IF($N12="","",IF(INDEX('Per Invoice'!$K$2:$K$801,$N12)="","",INDEX('Per Invoice'!$K$2:$K$801,$N12)))</f>
        <v/>
      </c>
      <c r="L12" s="5">
        <f>IF($N12="","",IF(INDEX('Per Invoice'!$L$2:$L$801,$N12)="","",INDEX('Per Invoice'!$L$2:$L$801,$N12)))</f>
        <v/>
      </c>
      <c r="M12" s="5">
        <f>IF($N12="","",IF(INDEX('Per Invoice'!$M$2:$M$801,$N12)="","",INDEX('Per Invoice'!$M$2:$M$801,$N12)))</f>
        <v/>
      </c>
      <c r="N12">
        <f>IF(ROWS($N$2:$N12)&lt;=COUNT('Per Invoice'!$O$2:$O$801),MATCH(ROWS($N$2:$N12),'Per Invoice'!$O$2:$O$801,0),"")</f>
        <v/>
      </c>
    </row>
    <row r="13">
      <c r="A13">
        <f>IF($N13="","",IF(INDEX('Per Invoice'!$A$2:$A$801,$N13)="","",INDEX('Per Invoice'!$A$2:$A$801,$N13)))</f>
        <v/>
      </c>
      <c r="B13">
        <f>IF($N13="","",IF(INDEX('Per Invoice'!$B$2:$B$801,$N13)="","",INDEX('Per Invoice'!$B$2:$B$801,$N13)))</f>
        <v/>
      </c>
      <c r="C13">
        <f>IF($N13="","",IF(INDEX('Per Invoice'!$C$2:$C$801,$N13)="","",INDEX('Per Invoice'!$C$2:$C$801,$N13)))</f>
        <v/>
      </c>
      <c r="D13">
        <f>IF($N13="","",IF(INDEX('Per Invoice'!$D$2:$D$801,$N13)="","",INDEX('Per Invoice'!$D$2:$D$801,$N13)))</f>
        <v/>
      </c>
      <c r="E13">
        <f>IF($N13="","",IF(INDEX('Per Invoice'!$E$2:$E$801,$N13)="","",INDEX('Per Invoice'!$E$2:$E$801,$N13)))</f>
        <v/>
      </c>
      <c r="F13">
        <f>IF($N13="","",IF(INDEX('Per Invoice'!$F$2:$F$801,$N13)="","",INDEX('Per Invoice'!$F$2:$F$801,$N13)))</f>
        <v/>
      </c>
      <c r="G13">
        <f>IF($N13="","",IF(INDEX('Per Invoice'!$G$2:$G$801,$N13)="","",INDEX('Per Invoice'!$G$2:$G$801,$N13)))</f>
        <v/>
      </c>
      <c r="H13">
        <f>IF($N13="","",IF(INDEX('Per Invoice'!$H$2:$H$801,$N13)="","",INDEX('Per Invoice'!$H$2:$H$801,$N13)))</f>
        <v/>
      </c>
      <c r="I13" s="5">
        <f>IF($N13="","",IF(INDEX('Per Invoice'!$I$2:$I$801,$N13)="","",INDEX('Per Invoice'!$I$2:$I$801,$N13)))</f>
        <v/>
      </c>
      <c r="J13" s="5">
        <f>IF($N13="","",IF(INDEX('Per Invoice'!$J$2:$J$801,$N13)="","",INDEX('Per Invoice'!$J$2:$J$801,$N13)))</f>
        <v/>
      </c>
      <c r="K13" s="5">
        <f>IF($N13="","",IF(INDEX('Per Invoice'!$K$2:$K$801,$N13)="","",INDEX('Per Invoice'!$K$2:$K$801,$N13)))</f>
        <v/>
      </c>
      <c r="L13" s="5">
        <f>IF($N13="","",IF(INDEX('Per Invoice'!$L$2:$L$801,$N13)="","",INDEX('Per Invoice'!$L$2:$L$801,$N13)))</f>
        <v/>
      </c>
      <c r="M13" s="5">
        <f>IF($N13="","",IF(INDEX('Per Invoice'!$M$2:$M$801,$N13)="","",INDEX('Per Invoice'!$M$2:$M$801,$N13)))</f>
        <v/>
      </c>
      <c r="N13">
        <f>IF(ROWS($N$2:$N13)&lt;=COUNT('Per Invoice'!$O$2:$O$801),MATCH(ROWS($N$2:$N13),'Per Invoice'!$O$2:$O$801,0),"")</f>
        <v/>
      </c>
    </row>
    <row r="14">
      <c r="A14">
        <f>IF($N14="","",IF(INDEX('Per Invoice'!$A$2:$A$801,$N14)="","",INDEX('Per Invoice'!$A$2:$A$801,$N14)))</f>
        <v/>
      </c>
      <c r="B14">
        <f>IF($N14="","",IF(INDEX('Per Invoice'!$B$2:$B$801,$N14)="","",INDEX('Per Invoice'!$B$2:$B$801,$N14)))</f>
        <v/>
      </c>
      <c r="C14">
        <f>IF($N14="","",IF(INDEX('Per Invoice'!$C$2:$C$801,$N14)="","",INDEX('Per Invoice'!$C$2:$C$801,$N14)))</f>
        <v/>
      </c>
      <c r="D14">
        <f>IF($N14="","",IF(INDEX('Per Invoice'!$D$2:$D$801,$N14)="","",INDEX('Per Invoice'!$D$2:$D$801,$N14)))</f>
        <v/>
      </c>
      <c r="E14">
        <f>IF($N14="","",IF(INDEX('Per Invoice'!$E$2:$E$801,$N14)="","",INDEX('Per Invoice'!$E$2:$E$801,$N14)))</f>
        <v/>
      </c>
      <c r="F14">
        <f>IF($N14="","",IF(INDEX('Per Invoice'!$F$2:$F$801,$N14)="","",INDEX('Per Invoice'!$F$2:$F$801,$N14)))</f>
        <v/>
      </c>
      <c r="G14">
        <f>IF($N14="","",IF(INDEX('Per Invoice'!$G$2:$G$801,$N14)="","",INDEX('Per Invoice'!$G$2:$G$801,$N14)))</f>
        <v/>
      </c>
      <c r="H14">
        <f>IF($N14="","",IF(INDEX('Per Invoice'!$H$2:$H$801,$N14)="","",INDEX('Per Invoice'!$H$2:$H$801,$N14)))</f>
        <v/>
      </c>
      <c r="I14" s="5">
        <f>IF($N14="","",IF(INDEX('Per Invoice'!$I$2:$I$801,$N14)="","",INDEX('Per Invoice'!$I$2:$I$801,$N14)))</f>
        <v/>
      </c>
      <c r="J14" s="5">
        <f>IF($N14="","",IF(INDEX('Per Invoice'!$J$2:$J$801,$N14)="","",INDEX('Per Invoice'!$J$2:$J$801,$N14)))</f>
        <v/>
      </c>
      <c r="K14" s="5">
        <f>IF($N14="","",IF(INDEX('Per Invoice'!$K$2:$K$801,$N14)="","",INDEX('Per Invoice'!$K$2:$K$801,$N14)))</f>
        <v/>
      </c>
      <c r="L14" s="5">
        <f>IF($N14="","",IF(INDEX('Per Invoice'!$L$2:$L$801,$N14)="","",INDEX('Per Invoice'!$L$2:$L$801,$N14)))</f>
        <v/>
      </c>
      <c r="M14" s="5">
        <f>IF($N14="","",IF(INDEX('Per Invoice'!$M$2:$M$801,$N14)="","",INDEX('Per Invoice'!$M$2:$M$801,$N14)))</f>
        <v/>
      </c>
      <c r="N14">
        <f>IF(ROWS($N$2:$N14)&lt;=COUNT('Per Invoice'!$O$2:$O$801),MATCH(ROWS($N$2:$N14),'Per Invoice'!$O$2:$O$801,0),"")</f>
        <v/>
      </c>
    </row>
    <row r="15">
      <c r="A15">
        <f>IF($N15="","",IF(INDEX('Per Invoice'!$A$2:$A$801,$N15)="","",INDEX('Per Invoice'!$A$2:$A$801,$N15)))</f>
        <v/>
      </c>
      <c r="B15">
        <f>IF($N15="","",IF(INDEX('Per Invoice'!$B$2:$B$801,$N15)="","",INDEX('Per Invoice'!$B$2:$B$801,$N15)))</f>
        <v/>
      </c>
      <c r="C15">
        <f>IF($N15="","",IF(INDEX('Per Invoice'!$C$2:$C$801,$N15)="","",INDEX('Per Invoice'!$C$2:$C$801,$N15)))</f>
        <v/>
      </c>
      <c r="D15">
        <f>IF($N15="","",IF(INDEX('Per Invoice'!$D$2:$D$801,$N15)="","",INDEX('Per Invoice'!$D$2:$D$801,$N15)))</f>
        <v/>
      </c>
      <c r="E15">
        <f>IF($N15="","",IF(INDEX('Per Invoice'!$E$2:$E$801,$N15)="","",INDEX('Per Invoice'!$E$2:$E$801,$N15)))</f>
        <v/>
      </c>
      <c r="F15">
        <f>IF($N15="","",IF(INDEX('Per Invoice'!$F$2:$F$801,$N15)="","",INDEX('Per Invoice'!$F$2:$F$801,$N15)))</f>
        <v/>
      </c>
      <c r="G15">
        <f>IF($N15="","",IF(INDEX('Per Invoice'!$G$2:$G$801,$N15)="","",INDEX('Per Invoice'!$G$2:$G$801,$N15)))</f>
        <v/>
      </c>
      <c r="H15">
        <f>IF($N15="","",IF(INDEX('Per Invoice'!$H$2:$H$801,$N15)="","",INDEX('Per Invoice'!$H$2:$H$801,$N15)))</f>
        <v/>
      </c>
      <c r="I15" s="5">
        <f>IF($N15="","",IF(INDEX('Per Invoice'!$I$2:$I$801,$N15)="","",INDEX('Per Invoice'!$I$2:$I$801,$N15)))</f>
        <v/>
      </c>
      <c r="J15" s="5">
        <f>IF($N15="","",IF(INDEX('Per Invoice'!$J$2:$J$801,$N15)="","",INDEX('Per Invoice'!$J$2:$J$801,$N15)))</f>
        <v/>
      </c>
      <c r="K15" s="5">
        <f>IF($N15="","",IF(INDEX('Per Invoice'!$K$2:$K$801,$N15)="","",INDEX('Per Invoice'!$K$2:$K$801,$N15)))</f>
        <v/>
      </c>
      <c r="L15" s="5">
        <f>IF($N15="","",IF(INDEX('Per Invoice'!$L$2:$L$801,$N15)="","",INDEX('Per Invoice'!$L$2:$L$801,$N15)))</f>
        <v/>
      </c>
      <c r="M15" s="5">
        <f>IF($N15="","",IF(INDEX('Per Invoice'!$M$2:$M$801,$N15)="","",INDEX('Per Invoice'!$M$2:$M$801,$N15)))</f>
        <v/>
      </c>
      <c r="N15">
        <f>IF(ROWS($N$2:$N15)&lt;=COUNT('Per Invoice'!$O$2:$O$801),MATCH(ROWS($N$2:$N15),'Per Invoice'!$O$2:$O$801,0),"")</f>
        <v/>
      </c>
    </row>
    <row r="16">
      <c r="A16">
        <f>IF($N16="","",IF(INDEX('Per Invoice'!$A$2:$A$801,$N16)="","",INDEX('Per Invoice'!$A$2:$A$801,$N16)))</f>
        <v/>
      </c>
      <c r="B16">
        <f>IF($N16="","",IF(INDEX('Per Invoice'!$B$2:$B$801,$N16)="","",INDEX('Per Invoice'!$B$2:$B$801,$N16)))</f>
        <v/>
      </c>
      <c r="C16">
        <f>IF($N16="","",IF(INDEX('Per Invoice'!$C$2:$C$801,$N16)="","",INDEX('Per Invoice'!$C$2:$C$801,$N16)))</f>
        <v/>
      </c>
      <c r="D16">
        <f>IF($N16="","",IF(INDEX('Per Invoice'!$D$2:$D$801,$N16)="","",INDEX('Per Invoice'!$D$2:$D$801,$N16)))</f>
        <v/>
      </c>
      <c r="E16">
        <f>IF($N16="","",IF(INDEX('Per Invoice'!$E$2:$E$801,$N16)="","",INDEX('Per Invoice'!$E$2:$E$801,$N16)))</f>
        <v/>
      </c>
      <c r="F16">
        <f>IF($N16="","",IF(INDEX('Per Invoice'!$F$2:$F$801,$N16)="","",INDEX('Per Invoice'!$F$2:$F$801,$N16)))</f>
        <v/>
      </c>
      <c r="G16">
        <f>IF($N16="","",IF(INDEX('Per Invoice'!$G$2:$G$801,$N16)="","",INDEX('Per Invoice'!$G$2:$G$801,$N16)))</f>
        <v/>
      </c>
      <c r="H16">
        <f>IF($N16="","",IF(INDEX('Per Invoice'!$H$2:$H$801,$N16)="","",INDEX('Per Invoice'!$H$2:$H$801,$N16)))</f>
        <v/>
      </c>
      <c r="I16" s="5">
        <f>IF($N16="","",IF(INDEX('Per Invoice'!$I$2:$I$801,$N16)="","",INDEX('Per Invoice'!$I$2:$I$801,$N16)))</f>
        <v/>
      </c>
      <c r="J16" s="5">
        <f>IF($N16="","",IF(INDEX('Per Invoice'!$J$2:$J$801,$N16)="","",INDEX('Per Invoice'!$J$2:$J$801,$N16)))</f>
        <v/>
      </c>
      <c r="K16" s="5">
        <f>IF($N16="","",IF(INDEX('Per Invoice'!$K$2:$K$801,$N16)="","",INDEX('Per Invoice'!$K$2:$K$801,$N16)))</f>
        <v/>
      </c>
      <c r="L16" s="5">
        <f>IF($N16="","",IF(INDEX('Per Invoice'!$L$2:$L$801,$N16)="","",INDEX('Per Invoice'!$L$2:$L$801,$N16)))</f>
        <v/>
      </c>
      <c r="M16" s="5">
        <f>IF($N16="","",IF(INDEX('Per Invoice'!$M$2:$M$801,$N16)="","",INDEX('Per Invoice'!$M$2:$M$801,$N16)))</f>
        <v/>
      </c>
      <c r="N16">
        <f>IF(ROWS($N$2:$N16)&lt;=COUNT('Per Invoice'!$O$2:$O$801),MATCH(ROWS($N$2:$N16),'Per Invoice'!$O$2:$O$801,0),"")</f>
        <v/>
      </c>
    </row>
    <row r="17">
      <c r="A17">
        <f>IF($N17="","",IF(INDEX('Per Invoice'!$A$2:$A$801,$N17)="","",INDEX('Per Invoice'!$A$2:$A$801,$N17)))</f>
        <v/>
      </c>
      <c r="B17">
        <f>IF($N17="","",IF(INDEX('Per Invoice'!$B$2:$B$801,$N17)="","",INDEX('Per Invoice'!$B$2:$B$801,$N17)))</f>
        <v/>
      </c>
      <c r="C17">
        <f>IF($N17="","",IF(INDEX('Per Invoice'!$C$2:$C$801,$N17)="","",INDEX('Per Invoice'!$C$2:$C$801,$N17)))</f>
        <v/>
      </c>
      <c r="D17">
        <f>IF($N17="","",IF(INDEX('Per Invoice'!$D$2:$D$801,$N17)="","",INDEX('Per Invoice'!$D$2:$D$801,$N17)))</f>
        <v/>
      </c>
      <c r="E17">
        <f>IF($N17="","",IF(INDEX('Per Invoice'!$E$2:$E$801,$N17)="","",INDEX('Per Invoice'!$E$2:$E$801,$N17)))</f>
        <v/>
      </c>
      <c r="F17">
        <f>IF($N17="","",IF(INDEX('Per Invoice'!$F$2:$F$801,$N17)="","",INDEX('Per Invoice'!$F$2:$F$801,$N17)))</f>
        <v/>
      </c>
      <c r="G17">
        <f>IF($N17="","",IF(INDEX('Per Invoice'!$G$2:$G$801,$N17)="","",INDEX('Per Invoice'!$G$2:$G$801,$N17)))</f>
        <v/>
      </c>
      <c r="H17">
        <f>IF($N17="","",IF(INDEX('Per Invoice'!$H$2:$H$801,$N17)="","",INDEX('Per Invoice'!$H$2:$H$801,$N17)))</f>
        <v/>
      </c>
      <c r="I17" s="5">
        <f>IF($N17="","",IF(INDEX('Per Invoice'!$I$2:$I$801,$N17)="","",INDEX('Per Invoice'!$I$2:$I$801,$N17)))</f>
        <v/>
      </c>
      <c r="J17" s="5">
        <f>IF($N17="","",IF(INDEX('Per Invoice'!$J$2:$J$801,$N17)="","",INDEX('Per Invoice'!$J$2:$J$801,$N17)))</f>
        <v/>
      </c>
      <c r="K17" s="5">
        <f>IF($N17="","",IF(INDEX('Per Invoice'!$K$2:$K$801,$N17)="","",INDEX('Per Invoice'!$K$2:$K$801,$N17)))</f>
        <v/>
      </c>
      <c r="L17" s="5">
        <f>IF($N17="","",IF(INDEX('Per Invoice'!$L$2:$L$801,$N17)="","",INDEX('Per Invoice'!$L$2:$L$801,$N17)))</f>
        <v/>
      </c>
      <c r="M17" s="5">
        <f>IF($N17="","",IF(INDEX('Per Invoice'!$M$2:$M$801,$N17)="","",INDEX('Per Invoice'!$M$2:$M$801,$N17)))</f>
        <v/>
      </c>
      <c r="N17">
        <f>IF(ROWS($N$2:$N17)&lt;=COUNT('Per Invoice'!$O$2:$O$801),MATCH(ROWS($N$2:$N17),'Per Invoice'!$O$2:$O$801,0),"")</f>
        <v/>
      </c>
    </row>
    <row r="18">
      <c r="A18">
        <f>IF($N18="","",IF(INDEX('Per Invoice'!$A$2:$A$801,$N18)="","",INDEX('Per Invoice'!$A$2:$A$801,$N18)))</f>
        <v/>
      </c>
      <c r="B18">
        <f>IF($N18="","",IF(INDEX('Per Invoice'!$B$2:$B$801,$N18)="","",INDEX('Per Invoice'!$B$2:$B$801,$N18)))</f>
        <v/>
      </c>
      <c r="C18">
        <f>IF($N18="","",IF(INDEX('Per Invoice'!$C$2:$C$801,$N18)="","",INDEX('Per Invoice'!$C$2:$C$801,$N18)))</f>
        <v/>
      </c>
      <c r="D18">
        <f>IF($N18="","",IF(INDEX('Per Invoice'!$D$2:$D$801,$N18)="","",INDEX('Per Invoice'!$D$2:$D$801,$N18)))</f>
        <v/>
      </c>
      <c r="E18">
        <f>IF($N18="","",IF(INDEX('Per Invoice'!$E$2:$E$801,$N18)="","",INDEX('Per Invoice'!$E$2:$E$801,$N18)))</f>
        <v/>
      </c>
      <c r="F18">
        <f>IF($N18="","",IF(INDEX('Per Invoice'!$F$2:$F$801,$N18)="","",INDEX('Per Invoice'!$F$2:$F$801,$N18)))</f>
        <v/>
      </c>
      <c r="G18">
        <f>IF($N18="","",IF(INDEX('Per Invoice'!$G$2:$G$801,$N18)="","",INDEX('Per Invoice'!$G$2:$G$801,$N18)))</f>
        <v/>
      </c>
      <c r="H18">
        <f>IF($N18="","",IF(INDEX('Per Invoice'!$H$2:$H$801,$N18)="","",INDEX('Per Invoice'!$H$2:$H$801,$N18)))</f>
        <v/>
      </c>
      <c r="I18" s="5">
        <f>IF($N18="","",IF(INDEX('Per Invoice'!$I$2:$I$801,$N18)="","",INDEX('Per Invoice'!$I$2:$I$801,$N18)))</f>
        <v/>
      </c>
      <c r="J18" s="5">
        <f>IF($N18="","",IF(INDEX('Per Invoice'!$J$2:$J$801,$N18)="","",INDEX('Per Invoice'!$J$2:$J$801,$N18)))</f>
        <v/>
      </c>
      <c r="K18" s="5">
        <f>IF($N18="","",IF(INDEX('Per Invoice'!$K$2:$K$801,$N18)="","",INDEX('Per Invoice'!$K$2:$K$801,$N18)))</f>
        <v/>
      </c>
      <c r="L18" s="5">
        <f>IF($N18="","",IF(INDEX('Per Invoice'!$L$2:$L$801,$N18)="","",INDEX('Per Invoice'!$L$2:$L$801,$N18)))</f>
        <v/>
      </c>
      <c r="M18" s="5">
        <f>IF($N18="","",IF(INDEX('Per Invoice'!$M$2:$M$801,$N18)="","",INDEX('Per Invoice'!$M$2:$M$801,$N18)))</f>
        <v/>
      </c>
      <c r="N18">
        <f>IF(ROWS($N$2:$N18)&lt;=COUNT('Per Invoice'!$O$2:$O$801),MATCH(ROWS($N$2:$N18),'Per Invoice'!$O$2:$O$801,0),"")</f>
        <v/>
      </c>
    </row>
    <row r="19">
      <c r="A19">
        <f>IF($N19="","",IF(INDEX('Per Invoice'!$A$2:$A$801,$N19)="","",INDEX('Per Invoice'!$A$2:$A$801,$N19)))</f>
        <v/>
      </c>
      <c r="B19">
        <f>IF($N19="","",IF(INDEX('Per Invoice'!$B$2:$B$801,$N19)="","",INDEX('Per Invoice'!$B$2:$B$801,$N19)))</f>
        <v/>
      </c>
      <c r="C19">
        <f>IF($N19="","",IF(INDEX('Per Invoice'!$C$2:$C$801,$N19)="","",INDEX('Per Invoice'!$C$2:$C$801,$N19)))</f>
        <v/>
      </c>
      <c r="D19">
        <f>IF($N19="","",IF(INDEX('Per Invoice'!$D$2:$D$801,$N19)="","",INDEX('Per Invoice'!$D$2:$D$801,$N19)))</f>
        <v/>
      </c>
      <c r="E19">
        <f>IF($N19="","",IF(INDEX('Per Invoice'!$E$2:$E$801,$N19)="","",INDEX('Per Invoice'!$E$2:$E$801,$N19)))</f>
        <v/>
      </c>
      <c r="F19">
        <f>IF($N19="","",IF(INDEX('Per Invoice'!$F$2:$F$801,$N19)="","",INDEX('Per Invoice'!$F$2:$F$801,$N19)))</f>
        <v/>
      </c>
      <c r="G19">
        <f>IF($N19="","",IF(INDEX('Per Invoice'!$G$2:$G$801,$N19)="","",INDEX('Per Invoice'!$G$2:$G$801,$N19)))</f>
        <v/>
      </c>
      <c r="H19">
        <f>IF($N19="","",IF(INDEX('Per Invoice'!$H$2:$H$801,$N19)="","",INDEX('Per Invoice'!$H$2:$H$801,$N19)))</f>
        <v/>
      </c>
      <c r="I19" s="5">
        <f>IF($N19="","",IF(INDEX('Per Invoice'!$I$2:$I$801,$N19)="","",INDEX('Per Invoice'!$I$2:$I$801,$N19)))</f>
        <v/>
      </c>
      <c r="J19" s="5">
        <f>IF($N19="","",IF(INDEX('Per Invoice'!$J$2:$J$801,$N19)="","",INDEX('Per Invoice'!$J$2:$J$801,$N19)))</f>
        <v/>
      </c>
      <c r="K19" s="5">
        <f>IF($N19="","",IF(INDEX('Per Invoice'!$K$2:$K$801,$N19)="","",INDEX('Per Invoice'!$K$2:$K$801,$N19)))</f>
        <v/>
      </c>
      <c r="L19" s="5">
        <f>IF($N19="","",IF(INDEX('Per Invoice'!$L$2:$L$801,$N19)="","",INDEX('Per Invoice'!$L$2:$L$801,$N19)))</f>
        <v/>
      </c>
      <c r="M19" s="5">
        <f>IF($N19="","",IF(INDEX('Per Invoice'!$M$2:$M$801,$N19)="","",INDEX('Per Invoice'!$M$2:$M$801,$N19)))</f>
        <v/>
      </c>
      <c r="N19">
        <f>IF(ROWS($N$2:$N19)&lt;=COUNT('Per Invoice'!$O$2:$O$801),MATCH(ROWS($N$2:$N19),'Per Invoice'!$O$2:$O$801,0),"")</f>
        <v/>
      </c>
    </row>
    <row r="20">
      <c r="A20">
        <f>IF($N20="","",IF(INDEX('Per Invoice'!$A$2:$A$801,$N20)="","",INDEX('Per Invoice'!$A$2:$A$801,$N20)))</f>
        <v/>
      </c>
      <c r="B20">
        <f>IF($N20="","",IF(INDEX('Per Invoice'!$B$2:$B$801,$N20)="","",INDEX('Per Invoice'!$B$2:$B$801,$N20)))</f>
        <v/>
      </c>
      <c r="C20">
        <f>IF($N20="","",IF(INDEX('Per Invoice'!$C$2:$C$801,$N20)="","",INDEX('Per Invoice'!$C$2:$C$801,$N20)))</f>
        <v/>
      </c>
      <c r="D20">
        <f>IF($N20="","",IF(INDEX('Per Invoice'!$D$2:$D$801,$N20)="","",INDEX('Per Invoice'!$D$2:$D$801,$N20)))</f>
        <v/>
      </c>
      <c r="E20">
        <f>IF($N20="","",IF(INDEX('Per Invoice'!$E$2:$E$801,$N20)="","",INDEX('Per Invoice'!$E$2:$E$801,$N20)))</f>
        <v/>
      </c>
      <c r="F20">
        <f>IF($N20="","",IF(INDEX('Per Invoice'!$F$2:$F$801,$N20)="","",INDEX('Per Invoice'!$F$2:$F$801,$N20)))</f>
        <v/>
      </c>
      <c r="G20">
        <f>IF($N20="","",IF(INDEX('Per Invoice'!$G$2:$G$801,$N20)="","",INDEX('Per Invoice'!$G$2:$G$801,$N20)))</f>
        <v/>
      </c>
      <c r="H20">
        <f>IF($N20="","",IF(INDEX('Per Invoice'!$H$2:$H$801,$N20)="","",INDEX('Per Invoice'!$H$2:$H$801,$N20)))</f>
        <v/>
      </c>
      <c r="I20" s="5">
        <f>IF($N20="","",IF(INDEX('Per Invoice'!$I$2:$I$801,$N20)="","",INDEX('Per Invoice'!$I$2:$I$801,$N20)))</f>
        <v/>
      </c>
      <c r="J20" s="5">
        <f>IF($N20="","",IF(INDEX('Per Invoice'!$J$2:$J$801,$N20)="","",INDEX('Per Invoice'!$J$2:$J$801,$N20)))</f>
        <v/>
      </c>
      <c r="K20" s="5">
        <f>IF($N20="","",IF(INDEX('Per Invoice'!$K$2:$K$801,$N20)="","",INDEX('Per Invoice'!$K$2:$K$801,$N20)))</f>
        <v/>
      </c>
      <c r="L20" s="5">
        <f>IF($N20="","",IF(INDEX('Per Invoice'!$L$2:$L$801,$N20)="","",INDEX('Per Invoice'!$L$2:$L$801,$N20)))</f>
        <v/>
      </c>
      <c r="M20" s="5">
        <f>IF($N20="","",IF(INDEX('Per Invoice'!$M$2:$M$801,$N20)="","",INDEX('Per Invoice'!$M$2:$M$801,$N20)))</f>
        <v/>
      </c>
      <c r="N20">
        <f>IF(ROWS($N$2:$N20)&lt;=COUNT('Per Invoice'!$O$2:$O$801),MATCH(ROWS($N$2:$N20),'Per Invoice'!$O$2:$O$801,0),"")</f>
        <v/>
      </c>
    </row>
    <row r="21">
      <c r="A21">
        <f>IF($N21="","",IF(INDEX('Per Invoice'!$A$2:$A$801,$N21)="","",INDEX('Per Invoice'!$A$2:$A$801,$N21)))</f>
        <v/>
      </c>
      <c r="B21">
        <f>IF($N21="","",IF(INDEX('Per Invoice'!$B$2:$B$801,$N21)="","",INDEX('Per Invoice'!$B$2:$B$801,$N21)))</f>
        <v/>
      </c>
      <c r="C21">
        <f>IF($N21="","",IF(INDEX('Per Invoice'!$C$2:$C$801,$N21)="","",INDEX('Per Invoice'!$C$2:$C$801,$N21)))</f>
        <v/>
      </c>
      <c r="D21">
        <f>IF($N21="","",IF(INDEX('Per Invoice'!$D$2:$D$801,$N21)="","",INDEX('Per Invoice'!$D$2:$D$801,$N21)))</f>
        <v/>
      </c>
      <c r="E21">
        <f>IF($N21="","",IF(INDEX('Per Invoice'!$E$2:$E$801,$N21)="","",INDEX('Per Invoice'!$E$2:$E$801,$N21)))</f>
        <v/>
      </c>
      <c r="F21">
        <f>IF($N21="","",IF(INDEX('Per Invoice'!$F$2:$F$801,$N21)="","",INDEX('Per Invoice'!$F$2:$F$801,$N21)))</f>
        <v/>
      </c>
      <c r="G21">
        <f>IF($N21="","",IF(INDEX('Per Invoice'!$G$2:$G$801,$N21)="","",INDEX('Per Invoice'!$G$2:$G$801,$N21)))</f>
        <v/>
      </c>
      <c r="H21">
        <f>IF($N21="","",IF(INDEX('Per Invoice'!$H$2:$H$801,$N21)="","",INDEX('Per Invoice'!$H$2:$H$801,$N21)))</f>
        <v/>
      </c>
      <c r="I21" s="5">
        <f>IF($N21="","",IF(INDEX('Per Invoice'!$I$2:$I$801,$N21)="","",INDEX('Per Invoice'!$I$2:$I$801,$N21)))</f>
        <v/>
      </c>
      <c r="J21" s="5">
        <f>IF($N21="","",IF(INDEX('Per Invoice'!$J$2:$J$801,$N21)="","",INDEX('Per Invoice'!$J$2:$J$801,$N21)))</f>
        <v/>
      </c>
      <c r="K21" s="5">
        <f>IF($N21="","",IF(INDEX('Per Invoice'!$K$2:$K$801,$N21)="","",INDEX('Per Invoice'!$K$2:$K$801,$N21)))</f>
        <v/>
      </c>
      <c r="L21" s="5">
        <f>IF($N21="","",IF(INDEX('Per Invoice'!$L$2:$L$801,$N21)="","",INDEX('Per Invoice'!$L$2:$L$801,$N21)))</f>
        <v/>
      </c>
      <c r="M21" s="5">
        <f>IF($N21="","",IF(INDEX('Per Invoice'!$M$2:$M$801,$N21)="","",INDEX('Per Invoice'!$M$2:$M$801,$N21)))</f>
        <v/>
      </c>
      <c r="N21">
        <f>IF(ROWS($N$2:$N21)&lt;=COUNT('Per Invoice'!$O$2:$O$801),MATCH(ROWS($N$2:$N21),'Per Invoice'!$O$2:$O$801,0),"")</f>
        <v/>
      </c>
    </row>
    <row r="22">
      <c r="A22">
        <f>IF($N22="","",IF(INDEX('Per Invoice'!$A$2:$A$801,$N22)="","",INDEX('Per Invoice'!$A$2:$A$801,$N22)))</f>
        <v/>
      </c>
      <c r="B22">
        <f>IF($N22="","",IF(INDEX('Per Invoice'!$B$2:$B$801,$N22)="","",INDEX('Per Invoice'!$B$2:$B$801,$N22)))</f>
        <v/>
      </c>
      <c r="C22">
        <f>IF($N22="","",IF(INDEX('Per Invoice'!$C$2:$C$801,$N22)="","",INDEX('Per Invoice'!$C$2:$C$801,$N22)))</f>
        <v/>
      </c>
      <c r="D22">
        <f>IF($N22="","",IF(INDEX('Per Invoice'!$D$2:$D$801,$N22)="","",INDEX('Per Invoice'!$D$2:$D$801,$N22)))</f>
        <v/>
      </c>
      <c r="E22">
        <f>IF($N22="","",IF(INDEX('Per Invoice'!$E$2:$E$801,$N22)="","",INDEX('Per Invoice'!$E$2:$E$801,$N22)))</f>
        <v/>
      </c>
      <c r="F22">
        <f>IF($N22="","",IF(INDEX('Per Invoice'!$F$2:$F$801,$N22)="","",INDEX('Per Invoice'!$F$2:$F$801,$N22)))</f>
        <v/>
      </c>
      <c r="G22">
        <f>IF($N22="","",IF(INDEX('Per Invoice'!$G$2:$G$801,$N22)="","",INDEX('Per Invoice'!$G$2:$G$801,$N22)))</f>
        <v/>
      </c>
      <c r="H22">
        <f>IF($N22="","",IF(INDEX('Per Invoice'!$H$2:$H$801,$N22)="","",INDEX('Per Invoice'!$H$2:$H$801,$N22)))</f>
        <v/>
      </c>
      <c r="I22" s="5">
        <f>IF($N22="","",IF(INDEX('Per Invoice'!$I$2:$I$801,$N22)="","",INDEX('Per Invoice'!$I$2:$I$801,$N22)))</f>
        <v/>
      </c>
      <c r="J22" s="5">
        <f>IF($N22="","",IF(INDEX('Per Invoice'!$J$2:$J$801,$N22)="","",INDEX('Per Invoice'!$J$2:$J$801,$N22)))</f>
        <v/>
      </c>
      <c r="K22" s="5">
        <f>IF($N22="","",IF(INDEX('Per Invoice'!$K$2:$K$801,$N22)="","",INDEX('Per Invoice'!$K$2:$K$801,$N22)))</f>
        <v/>
      </c>
      <c r="L22" s="5">
        <f>IF($N22="","",IF(INDEX('Per Invoice'!$L$2:$L$801,$N22)="","",INDEX('Per Invoice'!$L$2:$L$801,$N22)))</f>
        <v/>
      </c>
      <c r="M22" s="5">
        <f>IF($N22="","",IF(INDEX('Per Invoice'!$M$2:$M$801,$N22)="","",INDEX('Per Invoice'!$M$2:$M$801,$N22)))</f>
        <v/>
      </c>
      <c r="N22">
        <f>IF(ROWS($N$2:$N22)&lt;=COUNT('Per Invoice'!$O$2:$O$801),MATCH(ROWS($N$2:$N22),'Per Invoice'!$O$2:$O$801,0),"")</f>
        <v/>
      </c>
    </row>
    <row r="23">
      <c r="A23">
        <f>IF($N23="","",IF(INDEX('Per Invoice'!$A$2:$A$801,$N23)="","",INDEX('Per Invoice'!$A$2:$A$801,$N23)))</f>
        <v/>
      </c>
      <c r="B23">
        <f>IF($N23="","",IF(INDEX('Per Invoice'!$B$2:$B$801,$N23)="","",INDEX('Per Invoice'!$B$2:$B$801,$N23)))</f>
        <v/>
      </c>
      <c r="C23">
        <f>IF($N23="","",IF(INDEX('Per Invoice'!$C$2:$C$801,$N23)="","",INDEX('Per Invoice'!$C$2:$C$801,$N23)))</f>
        <v/>
      </c>
      <c r="D23">
        <f>IF($N23="","",IF(INDEX('Per Invoice'!$D$2:$D$801,$N23)="","",INDEX('Per Invoice'!$D$2:$D$801,$N23)))</f>
        <v/>
      </c>
      <c r="E23">
        <f>IF($N23="","",IF(INDEX('Per Invoice'!$E$2:$E$801,$N23)="","",INDEX('Per Invoice'!$E$2:$E$801,$N23)))</f>
        <v/>
      </c>
      <c r="F23">
        <f>IF($N23="","",IF(INDEX('Per Invoice'!$F$2:$F$801,$N23)="","",INDEX('Per Invoice'!$F$2:$F$801,$N23)))</f>
        <v/>
      </c>
      <c r="G23">
        <f>IF($N23="","",IF(INDEX('Per Invoice'!$G$2:$G$801,$N23)="","",INDEX('Per Invoice'!$G$2:$G$801,$N23)))</f>
        <v/>
      </c>
      <c r="H23">
        <f>IF($N23="","",IF(INDEX('Per Invoice'!$H$2:$H$801,$N23)="","",INDEX('Per Invoice'!$H$2:$H$801,$N23)))</f>
        <v/>
      </c>
      <c r="I23" s="5">
        <f>IF($N23="","",IF(INDEX('Per Invoice'!$I$2:$I$801,$N23)="","",INDEX('Per Invoice'!$I$2:$I$801,$N23)))</f>
        <v/>
      </c>
      <c r="J23" s="5">
        <f>IF($N23="","",IF(INDEX('Per Invoice'!$J$2:$J$801,$N23)="","",INDEX('Per Invoice'!$J$2:$J$801,$N23)))</f>
        <v/>
      </c>
      <c r="K23" s="5">
        <f>IF($N23="","",IF(INDEX('Per Invoice'!$K$2:$K$801,$N23)="","",INDEX('Per Invoice'!$K$2:$K$801,$N23)))</f>
        <v/>
      </c>
      <c r="L23" s="5">
        <f>IF($N23="","",IF(INDEX('Per Invoice'!$L$2:$L$801,$N23)="","",INDEX('Per Invoice'!$L$2:$L$801,$N23)))</f>
        <v/>
      </c>
      <c r="M23" s="5">
        <f>IF($N23="","",IF(INDEX('Per Invoice'!$M$2:$M$801,$N23)="","",INDEX('Per Invoice'!$M$2:$M$801,$N23)))</f>
        <v/>
      </c>
      <c r="N23">
        <f>IF(ROWS($N$2:$N23)&lt;=COUNT('Per Invoice'!$O$2:$O$801),MATCH(ROWS($N$2:$N23),'Per Invoice'!$O$2:$O$801,0),"")</f>
        <v/>
      </c>
    </row>
    <row r="24">
      <c r="A24">
        <f>IF($N24="","",IF(INDEX('Per Invoice'!$A$2:$A$801,$N24)="","",INDEX('Per Invoice'!$A$2:$A$801,$N24)))</f>
        <v/>
      </c>
      <c r="B24">
        <f>IF($N24="","",IF(INDEX('Per Invoice'!$B$2:$B$801,$N24)="","",INDEX('Per Invoice'!$B$2:$B$801,$N24)))</f>
        <v/>
      </c>
      <c r="C24">
        <f>IF($N24="","",IF(INDEX('Per Invoice'!$C$2:$C$801,$N24)="","",INDEX('Per Invoice'!$C$2:$C$801,$N24)))</f>
        <v/>
      </c>
      <c r="D24">
        <f>IF($N24="","",IF(INDEX('Per Invoice'!$D$2:$D$801,$N24)="","",INDEX('Per Invoice'!$D$2:$D$801,$N24)))</f>
        <v/>
      </c>
      <c r="E24">
        <f>IF($N24="","",IF(INDEX('Per Invoice'!$E$2:$E$801,$N24)="","",INDEX('Per Invoice'!$E$2:$E$801,$N24)))</f>
        <v/>
      </c>
      <c r="F24">
        <f>IF($N24="","",IF(INDEX('Per Invoice'!$F$2:$F$801,$N24)="","",INDEX('Per Invoice'!$F$2:$F$801,$N24)))</f>
        <v/>
      </c>
      <c r="G24">
        <f>IF($N24="","",IF(INDEX('Per Invoice'!$G$2:$G$801,$N24)="","",INDEX('Per Invoice'!$G$2:$G$801,$N24)))</f>
        <v/>
      </c>
      <c r="H24">
        <f>IF($N24="","",IF(INDEX('Per Invoice'!$H$2:$H$801,$N24)="","",INDEX('Per Invoice'!$H$2:$H$801,$N24)))</f>
        <v/>
      </c>
      <c r="I24" s="5">
        <f>IF($N24="","",IF(INDEX('Per Invoice'!$I$2:$I$801,$N24)="","",INDEX('Per Invoice'!$I$2:$I$801,$N24)))</f>
        <v/>
      </c>
      <c r="J24" s="5">
        <f>IF($N24="","",IF(INDEX('Per Invoice'!$J$2:$J$801,$N24)="","",INDEX('Per Invoice'!$J$2:$J$801,$N24)))</f>
        <v/>
      </c>
      <c r="K24" s="5">
        <f>IF($N24="","",IF(INDEX('Per Invoice'!$K$2:$K$801,$N24)="","",INDEX('Per Invoice'!$K$2:$K$801,$N24)))</f>
        <v/>
      </c>
      <c r="L24" s="5">
        <f>IF($N24="","",IF(INDEX('Per Invoice'!$L$2:$L$801,$N24)="","",INDEX('Per Invoice'!$L$2:$L$801,$N24)))</f>
        <v/>
      </c>
      <c r="M24" s="5">
        <f>IF($N24="","",IF(INDEX('Per Invoice'!$M$2:$M$801,$N24)="","",INDEX('Per Invoice'!$M$2:$M$801,$N24)))</f>
        <v/>
      </c>
      <c r="N24">
        <f>IF(ROWS($N$2:$N24)&lt;=COUNT('Per Invoice'!$O$2:$O$801),MATCH(ROWS($N$2:$N24),'Per Invoice'!$O$2:$O$801,0),"")</f>
        <v/>
      </c>
    </row>
    <row r="25">
      <c r="A25">
        <f>IF($N25="","",IF(INDEX('Per Invoice'!$A$2:$A$801,$N25)="","",INDEX('Per Invoice'!$A$2:$A$801,$N25)))</f>
        <v/>
      </c>
      <c r="B25">
        <f>IF($N25="","",IF(INDEX('Per Invoice'!$B$2:$B$801,$N25)="","",INDEX('Per Invoice'!$B$2:$B$801,$N25)))</f>
        <v/>
      </c>
      <c r="C25">
        <f>IF($N25="","",IF(INDEX('Per Invoice'!$C$2:$C$801,$N25)="","",INDEX('Per Invoice'!$C$2:$C$801,$N25)))</f>
        <v/>
      </c>
      <c r="D25">
        <f>IF($N25="","",IF(INDEX('Per Invoice'!$D$2:$D$801,$N25)="","",INDEX('Per Invoice'!$D$2:$D$801,$N25)))</f>
        <v/>
      </c>
      <c r="E25">
        <f>IF($N25="","",IF(INDEX('Per Invoice'!$E$2:$E$801,$N25)="","",INDEX('Per Invoice'!$E$2:$E$801,$N25)))</f>
        <v/>
      </c>
      <c r="F25">
        <f>IF($N25="","",IF(INDEX('Per Invoice'!$F$2:$F$801,$N25)="","",INDEX('Per Invoice'!$F$2:$F$801,$N25)))</f>
        <v/>
      </c>
      <c r="G25">
        <f>IF($N25="","",IF(INDEX('Per Invoice'!$G$2:$G$801,$N25)="","",INDEX('Per Invoice'!$G$2:$G$801,$N25)))</f>
        <v/>
      </c>
      <c r="H25">
        <f>IF($N25="","",IF(INDEX('Per Invoice'!$H$2:$H$801,$N25)="","",INDEX('Per Invoice'!$H$2:$H$801,$N25)))</f>
        <v/>
      </c>
      <c r="I25" s="5">
        <f>IF($N25="","",IF(INDEX('Per Invoice'!$I$2:$I$801,$N25)="","",INDEX('Per Invoice'!$I$2:$I$801,$N25)))</f>
        <v/>
      </c>
      <c r="J25" s="5">
        <f>IF($N25="","",IF(INDEX('Per Invoice'!$J$2:$J$801,$N25)="","",INDEX('Per Invoice'!$J$2:$J$801,$N25)))</f>
        <v/>
      </c>
      <c r="K25" s="5">
        <f>IF($N25="","",IF(INDEX('Per Invoice'!$K$2:$K$801,$N25)="","",INDEX('Per Invoice'!$K$2:$K$801,$N25)))</f>
        <v/>
      </c>
      <c r="L25" s="5">
        <f>IF($N25="","",IF(INDEX('Per Invoice'!$L$2:$L$801,$N25)="","",INDEX('Per Invoice'!$L$2:$L$801,$N25)))</f>
        <v/>
      </c>
      <c r="M25" s="5">
        <f>IF($N25="","",IF(INDEX('Per Invoice'!$M$2:$M$801,$N25)="","",INDEX('Per Invoice'!$M$2:$M$801,$N25)))</f>
        <v/>
      </c>
      <c r="N25">
        <f>IF(ROWS($N$2:$N25)&lt;=COUNT('Per Invoice'!$O$2:$O$801),MATCH(ROWS($N$2:$N25),'Per Invoice'!$O$2:$O$801,0),"")</f>
        <v/>
      </c>
    </row>
    <row r="26">
      <c r="A26">
        <f>IF($N26="","",IF(INDEX('Per Invoice'!$A$2:$A$801,$N26)="","",INDEX('Per Invoice'!$A$2:$A$801,$N26)))</f>
        <v/>
      </c>
      <c r="B26">
        <f>IF($N26="","",IF(INDEX('Per Invoice'!$B$2:$B$801,$N26)="","",INDEX('Per Invoice'!$B$2:$B$801,$N26)))</f>
        <v/>
      </c>
      <c r="C26">
        <f>IF($N26="","",IF(INDEX('Per Invoice'!$C$2:$C$801,$N26)="","",INDEX('Per Invoice'!$C$2:$C$801,$N26)))</f>
        <v/>
      </c>
      <c r="D26">
        <f>IF($N26="","",IF(INDEX('Per Invoice'!$D$2:$D$801,$N26)="","",INDEX('Per Invoice'!$D$2:$D$801,$N26)))</f>
        <v/>
      </c>
      <c r="E26">
        <f>IF($N26="","",IF(INDEX('Per Invoice'!$E$2:$E$801,$N26)="","",INDEX('Per Invoice'!$E$2:$E$801,$N26)))</f>
        <v/>
      </c>
      <c r="F26">
        <f>IF($N26="","",IF(INDEX('Per Invoice'!$F$2:$F$801,$N26)="","",INDEX('Per Invoice'!$F$2:$F$801,$N26)))</f>
        <v/>
      </c>
      <c r="G26">
        <f>IF($N26="","",IF(INDEX('Per Invoice'!$G$2:$G$801,$N26)="","",INDEX('Per Invoice'!$G$2:$G$801,$N26)))</f>
        <v/>
      </c>
      <c r="H26">
        <f>IF($N26="","",IF(INDEX('Per Invoice'!$H$2:$H$801,$N26)="","",INDEX('Per Invoice'!$H$2:$H$801,$N26)))</f>
        <v/>
      </c>
      <c r="I26" s="5">
        <f>IF($N26="","",IF(INDEX('Per Invoice'!$I$2:$I$801,$N26)="","",INDEX('Per Invoice'!$I$2:$I$801,$N26)))</f>
        <v/>
      </c>
      <c r="J26" s="5">
        <f>IF($N26="","",IF(INDEX('Per Invoice'!$J$2:$J$801,$N26)="","",INDEX('Per Invoice'!$J$2:$J$801,$N26)))</f>
        <v/>
      </c>
      <c r="K26" s="5">
        <f>IF($N26="","",IF(INDEX('Per Invoice'!$K$2:$K$801,$N26)="","",INDEX('Per Invoice'!$K$2:$K$801,$N26)))</f>
        <v/>
      </c>
      <c r="L26" s="5">
        <f>IF($N26="","",IF(INDEX('Per Invoice'!$L$2:$L$801,$N26)="","",INDEX('Per Invoice'!$L$2:$L$801,$N26)))</f>
        <v/>
      </c>
      <c r="M26" s="5">
        <f>IF($N26="","",IF(INDEX('Per Invoice'!$M$2:$M$801,$N26)="","",INDEX('Per Invoice'!$M$2:$M$801,$N26)))</f>
        <v/>
      </c>
      <c r="N26">
        <f>IF(ROWS($N$2:$N26)&lt;=COUNT('Per Invoice'!$O$2:$O$801),MATCH(ROWS($N$2:$N26),'Per Invoice'!$O$2:$O$801,0),"")</f>
        <v/>
      </c>
    </row>
    <row r="27">
      <c r="A27">
        <f>IF($N27="","",IF(INDEX('Per Invoice'!$A$2:$A$801,$N27)="","",INDEX('Per Invoice'!$A$2:$A$801,$N27)))</f>
        <v/>
      </c>
      <c r="B27">
        <f>IF($N27="","",IF(INDEX('Per Invoice'!$B$2:$B$801,$N27)="","",INDEX('Per Invoice'!$B$2:$B$801,$N27)))</f>
        <v/>
      </c>
      <c r="C27">
        <f>IF($N27="","",IF(INDEX('Per Invoice'!$C$2:$C$801,$N27)="","",INDEX('Per Invoice'!$C$2:$C$801,$N27)))</f>
        <v/>
      </c>
      <c r="D27">
        <f>IF($N27="","",IF(INDEX('Per Invoice'!$D$2:$D$801,$N27)="","",INDEX('Per Invoice'!$D$2:$D$801,$N27)))</f>
        <v/>
      </c>
      <c r="E27">
        <f>IF($N27="","",IF(INDEX('Per Invoice'!$E$2:$E$801,$N27)="","",INDEX('Per Invoice'!$E$2:$E$801,$N27)))</f>
        <v/>
      </c>
      <c r="F27">
        <f>IF($N27="","",IF(INDEX('Per Invoice'!$F$2:$F$801,$N27)="","",INDEX('Per Invoice'!$F$2:$F$801,$N27)))</f>
        <v/>
      </c>
      <c r="G27">
        <f>IF($N27="","",IF(INDEX('Per Invoice'!$G$2:$G$801,$N27)="","",INDEX('Per Invoice'!$G$2:$G$801,$N27)))</f>
        <v/>
      </c>
      <c r="H27">
        <f>IF($N27="","",IF(INDEX('Per Invoice'!$H$2:$H$801,$N27)="","",INDEX('Per Invoice'!$H$2:$H$801,$N27)))</f>
        <v/>
      </c>
      <c r="I27" s="5">
        <f>IF($N27="","",IF(INDEX('Per Invoice'!$I$2:$I$801,$N27)="","",INDEX('Per Invoice'!$I$2:$I$801,$N27)))</f>
        <v/>
      </c>
      <c r="J27" s="5">
        <f>IF($N27="","",IF(INDEX('Per Invoice'!$J$2:$J$801,$N27)="","",INDEX('Per Invoice'!$J$2:$J$801,$N27)))</f>
        <v/>
      </c>
      <c r="K27" s="5">
        <f>IF($N27="","",IF(INDEX('Per Invoice'!$K$2:$K$801,$N27)="","",INDEX('Per Invoice'!$K$2:$K$801,$N27)))</f>
        <v/>
      </c>
      <c r="L27" s="5">
        <f>IF($N27="","",IF(INDEX('Per Invoice'!$L$2:$L$801,$N27)="","",INDEX('Per Invoice'!$L$2:$L$801,$N27)))</f>
        <v/>
      </c>
      <c r="M27" s="5">
        <f>IF($N27="","",IF(INDEX('Per Invoice'!$M$2:$M$801,$N27)="","",INDEX('Per Invoice'!$M$2:$M$801,$N27)))</f>
        <v/>
      </c>
      <c r="N27">
        <f>IF(ROWS($N$2:$N27)&lt;=COUNT('Per Invoice'!$O$2:$O$801),MATCH(ROWS($N$2:$N27),'Per Invoice'!$O$2:$O$801,0),"")</f>
        <v/>
      </c>
    </row>
    <row r="28">
      <c r="A28">
        <f>IF($N28="","",IF(INDEX('Per Invoice'!$A$2:$A$801,$N28)="","",INDEX('Per Invoice'!$A$2:$A$801,$N28)))</f>
        <v/>
      </c>
      <c r="B28">
        <f>IF($N28="","",IF(INDEX('Per Invoice'!$B$2:$B$801,$N28)="","",INDEX('Per Invoice'!$B$2:$B$801,$N28)))</f>
        <v/>
      </c>
      <c r="C28">
        <f>IF($N28="","",IF(INDEX('Per Invoice'!$C$2:$C$801,$N28)="","",INDEX('Per Invoice'!$C$2:$C$801,$N28)))</f>
        <v/>
      </c>
      <c r="D28">
        <f>IF($N28="","",IF(INDEX('Per Invoice'!$D$2:$D$801,$N28)="","",INDEX('Per Invoice'!$D$2:$D$801,$N28)))</f>
        <v/>
      </c>
      <c r="E28">
        <f>IF($N28="","",IF(INDEX('Per Invoice'!$E$2:$E$801,$N28)="","",INDEX('Per Invoice'!$E$2:$E$801,$N28)))</f>
        <v/>
      </c>
      <c r="F28">
        <f>IF($N28="","",IF(INDEX('Per Invoice'!$F$2:$F$801,$N28)="","",INDEX('Per Invoice'!$F$2:$F$801,$N28)))</f>
        <v/>
      </c>
      <c r="G28">
        <f>IF($N28="","",IF(INDEX('Per Invoice'!$G$2:$G$801,$N28)="","",INDEX('Per Invoice'!$G$2:$G$801,$N28)))</f>
        <v/>
      </c>
      <c r="H28">
        <f>IF($N28="","",IF(INDEX('Per Invoice'!$H$2:$H$801,$N28)="","",INDEX('Per Invoice'!$H$2:$H$801,$N28)))</f>
        <v/>
      </c>
      <c r="I28" s="5">
        <f>IF($N28="","",IF(INDEX('Per Invoice'!$I$2:$I$801,$N28)="","",INDEX('Per Invoice'!$I$2:$I$801,$N28)))</f>
        <v/>
      </c>
      <c r="J28" s="5">
        <f>IF($N28="","",IF(INDEX('Per Invoice'!$J$2:$J$801,$N28)="","",INDEX('Per Invoice'!$J$2:$J$801,$N28)))</f>
        <v/>
      </c>
      <c r="K28" s="5">
        <f>IF($N28="","",IF(INDEX('Per Invoice'!$K$2:$K$801,$N28)="","",INDEX('Per Invoice'!$K$2:$K$801,$N28)))</f>
        <v/>
      </c>
      <c r="L28" s="5">
        <f>IF($N28="","",IF(INDEX('Per Invoice'!$L$2:$L$801,$N28)="","",INDEX('Per Invoice'!$L$2:$L$801,$N28)))</f>
        <v/>
      </c>
      <c r="M28" s="5">
        <f>IF($N28="","",IF(INDEX('Per Invoice'!$M$2:$M$801,$N28)="","",INDEX('Per Invoice'!$M$2:$M$801,$N28)))</f>
        <v/>
      </c>
      <c r="N28">
        <f>IF(ROWS($N$2:$N28)&lt;=COUNT('Per Invoice'!$O$2:$O$801),MATCH(ROWS($N$2:$N28),'Per Invoice'!$O$2:$O$801,0),"")</f>
        <v/>
      </c>
    </row>
    <row r="29">
      <c r="A29">
        <f>IF($N29="","",IF(INDEX('Per Invoice'!$A$2:$A$801,$N29)="","",INDEX('Per Invoice'!$A$2:$A$801,$N29)))</f>
        <v/>
      </c>
      <c r="B29">
        <f>IF($N29="","",IF(INDEX('Per Invoice'!$B$2:$B$801,$N29)="","",INDEX('Per Invoice'!$B$2:$B$801,$N29)))</f>
        <v/>
      </c>
      <c r="C29">
        <f>IF($N29="","",IF(INDEX('Per Invoice'!$C$2:$C$801,$N29)="","",INDEX('Per Invoice'!$C$2:$C$801,$N29)))</f>
        <v/>
      </c>
      <c r="D29">
        <f>IF($N29="","",IF(INDEX('Per Invoice'!$D$2:$D$801,$N29)="","",INDEX('Per Invoice'!$D$2:$D$801,$N29)))</f>
        <v/>
      </c>
      <c r="E29">
        <f>IF($N29="","",IF(INDEX('Per Invoice'!$E$2:$E$801,$N29)="","",INDEX('Per Invoice'!$E$2:$E$801,$N29)))</f>
        <v/>
      </c>
      <c r="F29">
        <f>IF($N29="","",IF(INDEX('Per Invoice'!$F$2:$F$801,$N29)="","",INDEX('Per Invoice'!$F$2:$F$801,$N29)))</f>
        <v/>
      </c>
      <c r="G29">
        <f>IF($N29="","",IF(INDEX('Per Invoice'!$G$2:$G$801,$N29)="","",INDEX('Per Invoice'!$G$2:$G$801,$N29)))</f>
        <v/>
      </c>
      <c r="H29">
        <f>IF($N29="","",IF(INDEX('Per Invoice'!$H$2:$H$801,$N29)="","",INDEX('Per Invoice'!$H$2:$H$801,$N29)))</f>
        <v/>
      </c>
      <c r="I29" s="5">
        <f>IF($N29="","",IF(INDEX('Per Invoice'!$I$2:$I$801,$N29)="","",INDEX('Per Invoice'!$I$2:$I$801,$N29)))</f>
        <v/>
      </c>
      <c r="J29" s="5">
        <f>IF($N29="","",IF(INDEX('Per Invoice'!$J$2:$J$801,$N29)="","",INDEX('Per Invoice'!$J$2:$J$801,$N29)))</f>
        <v/>
      </c>
      <c r="K29" s="5">
        <f>IF($N29="","",IF(INDEX('Per Invoice'!$K$2:$K$801,$N29)="","",INDEX('Per Invoice'!$K$2:$K$801,$N29)))</f>
        <v/>
      </c>
      <c r="L29" s="5">
        <f>IF($N29="","",IF(INDEX('Per Invoice'!$L$2:$L$801,$N29)="","",INDEX('Per Invoice'!$L$2:$L$801,$N29)))</f>
        <v/>
      </c>
      <c r="M29" s="5">
        <f>IF($N29="","",IF(INDEX('Per Invoice'!$M$2:$M$801,$N29)="","",INDEX('Per Invoice'!$M$2:$M$801,$N29)))</f>
        <v/>
      </c>
      <c r="N29">
        <f>IF(ROWS($N$2:$N29)&lt;=COUNT('Per Invoice'!$O$2:$O$801),MATCH(ROWS($N$2:$N29),'Per Invoice'!$O$2:$O$801,0),"")</f>
        <v/>
      </c>
    </row>
    <row r="30">
      <c r="A30">
        <f>IF($N30="","",IF(INDEX('Per Invoice'!$A$2:$A$801,$N30)="","",INDEX('Per Invoice'!$A$2:$A$801,$N30)))</f>
        <v/>
      </c>
      <c r="B30">
        <f>IF($N30="","",IF(INDEX('Per Invoice'!$B$2:$B$801,$N30)="","",INDEX('Per Invoice'!$B$2:$B$801,$N30)))</f>
        <v/>
      </c>
      <c r="C30">
        <f>IF($N30="","",IF(INDEX('Per Invoice'!$C$2:$C$801,$N30)="","",INDEX('Per Invoice'!$C$2:$C$801,$N30)))</f>
        <v/>
      </c>
      <c r="D30">
        <f>IF($N30="","",IF(INDEX('Per Invoice'!$D$2:$D$801,$N30)="","",INDEX('Per Invoice'!$D$2:$D$801,$N30)))</f>
        <v/>
      </c>
      <c r="E30">
        <f>IF($N30="","",IF(INDEX('Per Invoice'!$E$2:$E$801,$N30)="","",INDEX('Per Invoice'!$E$2:$E$801,$N30)))</f>
        <v/>
      </c>
      <c r="F30">
        <f>IF($N30="","",IF(INDEX('Per Invoice'!$F$2:$F$801,$N30)="","",INDEX('Per Invoice'!$F$2:$F$801,$N30)))</f>
        <v/>
      </c>
      <c r="G30">
        <f>IF($N30="","",IF(INDEX('Per Invoice'!$G$2:$G$801,$N30)="","",INDEX('Per Invoice'!$G$2:$G$801,$N30)))</f>
        <v/>
      </c>
      <c r="H30">
        <f>IF($N30="","",IF(INDEX('Per Invoice'!$H$2:$H$801,$N30)="","",INDEX('Per Invoice'!$H$2:$H$801,$N30)))</f>
        <v/>
      </c>
      <c r="I30" s="5">
        <f>IF($N30="","",IF(INDEX('Per Invoice'!$I$2:$I$801,$N30)="","",INDEX('Per Invoice'!$I$2:$I$801,$N30)))</f>
        <v/>
      </c>
      <c r="J30" s="5">
        <f>IF($N30="","",IF(INDEX('Per Invoice'!$J$2:$J$801,$N30)="","",INDEX('Per Invoice'!$J$2:$J$801,$N30)))</f>
        <v/>
      </c>
      <c r="K30" s="5">
        <f>IF($N30="","",IF(INDEX('Per Invoice'!$K$2:$K$801,$N30)="","",INDEX('Per Invoice'!$K$2:$K$801,$N30)))</f>
        <v/>
      </c>
      <c r="L30" s="5">
        <f>IF($N30="","",IF(INDEX('Per Invoice'!$L$2:$L$801,$N30)="","",INDEX('Per Invoice'!$L$2:$L$801,$N30)))</f>
        <v/>
      </c>
      <c r="M30" s="5">
        <f>IF($N30="","",IF(INDEX('Per Invoice'!$M$2:$M$801,$N30)="","",INDEX('Per Invoice'!$M$2:$M$801,$N30)))</f>
        <v/>
      </c>
      <c r="N30">
        <f>IF(ROWS($N$2:$N30)&lt;=COUNT('Per Invoice'!$O$2:$O$801),MATCH(ROWS($N$2:$N30),'Per Invoice'!$O$2:$O$801,0),"")</f>
        <v/>
      </c>
    </row>
    <row r="31">
      <c r="A31">
        <f>IF($N31="","",IF(INDEX('Per Invoice'!$A$2:$A$801,$N31)="","",INDEX('Per Invoice'!$A$2:$A$801,$N31)))</f>
        <v/>
      </c>
      <c r="B31">
        <f>IF($N31="","",IF(INDEX('Per Invoice'!$B$2:$B$801,$N31)="","",INDEX('Per Invoice'!$B$2:$B$801,$N31)))</f>
        <v/>
      </c>
      <c r="C31">
        <f>IF($N31="","",IF(INDEX('Per Invoice'!$C$2:$C$801,$N31)="","",INDEX('Per Invoice'!$C$2:$C$801,$N31)))</f>
        <v/>
      </c>
      <c r="D31">
        <f>IF($N31="","",IF(INDEX('Per Invoice'!$D$2:$D$801,$N31)="","",INDEX('Per Invoice'!$D$2:$D$801,$N31)))</f>
        <v/>
      </c>
      <c r="E31">
        <f>IF($N31="","",IF(INDEX('Per Invoice'!$E$2:$E$801,$N31)="","",INDEX('Per Invoice'!$E$2:$E$801,$N31)))</f>
        <v/>
      </c>
      <c r="F31">
        <f>IF($N31="","",IF(INDEX('Per Invoice'!$F$2:$F$801,$N31)="","",INDEX('Per Invoice'!$F$2:$F$801,$N31)))</f>
        <v/>
      </c>
      <c r="G31">
        <f>IF($N31="","",IF(INDEX('Per Invoice'!$G$2:$G$801,$N31)="","",INDEX('Per Invoice'!$G$2:$G$801,$N31)))</f>
        <v/>
      </c>
      <c r="H31">
        <f>IF($N31="","",IF(INDEX('Per Invoice'!$H$2:$H$801,$N31)="","",INDEX('Per Invoice'!$H$2:$H$801,$N31)))</f>
        <v/>
      </c>
      <c r="I31" s="5">
        <f>IF($N31="","",IF(INDEX('Per Invoice'!$I$2:$I$801,$N31)="","",INDEX('Per Invoice'!$I$2:$I$801,$N31)))</f>
        <v/>
      </c>
      <c r="J31" s="5">
        <f>IF($N31="","",IF(INDEX('Per Invoice'!$J$2:$J$801,$N31)="","",INDEX('Per Invoice'!$J$2:$J$801,$N31)))</f>
        <v/>
      </c>
      <c r="K31" s="5">
        <f>IF($N31="","",IF(INDEX('Per Invoice'!$K$2:$K$801,$N31)="","",INDEX('Per Invoice'!$K$2:$K$801,$N31)))</f>
        <v/>
      </c>
      <c r="L31" s="5">
        <f>IF($N31="","",IF(INDEX('Per Invoice'!$L$2:$L$801,$N31)="","",INDEX('Per Invoice'!$L$2:$L$801,$N31)))</f>
        <v/>
      </c>
      <c r="M31" s="5">
        <f>IF($N31="","",IF(INDEX('Per Invoice'!$M$2:$M$801,$N31)="","",INDEX('Per Invoice'!$M$2:$M$801,$N31)))</f>
        <v/>
      </c>
      <c r="N31">
        <f>IF(ROWS($N$2:$N31)&lt;=COUNT('Per Invoice'!$O$2:$O$801),MATCH(ROWS($N$2:$N31),'Per Invoice'!$O$2:$O$801,0),"")</f>
        <v/>
      </c>
    </row>
    <row r="32">
      <c r="A32">
        <f>IF($N32="","",IF(INDEX('Per Invoice'!$A$2:$A$801,$N32)="","",INDEX('Per Invoice'!$A$2:$A$801,$N32)))</f>
        <v/>
      </c>
      <c r="B32">
        <f>IF($N32="","",IF(INDEX('Per Invoice'!$B$2:$B$801,$N32)="","",INDEX('Per Invoice'!$B$2:$B$801,$N32)))</f>
        <v/>
      </c>
      <c r="C32">
        <f>IF($N32="","",IF(INDEX('Per Invoice'!$C$2:$C$801,$N32)="","",INDEX('Per Invoice'!$C$2:$C$801,$N32)))</f>
        <v/>
      </c>
      <c r="D32">
        <f>IF($N32="","",IF(INDEX('Per Invoice'!$D$2:$D$801,$N32)="","",INDEX('Per Invoice'!$D$2:$D$801,$N32)))</f>
        <v/>
      </c>
      <c r="E32">
        <f>IF($N32="","",IF(INDEX('Per Invoice'!$E$2:$E$801,$N32)="","",INDEX('Per Invoice'!$E$2:$E$801,$N32)))</f>
        <v/>
      </c>
      <c r="F32">
        <f>IF($N32="","",IF(INDEX('Per Invoice'!$F$2:$F$801,$N32)="","",INDEX('Per Invoice'!$F$2:$F$801,$N32)))</f>
        <v/>
      </c>
      <c r="G32">
        <f>IF($N32="","",IF(INDEX('Per Invoice'!$G$2:$G$801,$N32)="","",INDEX('Per Invoice'!$G$2:$G$801,$N32)))</f>
        <v/>
      </c>
      <c r="H32">
        <f>IF($N32="","",IF(INDEX('Per Invoice'!$H$2:$H$801,$N32)="","",INDEX('Per Invoice'!$H$2:$H$801,$N32)))</f>
        <v/>
      </c>
      <c r="I32" s="5">
        <f>IF($N32="","",IF(INDEX('Per Invoice'!$I$2:$I$801,$N32)="","",INDEX('Per Invoice'!$I$2:$I$801,$N32)))</f>
        <v/>
      </c>
      <c r="J32" s="5">
        <f>IF($N32="","",IF(INDEX('Per Invoice'!$J$2:$J$801,$N32)="","",INDEX('Per Invoice'!$J$2:$J$801,$N32)))</f>
        <v/>
      </c>
      <c r="K32" s="5">
        <f>IF($N32="","",IF(INDEX('Per Invoice'!$K$2:$K$801,$N32)="","",INDEX('Per Invoice'!$K$2:$K$801,$N32)))</f>
        <v/>
      </c>
      <c r="L32" s="5">
        <f>IF($N32="","",IF(INDEX('Per Invoice'!$L$2:$L$801,$N32)="","",INDEX('Per Invoice'!$L$2:$L$801,$N32)))</f>
        <v/>
      </c>
      <c r="M32" s="5">
        <f>IF($N32="","",IF(INDEX('Per Invoice'!$M$2:$M$801,$N32)="","",INDEX('Per Invoice'!$M$2:$M$801,$N32)))</f>
        <v/>
      </c>
      <c r="N32">
        <f>IF(ROWS($N$2:$N32)&lt;=COUNT('Per Invoice'!$O$2:$O$801),MATCH(ROWS($N$2:$N32),'Per Invoice'!$O$2:$O$801,0),"")</f>
        <v/>
      </c>
    </row>
    <row r="33">
      <c r="A33">
        <f>IF($N33="","",IF(INDEX('Per Invoice'!$A$2:$A$801,$N33)="","",INDEX('Per Invoice'!$A$2:$A$801,$N33)))</f>
        <v/>
      </c>
      <c r="B33">
        <f>IF($N33="","",IF(INDEX('Per Invoice'!$B$2:$B$801,$N33)="","",INDEX('Per Invoice'!$B$2:$B$801,$N33)))</f>
        <v/>
      </c>
      <c r="C33">
        <f>IF($N33="","",IF(INDEX('Per Invoice'!$C$2:$C$801,$N33)="","",INDEX('Per Invoice'!$C$2:$C$801,$N33)))</f>
        <v/>
      </c>
      <c r="D33">
        <f>IF($N33="","",IF(INDEX('Per Invoice'!$D$2:$D$801,$N33)="","",INDEX('Per Invoice'!$D$2:$D$801,$N33)))</f>
        <v/>
      </c>
      <c r="E33">
        <f>IF($N33="","",IF(INDEX('Per Invoice'!$E$2:$E$801,$N33)="","",INDEX('Per Invoice'!$E$2:$E$801,$N33)))</f>
        <v/>
      </c>
      <c r="F33">
        <f>IF($N33="","",IF(INDEX('Per Invoice'!$F$2:$F$801,$N33)="","",INDEX('Per Invoice'!$F$2:$F$801,$N33)))</f>
        <v/>
      </c>
      <c r="G33">
        <f>IF($N33="","",IF(INDEX('Per Invoice'!$G$2:$G$801,$N33)="","",INDEX('Per Invoice'!$G$2:$G$801,$N33)))</f>
        <v/>
      </c>
      <c r="H33">
        <f>IF($N33="","",IF(INDEX('Per Invoice'!$H$2:$H$801,$N33)="","",INDEX('Per Invoice'!$H$2:$H$801,$N33)))</f>
        <v/>
      </c>
      <c r="I33" s="5">
        <f>IF($N33="","",IF(INDEX('Per Invoice'!$I$2:$I$801,$N33)="","",INDEX('Per Invoice'!$I$2:$I$801,$N33)))</f>
        <v/>
      </c>
      <c r="J33" s="5">
        <f>IF($N33="","",IF(INDEX('Per Invoice'!$J$2:$J$801,$N33)="","",INDEX('Per Invoice'!$J$2:$J$801,$N33)))</f>
        <v/>
      </c>
      <c r="K33" s="5">
        <f>IF($N33="","",IF(INDEX('Per Invoice'!$K$2:$K$801,$N33)="","",INDEX('Per Invoice'!$K$2:$K$801,$N33)))</f>
        <v/>
      </c>
      <c r="L33" s="5">
        <f>IF($N33="","",IF(INDEX('Per Invoice'!$L$2:$L$801,$N33)="","",INDEX('Per Invoice'!$L$2:$L$801,$N33)))</f>
        <v/>
      </c>
      <c r="M33" s="5">
        <f>IF($N33="","",IF(INDEX('Per Invoice'!$M$2:$M$801,$N33)="","",INDEX('Per Invoice'!$M$2:$M$801,$N33)))</f>
        <v/>
      </c>
      <c r="N33">
        <f>IF(ROWS($N$2:$N33)&lt;=COUNT('Per Invoice'!$O$2:$O$801),MATCH(ROWS($N$2:$N33),'Per Invoice'!$O$2:$O$801,0),"")</f>
        <v/>
      </c>
    </row>
    <row r="34">
      <c r="A34">
        <f>IF($N34="","",IF(INDEX('Per Invoice'!$A$2:$A$801,$N34)="","",INDEX('Per Invoice'!$A$2:$A$801,$N34)))</f>
        <v/>
      </c>
      <c r="B34">
        <f>IF($N34="","",IF(INDEX('Per Invoice'!$B$2:$B$801,$N34)="","",INDEX('Per Invoice'!$B$2:$B$801,$N34)))</f>
        <v/>
      </c>
      <c r="C34">
        <f>IF($N34="","",IF(INDEX('Per Invoice'!$C$2:$C$801,$N34)="","",INDEX('Per Invoice'!$C$2:$C$801,$N34)))</f>
        <v/>
      </c>
      <c r="D34">
        <f>IF($N34="","",IF(INDEX('Per Invoice'!$D$2:$D$801,$N34)="","",INDEX('Per Invoice'!$D$2:$D$801,$N34)))</f>
        <v/>
      </c>
      <c r="E34">
        <f>IF($N34="","",IF(INDEX('Per Invoice'!$E$2:$E$801,$N34)="","",INDEX('Per Invoice'!$E$2:$E$801,$N34)))</f>
        <v/>
      </c>
      <c r="F34">
        <f>IF($N34="","",IF(INDEX('Per Invoice'!$F$2:$F$801,$N34)="","",INDEX('Per Invoice'!$F$2:$F$801,$N34)))</f>
        <v/>
      </c>
      <c r="G34">
        <f>IF($N34="","",IF(INDEX('Per Invoice'!$G$2:$G$801,$N34)="","",INDEX('Per Invoice'!$G$2:$G$801,$N34)))</f>
        <v/>
      </c>
      <c r="H34">
        <f>IF($N34="","",IF(INDEX('Per Invoice'!$H$2:$H$801,$N34)="","",INDEX('Per Invoice'!$H$2:$H$801,$N34)))</f>
        <v/>
      </c>
      <c r="I34" s="5">
        <f>IF($N34="","",IF(INDEX('Per Invoice'!$I$2:$I$801,$N34)="","",INDEX('Per Invoice'!$I$2:$I$801,$N34)))</f>
        <v/>
      </c>
      <c r="J34" s="5">
        <f>IF($N34="","",IF(INDEX('Per Invoice'!$J$2:$J$801,$N34)="","",INDEX('Per Invoice'!$J$2:$J$801,$N34)))</f>
        <v/>
      </c>
      <c r="K34" s="5">
        <f>IF($N34="","",IF(INDEX('Per Invoice'!$K$2:$K$801,$N34)="","",INDEX('Per Invoice'!$K$2:$K$801,$N34)))</f>
        <v/>
      </c>
      <c r="L34" s="5">
        <f>IF($N34="","",IF(INDEX('Per Invoice'!$L$2:$L$801,$N34)="","",INDEX('Per Invoice'!$L$2:$L$801,$N34)))</f>
        <v/>
      </c>
      <c r="M34" s="5">
        <f>IF($N34="","",IF(INDEX('Per Invoice'!$M$2:$M$801,$N34)="","",INDEX('Per Invoice'!$M$2:$M$801,$N34)))</f>
        <v/>
      </c>
      <c r="N34">
        <f>IF(ROWS($N$2:$N34)&lt;=COUNT('Per Invoice'!$O$2:$O$801),MATCH(ROWS($N$2:$N34),'Per Invoice'!$O$2:$O$801,0),"")</f>
        <v/>
      </c>
    </row>
    <row r="35">
      <c r="A35">
        <f>IF($N35="","",IF(INDEX('Per Invoice'!$A$2:$A$801,$N35)="","",INDEX('Per Invoice'!$A$2:$A$801,$N35)))</f>
        <v/>
      </c>
      <c r="B35">
        <f>IF($N35="","",IF(INDEX('Per Invoice'!$B$2:$B$801,$N35)="","",INDEX('Per Invoice'!$B$2:$B$801,$N35)))</f>
        <v/>
      </c>
      <c r="C35">
        <f>IF($N35="","",IF(INDEX('Per Invoice'!$C$2:$C$801,$N35)="","",INDEX('Per Invoice'!$C$2:$C$801,$N35)))</f>
        <v/>
      </c>
      <c r="D35">
        <f>IF($N35="","",IF(INDEX('Per Invoice'!$D$2:$D$801,$N35)="","",INDEX('Per Invoice'!$D$2:$D$801,$N35)))</f>
        <v/>
      </c>
      <c r="E35">
        <f>IF($N35="","",IF(INDEX('Per Invoice'!$E$2:$E$801,$N35)="","",INDEX('Per Invoice'!$E$2:$E$801,$N35)))</f>
        <v/>
      </c>
      <c r="F35">
        <f>IF($N35="","",IF(INDEX('Per Invoice'!$F$2:$F$801,$N35)="","",INDEX('Per Invoice'!$F$2:$F$801,$N35)))</f>
        <v/>
      </c>
      <c r="G35">
        <f>IF($N35="","",IF(INDEX('Per Invoice'!$G$2:$G$801,$N35)="","",INDEX('Per Invoice'!$G$2:$G$801,$N35)))</f>
        <v/>
      </c>
      <c r="H35">
        <f>IF($N35="","",IF(INDEX('Per Invoice'!$H$2:$H$801,$N35)="","",INDEX('Per Invoice'!$H$2:$H$801,$N35)))</f>
        <v/>
      </c>
      <c r="I35" s="5">
        <f>IF($N35="","",IF(INDEX('Per Invoice'!$I$2:$I$801,$N35)="","",INDEX('Per Invoice'!$I$2:$I$801,$N35)))</f>
        <v/>
      </c>
      <c r="J35" s="5">
        <f>IF($N35="","",IF(INDEX('Per Invoice'!$J$2:$J$801,$N35)="","",INDEX('Per Invoice'!$J$2:$J$801,$N35)))</f>
        <v/>
      </c>
      <c r="K35" s="5">
        <f>IF($N35="","",IF(INDEX('Per Invoice'!$K$2:$K$801,$N35)="","",INDEX('Per Invoice'!$K$2:$K$801,$N35)))</f>
        <v/>
      </c>
      <c r="L35" s="5">
        <f>IF($N35="","",IF(INDEX('Per Invoice'!$L$2:$L$801,$N35)="","",INDEX('Per Invoice'!$L$2:$L$801,$N35)))</f>
        <v/>
      </c>
      <c r="M35" s="5">
        <f>IF($N35="","",IF(INDEX('Per Invoice'!$M$2:$M$801,$N35)="","",INDEX('Per Invoice'!$M$2:$M$801,$N35)))</f>
        <v/>
      </c>
      <c r="N35">
        <f>IF(ROWS($N$2:$N35)&lt;=COUNT('Per Invoice'!$O$2:$O$801),MATCH(ROWS($N$2:$N35),'Per Invoice'!$O$2:$O$801,0),"")</f>
        <v/>
      </c>
    </row>
    <row r="36">
      <c r="A36">
        <f>IF($N36="","",IF(INDEX('Per Invoice'!$A$2:$A$801,$N36)="","",INDEX('Per Invoice'!$A$2:$A$801,$N36)))</f>
        <v/>
      </c>
      <c r="B36">
        <f>IF($N36="","",IF(INDEX('Per Invoice'!$B$2:$B$801,$N36)="","",INDEX('Per Invoice'!$B$2:$B$801,$N36)))</f>
        <v/>
      </c>
      <c r="C36">
        <f>IF($N36="","",IF(INDEX('Per Invoice'!$C$2:$C$801,$N36)="","",INDEX('Per Invoice'!$C$2:$C$801,$N36)))</f>
        <v/>
      </c>
      <c r="D36">
        <f>IF($N36="","",IF(INDEX('Per Invoice'!$D$2:$D$801,$N36)="","",INDEX('Per Invoice'!$D$2:$D$801,$N36)))</f>
        <v/>
      </c>
      <c r="E36">
        <f>IF($N36="","",IF(INDEX('Per Invoice'!$E$2:$E$801,$N36)="","",INDEX('Per Invoice'!$E$2:$E$801,$N36)))</f>
        <v/>
      </c>
      <c r="F36">
        <f>IF($N36="","",IF(INDEX('Per Invoice'!$F$2:$F$801,$N36)="","",INDEX('Per Invoice'!$F$2:$F$801,$N36)))</f>
        <v/>
      </c>
      <c r="G36">
        <f>IF($N36="","",IF(INDEX('Per Invoice'!$G$2:$G$801,$N36)="","",INDEX('Per Invoice'!$G$2:$G$801,$N36)))</f>
        <v/>
      </c>
      <c r="H36">
        <f>IF($N36="","",IF(INDEX('Per Invoice'!$H$2:$H$801,$N36)="","",INDEX('Per Invoice'!$H$2:$H$801,$N36)))</f>
        <v/>
      </c>
      <c r="I36" s="5">
        <f>IF($N36="","",IF(INDEX('Per Invoice'!$I$2:$I$801,$N36)="","",INDEX('Per Invoice'!$I$2:$I$801,$N36)))</f>
        <v/>
      </c>
      <c r="J36" s="5">
        <f>IF($N36="","",IF(INDEX('Per Invoice'!$J$2:$J$801,$N36)="","",INDEX('Per Invoice'!$J$2:$J$801,$N36)))</f>
        <v/>
      </c>
      <c r="K36" s="5">
        <f>IF($N36="","",IF(INDEX('Per Invoice'!$K$2:$K$801,$N36)="","",INDEX('Per Invoice'!$K$2:$K$801,$N36)))</f>
        <v/>
      </c>
      <c r="L36" s="5">
        <f>IF($N36="","",IF(INDEX('Per Invoice'!$L$2:$L$801,$N36)="","",INDEX('Per Invoice'!$L$2:$L$801,$N36)))</f>
        <v/>
      </c>
      <c r="M36" s="5">
        <f>IF($N36="","",IF(INDEX('Per Invoice'!$M$2:$M$801,$N36)="","",INDEX('Per Invoice'!$M$2:$M$801,$N36)))</f>
        <v/>
      </c>
      <c r="N36">
        <f>IF(ROWS($N$2:$N36)&lt;=COUNT('Per Invoice'!$O$2:$O$801),MATCH(ROWS($N$2:$N36),'Per Invoice'!$O$2:$O$801,0),"")</f>
        <v/>
      </c>
    </row>
    <row r="37">
      <c r="A37">
        <f>IF($N37="","",IF(INDEX('Per Invoice'!$A$2:$A$801,$N37)="","",INDEX('Per Invoice'!$A$2:$A$801,$N37)))</f>
        <v/>
      </c>
      <c r="B37">
        <f>IF($N37="","",IF(INDEX('Per Invoice'!$B$2:$B$801,$N37)="","",INDEX('Per Invoice'!$B$2:$B$801,$N37)))</f>
        <v/>
      </c>
      <c r="C37">
        <f>IF($N37="","",IF(INDEX('Per Invoice'!$C$2:$C$801,$N37)="","",INDEX('Per Invoice'!$C$2:$C$801,$N37)))</f>
        <v/>
      </c>
      <c r="D37">
        <f>IF($N37="","",IF(INDEX('Per Invoice'!$D$2:$D$801,$N37)="","",INDEX('Per Invoice'!$D$2:$D$801,$N37)))</f>
        <v/>
      </c>
      <c r="E37">
        <f>IF($N37="","",IF(INDEX('Per Invoice'!$E$2:$E$801,$N37)="","",INDEX('Per Invoice'!$E$2:$E$801,$N37)))</f>
        <v/>
      </c>
      <c r="F37">
        <f>IF($N37="","",IF(INDEX('Per Invoice'!$F$2:$F$801,$N37)="","",INDEX('Per Invoice'!$F$2:$F$801,$N37)))</f>
        <v/>
      </c>
      <c r="G37">
        <f>IF($N37="","",IF(INDEX('Per Invoice'!$G$2:$G$801,$N37)="","",INDEX('Per Invoice'!$G$2:$G$801,$N37)))</f>
        <v/>
      </c>
      <c r="H37">
        <f>IF($N37="","",IF(INDEX('Per Invoice'!$H$2:$H$801,$N37)="","",INDEX('Per Invoice'!$H$2:$H$801,$N37)))</f>
        <v/>
      </c>
      <c r="I37" s="5">
        <f>IF($N37="","",IF(INDEX('Per Invoice'!$I$2:$I$801,$N37)="","",INDEX('Per Invoice'!$I$2:$I$801,$N37)))</f>
        <v/>
      </c>
      <c r="J37" s="5">
        <f>IF($N37="","",IF(INDEX('Per Invoice'!$J$2:$J$801,$N37)="","",INDEX('Per Invoice'!$J$2:$J$801,$N37)))</f>
        <v/>
      </c>
      <c r="K37" s="5">
        <f>IF($N37="","",IF(INDEX('Per Invoice'!$K$2:$K$801,$N37)="","",INDEX('Per Invoice'!$K$2:$K$801,$N37)))</f>
        <v/>
      </c>
      <c r="L37" s="5">
        <f>IF($N37="","",IF(INDEX('Per Invoice'!$L$2:$L$801,$N37)="","",INDEX('Per Invoice'!$L$2:$L$801,$N37)))</f>
        <v/>
      </c>
      <c r="M37" s="5">
        <f>IF($N37="","",IF(INDEX('Per Invoice'!$M$2:$M$801,$N37)="","",INDEX('Per Invoice'!$M$2:$M$801,$N37)))</f>
        <v/>
      </c>
      <c r="N37">
        <f>IF(ROWS($N$2:$N37)&lt;=COUNT('Per Invoice'!$O$2:$O$801),MATCH(ROWS($N$2:$N37),'Per Invoice'!$O$2:$O$801,0),"")</f>
        <v/>
      </c>
    </row>
    <row r="38">
      <c r="A38">
        <f>IF($N38="","",IF(INDEX('Per Invoice'!$A$2:$A$801,$N38)="","",INDEX('Per Invoice'!$A$2:$A$801,$N38)))</f>
        <v/>
      </c>
      <c r="B38">
        <f>IF($N38="","",IF(INDEX('Per Invoice'!$B$2:$B$801,$N38)="","",INDEX('Per Invoice'!$B$2:$B$801,$N38)))</f>
        <v/>
      </c>
      <c r="C38">
        <f>IF($N38="","",IF(INDEX('Per Invoice'!$C$2:$C$801,$N38)="","",INDEX('Per Invoice'!$C$2:$C$801,$N38)))</f>
        <v/>
      </c>
      <c r="D38">
        <f>IF($N38="","",IF(INDEX('Per Invoice'!$D$2:$D$801,$N38)="","",INDEX('Per Invoice'!$D$2:$D$801,$N38)))</f>
        <v/>
      </c>
      <c r="E38">
        <f>IF($N38="","",IF(INDEX('Per Invoice'!$E$2:$E$801,$N38)="","",INDEX('Per Invoice'!$E$2:$E$801,$N38)))</f>
        <v/>
      </c>
      <c r="F38">
        <f>IF($N38="","",IF(INDEX('Per Invoice'!$F$2:$F$801,$N38)="","",INDEX('Per Invoice'!$F$2:$F$801,$N38)))</f>
        <v/>
      </c>
      <c r="G38">
        <f>IF($N38="","",IF(INDEX('Per Invoice'!$G$2:$G$801,$N38)="","",INDEX('Per Invoice'!$G$2:$G$801,$N38)))</f>
        <v/>
      </c>
      <c r="H38">
        <f>IF($N38="","",IF(INDEX('Per Invoice'!$H$2:$H$801,$N38)="","",INDEX('Per Invoice'!$H$2:$H$801,$N38)))</f>
        <v/>
      </c>
      <c r="I38" s="5">
        <f>IF($N38="","",IF(INDEX('Per Invoice'!$I$2:$I$801,$N38)="","",INDEX('Per Invoice'!$I$2:$I$801,$N38)))</f>
        <v/>
      </c>
      <c r="J38" s="5">
        <f>IF($N38="","",IF(INDEX('Per Invoice'!$J$2:$J$801,$N38)="","",INDEX('Per Invoice'!$J$2:$J$801,$N38)))</f>
        <v/>
      </c>
      <c r="K38" s="5">
        <f>IF($N38="","",IF(INDEX('Per Invoice'!$K$2:$K$801,$N38)="","",INDEX('Per Invoice'!$K$2:$K$801,$N38)))</f>
        <v/>
      </c>
      <c r="L38" s="5">
        <f>IF($N38="","",IF(INDEX('Per Invoice'!$L$2:$L$801,$N38)="","",INDEX('Per Invoice'!$L$2:$L$801,$N38)))</f>
        <v/>
      </c>
      <c r="M38" s="5">
        <f>IF($N38="","",IF(INDEX('Per Invoice'!$M$2:$M$801,$N38)="","",INDEX('Per Invoice'!$M$2:$M$801,$N38)))</f>
        <v/>
      </c>
      <c r="N38">
        <f>IF(ROWS($N$2:$N38)&lt;=COUNT('Per Invoice'!$O$2:$O$801),MATCH(ROWS($N$2:$N38),'Per Invoice'!$O$2:$O$801,0),"")</f>
        <v/>
      </c>
    </row>
    <row r="39">
      <c r="A39">
        <f>IF($N39="","",IF(INDEX('Per Invoice'!$A$2:$A$801,$N39)="","",INDEX('Per Invoice'!$A$2:$A$801,$N39)))</f>
        <v/>
      </c>
      <c r="B39">
        <f>IF($N39="","",IF(INDEX('Per Invoice'!$B$2:$B$801,$N39)="","",INDEX('Per Invoice'!$B$2:$B$801,$N39)))</f>
        <v/>
      </c>
      <c r="C39">
        <f>IF($N39="","",IF(INDEX('Per Invoice'!$C$2:$C$801,$N39)="","",INDEX('Per Invoice'!$C$2:$C$801,$N39)))</f>
        <v/>
      </c>
      <c r="D39">
        <f>IF($N39="","",IF(INDEX('Per Invoice'!$D$2:$D$801,$N39)="","",INDEX('Per Invoice'!$D$2:$D$801,$N39)))</f>
        <v/>
      </c>
      <c r="E39">
        <f>IF($N39="","",IF(INDEX('Per Invoice'!$E$2:$E$801,$N39)="","",INDEX('Per Invoice'!$E$2:$E$801,$N39)))</f>
        <v/>
      </c>
      <c r="F39">
        <f>IF($N39="","",IF(INDEX('Per Invoice'!$F$2:$F$801,$N39)="","",INDEX('Per Invoice'!$F$2:$F$801,$N39)))</f>
        <v/>
      </c>
      <c r="G39">
        <f>IF($N39="","",IF(INDEX('Per Invoice'!$G$2:$G$801,$N39)="","",INDEX('Per Invoice'!$G$2:$G$801,$N39)))</f>
        <v/>
      </c>
      <c r="H39">
        <f>IF($N39="","",IF(INDEX('Per Invoice'!$H$2:$H$801,$N39)="","",INDEX('Per Invoice'!$H$2:$H$801,$N39)))</f>
        <v/>
      </c>
      <c r="I39" s="5">
        <f>IF($N39="","",IF(INDEX('Per Invoice'!$I$2:$I$801,$N39)="","",INDEX('Per Invoice'!$I$2:$I$801,$N39)))</f>
        <v/>
      </c>
      <c r="J39" s="5">
        <f>IF($N39="","",IF(INDEX('Per Invoice'!$J$2:$J$801,$N39)="","",INDEX('Per Invoice'!$J$2:$J$801,$N39)))</f>
        <v/>
      </c>
      <c r="K39" s="5">
        <f>IF($N39="","",IF(INDEX('Per Invoice'!$K$2:$K$801,$N39)="","",INDEX('Per Invoice'!$K$2:$K$801,$N39)))</f>
        <v/>
      </c>
      <c r="L39" s="5">
        <f>IF($N39="","",IF(INDEX('Per Invoice'!$L$2:$L$801,$N39)="","",INDEX('Per Invoice'!$L$2:$L$801,$N39)))</f>
        <v/>
      </c>
      <c r="M39" s="5">
        <f>IF($N39="","",IF(INDEX('Per Invoice'!$M$2:$M$801,$N39)="","",INDEX('Per Invoice'!$M$2:$M$801,$N39)))</f>
        <v/>
      </c>
      <c r="N39">
        <f>IF(ROWS($N$2:$N39)&lt;=COUNT('Per Invoice'!$O$2:$O$801),MATCH(ROWS($N$2:$N39),'Per Invoice'!$O$2:$O$801,0),"")</f>
        <v/>
      </c>
    </row>
    <row r="40">
      <c r="A40">
        <f>IF($N40="","",IF(INDEX('Per Invoice'!$A$2:$A$801,$N40)="","",INDEX('Per Invoice'!$A$2:$A$801,$N40)))</f>
        <v/>
      </c>
      <c r="B40">
        <f>IF($N40="","",IF(INDEX('Per Invoice'!$B$2:$B$801,$N40)="","",INDEX('Per Invoice'!$B$2:$B$801,$N40)))</f>
        <v/>
      </c>
      <c r="C40">
        <f>IF($N40="","",IF(INDEX('Per Invoice'!$C$2:$C$801,$N40)="","",INDEX('Per Invoice'!$C$2:$C$801,$N40)))</f>
        <v/>
      </c>
      <c r="D40">
        <f>IF($N40="","",IF(INDEX('Per Invoice'!$D$2:$D$801,$N40)="","",INDEX('Per Invoice'!$D$2:$D$801,$N40)))</f>
        <v/>
      </c>
      <c r="E40">
        <f>IF($N40="","",IF(INDEX('Per Invoice'!$E$2:$E$801,$N40)="","",INDEX('Per Invoice'!$E$2:$E$801,$N40)))</f>
        <v/>
      </c>
      <c r="F40">
        <f>IF($N40="","",IF(INDEX('Per Invoice'!$F$2:$F$801,$N40)="","",INDEX('Per Invoice'!$F$2:$F$801,$N40)))</f>
        <v/>
      </c>
      <c r="G40">
        <f>IF($N40="","",IF(INDEX('Per Invoice'!$G$2:$G$801,$N40)="","",INDEX('Per Invoice'!$G$2:$G$801,$N40)))</f>
        <v/>
      </c>
      <c r="H40">
        <f>IF($N40="","",IF(INDEX('Per Invoice'!$H$2:$H$801,$N40)="","",INDEX('Per Invoice'!$H$2:$H$801,$N40)))</f>
        <v/>
      </c>
      <c r="I40" s="5">
        <f>IF($N40="","",IF(INDEX('Per Invoice'!$I$2:$I$801,$N40)="","",INDEX('Per Invoice'!$I$2:$I$801,$N40)))</f>
        <v/>
      </c>
      <c r="J40" s="5">
        <f>IF($N40="","",IF(INDEX('Per Invoice'!$J$2:$J$801,$N40)="","",INDEX('Per Invoice'!$J$2:$J$801,$N40)))</f>
        <v/>
      </c>
      <c r="K40" s="5">
        <f>IF($N40="","",IF(INDEX('Per Invoice'!$K$2:$K$801,$N40)="","",INDEX('Per Invoice'!$K$2:$K$801,$N40)))</f>
        <v/>
      </c>
      <c r="L40" s="5">
        <f>IF($N40="","",IF(INDEX('Per Invoice'!$L$2:$L$801,$N40)="","",INDEX('Per Invoice'!$L$2:$L$801,$N40)))</f>
        <v/>
      </c>
      <c r="M40" s="5">
        <f>IF($N40="","",IF(INDEX('Per Invoice'!$M$2:$M$801,$N40)="","",INDEX('Per Invoice'!$M$2:$M$801,$N40)))</f>
        <v/>
      </c>
      <c r="N40">
        <f>IF(ROWS($N$2:$N40)&lt;=COUNT('Per Invoice'!$O$2:$O$801),MATCH(ROWS($N$2:$N40),'Per Invoice'!$O$2:$O$801,0),"")</f>
        <v/>
      </c>
    </row>
    <row r="41">
      <c r="A41">
        <f>IF($N41="","",IF(INDEX('Per Invoice'!$A$2:$A$801,$N41)="","",INDEX('Per Invoice'!$A$2:$A$801,$N41)))</f>
        <v/>
      </c>
      <c r="B41">
        <f>IF($N41="","",IF(INDEX('Per Invoice'!$B$2:$B$801,$N41)="","",INDEX('Per Invoice'!$B$2:$B$801,$N41)))</f>
        <v/>
      </c>
      <c r="C41">
        <f>IF($N41="","",IF(INDEX('Per Invoice'!$C$2:$C$801,$N41)="","",INDEX('Per Invoice'!$C$2:$C$801,$N41)))</f>
        <v/>
      </c>
      <c r="D41">
        <f>IF($N41="","",IF(INDEX('Per Invoice'!$D$2:$D$801,$N41)="","",INDEX('Per Invoice'!$D$2:$D$801,$N41)))</f>
        <v/>
      </c>
      <c r="E41">
        <f>IF($N41="","",IF(INDEX('Per Invoice'!$E$2:$E$801,$N41)="","",INDEX('Per Invoice'!$E$2:$E$801,$N41)))</f>
        <v/>
      </c>
      <c r="F41">
        <f>IF($N41="","",IF(INDEX('Per Invoice'!$F$2:$F$801,$N41)="","",INDEX('Per Invoice'!$F$2:$F$801,$N41)))</f>
        <v/>
      </c>
      <c r="G41">
        <f>IF($N41="","",IF(INDEX('Per Invoice'!$G$2:$G$801,$N41)="","",INDEX('Per Invoice'!$G$2:$G$801,$N41)))</f>
        <v/>
      </c>
      <c r="H41">
        <f>IF($N41="","",IF(INDEX('Per Invoice'!$H$2:$H$801,$N41)="","",INDEX('Per Invoice'!$H$2:$H$801,$N41)))</f>
        <v/>
      </c>
      <c r="I41" s="5">
        <f>IF($N41="","",IF(INDEX('Per Invoice'!$I$2:$I$801,$N41)="","",INDEX('Per Invoice'!$I$2:$I$801,$N41)))</f>
        <v/>
      </c>
      <c r="J41" s="5">
        <f>IF($N41="","",IF(INDEX('Per Invoice'!$J$2:$J$801,$N41)="","",INDEX('Per Invoice'!$J$2:$J$801,$N41)))</f>
        <v/>
      </c>
      <c r="K41" s="5">
        <f>IF($N41="","",IF(INDEX('Per Invoice'!$K$2:$K$801,$N41)="","",INDEX('Per Invoice'!$K$2:$K$801,$N41)))</f>
        <v/>
      </c>
      <c r="L41" s="5">
        <f>IF($N41="","",IF(INDEX('Per Invoice'!$L$2:$L$801,$N41)="","",INDEX('Per Invoice'!$L$2:$L$801,$N41)))</f>
        <v/>
      </c>
      <c r="M41" s="5">
        <f>IF($N41="","",IF(INDEX('Per Invoice'!$M$2:$M$801,$N41)="","",INDEX('Per Invoice'!$M$2:$M$801,$N41)))</f>
        <v/>
      </c>
      <c r="N41">
        <f>IF(ROWS($N$2:$N41)&lt;=COUNT('Per Invoice'!$O$2:$O$801),MATCH(ROWS($N$2:$N41),'Per Invoice'!$O$2:$O$801,0),"")</f>
        <v/>
      </c>
    </row>
    <row r="42">
      <c r="A42">
        <f>IF($N42="","",IF(INDEX('Per Invoice'!$A$2:$A$801,$N42)="","",INDEX('Per Invoice'!$A$2:$A$801,$N42)))</f>
        <v/>
      </c>
      <c r="B42">
        <f>IF($N42="","",IF(INDEX('Per Invoice'!$B$2:$B$801,$N42)="","",INDEX('Per Invoice'!$B$2:$B$801,$N42)))</f>
        <v/>
      </c>
      <c r="C42">
        <f>IF($N42="","",IF(INDEX('Per Invoice'!$C$2:$C$801,$N42)="","",INDEX('Per Invoice'!$C$2:$C$801,$N42)))</f>
        <v/>
      </c>
      <c r="D42">
        <f>IF($N42="","",IF(INDEX('Per Invoice'!$D$2:$D$801,$N42)="","",INDEX('Per Invoice'!$D$2:$D$801,$N42)))</f>
        <v/>
      </c>
      <c r="E42">
        <f>IF($N42="","",IF(INDEX('Per Invoice'!$E$2:$E$801,$N42)="","",INDEX('Per Invoice'!$E$2:$E$801,$N42)))</f>
        <v/>
      </c>
      <c r="F42">
        <f>IF($N42="","",IF(INDEX('Per Invoice'!$F$2:$F$801,$N42)="","",INDEX('Per Invoice'!$F$2:$F$801,$N42)))</f>
        <v/>
      </c>
      <c r="G42">
        <f>IF($N42="","",IF(INDEX('Per Invoice'!$G$2:$G$801,$N42)="","",INDEX('Per Invoice'!$G$2:$G$801,$N42)))</f>
        <v/>
      </c>
      <c r="H42">
        <f>IF($N42="","",IF(INDEX('Per Invoice'!$H$2:$H$801,$N42)="","",INDEX('Per Invoice'!$H$2:$H$801,$N42)))</f>
        <v/>
      </c>
      <c r="I42" s="5">
        <f>IF($N42="","",IF(INDEX('Per Invoice'!$I$2:$I$801,$N42)="","",INDEX('Per Invoice'!$I$2:$I$801,$N42)))</f>
        <v/>
      </c>
      <c r="J42" s="5">
        <f>IF($N42="","",IF(INDEX('Per Invoice'!$J$2:$J$801,$N42)="","",INDEX('Per Invoice'!$J$2:$J$801,$N42)))</f>
        <v/>
      </c>
      <c r="K42" s="5">
        <f>IF($N42="","",IF(INDEX('Per Invoice'!$K$2:$K$801,$N42)="","",INDEX('Per Invoice'!$K$2:$K$801,$N42)))</f>
        <v/>
      </c>
      <c r="L42" s="5">
        <f>IF($N42="","",IF(INDEX('Per Invoice'!$L$2:$L$801,$N42)="","",INDEX('Per Invoice'!$L$2:$L$801,$N42)))</f>
        <v/>
      </c>
      <c r="M42" s="5">
        <f>IF($N42="","",IF(INDEX('Per Invoice'!$M$2:$M$801,$N42)="","",INDEX('Per Invoice'!$M$2:$M$801,$N42)))</f>
        <v/>
      </c>
      <c r="N42">
        <f>IF(ROWS($N$2:$N42)&lt;=COUNT('Per Invoice'!$O$2:$O$801),MATCH(ROWS($N$2:$N42),'Per Invoice'!$O$2:$O$801,0),"")</f>
        <v/>
      </c>
    </row>
    <row r="43">
      <c r="A43">
        <f>IF($N43="","",IF(INDEX('Per Invoice'!$A$2:$A$801,$N43)="","",INDEX('Per Invoice'!$A$2:$A$801,$N43)))</f>
        <v/>
      </c>
      <c r="B43">
        <f>IF($N43="","",IF(INDEX('Per Invoice'!$B$2:$B$801,$N43)="","",INDEX('Per Invoice'!$B$2:$B$801,$N43)))</f>
        <v/>
      </c>
      <c r="C43">
        <f>IF($N43="","",IF(INDEX('Per Invoice'!$C$2:$C$801,$N43)="","",INDEX('Per Invoice'!$C$2:$C$801,$N43)))</f>
        <v/>
      </c>
      <c r="D43">
        <f>IF($N43="","",IF(INDEX('Per Invoice'!$D$2:$D$801,$N43)="","",INDEX('Per Invoice'!$D$2:$D$801,$N43)))</f>
        <v/>
      </c>
      <c r="E43">
        <f>IF($N43="","",IF(INDEX('Per Invoice'!$E$2:$E$801,$N43)="","",INDEX('Per Invoice'!$E$2:$E$801,$N43)))</f>
        <v/>
      </c>
      <c r="F43">
        <f>IF($N43="","",IF(INDEX('Per Invoice'!$F$2:$F$801,$N43)="","",INDEX('Per Invoice'!$F$2:$F$801,$N43)))</f>
        <v/>
      </c>
      <c r="G43">
        <f>IF($N43="","",IF(INDEX('Per Invoice'!$G$2:$G$801,$N43)="","",INDEX('Per Invoice'!$G$2:$G$801,$N43)))</f>
        <v/>
      </c>
      <c r="H43">
        <f>IF($N43="","",IF(INDEX('Per Invoice'!$H$2:$H$801,$N43)="","",INDEX('Per Invoice'!$H$2:$H$801,$N43)))</f>
        <v/>
      </c>
      <c r="I43" s="5">
        <f>IF($N43="","",IF(INDEX('Per Invoice'!$I$2:$I$801,$N43)="","",INDEX('Per Invoice'!$I$2:$I$801,$N43)))</f>
        <v/>
      </c>
      <c r="J43" s="5">
        <f>IF($N43="","",IF(INDEX('Per Invoice'!$J$2:$J$801,$N43)="","",INDEX('Per Invoice'!$J$2:$J$801,$N43)))</f>
        <v/>
      </c>
      <c r="K43" s="5">
        <f>IF($N43="","",IF(INDEX('Per Invoice'!$K$2:$K$801,$N43)="","",INDEX('Per Invoice'!$K$2:$K$801,$N43)))</f>
        <v/>
      </c>
      <c r="L43" s="5">
        <f>IF($N43="","",IF(INDEX('Per Invoice'!$L$2:$L$801,$N43)="","",INDEX('Per Invoice'!$L$2:$L$801,$N43)))</f>
        <v/>
      </c>
      <c r="M43" s="5">
        <f>IF($N43="","",IF(INDEX('Per Invoice'!$M$2:$M$801,$N43)="","",INDEX('Per Invoice'!$M$2:$M$801,$N43)))</f>
        <v/>
      </c>
      <c r="N43">
        <f>IF(ROWS($N$2:$N43)&lt;=COUNT('Per Invoice'!$O$2:$O$801),MATCH(ROWS($N$2:$N43),'Per Invoice'!$O$2:$O$801,0),"")</f>
        <v/>
      </c>
    </row>
    <row r="44">
      <c r="A44">
        <f>IF($N44="","",IF(INDEX('Per Invoice'!$A$2:$A$801,$N44)="","",INDEX('Per Invoice'!$A$2:$A$801,$N44)))</f>
        <v/>
      </c>
      <c r="B44">
        <f>IF($N44="","",IF(INDEX('Per Invoice'!$B$2:$B$801,$N44)="","",INDEX('Per Invoice'!$B$2:$B$801,$N44)))</f>
        <v/>
      </c>
      <c r="C44">
        <f>IF($N44="","",IF(INDEX('Per Invoice'!$C$2:$C$801,$N44)="","",INDEX('Per Invoice'!$C$2:$C$801,$N44)))</f>
        <v/>
      </c>
      <c r="D44">
        <f>IF($N44="","",IF(INDEX('Per Invoice'!$D$2:$D$801,$N44)="","",INDEX('Per Invoice'!$D$2:$D$801,$N44)))</f>
        <v/>
      </c>
      <c r="E44">
        <f>IF($N44="","",IF(INDEX('Per Invoice'!$E$2:$E$801,$N44)="","",INDEX('Per Invoice'!$E$2:$E$801,$N44)))</f>
        <v/>
      </c>
      <c r="F44">
        <f>IF($N44="","",IF(INDEX('Per Invoice'!$F$2:$F$801,$N44)="","",INDEX('Per Invoice'!$F$2:$F$801,$N44)))</f>
        <v/>
      </c>
      <c r="G44">
        <f>IF($N44="","",IF(INDEX('Per Invoice'!$G$2:$G$801,$N44)="","",INDEX('Per Invoice'!$G$2:$G$801,$N44)))</f>
        <v/>
      </c>
      <c r="H44">
        <f>IF($N44="","",IF(INDEX('Per Invoice'!$H$2:$H$801,$N44)="","",INDEX('Per Invoice'!$H$2:$H$801,$N44)))</f>
        <v/>
      </c>
      <c r="I44" s="5">
        <f>IF($N44="","",IF(INDEX('Per Invoice'!$I$2:$I$801,$N44)="","",INDEX('Per Invoice'!$I$2:$I$801,$N44)))</f>
        <v/>
      </c>
      <c r="J44" s="5">
        <f>IF($N44="","",IF(INDEX('Per Invoice'!$J$2:$J$801,$N44)="","",INDEX('Per Invoice'!$J$2:$J$801,$N44)))</f>
        <v/>
      </c>
      <c r="K44" s="5">
        <f>IF($N44="","",IF(INDEX('Per Invoice'!$K$2:$K$801,$N44)="","",INDEX('Per Invoice'!$K$2:$K$801,$N44)))</f>
        <v/>
      </c>
      <c r="L44" s="5">
        <f>IF($N44="","",IF(INDEX('Per Invoice'!$L$2:$L$801,$N44)="","",INDEX('Per Invoice'!$L$2:$L$801,$N44)))</f>
        <v/>
      </c>
      <c r="M44" s="5">
        <f>IF($N44="","",IF(INDEX('Per Invoice'!$M$2:$M$801,$N44)="","",INDEX('Per Invoice'!$M$2:$M$801,$N44)))</f>
        <v/>
      </c>
      <c r="N44">
        <f>IF(ROWS($N$2:$N44)&lt;=COUNT('Per Invoice'!$O$2:$O$801),MATCH(ROWS($N$2:$N44),'Per Invoice'!$O$2:$O$801,0),"")</f>
        <v/>
      </c>
    </row>
    <row r="45">
      <c r="A45">
        <f>IF($N45="","",IF(INDEX('Per Invoice'!$A$2:$A$801,$N45)="","",INDEX('Per Invoice'!$A$2:$A$801,$N45)))</f>
        <v/>
      </c>
      <c r="B45">
        <f>IF($N45="","",IF(INDEX('Per Invoice'!$B$2:$B$801,$N45)="","",INDEX('Per Invoice'!$B$2:$B$801,$N45)))</f>
        <v/>
      </c>
      <c r="C45">
        <f>IF($N45="","",IF(INDEX('Per Invoice'!$C$2:$C$801,$N45)="","",INDEX('Per Invoice'!$C$2:$C$801,$N45)))</f>
        <v/>
      </c>
      <c r="D45">
        <f>IF($N45="","",IF(INDEX('Per Invoice'!$D$2:$D$801,$N45)="","",INDEX('Per Invoice'!$D$2:$D$801,$N45)))</f>
        <v/>
      </c>
      <c r="E45">
        <f>IF($N45="","",IF(INDEX('Per Invoice'!$E$2:$E$801,$N45)="","",INDEX('Per Invoice'!$E$2:$E$801,$N45)))</f>
        <v/>
      </c>
      <c r="F45">
        <f>IF($N45="","",IF(INDEX('Per Invoice'!$F$2:$F$801,$N45)="","",INDEX('Per Invoice'!$F$2:$F$801,$N45)))</f>
        <v/>
      </c>
      <c r="G45">
        <f>IF($N45="","",IF(INDEX('Per Invoice'!$G$2:$G$801,$N45)="","",INDEX('Per Invoice'!$G$2:$G$801,$N45)))</f>
        <v/>
      </c>
      <c r="H45">
        <f>IF($N45="","",IF(INDEX('Per Invoice'!$H$2:$H$801,$N45)="","",INDEX('Per Invoice'!$H$2:$H$801,$N45)))</f>
        <v/>
      </c>
      <c r="I45" s="5">
        <f>IF($N45="","",IF(INDEX('Per Invoice'!$I$2:$I$801,$N45)="","",INDEX('Per Invoice'!$I$2:$I$801,$N45)))</f>
        <v/>
      </c>
      <c r="J45" s="5">
        <f>IF($N45="","",IF(INDEX('Per Invoice'!$J$2:$J$801,$N45)="","",INDEX('Per Invoice'!$J$2:$J$801,$N45)))</f>
        <v/>
      </c>
      <c r="K45" s="5">
        <f>IF($N45="","",IF(INDEX('Per Invoice'!$K$2:$K$801,$N45)="","",INDEX('Per Invoice'!$K$2:$K$801,$N45)))</f>
        <v/>
      </c>
      <c r="L45" s="5">
        <f>IF($N45="","",IF(INDEX('Per Invoice'!$L$2:$L$801,$N45)="","",INDEX('Per Invoice'!$L$2:$L$801,$N45)))</f>
        <v/>
      </c>
      <c r="M45" s="5">
        <f>IF($N45="","",IF(INDEX('Per Invoice'!$M$2:$M$801,$N45)="","",INDEX('Per Invoice'!$M$2:$M$801,$N45)))</f>
        <v/>
      </c>
      <c r="N45">
        <f>IF(ROWS($N$2:$N45)&lt;=COUNT('Per Invoice'!$O$2:$O$801),MATCH(ROWS($N$2:$N45),'Per Invoice'!$O$2:$O$801,0),"")</f>
        <v/>
      </c>
    </row>
    <row r="46">
      <c r="A46">
        <f>IF($N46="","",IF(INDEX('Per Invoice'!$A$2:$A$801,$N46)="","",INDEX('Per Invoice'!$A$2:$A$801,$N46)))</f>
        <v/>
      </c>
      <c r="B46">
        <f>IF($N46="","",IF(INDEX('Per Invoice'!$B$2:$B$801,$N46)="","",INDEX('Per Invoice'!$B$2:$B$801,$N46)))</f>
        <v/>
      </c>
      <c r="C46">
        <f>IF($N46="","",IF(INDEX('Per Invoice'!$C$2:$C$801,$N46)="","",INDEX('Per Invoice'!$C$2:$C$801,$N46)))</f>
        <v/>
      </c>
      <c r="D46">
        <f>IF($N46="","",IF(INDEX('Per Invoice'!$D$2:$D$801,$N46)="","",INDEX('Per Invoice'!$D$2:$D$801,$N46)))</f>
        <v/>
      </c>
      <c r="E46">
        <f>IF($N46="","",IF(INDEX('Per Invoice'!$E$2:$E$801,$N46)="","",INDEX('Per Invoice'!$E$2:$E$801,$N46)))</f>
        <v/>
      </c>
      <c r="F46">
        <f>IF($N46="","",IF(INDEX('Per Invoice'!$F$2:$F$801,$N46)="","",INDEX('Per Invoice'!$F$2:$F$801,$N46)))</f>
        <v/>
      </c>
      <c r="G46">
        <f>IF($N46="","",IF(INDEX('Per Invoice'!$G$2:$G$801,$N46)="","",INDEX('Per Invoice'!$G$2:$G$801,$N46)))</f>
        <v/>
      </c>
      <c r="H46">
        <f>IF($N46="","",IF(INDEX('Per Invoice'!$H$2:$H$801,$N46)="","",INDEX('Per Invoice'!$H$2:$H$801,$N46)))</f>
        <v/>
      </c>
      <c r="I46" s="5">
        <f>IF($N46="","",IF(INDEX('Per Invoice'!$I$2:$I$801,$N46)="","",INDEX('Per Invoice'!$I$2:$I$801,$N46)))</f>
        <v/>
      </c>
      <c r="J46" s="5">
        <f>IF($N46="","",IF(INDEX('Per Invoice'!$J$2:$J$801,$N46)="","",INDEX('Per Invoice'!$J$2:$J$801,$N46)))</f>
        <v/>
      </c>
      <c r="K46" s="5">
        <f>IF($N46="","",IF(INDEX('Per Invoice'!$K$2:$K$801,$N46)="","",INDEX('Per Invoice'!$K$2:$K$801,$N46)))</f>
        <v/>
      </c>
      <c r="L46" s="5">
        <f>IF($N46="","",IF(INDEX('Per Invoice'!$L$2:$L$801,$N46)="","",INDEX('Per Invoice'!$L$2:$L$801,$N46)))</f>
        <v/>
      </c>
      <c r="M46" s="5">
        <f>IF($N46="","",IF(INDEX('Per Invoice'!$M$2:$M$801,$N46)="","",INDEX('Per Invoice'!$M$2:$M$801,$N46)))</f>
        <v/>
      </c>
      <c r="N46">
        <f>IF(ROWS($N$2:$N46)&lt;=COUNT('Per Invoice'!$O$2:$O$801),MATCH(ROWS($N$2:$N46),'Per Invoice'!$O$2:$O$801,0),"")</f>
        <v/>
      </c>
    </row>
    <row r="47">
      <c r="A47">
        <f>IF($N47="","",IF(INDEX('Per Invoice'!$A$2:$A$801,$N47)="","",INDEX('Per Invoice'!$A$2:$A$801,$N47)))</f>
        <v/>
      </c>
      <c r="B47">
        <f>IF($N47="","",IF(INDEX('Per Invoice'!$B$2:$B$801,$N47)="","",INDEX('Per Invoice'!$B$2:$B$801,$N47)))</f>
        <v/>
      </c>
      <c r="C47">
        <f>IF($N47="","",IF(INDEX('Per Invoice'!$C$2:$C$801,$N47)="","",INDEX('Per Invoice'!$C$2:$C$801,$N47)))</f>
        <v/>
      </c>
      <c r="D47">
        <f>IF($N47="","",IF(INDEX('Per Invoice'!$D$2:$D$801,$N47)="","",INDEX('Per Invoice'!$D$2:$D$801,$N47)))</f>
        <v/>
      </c>
      <c r="E47">
        <f>IF($N47="","",IF(INDEX('Per Invoice'!$E$2:$E$801,$N47)="","",INDEX('Per Invoice'!$E$2:$E$801,$N47)))</f>
        <v/>
      </c>
      <c r="F47">
        <f>IF($N47="","",IF(INDEX('Per Invoice'!$F$2:$F$801,$N47)="","",INDEX('Per Invoice'!$F$2:$F$801,$N47)))</f>
        <v/>
      </c>
      <c r="G47">
        <f>IF($N47="","",IF(INDEX('Per Invoice'!$G$2:$G$801,$N47)="","",INDEX('Per Invoice'!$G$2:$G$801,$N47)))</f>
        <v/>
      </c>
      <c r="H47">
        <f>IF($N47="","",IF(INDEX('Per Invoice'!$H$2:$H$801,$N47)="","",INDEX('Per Invoice'!$H$2:$H$801,$N47)))</f>
        <v/>
      </c>
      <c r="I47" s="5">
        <f>IF($N47="","",IF(INDEX('Per Invoice'!$I$2:$I$801,$N47)="","",INDEX('Per Invoice'!$I$2:$I$801,$N47)))</f>
        <v/>
      </c>
      <c r="J47" s="5">
        <f>IF($N47="","",IF(INDEX('Per Invoice'!$J$2:$J$801,$N47)="","",INDEX('Per Invoice'!$J$2:$J$801,$N47)))</f>
        <v/>
      </c>
      <c r="K47" s="5">
        <f>IF($N47="","",IF(INDEX('Per Invoice'!$K$2:$K$801,$N47)="","",INDEX('Per Invoice'!$K$2:$K$801,$N47)))</f>
        <v/>
      </c>
      <c r="L47" s="5">
        <f>IF($N47="","",IF(INDEX('Per Invoice'!$L$2:$L$801,$N47)="","",INDEX('Per Invoice'!$L$2:$L$801,$N47)))</f>
        <v/>
      </c>
      <c r="M47" s="5">
        <f>IF($N47="","",IF(INDEX('Per Invoice'!$M$2:$M$801,$N47)="","",INDEX('Per Invoice'!$M$2:$M$801,$N47)))</f>
        <v/>
      </c>
      <c r="N47">
        <f>IF(ROWS($N$2:$N47)&lt;=COUNT('Per Invoice'!$O$2:$O$801),MATCH(ROWS($N$2:$N47),'Per Invoice'!$O$2:$O$801,0),"")</f>
        <v/>
      </c>
    </row>
    <row r="48">
      <c r="A48">
        <f>IF($N48="","",IF(INDEX('Per Invoice'!$A$2:$A$801,$N48)="","",INDEX('Per Invoice'!$A$2:$A$801,$N48)))</f>
        <v/>
      </c>
      <c r="B48">
        <f>IF($N48="","",IF(INDEX('Per Invoice'!$B$2:$B$801,$N48)="","",INDEX('Per Invoice'!$B$2:$B$801,$N48)))</f>
        <v/>
      </c>
      <c r="C48">
        <f>IF($N48="","",IF(INDEX('Per Invoice'!$C$2:$C$801,$N48)="","",INDEX('Per Invoice'!$C$2:$C$801,$N48)))</f>
        <v/>
      </c>
      <c r="D48">
        <f>IF($N48="","",IF(INDEX('Per Invoice'!$D$2:$D$801,$N48)="","",INDEX('Per Invoice'!$D$2:$D$801,$N48)))</f>
        <v/>
      </c>
      <c r="E48">
        <f>IF($N48="","",IF(INDEX('Per Invoice'!$E$2:$E$801,$N48)="","",INDEX('Per Invoice'!$E$2:$E$801,$N48)))</f>
        <v/>
      </c>
      <c r="F48">
        <f>IF($N48="","",IF(INDEX('Per Invoice'!$F$2:$F$801,$N48)="","",INDEX('Per Invoice'!$F$2:$F$801,$N48)))</f>
        <v/>
      </c>
      <c r="G48">
        <f>IF($N48="","",IF(INDEX('Per Invoice'!$G$2:$G$801,$N48)="","",INDEX('Per Invoice'!$G$2:$G$801,$N48)))</f>
        <v/>
      </c>
      <c r="H48">
        <f>IF($N48="","",IF(INDEX('Per Invoice'!$H$2:$H$801,$N48)="","",INDEX('Per Invoice'!$H$2:$H$801,$N48)))</f>
        <v/>
      </c>
      <c r="I48" s="5">
        <f>IF($N48="","",IF(INDEX('Per Invoice'!$I$2:$I$801,$N48)="","",INDEX('Per Invoice'!$I$2:$I$801,$N48)))</f>
        <v/>
      </c>
      <c r="J48" s="5">
        <f>IF($N48="","",IF(INDEX('Per Invoice'!$J$2:$J$801,$N48)="","",INDEX('Per Invoice'!$J$2:$J$801,$N48)))</f>
        <v/>
      </c>
      <c r="K48" s="5">
        <f>IF($N48="","",IF(INDEX('Per Invoice'!$K$2:$K$801,$N48)="","",INDEX('Per Invoice'!$K$2:$K$801,$N48)))</f>
        <v/>
      </c>
      <c r="L48" s="5">
        <f>IF($N48="","",IF(INDEX('Per Invoice'!$L$2:$L$801,$N48)="","",INDEX('Per Invoice'!$L$2:$L$801,$N48)))</f>
        <v/>
      </c>
      <c r="M48" s="5">
        <f>IF($N48="","",IF(INDEX('Per Invoice'!$M$2:$M$801,$N48)="","",INDEX('Per Invoice'!$M$2:$M$801,$N48)))</f>
        <v/>
      </c>
      <c r="N48">
        <f>IF(ROWS($N$2:$N48)&lt;=COUNT('Per Invoice'!$O$2:$O$801),MATCH(ROWS($N$2:$N48),'Per Invoice'!$O$2:$O$801,0),"")</f>
        <v/>
      </c>
    </row>
    <row r="49">
      <c r="A49">
        <f>IF($N49="","",IF(INDEX('Per Invoice'!$A$2:$A$801,$N49)="","",INDEX('Per Invoice'!$A$2:$A$801,$N49)))</f>
        <v/>
      </c>
      <c r="B49">
        <f>IF($N49="","",IF(INDEX('Per Invoice'!$B$2:$B$801,$N49)="","",INDEX('Per Invoice'!$B$2:$B$801,$N49)))</f>
        <v/>
      </c>
      <c r="C49">
        <f>IF($N49="","",IF(INDEX('Per Invoice'!$C$2:$C$801,$N49)="","",INDEX('Per Invoice'!$C$2:$C$801,$N49)))</f>
        <v/>
      </c>
      <c r="D49">
        <f>IF($N49="","",IF(INDEX('Per Invoice'!$D$2:$D$801,$N49)="","",INDEX('Per Invoice'!$D$2:$D$801,$N49)))</f>
        <v/>
      </c>
      <c r="E49">
        <f>IF($N49="","",IF(INDEX('Per Invoice'!$E$2:$E$801,$N49)="","",INDEX('Per Invoice'!$E$2:$E$801,$N49)))</f>
        <v/>
      </c>
      <c r="F49">
        <f>IF($N49="","",IF(INDEX('Per Invoice'!$F$2:$F$801,$N49)="","",INDEX('Per Invoice'!$F$2:$F$801,$N49)))</f>
        <v/>
      </c>
      <c r="G49">
        <f>IF($N49="","",IF(INDEX('Per Invoice'!$G$2:$G$801,$N49)="","",INDEX('Per Invoice'!$G$2:$G$801,$N49)))</f>
        <v/>
      </c>
      <c r="H49">
        <f>IF($N49="","",IF(INDEX('Per Invoice'!$H$2:$H$801,$N49)="","",INDEX('Per Invoice'!$H$2:$H$801,$N49)))</f>
        <v/>
      </c>
      <c r="I49" s="5">
        <f>IF($N49="","",IF(INDEX('Per Invoice'!$I$2:$I$801,$N49)="","",INDEX('Per Invoice'!$I$2:$I$801,$N49)))</f>
        <v/>
      </c>
      <c r="J49" s="5">
        <f>IF($N49="","",IF(INDEX('Per Invoice'!$J$2:$J$801,$N49)="","",INDEX('Per Invoice'!$J$2:$J$801,$N49)))</f>
        <v/>
      </c>
      <c r="K49" s="5">
        <f>IF($N49="","",IF(INDEX('Per Invoice'!$K$2:$K$801,$N49)="","",INDEX('Per Invoice'!$K$2:$K$801,$N49)))</f>
        <v/>
      </c>
      <c r="L49" s="5">
        <f>IF($N49="","",IF(INDEX('Per Invoice'!$L$2:$L$801,$N49)="","",INDEX('Per Invoice'!$L$2:$L$801,$N49)))</f>
        <v/>
      </c>
      <c r="M49" s="5">
        <f>IF($N49="","",IF(INDEX('Per Invoice'!$M$2:$M$801,$N49)="","",INDEX('Per Invoice'!$M$2:$M$801,$N49)))</f>
        <v/>
      </c>
      <c r="N49">
        <f>IF(ROWS($N$2:$N49)&lt;=COUNT('Per Invoice'!$O$2:$O$801),MATCH(ROWS($N$2:$N49),'Per Invoice'!$O$2:$O$801,0),"")</f>
        <v/>
      </c>
    </row>
    <row r="50">
      <c r="A50">
        <f>IF($N50="","",IF(INDEX('Per Invoice'!$A$2:$A$801,$N50)="","",INDEX('Per Invoice'!$A$2:$A$801,$N50)))</f>
        <v/>
      </c>
      <c r="B50">
        <f>IF($N50="","",IF(INDEX('Per Invoice'!$B$2:$B$801,$N50)="","",INDEX('Per Invoice'!$B$2:$B$801,$N50)))</f>
        <v/>
      </c>
      <c r="C50">
        <f>IF($N50="","",IF(INDEX('Per Invoice'!$C$2:$C$801,$N50)="","",INDEX('Per Invoice'!$C$2:$C$801,$N50)))</f>
        <v/>
      </c>
      <c r="D50">
        <f>IF($N50="","",IF(INDEX('Per Invoice'!$D$2:$D$801,$N50)="","",INDEX('Per Invoice'!$D$2:$D$801,$N50)))</f>
        <v/>
      </c>
      <c r="E50">
        <f>IF($N50="","",IF(INDEX('Per Invoice'!$E$2:$E$801,$N50)="","",INDEX('Per Invoice'!$E$2:$E$801,$N50)))</f>
        <v/>
      </c>
      <c r="F50">
        <f>IF($N50="","",IF(INDEX('Per Invoice'!$F$2:$F$801,$N50)="","",INDEX('Per Invoice'!$F$2:$F$801,$N50)))</f>
        <v/>
      </c>
      <c r="G50">
        <f>IF($N50="","",IF(INDEX('Per Invoice'!$G$2:$G$801,$N50)="","",INDEX('Per Invoice'!$G$2:$G$801,$N50)))</f>
        <v/>
      </c>
      <c r="H50">
        <f>IF($N50="","",IF(INDEX('Per Invoice'!$H$2:$H$801,$N50)="","",INDEX('Per Invoice'!$H$2:$H$801,$N50)))</f>
        <v/>
      </c>
      <c r="I50" s="5">
        <f>IF($N50="","",IF(INDEX('Per Invoice'!$I$2:$I$801,$N50)="","",INDEX('Per Invoice'!$I$2:$I$801,$N50)))</f>
        <v/>
      </c>
      <c r="J50" s="5">
        <f>IF($N50="","",IF(INDEX('Per Invoice'!$J$2:$J$801,$N50)="","",INDEX('Per Invoice'!$J$2:$J$801,$N50)))</f>
        <v/>
      </c>
      <c r="K50" s="5">
        <f>IF($N50="","",IF(INDEX('Per Invoice'!$K$2:$K$801,$N50)="","",INDEX('Per Invoice'!$K$2:$K$801,$N50)))</f>
        <v/>
      </c>
      <c r="L50" s="5">
        <f>IF($N50="","",IF(INDEX('Per Invoice'!$L$2:$L$801,$N50)="","",INDEX('Per Invoice'!$L$2:$L$801,$N50)))</f>
        <v/>
      </c>
      <c r="M50" s="5">
        <f>IF($N50="","",IF(INDEX('Per Invoice'!$M$2:$M$801,$N50)="","",INDEX('Per Invoice'!$M$2:$M$801,$N50)))</f>
        <v/>
      </c>
      <c r="N50">
        <f>IF(ROWS($N$2:$N50)&lt;=COUNT('Per Invoice'!$O$2:$O$801),MATCH(ROWS($N$2:$N50),'Per Invoice'!$O$2:$O$801,0),"")</f>
        <v/>
      </c>
    </row>
    <row r="51">
      <c r="A51">
        <f>IF($N51="","",IF(INDEX('Per Invoice'!$A$2:$A$801,$N51)="","",INDEX('Per Invoice'!$A$2:$A$801,$N51)))</f>
        <v/>
      </c>
      <c r="B51">
        <f>IF($N51="","",IF(INDEX('Per Invoice'!$B$2:$B$801,$N51)="","",INDEX('Per Invoice'!$B$2:$B$801,$N51)))</f>
        <v/>
      </c>
      <c r="C51">
        <f>IF($N51="","",IF(INDEX('Per Invoice'!$C$2:$C$801,$N51)="","",INDEX('Per Invoice'!$C$2:$C$801,$N51)))</f>
        <v/>
      </c>
      <c r="D51">
        <f>IF($N51="","",IF(INDEX('Per Invoice'!$D$2:$D$801,$N51)="","",INDEX('Per Invoice'!$D$2:$D$801,$N51)))</f>
        <v/>
      </c>
      <c r="E51">
        <f>IF($N51="","",IF(INDEX('Per Invoice'!$E$2:$E$801,$N51)="","",INDEX('Per Invoice'!$E$2:$E$801,$N51)))</f>
        <v/>
      </c>
      <c r="F51">
        <f>IF($N51="","",IF(INDEX('Per Invoice'!$F$2:$F$801,$N51)="","",INDEX('Per Invoice'!$F$2:$F$801,$N51)))</f>
        <v/>
      </c>
      <c r="G51">
        <f>IF($N51="","",IF(INDEX('Per Invoice'!$G$2:$G$801,$N51)="","",INDEX('Per Invoice'!$G$2:$G$801,$N51)))</f>
        <v/>
      </c>
      <c r="H51">
        <f>IF($N51="","",IF(INDEX('Per Invoice'!$H$2:$H$801,$N51)="","",INDEX('Per Invoice'!$H$2:$H$801,$N51)))</f>
        <v/>
      </c>
      <c r="I51" s="5">
        <f>IF($N51="","",IF(INDEX('Per Invoice'!$I$2:$I$801,$N51)="","",INDEX('Per Invoice'!$I$2:$I$801,$N51)))</f>
        <v/>
      </c>
      <c r="J51" s="5">
        <f>IF($N51="","",IF(INDEX('Per Invoice'!$J$2:$J$801,$N51)="","",INDEX('Per Invoice'!$J$2:$J$801,$N51)))</f>
        <v/>
      </c>
      <c r="K51" s="5">
        <f>IF($N51="","",IF(INDEX('Per Invoice'!$K$2:$K$801,$N51)="","",INDEX('Per Invoice'!$K$2:$K$801,$N51)))</f>
        <v/>
      </c>
      <c r="L51" s="5">
        <f>IF($N51="","",IF(INDEX('Per Invoice'!$L$2:$L$801,$N51)="","",INDEX('Per Invoice'!$L$2:$L$801,$N51)))</f>
        <v/>
      </c>
      <c r="M51" s="5">
        <f>IF($N51="","",IF(INDEX('Per Invoice'!$M$2:$M$801,$N51)="","",INDEX('Per Invoice'!$M$2:$M$801,$N51)))</f>
        <v/>
      </c>
      <c r="N51">
        <f>IF(ROWS($N$2:$N51)&lt;=COUNT('Per Invoice'!$O$2:$O$801),MATCH(ROWS($N$2:$N51),'Per Invoice'!$O$2:$O$801,0),"")</f>
        <v/>
      </c>
    </row>
    <row r="52">
      <c r="A52">
        <f>IF($N52="","",IF(INDEX('Per Invoice'!$A$2:$A$801,$N52)="","",INDEX('Per Invoice'!$A$2:$A$801,$N52)))</f>
        <v/>
      </c>
      <c r="B52">
        <f>IF($N52="","",IF(INDEX('Per Invoice'!$B$2:$B$801,$N52)="","",INDEX('Per Invoice'!$B$2:$B$801,$N52)))</f>
        <v/>
      </c>
      <c r="C52">
        <f>IF($N52="","",IF(INDEX('Per Invoice'!$C$2:$C$801,$N52)="","",INDEX('Per Invoice'!$C$2:$C$801,$N52)))</f>
        <v/>
      </c>
      <c r="D52">
        <f>IF($N52="","",IF(INDEX('Per Invoice'!$D$2:$D$801,$N52)="","",INDEX('Per Invoice'!$D$2:$D$801,$N52)))</f>
        <v/>
      </c>
      <c r="E52">
        <f>IF($N52="","",IF(INDEX('Per Invoice'!$E$2:$E$801,$N52)="","",INDEX('Per Invoice'!$E$2:$E$801,$N52)))</f>
        <v/>
      </c>
      <c r="F52">
        <f>IF($N52="","",IF(INDEX('Per Invoice'!$F$2:$F$801,$N52)="","",INDEX('Per Invoice'!$F$2:$F$801,$N52)))</f>
        <v/>
      </c>
      <c r="G52">
        <f>IF($N52="","",IF(INDEX('Per Invoice'!$G$2:$G$801,$N52)="","",INDEX('Per Invoice'!$G$2:$G$801,$N52)))</f>
        <v/>
      </c>
      <c r="H52">
        <f>IF($N52="","",IF(INDEX('Per Invoice'!$H$2:$H$801,$N52)="","",INDEX('Per Invoice'!$H$2:$H$801,$N52)))</f>
        <v/>
      </c>
      <c r="I52" s="5">
        <f>IF($N52="","",IF(INDEX('Per Invoice'!$I$2:$I$801,$N52)="","",INDEX('Per Invoice'!$I$2:$I$801,$N52)))</f>
        <v/>
      </c>
      <c r="J52" s="5">
        <f>IF($N52="","",IF(INDEX('Per Invoice'!$J$2:$J$801,$N52)="","",INDEX('Per Invoice'!$J$2:$J$801,$N52)))</f>
        <v/>
      </c>
      <c r="K52" s="5">
        <f>IF($N52="","",IF(INDEX('Per Invoice'!$K$2:$K$801,$N52)="","",INDEX('Per Invoice'!$K$2:$K$801,$N52)))</f>
        <v/>
      </c>
      <c r="L52" s="5">
        <f>IF($N52="","",IF(INDEX('Per Invoice'!$L$2:$L$801,$N52)="","",INDEX('Per Invoice'!$L$2:$L$801,$N52)))</f>
        <v/>
      </c>
      <c r="M52" s="5">
        <f>IF($N52="","",IF(INDEX('Per Invoice'!$M$2:$M$801,$N52)="","",INDEX('Per Invoice'!$M$2:$M$801,$N52)))</f>
        <v/>
      </c>
      <c r="N52">
        <f>IF(ROWS($N$2:$N52)&lt;=COUNT('Per Invoice'!$O$2:$O$801),MATCH(ROWS($N$2:$N52),'Per Invoice'!$O$2:$O$801,0),"")</f>
        <v/>
      </c>
    </row>
    <row r="53">
      <c r="A53">
        <f>IF($N53="","",IF(INDEX('Per Invoice'!$A$2:$A$801,$N53)="","",INDEX('Per Invoice'!$A$2:$A$801,$N53)))</f>
        <v/>
      </c>
      <c r="B53">
        <f>IF($N53="","",IF(INDEX('Per Invoice'!$B$2:$B$801,$N53)="","",INDEX('Per Invoice'!$B$2:$B$801,$N53)))</f>
        <v/>
      </c>
      <c r="C53">
        <f>IF($N53="","",IF(INDEX('Per Invoice'!$C$2:$C$801,$N53)="","",INDEX('Per Invoice'!$C$2:$C$801,$N53)))</f>
        <v/>
      </c>
      <c r="D53">
        <f>IF($N53="","",IF(INDEX('Per Invoice'!$D$2:$D$801,$N53)="","",INDEX('Per Invoice'!$D$2:$D$801,$N53)))</f>
        <v/>
      </c>
      <c r="E53">
        <f>IF($N53="","",IF(INDEX('Per Invoice'!$E$2:$E$801,$N53)="","",INDEX('Per Invoice'!$E$2:$E$801,$N53)))</f>
        <v/>
      </c>
      <c r="F53">
        <f>IF($N53="","",IF(INDEX('Per Invoice'!$F$2:$F$801,$N53)="","",INDEX('Per Invoice'!$F$2:$F$801,$N53)))</f>
        <v/>
      </c>
      <c r="G53">
        <f>IF($N53="","",IF(INDEX('Per Invoice'!$G$2:$G$801,$N53)="","",INDEX('Per Invoice'!$G$2:$G$801,$N53)))</f>
        <v/>
      </c>
      <c r="H53">
        <f>IF($N53="","",IF(INDEX('Per Invoice'!$H$2:$H$801,$N53)="","",INDEX('Per Invoice'!$H$2:$H$801,$N53)))</f>
        <v/>
      </c>
      <c r="I53" s="5">
        <f>IF($N53="","",IF(INDEX('Per Invoice'!$I$2:$I$801,$N53)="","",INDEX('Per Invoice'!$I$2:$I$801,$N53)))</f>
        <v/>
      </c>
      <c r="J53" s="5">
        <f>IF($N53="","",IF(INDEX('Per Invoice'!$J$2:$J$801,$N53)="","",INDEX('Per Invoice'!$J$2:$J$801,$N53)))</f>
        <v/>
      </c>
      <c r="K53" s="5">
        <f>IF($N53="","",IF(INDEX('Per Invoice'!$K$2:$K$801,$N53)="","",INDEX('Per Invoice'!$K$2:$K$801,$N53)))</f>
        <v/>
      </c>
      <c r="L53" s="5">
        <f>IF($N53="","",IF(INDEX('Per Invoice'!$L$2:$L$801,$N53)="","",INDEX('Per Invoice'!$L$2:$L$801,$N53)))</f>
        <v/>
      </c>
      <c r="M53" s="5">
        <f>IF($N53="","",IF(INDEX('Per Invoice'!$M$2:$M$801,$N53)="","",INDEX('Per Invoice'!$M$2:$M$801,$N53)))</f>
        <v/>
      </c>
      <c r="N53">
        <f>IF(ROWS($N$2:$N53)&lt;=COUNT('Per Invoice'!$O$2:$O$801),MATCH(ROWS($N$2:$N53),'Per Invoice'!$O$2:$O$801,0),"")</f>
        <v/>
      </c>
    </row>
    <row r="54">
      <c r="A54">
        <f>IF($N54="","",IF(INDEX('Per Invoice'!$A$2:$A$801,$N54)="","",INDEX('Per Invoice'!$A$2:$A$801,$N54)))</f>
        <v/>
      </c>
      <c r="B54">
        <f>IF($N54="","",IF(INDEX('Per Invoice'!$B$2:$B$801,$N54)="","",INDEX('Per Invoice'!$B$2:$B$801,$N54)))</f>
        <v/>
      </c>
      <c r="C54">
        <f>IF($N54="","",IF(INDEX('Per Invoice'!$C$2:$C$801,$N54)="","",INDEX('Per Invoice'!$C$2:$C$801,$N54)))</f>
        <v/>
      </c>
      <c r="D54">
        <f>IF($N54="","",IF(INDEX('Per Invoice'!$D$2:$D$801,$N54)="","",INDEX('Per Invoice'!$D$2:$D$801,$N54)))</f>
        <v/>
      </c>
      <c r="E54">
        <f>IF($N54="","",IF(INDEX('Per Invoice'!$E$2:$E$801,$N54)="","",INDEX('Per Invoice'!$E$2:$E$801,$N54)))</f>
        <v/>
      </c>
      <c r="F54">
        <f>IF($N54="","",IF(INDEX('Per Invoice'!$F$2:$F$801,$N54)="","",INDEX('Per Invoice'!$F$2:$F$801,$N54)))</f>
        <v/>
      </c>
      <c r="G54">
        <f>IF($N54="","",IF(INDEX('Per Invoice'!$G$2:$G$801,$N54)="","",INDEX('Per Invoice'!$G$2:$G$801,$N54)))</f>
        <v/>
      </c>
      <c r="H54">
        <f>IF($N54="","",IF(INDEX('Per Invoice'!$H$2:$H$801,$N54)="","",INDEX('Per Invoice'!$H$2:$H$801,$N54)))</f>
        <v/>
      </c>
      <c r="I54" s="5">
        <f>IF($N54="","",IF(INDEX('Per Invoice'!$I$2:$I$801,$N54)="","",INDEX('Per Invoice'!$I$2:$I$801,$N54)))</f>
        <v/>
      </c>
      <c r="J54" s="5">
        <f>IF($N54="","",IF(INDEX('Per Invoice'!$J$2:$J$801,$N54)="","",INDEX('Per Invoice'!$J$2:$J$801,$N54)))</f>
        <v/>
      </c>
      <c r="K54" s="5">
        <f>IF($N54="","",IF(INDEX('Per Invoice'!$K$2:$K$801,$N54)="","",INDEX('Per Invoice'!$K$2:$K$801,$N54)))</f>
        <v/>
      </c>
      <c r="L54" s="5">
        <f>IF($N54="","",IF(INDEX('Per Invoice'!$L$2:$L$801,$N54)="","",INDEX('Per Invoice'!$L$2:$L$801,$N54)))</f>
        <v/>
      </c>
      <c r="M54" s="5">
        <f>IF($N54="","",IF(INDEX('Per Invoice'!$M$2:$M$801,$N54)="","",INDEX('Per Invoice'!$M$2:$M$801,$N54)))</f>
        <v/>
      </c>
      <c r="N54">
        <f>IF(ROWS($N$2:$N54)&lt;=COUNT('Per Invoice'!$O$2:$O$801),MATCH(ROWS($N$2:$N54),'Per Invoice'!$O$2:$O$801,0),"")</f>
        <v/>
      </c>
    </row>
    <row r="55">
      <c r="A55">
        <f>IF($N55="","",IF(INDEX('Per Invoice'!$A$2:$A$801,$N55)="","",INDEX('Per Invoice'!$A$2:$A$801,$N55)))</f>
        <v/>
      </c>
      <c r="B55">
        <f>IF($N55="","",IF(INDEX('Per Invoice'!$B$2:$B$801,$N55)="","",INDEX('Per Invoice'!$B$2:$B$801,$N55)))</f>
        <v/>
      </c>
      <c r="C55">
        <f>IF($N55="","",IF(INDEX('Per Invoice'!$C$2:$C$801,$N55)="","",INDEX('Per Invoice'!$C$2:$C$801,$N55)))</f>
        <v/>
      </c>
      <c r="D55">
        <f>IF($N55="","",IF(INDEX('Per Invoice'!$D$2:$D$801,$N55)="","",INDEX('Per Invoice'!$D$2:$D$801,$N55)))</f>
        <v/>
      </c>
      <c r="E55">
        <f>IF($N55="","",IF(INDEX('Per Invoice'!$E$2:$E$801,$N55)="","",INDEX('Per Invoice'!$E$2:$E$801,$N55)))</f>
        <v/>
      </c>
      <c r="F55">
        <f>IF($N55="","",IF(INDEX('Per Invoice'!$F$2:$F$801,$N55)="","",INDEX('Per Invoice'!$F$2:$F$801,$N55)))</f>
        <v/>
      </c>
      <c r="G55">
        <f>IF($N55="","",IF(INDEX('Per Invoice'!$G$2:$G$801,$N55)="","",INDEX('Per Invoice'!$G$2:$G$801,$N55)))</f>
        <v/>
      </c>
      <c r="H55">
        <f>IF($N55="","",IF(INDEX('Per Invoice'!$H$2:$H$801,$N55)="","",INDEX('Per Invoice'!$H$2:$H$801,$N55)))</f>
        <v/>
      </c>
      <c r="I55" s="5">
        <f>IF($N55="","",IF(INDEX('Per Invoice'!$I$2:$I$801,$N55)="","",INDEX('Per Invoice'!$I$2:$I$801,$N55)))</f>
        <v/>
      </c>
      <c r="J55" s="5">
        <f>IF($N55="","",IF(INDEX('Per Invoice'!$J$2:$J$801,$N55)="","",INDEX('Per Invoice'!$J$2:$J$801,$N55)))</f>
        <v/>
      </c>
      <c r="K55" s="5">
        <f>IF($N55="","",IF(INDEX('Per Invoice'!$K$2:$K$801,$N55)="","",INDEX('Per Invoice'!$K$2:$K$801,$N55)))</f>
        <v/>
      </c>
      <c r="L55" s="5">
        <f>IF($N55="","",IF(INDEX('Per Invoice'!$L$2:$L$801,$N55)="","",INDEX('Per Invoice'!$L$2:$L$801,$N55)))</f>
        <v/>
      </c>
      <c r="M55" s="5">
        <f>IF($N55="","",IF(INDEX('Per Invoice'!$M$2:$M$801,$N55)="","",INDEX('Per Invoice'!$M$2:$M$801,$N55)))</f>
        <v/>
      </c>
      <c r="N55">
        <f>IF(ROWS($N$2:$N55)&lt;=COUNT('Per Invoice'!$O$2:$O$801),MATCH(ROWS($N$2:$N55),'Per Invoice'!$O$2:$O$801,0),"")</f>
        <v/>
      </c>
    </row>
    <row r="56">
      <c r="A56">
        <f>IF($N56="","",IF(INDEX('Per Invoice'!$A$2:$A$801,$N56)="","",INDEX('Per Invoice'!$A$2:$A$801,$N56)))</f>
        <v/>
      </c>
      <c r="B56">
        <f>IF($N56="","",IF(INDEX('Per Invoice'!$B$2:$B$801,$N56)="","",INDEX('Per Invoice'!$B$2:$B$801,$N56)))</f>
        <v/>
      </c>
      <c r="C56">
        <f>IF($N56="","",IF(INDEX('Per Invoice'!$C$2:$C$801,$N56)="","",INDEX('Per Invoice'!$C$2:$C$801,$N56)))</f>
        <v/>
      </c>
      <c r="D56">
        <f>IF($N56="","",IF(INDEX('Per Invoice'!$D$2:$D$801,$N56)="","",INDEX('Per Invoice'!$D$2:$D$801,$N56)))</f>
        <v/>
      </c>
      <c r="E56">
        <f>IF($N56="","",IF(INDEX('Per Invoice'!$E$2:$E$801,$N56)="","",INDEX('Per Invoice'!$E$2:$E$801,$N56)))</f>
        <v/>
      </c>
      <c r="F56">
        <f>IF($N56="","",IF(INDEX('Per Invoice'!$F$2:$F$801,$N56)="","",INDEX('Per Invoice'!$F$2:$F$801,$N56)))</f>
        <v/>
      </c>
      <c r="G56">
        <f>IF($N56="","",IF(INDEX('Per Invoice'!$G$2:$G$801,$N56)="","",INDEX('Per Invoice'!$G$2:$G$801,$N56)))</f>
        <v/>
      </c>
      <c r="H56">
        <f>IF($N56="","",IF(INDEX('Per Invoice'!$H$2:$H$801,$N56)="","",INDEX('Per Invoice'!$H$2:$H$801,$N56)))</f>
        <v/>
      </c>
      <c r="I56" s="5">
        <f>IF($N56="","",IF(INDEX('Per Invoice'!$I$2:$I$801,$N56)="","",INDEX('Per Invoice'!$I$2:$I$801,$N56)))</f>
        <v/>
      </c>
      <c r="J56" s="5">
        <f>IF($N56="","",IF(INDEX('Per Invoice'!$J$2:$J$801,$N56)="","",INDEX('Per Invoice'!$J$2:$J$801,$N56)))</f>
        <v/>
      </c>
      <c r="K56" s="5">
        <f>IF($N56="","",IF(INDEX('Per Invoice'!$K$2:$K$801,$N56)="","",INDEX('Per Invoice'!$K$2:$K$801,$N56)))</f>
        <v/>
      </c>
      <c r="L56" s="5">
        <f>IF($N56="","",IF(INDEX('Per Invoice'!$L$2:$L$801,$N56)="","",INDEX('Per Invoice'!$L$2:$L$801,$N56)))</f>
        <v/>
      </c>
      <c r="M56" s="5">
        <f>IF($N56="","",IF(INDEX('Per Invoice'!$M$2:$M$801,$N56)="","",INDEX('Per Invoice'!$M$2:$M$801,$N56)))</f>
        <v/>
      </c>
      <c r="N56">
        <f>IF(ROWS($N$2:$N56)&lt;=COUNT('Per Invoice'!$O$2:$O$801),MATCH(ROWS($N$2:$N56),'Per Invoice'!$O$2:$O$801,0),"")</f>
        <v/>
      </c>
    </row>
    <row r="57">
      <c r="A57">
        <f>IF($N57="","",IF(INDEX('Per Invoice'!$A$2:$A$801,$N57)="","",INDEX('Per Invoice'!$A$2:$A$801,$N57)))</f>
        <v/>
      </c>
      <c r="B57">
        <f>IF($N57="","",IF(INDEX('Per Invoice'!$B$2:$B$801,$N57)="","",INDEX('Per Invoice'!$B$2:$B$801,$N57)))</f>
        <v/>
      </c>
      <c r="C57">
        <f>IF($N57="","",IF(INDEX('Per Invoice'!$C$2:$C$801,$N57)="","",INDEX('Per Invoice'!$C$2:$C$801,$N57)))</f>
        <v/>
      </c>
      <c r="D57">
        <f>IF($N57="","",IF(INDEX('Per Invoice'!$D$2:$D$801,$N57)="","",INDEX('Per Invoice'!$D$2:$D$801,$N57)))</f>
        <v/>
      </c>
      <c r="E57">
        <f>IF($N57="","",IF(INDEX('Per Invoice'!$E$2:$E$801,$N57)="","",INDEX('Per Invoice'!$E$2:$E$801,$N57)))</f>
        <v/>
      </c>
      <c r="F57">
        <f>IF($N57="","",IF(INDEX('Per Invoice'!$F$2:$F$801,$N57)="","",INDEX('Per Invoice'!$F$2:$F$801,$N57)))</f>
        <v/>
      </c>
      <c r="G57">
        <f>IF($N57="","",IF(INDEX('Per Invoice'!$G$2:$G$801,$N57)="","",INDEX('Per Invoice'!$G$2:$G$801,$N57)))</f>
        <v/>
      </c>
      <c r="H57">
        <f>IF($N57="","",IF(INDEX('Per Invoice'!$H$2:$H$801,$N57)="","",INDEX('Per Invoice'!$H$2:$H$801,$N57)))</f>
        <v/>
      </c>
      <c r="I57" s="5">
        <f>IF($N57="","",IF(INDEX('Per Invoice'!$I$2:$I$801,$N57)="","",INDEX('Per Invoice'!$I$2:$I$801,$N57)))</f>
        <v/>
      </c>
      <c r="J57" s="5">
        <f>IF($N57="","",IF(INDEX('Per Invoice'!$J$2:$J$801,$N57)="","",INDEX('Per Invoice'!$J$2:$J$801,$N57)))</f>
        <v/>
      </c>
      <c r="K57" s="5">
        <f>IF($N57="","",IF(INDEX('Per Invoice'!$K$2:$K$801,$N57)="","",INDEX('Per Invoice'!$K$2:$K$801,$N57)))</f>
        <v/>
      </c>
      <c r="L57" s="5">
        <f>IF($N57="","",IF(INDEX('Per Invoice'!$L$2:$L$801,$N57)="","",INDEX('Per Invoice'!$L$2:$L$801,$N57)))</f>
        <v/>
      </c>
      <c r="M57" s="5">
        <f>IF($N57="","",IF(INDEX('Per Invoice'!$M$2:$M$801,$N57)="","",INDEX('Per Invoice'!$M$2:$M$801,$N57)))</f>
        <v/>
      </c>
      <c r="N57">
        <f>IF(ROWS($N$2:$N57)&lt;=COUNT('Per Invoice'!$O$2:$O$801),MATCH(ROWS($N$2:$N57),'Per Invoice'!$O$2:$O$801,0),"")</f>
        <v/>
      </c>
    </row>
    <row r="58">
      <c r="A58">
        <f>IF($N58="","",IF(INDEX('Per Invoice'!$A$2:$A$801,$N58)="","",INDEX('Per Invoice'!$A$2:$A$801,$N58)))</f>
        <v/>
      </c>
      <c r="B58">
        <f>IF($N58="","",IF(INDEX('Per Invoice'!$B$2:$B$801,$N58)="","",INDEX('Per Invoice'!$B$2:$B$801,$N58)))</f>
        <v/>
      </c>
      <c r="C58">
        <f>IF($N58="","",IF(INDEX('Per Invoice'!$C$2:$C$801,$N58)="","",INDEX('Per Invoice'!$C$2:$C$801,$N58)))</f>
        <v/>
      </c>
      <c r="D58">
        <f>IF($N58="","",IF(INDEX('Per Invoice'!$D$2:$D$801,$N58)="","",INDEX('Per Invoice'!$D$2:$D$801,$N58)))</f>
        <v/>
      </c>
      <c r="E58">
        <f>IF($N58="","",IF(INDEX('Per Invoice'!$E$2:$E$801,$N58)="","",INDEX('Per Invoice'!$E$2:$E$801,$N58)))</f>
        <v/>
      </c>
      <c r="F58">
        <f>IF($N58="","",IF(INDEX('Per Invoice'!$F$2:$F$801,$N58)="","",INDEX('Per Invoice'!$F$2:$F$801,$N58)))</f>
        <v/>
      </c>
      <c r="G58">
        <f>IF($N58="","",IF(INDEX('Per Invoice'!$G$2:$G$801,$N58)="","",INDEX('Per Invoice'!$G$2:$G$801,$N58)))</f>
        <v/>
      </c>
      <c r="H58">
        <f>IF($N58="","",IF(INDEX('Per Invoice'!$H$2:$H$801,$N58)="","",INDEX('Per Invoice'!$H$2:$H$801,$N58)))</f>
        <v/>
      </c>
      <c r="I58" s="5">
        <f>IF($N58="","",IF(INDEX('Per Invoice'!$I$2:$I$801,$N58)="","",INDEX('Per Invoice'!$I$2:$I$801,$N58)))</f>
        <v/>
      </c>
      <c r="J58" s="5">
        <f>IF($N58="","",IF(INDEX('Per Invoice'!$J$2:$J$801,$N58)="","",INDEX('Per Invoice'!$J$2:$J$801,$N58)))</f>
        <v/>
      </c>
      <c r="K58" s="5">
        <f>IF($N58="","",IF(INDEX('Per Invoice'!$K$2:$K$801,$N58)="","",INDEX('Per Invoice'!$K$2:$K$801,$N58)))</f>
        <v/>
      </c>
      <c r="L58" s="5">
        <f>IF($N58="","",IF(INDEX('Per Invoice'!$L$2:$L$801,$N58)="","",INDEX('Per Invoice'!$L$2:$L$801,$N58)))</f>
        <v/>
      </c>
      <c r="M58" s="5">
        <f>IF($N58="","",IF(INDEX('Per Invoice'!$M$2:$M$801,$N58)="","",INDEX('Per Invoice'!$M$2:$M$801,$N58)))</f>
        <v/>
      </c>
      <c r="N58">
        <f>IF(ROWS($N$2:$N58)&lt;=COUNT('Per Invoice'!$O$2:$O$801),MATCH(ROWS($N$2:$N58),'Per Invoice'!$O$2:$O$801,0),"")</f>
        <v/>
      </c>
    </row>
    <row r="59">
      <c r="A59">
        <f>IF($N59="","",IF(INDEX('Per Invoice'!$A$2:$A$801,$N59)="","",INDEX('Per Invoice'!$A$2:$A$801,$N59)))</f>
        <v/>
      </c>
      <c r="B59">
        <f>IF($N59="","",IF(INDEX('Per Invoice'!$B$2:$B$801,$N59)="","",INDEX('Per Invoice'!$B$2:$B$801,$N59)))</f>
        <v/>
      </c>
      <c r="C59">
        <f>IF($N59="","",IF(INDEX('Per Invoice'!$C$2:$C$801,$N59)="","",INDEX('Per Invoice'!$C$2:$C$801,$N59)))</f>
        <v/>
      </c>
      <c r="D59">
        <f>IF($N59="","",IF(INDEX('Per Invoice'!$D$2:$D$801,$N59)="","",INDEX('Per Invoice'!$D$2:$D$801,$N59)))</f>
        <v/>
      </c>
      <c r="E59">
        <f>IF($N59="","",IF(INDEX('Per Invoice'!$E$2:$E$801,$N59)="","",INDEX('Per Invoice'!$E$2:$E$801,$N59)))</f>
        <v/>
      </c>
      <c r="F59">
        <f>IF($N59="","",IF(INDEX('Per Invoice'!$F$2:$F$801,$N59)="","",INDEX('Per Invoice'!$F$2:$F$801,$N59)))</f>
        <v/>
      </c>
      <c r="G59">
        <f>IF($N59="","",IF(INDEX('Per Invoice'!$G$2:$G$801,$N59)="","",INDEX('Per Invoice'!$G$2:$G$801,$N59)))</f>
        <v/>
      </c>
      <c r="H59">
        <f>IF($N59="","",IF(INDEX('Per Invoice'!$H$2:$H$801,$N59)="","",INDEX('Per Invoice'!$H$2:$H$801,$N59)))</f>
        <v/>
      </c>
      <c r="I59" s="5">
        <f>IF($N59="","",IF(INDEX('Per Invoice'!$I$2:$I$801,$N59)="","",INDEX('Per Invoice'!$I$2:$I$801,$N59)))</f>
        <v/>
      </c>
      <c r="J59" s="5">
        <f>IF($N59="","",IF(INDEX('Per Invoice'!$J$2:$J$801,$N59)="","",INDEX('Per Invoice'!$J$2:$J$801,$N59)))</f>
        <v/>
      </c>
      <c r="K59" s="5">
        <f>IF($N59="","",IF(INDEX('Per Invoice'!$K$2:$K$801,$N59)="","",INDEX('Per Invoice'!$K$2:$K$801,$N59)))</f>
        <v/>
      </c>
      <c r="L59" s="5">
        <f>IF($N59="","",IF(INDEX('Per Invoice'!$L$2:$L$801,$N59)="","",INDEX('Per Invoice'!$L$2:$L$801,$N59)))</f>
        <v/>
      </c>
      <c r="M59" s="5">
        <f>IF($N59="","",IF(INDEX('Per Invoice'!$M$2:$M$801,$N59)="","",INDEX('Per Invoice'!$M$2:$M$801,$N59)))</f>
        <v/>
      </c>
      <c r="N59">
        <f>IF(ROWS($N$2:$N59)&lt;=COUNT('Per Invoice'!$O$2:$O$801),MATCH(ROWS($N$2:$N59),'Per Invoice'!$O$2:$O$801,0),"")</f>
        <v/>
      </c>
    </row>
    <row r="60">
      <c r="A60">
        <f>IF($N60="","",IF(INDEX('Per Invoice'!$A$2:$A$801,$N60)="","",INDEX('Per Invoice'!$A$2:$A$801,$N60)))</f>
        <v/>
      </c>
      <c r="B60">
        <f>IF($N60="","",IF(INDEX('Per Invoice'!$B$2:$B$801,$N60)="","",INDEX('Per Invoice'!$B$2:$B$801,$N60)))</f>
        <v/>
      </c>
      <c r="C60">
        <f>IF($N60="","",IF(INDEX('Per Invoice'!$C$2:$C$801,$N60)="","",INDEX('Per Invoice'!$C$2:$C$801,$N60)))</f>
        <v/>
      </c>
      <c r="D60">
        <f>IF($N60="","",IF(INDEX('Per Invoice'!$D$2:$D$801,$N60)="","",INDEX('Per Invoice'!$D$2:$D$801,$N60)))</f>
        <v/>
      </c>
      <c r="E60">
        <f>IF($N60="","",IF(INDEX('Per Invoice'!$E$2:$E$801,$N60)="","",INDEX('Per Invoice'!$E$2:$E$801,$N60)))</f>
        <v/>
      </c>
      <c r="F60">
        <f>IF($N60="","",IF(INDEX('Per Invoice'!$F$2:$F$801,$N60)="","",INDEX('Per Invoice'!$F$2:$F$801,$N60)))</f>
        <v/>
      </c>
      <c r="G60">
        <f>IF($N60="","",IF(INDEX('Per Invoice'!$G$2:$G$801,$N60)="","",INDEX('Per Invoice'!$G$2:$G$801,$N60)))</f>
        <v/>
      </c>
      <c r="H60">
        <f>IF($N60="","",IF(INDEX('Per Invoice'!$H$2:$H$801,$N60)="","",INDEX('Per Invoice'!$H$2:$H$801,$N60)))</f>
        <v/>
      </c>
      <c r="I60" s="5">
        <f>IF($N60="","",IF(INDEX('Per Invoice'!$I$2:$I$801,$N60)="","",INDEX('Per Invoice'!$I$2:$I$801,$N60)))</f>
        <v/>
      </c>
      <c r="J60" s="5">
        <f>IF($N60="","",IF(INDEX('Per Invoice'!$J$2:$J$801,$N60)="","",INDEX('Per Invoice'!$J$2:$J$801,$N60)))</f>
        <v/>
      </c>
      <c r="K60" s="5">
        <f>IF($N60="","",IF(INDEX('Per Invoice'!$K$2:$K$801,$N60)="","",INDEX('Per Invoice'!$K$2:$K$801,$N60)))</f>
        <v/>
      </c>
      <c r="L60" s="5">
        <f>IF($N60="","",IF(INDEX('Per Invoice'!$L$2:$L$801,$N60)="","",INDEX('Per Invoice'!$L$2:$L$801,$N60)))</f>
        <v/>
      </c>
      <c r="M60" s="5">
        <f>IF($N60="","",IF(INDEX('Per Invoice'!$M$2:$M$801,$N60)="","",INDEX('Per Invoice'!$M$2:$M$801,$N60)))</f>
        <v/>
      </c>
      <c r="N60">
        <f>IF(ROWS($N$2:$N60)&lt;=COUNT('Per Invoice'!$O$2:$O$801),MATCH(ROWS($N$2:$N60),'Per Invoice'!$O$2:$O$801,0),"")</f>
        <v/>
      </c>
    </row>
    <row r="61">
      <c r="A61">
        <f>IF($N61="","",IF(INDEX('Per Invoice'!$A$2:$A$801,$N61)="","",INDEX('Per Invoice'!$A$2:$A$801,$N61)))</f>
        <v/>
      </c>
      <c r="B61">
        <f>IF($N61="","",IF(INDEX('Per Invoice'!$B$2:$B$801,$N61)="","",INDEX('Per Invoice'!$B$2:$B$801,$N61)))</f>
        <v/>
      </c>
      <c r="C61">
        <f>IF($N61="","",IF(INDEX('Per Invoice'!$C$2:$C$801,$N61)="","",INDEX('Per Invoice'!$C$2:$C$801,$N61)))</f>
        <v/>
      </c>
      <c r="D61">
        <f>IF($N61="","",IF(INDEX('Per Invoice'!$D$2:$D$801,$N61)="","",INDEX('Per Invoice'!$D$2:$D$801,$N61)))</f>
        <v/>
      </c>
      <c r="E61">
        <f>IF($N61="","",IF(INDEX('Per Invoice'!$E$2:$E$801,$N61)="","",INDEX('Per Invoice'!$E$2:$E$801,$N61)))</f>
        <v/>
      </c>
      <c r="F61">
        <f>IF($N61="","",IF(INDEX('Per Invoice'!$F$2:$F$801,$N61)="","",INDEX('Per Invoice'!$F$2:$F$801,$N61)))</f>
        <v/>
      </c>
      <c r="G61">
        <f>IF($N61="","",IF(INDEX('Per Invoice'!$G$2:$G$801,$N61)="","",INDEX('Per Invoice'!$G$2:$G$801,$N61)))</f>
        <v/>
      </c>
      <c r="H61">
        <f>IF($N61="","",IF(INDEX('Per Invoice'!$H$2:$H$801,$N61)="","",INDEX('Per Invoice'!$H$2:$H$801,$N61)))</f>
        <v/>
      </c>
      <c r="I61" s="5">
        <f>IF($N61="","",IF(INDEX('Per Invoice'!$I$2:$I$801,$N61)="","",INDEX('Per Invoice'!$I$2:$I$801,$N61)))</f>
        <v/>
      </c>
      <c r="J61" s="5">
        <f>IF($N61="","",IF(INDEX('Per Invoice'!$J$2:$J$801,$N61)="","",INDEX('Per Invoice'!$J$2:$J$801,$N61)))</f>
        <v/>
      </c>
      <c r="K61" s="5">
        <f>IF($N61="","",IF(INDEX('Per Invoice'!$K$2:$K$801,$N61)="","",INDEX('Per Invoice'!$K$2:$K$801,$N61)))</f>
        <v/>
      </c>
      <c r="L61" s="5">
        <f>IF($N61="","",IF(INDEX('Per Invoice'!$L$2:$L$801,$N61)="","",INDEX('Per Invoice'!$L$2:$L$801,$N61)))</f>
        <v/>
      </c>
      <c r="M61" s="5">
        <f>IF($N61="","",IF(INDEX('Per Invoice'!$M$2:$M$801,$N61)="","",INDEX('Per Invoice'!$M$2:$M$801,$N61)))</f>
        <v/>
      </c>
      <c r="N61">
        <f>IF(ROWS($N$2:$N61)&lt;=COUNT('Per Invoice'!$O$2:$O$801),MATCH(ROWS($N$2:$N61),'Per Invoice'!$O$2:$O$801,0),"")</f>
        <v/>
      </c>
    </row>
    <row r="62">
      <c r="A62">
        <f>IF($N62="","",IF(INDEX('Per Invoice'!$A$2:$A$801,$N62)="","",INDEX('Per Invoice'!$A$2:$A$801,$N62)))</f>
        <v/>
      </c>
      <c r="B62">
        <f>IF($N62="","",IF(INDEX('Per Invoice'!$B$2:$B$801,$N62)="","",INDEX('Per Invoice'!$B$2:$B$801,$N62)))</f>
        <v/>
      </c>
      <c r="C62">
        <f>IF($N62="","",IF(INDEX('Per Invoice'!$C$2:$C$801,$N62)="","",INDEX('Per Invoice'!$C$2:$C$801,$N62)))</f>
        <v/>
      </c>
      <c r="D62">
        <f>IF($N62="","",IF(INDEX('Per Invoice'!$D$2:$D$801,$N62)="","",INDEX('Per Invoice'!$D$2:$D$801,$N62)))</f>
        <v/>
      </c>
      <c r="E62">
        <f>IF($N62="","",IF(INDEX('Per Invoice'!$E$2:$E$801,$N62)="","",INDEX('Per Invoice'!$E$2:$E$801,$N62)))</f>
        <v/>
      </c>
      <c r="F62">
        <f>IF($N62="","",IF(INDEX('Per Invoice'!$F$2:$F$801,$N62)="","",INDEX('Per Invoice'!$F$2:$F$801,$N62)))</f>
        <v/>
      </c>
      <c r="G62">
        <f>IF($N62="","",IF(INDEX('Per Invoice'!$G$2:$G$801,$N62)="","",INDEX('Per Invoice'!$G$2:$G$801,$N62)))</f>
        <v/>
      </c>
      <c r="H62">
        <f>IF($N62="","",IF(INDEX('Per Invoice'!$H$2:$H$801,$N62)="","",INDEX('Per Invoice'!$H$2:$H$801,$N62)))</f>
        <v/>
      </c>
      <c r="I62" s="5">
        <f>IF($N62="","",IF(INDEX('Per Invoice'!$I$2:$I$801,$N62)="","",INDEX('Per Invoice'!$I$2:$I$801,$N62)))</f>
        <v/>
      </c>
      <c r="J62" s="5">
        <f>IF($N62="","",IF(INDEX('Per Invoice'!$J$2:$J$801,$N62)="","",INDEX('Per Invoice'!$J$2:$J$801,$N62)))</f>
        <v/>
      </c>
      <c r="K62" s="5">
        <f>IF($N62="","",IF(INDEX('Per Invoice'!$K$2:$K$801,$N62)="","",INDEX('Per Invoice'!$K$2:$K$801,$N62)))</f>
        <v/>
      </c>
      <c r="L62" s="5">
        <f>IF($N62="","",IF(INDEX('Per Invoice'!$L$2:$L$801,$N62)="","",INDEX('Per Invoice'!$L$2:$L$801,$N62)))</f>
        <v/>
      </c>
      <c r="M62" s="5">
        <f>IF($N62="","",IF(INDEX('Per Invoice'!$M$2:$M$801,$N62)="","",INDEX('Per Invoice'!$M$2:$M$801,$N62)))</f>
        <v/>
      </c>
      <c r="N62">
        <f>IF(ROWS($N$2:$N62)&lt;=COUNT('Per Invoice'!$O$2:$O$801),MATCH(ROWS($N$2:$N62),'Per Invoice'!$O$2:$O$801,0),"")</f>
        <v/>
      </c>
    </row>
    <row r="63">
      <c r="A63">
        <f>IF($N63="","",IF(INDEX('Per Invoice'!$A$2:$A$801,$N63)="","",INDEX('Per Invoice'!$A$2:$A$801,$N63)))</f>
        <v/>
      </c>
      <c r="B63">
        <f>IF($N63="","",IF(INDEX('Per Invoice'!$B$2:$B$801,$N63)="","",INDEX('Per Invoice'!$B$2:$B$801,$N63)))</f>
        <v/>
      </c>
      <c r="C63">
        <f>IF($N63="","",IF(INDEX('Per Invoice'!$C$2:$C$801,$N63)="","",INDEX('Per Invoice'!$C$2:$C$801,$N63)))</f>
        <v/>
      </c>
      <c r="D63">
        <f>IF($N63="","",IF(INDEX('Per Invoice'!$D$2:$D$801,$N63)="","",INDEX('Per Invoice'!$D$2:$D$801,$N63)))</f>
        <v/>
      </c>
      <c r="E63">
        <f>IF($N63="","",IF(INDEX('Per Invoice'!$E$2:$E$801,$N63)="","",INDEX('Per Invoice'!$E$2:$E$801,$N63)))</f>
        <v/>
      </c>
      <c r="F63">
        <f>IF($N63="","",IF(INDEX('Per Invoice'!$F$2:$F$801,$N63)="","",INDEX('Per Invoice'!$F$2:$F$801,$N63)))</f>
        <v/>
      </c>
      <c r="G63">
        <f>IF($N63="","",IF(INDEX('Per Invoice'!$G$2:$G$801,$N63)="","",INDEX('Per Invoice'!$G$2:$G$801,$N63)))</f>
        <v/>
      </c>
      <c r="H63">
        <f>IF($N63="","",IF(INDEX('Per Invoice'!$H$2:$H$801,$N63)="","",INDEX('Per Invoice'!$H$2:$H$801,$N63)))</f>
        <v/>
      </c>
      <c r="I63" s="5">
        <f>IF($N63="","",IF(INDEX('Per Invoice'!$I$2:$I$801,$N63)="","",INDEX('Per Invoice'!$I$2:$I$801,$N63)))</f>
        <v/>
      </c>
      <c r="J63" s="5">
        <f>IF($N63="","",IF(INDEX('Per Invoice'!$J$2:$J$801,$N63)="","",INDEX('Per Invoice'!$J$2:$J$801,$N63)))</f>
        <v/>
      </c>
      <c r="K63" s="5">
        <f>IF($N63="","",IF(INDEX('Per Invoice'!$K$2:$K$801,$N63)="","",INDEX('Per Invoice'!$K$2:$K$801,$N63)))</f>
        <v/>
      </c>
      <c r="L63" s="5">
        <f>IF($N63="","",IF(INDEX('Per Invoice'!$L$2:$L$801,$N63)="","",INDEX('Per Invoice'!$L$2:$L$801,$N63)))</f>
        <v/>
      </c>
      <c r="M63" s="5">
        <f>IF($N63="","",IF(INDEX('Per Invoice'!$M$2:$M$801,$N63)="","",INDEX('Per Invoice'!$M$2:$M$801,$N63)))</f>
        <v/>
      </c>
      <c r="N63">
        <f>IF(ROWS($N$2:$N63)&lt;=COUNT('Per Invoice'!$O$2:$O$801),MATCH(ROWS($N$2:$N63),'Per Invoice'!$O$2:$O$801,0),"")</f>
        <v/>
      </c>
    </row>
    <row r="64">
      <c r="A64">
        <f>IF($N64="","",IF(INDEX('Per Invoice'!$A$2:$A$801,$N64)="","",INDEX('Per Invoice'!$A$2:$A$801,$N64)))</f>
        <v/>
      </c>
      <c r="B64">
        <f>IF($N64="","",IF(INDEX('Per Invoice'!$B$2:$B$801,$N64)="","",INDEX('Per Invoice'!$B$2:$B$801,$N64)))</f>
        <v/>
      </c>
      <c r="C64">
        <f>IF($N64="","",IF(INDEX('Per Invoice'!$C$2:$C$801,$N64)="","",INDEX('Per Invoice'!$C$2:$C$801,$N64)))</f>
        <v/>
      </c>
      <c r="D64">
        <f>IF($N64="","",IF(INDEX('Per Invoice'!$D$2:$D$801,$N64)="","",INDEX('Per Invoice'!$D$2:$D$801,$N64)))</f>
        <v/>
      </c>
      <c r="E64">
        <f>IF($N64="","",IF(INDEX('Per Invoice'!$E$2:$E$801,$N64)="","",INDEX('Per Invoice'!$E$2:$E$801,$N64)))</f>
        <v/>
      </c>
      <c r="F64">
        <f>IF($N64="","",IF(INDEX('Per Invoice'!$F$2:$F$801,$N64)="","",INDEX('Per Invoice'!$F$2:$F$801,$N64)))</f>
        <v/>
      </c>
      <c r="G64">
        <f>IF($N64="","",IF(INDEX('Per Invoice'!$G$2:$G$801,$N64)="","",INDEX('Per Invoice'!$G$2:$G$801,$N64)))</f>
        <v/>
      </c>
      <c r="H64">
        <f>IF($N64="","",IF(INDEX('Per Invoice'!$H$2:$H$801,$N64)="","",INDEX('Per Invoice'!$H$2:$H$801,$N64)))</f>
        <v/>
      </c>
      <c r="I64" s="5">
        <f>IF($N64="","",IF(INDEX('Per Invoice'!$I$2:$I$801,$N64)="","",INDEX('Per Invoice'!$I$2:$I$801,$N64)))</f>
        <v/>
      </c>
      <c r="J64" s="5">
        <f>IF($N64="","",IF(INDEX('Per Invoice'!$J$2:$J$801,$N64)="","",INDEX('Per Invoice'!$J$2:$J$801,$N64)))</f>
        <v/>
      </c>
      <c r="K64" s="5">
        <f>IF($N64="","",IF(INDEX('Per Invoice'!$K$2:$K$801,$N64)="","",INDEX('Per Invoice'!$K$2:$K$801,$N64)))</f>
        <v/>
      </c>
      <c r="L64" s="5">
        <f>IF($N64="","",IF(INDEX('Per Invoice'!$L$2:$L$801,$N64)="","",INDEX('Per Invoice'!$L$2:$L$801,$N64)))</f>
        <v/>
      </c>
      <c r="M64" s="5">
        <f>IF($N64="","",IF(INDEX('Per Invoice'!$M$2:$M$801,$N64)="","",INDEX('Per Invoice'!$M$2:$M$801,$N64)))</f>
        <v/>
      </c>
      <c r="N64">
        <f>IF(ROWS($N$2:$N64)&lt;=COUNT('Per Invoice'!$O$2:$O$801),MATCH(ROWS($N$2:$N64),'Per Invoice'!$O$2:$O$801,0),"")</f>
        <v/>
      </c>
    </row>
    <row r="65">
      <c r="A65">
        <f>IF($N65="","",IF(INDEX('Per Invoice'!$A$2:$A$801,$N65)="","",INDEX('Per Invoice'!$A$2:$A$801,$N65)))</f>
        <v/>
      </c>
      <c r="B65">
        <f>IF($N65="","",IF(INDEX('Per Invoice'!$B$2:$B$801,$N65)="","",INDEX('Per Invoice'!$B$2:$B$801,$N65)))</f>
        <v/>
      </c>
      <c r="C65">
        <f>IF($N65="","",IF(INDEX('Per Invoice'!$C$2:$C$801,$N65)="","",INDEX('Per Invoice'!$C$2:$C$801,$N65)))</f>
        <v/>
      </c>
      <c r="D65">
        <f>IF($N65="","",IF(INDEX('Per Invoice'!$D$2:$D$801,$N65)="","",INDEX('Per Invoice'!$D$2:$D$801,$N65)))</f>
        <v/>
      </c>
      <c r="E65">
        <f>IF($N65="","",IF(INDEX('Per Invoice'!$E$2:$E$801,$N65)="","",INDEX('Per Invoice'!$E$2:$E$801,$N65)))</f>
        <v/>
      </c>
      <c r="F65">
        <f>IF($N65="","",IF(INDEX('Per Invoice'!$F$2:$F$801,$N65)="","",INDEX('Per Invoice'!$F$2:$F$801,$N65)))</f>
        <v/>
      </c>
      <c r="G65">
        <f>IF($N65="","",IF(INDEX('Per Invoice'!$G$2:$G$801,$N65)="","",INDEX('Per Invoice'!$G$2:$G$801,$N65)))</f>
        <v/>
      </c>
      <c r="H65">
        <f>IF($N65="","",IF(INDEX('Per Invoice'!$H$2:$H$801,$N65)="","",INDEX('Per Invoice'!$H$2:$H$801,$N65)))</f>
        <v/>
      </c>
      <c r="I65" s="5">
        <f>IF($N65="","",IF(INDEX('Per Invoice'!$I$2:$I$801,$N65)="","",INDEX('Per Invoice'!$I$2:$I$801,$N65)))</f>
        <v/>
      </c>
      <c r="J65" s="5">
        <f>IF($N65="","",IF(INDEX('Per Invoice'!$J$2:$J$801,$N65)="","",INDEX('Per Invoice'!$J$2:$J$801,$N65)))</f>
        <v/>
      </c>
      <c r="K65" s="5">
        <f>IF($N65="","",IF(INDEX('Per Invoice'!$K$2:$K$801,$N65)="","",INDEX('Per Invoice'!$K$2:$K$801,$N65)))</f>
        <v/>
      </c>
      <c r="L65" s="5">
        <f>IF($N65="","",IF(INDEX('Per Invoice'!$L$2:$L$801,$N65)="","",INDEX('Per Invoice'!$L$2:$L$801,$N65)))</f>
        <v/>
      </c>
      <c r="M65" s="5">
        <f>IF($N65="","",IF(INDEX('Per Invoice'!$M$2:$M$801,$N65)="","",INDEX('Per Invoice'!$M$2:$M$801,$N65)))</f>
        <v/>
      </c>
      <c r="N65">
        <f>IF(ROWS($N$2:$N65)&lt;=COUNT('Per Invoice'!$O$2:$O$801),MATCH(ROWS($N$2:$N65),'Per Invoice'!$O$2:$O$801,0),"")</f>
        <v/>
      </c>
    </row>
    <row r="66">
      <c r="A66">
        <f>IF($N66="","",IF(INDEX('Per Invoice'!$A$2:$A$801,$N66)="","",INDEX('Per Invoice'!$A$2:$A$801,$N66)))</f>
        <v/>
      </c>
      <c r="B66">
        <f>IF($N66="","",IF(INDEX('Per Invoice'!$B$2:$B$801,$N66)="","",INDEX('Per Invoice'!$B$2:$B$801,$N66)))</f>
        <v/>
      </c>
      <c r="C66">
        <f>IF($N66="","",IF(INDEX('Per Invoice'!$C$2:$C$801,$N66)="","",INDEX('Per Invoice'!$C$2:$C$801,$N66)))</f>
        <v/>
      </c>
      <c r="D66">
        <f>IF($N66="","",IF(INDEX('Per Invoice'!$D$2:$D$801,$N66)="","",INDEX('Per Invoice'!$D$2:$D$801,$N66)))</f>
        <v/>
      </c>
      <c r="E66">
        <f>IF($N66="","",IF(INDEX('Per Invoice'!$E$2:$E$801,$N66)="","",INDEX('Per Invoice'!$E$2:$E$801,$N66)))</f>
        <v/>
      </c>
      <c r="F66">
        <f>IF($N66="","",IF(INDEX('Per Invoice'!$F$2:$F$801,$N66)="","",INDEX('Per Invoice'!$F$2:$F$801,$N66)))</f>
        <v/>
      </c>
      <c r="G66">
        <f>IF($N66="","",IF(INDEX('Per Invoice'!$G$2:$G$801,$N66)="","",INDEX('Per Invoice'!$G$2:$G$801,$N66)))</f>
        <v/>
      </c>
      <c r="H66">
        <f>IF($N66="","",IF(INDEX('Per Invoice'!$H$2:$H$801,$N66)="","",INDEX('Per Invoice'!$H$2:$H$801,$N66)))</f>
        <v/>
      </c>
      <c r="I66" s="5">
        <f>IF($N66="","",IF(INDEX('Per Invoice'!$I$2:$I$801,$N66)="","",INDEX('Per Invoice'!$I$2:$I$801,$N66)))</f>
        <v/>
      </c>
      <c r="J66" s="5">
        <f>IF($N66="","",IF(INDEX('Per Invoice'!$J$2:$J$801,$N66)="","",INDEX('Per Invoice'!$J$2:$J$801,$N66)))</f>
        <v/>
      </c>
      <c r="K66" s="5">
        <f>IF($N66="","",IF(INDEX('Per Invoice'!$K$2:$K$801,$N66)="","",INDEX('Per Invoice'!$K$2:$K$801,$N66)))</f>
        <v/>
      </c>
      <c r="L66" s="5">
        <f>IF($N66="","",IF(INDEX('Per Invoice'!$L$2:$L$801,$N66)="","",INDEX('Per Invoice'!$L$2:$L$801,$N66)))</f>
        <v/>
      </c>
      <c r="M66" s="5">
        <f>IF($N66="","",IF(INDEX('Per Invoice'!$M$2:$M$801,$N66)="","",INDEX('Per Invoice'!$M$2:$M$801,$N66)))</f>
        <v/>
      </c>
      <c r="N66">
        <f>IF(ROWS($N$2:$N66)&lt;=COUNT('Per Invoice'!$O$2:$O$801),MATCH(ROWS($N$2:$N66),'Per Invoice'!$O$2:$O$801,0),"")</f>
        <v/>
      </c>
    </row>
    <row r="67">
      <c r="A67">
        <f>IF($N67="","",IF(INDEX('Per Invoice'!$A$2:$A$801,$N67)="","",INDEX('Per Invoice'!$A$2:$A$801,$N67)))</f>
        <v/>
      </c>
      <c r="B67">
        <f>IF($N67="","",IF(INDEX('Per Invoice'!$B$2:$B$801,$N67)="","",INDEX('Per Invoice'!$B$2:$B$801,$N67)))</f>
        <v/>
      </c>
      <c r="C67">
        <f>IF($N67="","",IF(INDEX('Per Invoice'!$C$2:$C$801,$N67)="","",INDEX('Per Invoice'!$C$2:$C$801,$N67)))</f>
        <v/>
      </c>
      <c r="D67">
        <f>IF($N67="","",IF(INDEX('Per Invoice'!$D$2:$D$801,$N67)="","",INDEX('Per Invoice'!$D$2:$D$801,$N67)))</f>
        <v/>
      </c>
      <c r="E67">
        <f>IF($N67="","",IF(INDEX('Per Invoice'!$E$2:$E$801,$N67)="","",INDEX('Per Invoice'!$E$2:$E$801,$N67)))</f>
        <v/>
      </c>
      <c r="F67">
        <f>IF($N67="","",IF(INDEX('Per Invoice'!$F$2:$F$801,$N67)="","",INDEX('Per Invoice'!$F$2:$F$801,$N67)))</f>
        <v/>
      </c>
      <c r="G67">
        <f>IF($N67="","",IF(INDEX('Per Invoice'!$G$2:$G$801,$N67)="","",INDEX('Per Invoice'!$G$2:$G$801,$N67)))</f>
        <v/>
      </c>
      <c r="H67">
        <f>IF($N67="","",IF(INDEX('Per Invoice'!$H$2:$H$801,$N67)="","",INDEX('Per Invoice'!$H$2:$H$801,$N67)))</f>
        <v/>
      </c>
      <c r="I67" s="5">
        <f>IF($N67="","",IF(INDEX('Per Invoice'!$I$2:$I$801,$N67)="","",INDEX('Per Invoice'!$I$2:$I$801,$N67)))</f>
        <v/>
      </c>
      <c r="J67" s="5">
        <f>IF($N67="","",IF(INDEX('Per Invoice'!$J$2:$J$801,$N67)="","",INDEX('Per Invoice'!$J$2:$J$801,$N67)))</f>
        <v/>
      </c>
      <c r="K67" s="5">
        <f>IF($N67="","",IF(INDEX('Per Invoice'!$K$2:$K$801,$N67)="","",INDEX('Per Invoice'!$K$2:$K$801,$N67)))</f>
        <v/>
      </c>
      <c r="L67" s="5">
        <f>IF($N67="","",IF(INDEX('Per Invoice'!$L$2:$L$801,$N67)="","",INDEX('Per Invoice'!$L$2:$L$801,$N67)))</f>
        <v/>
      </c>
      <c r="M67" s="5">
        <f>IF($N67="","",IF(INDEX('Per Invoice'!$M$2:$M$801,$N67)="","",INDEX('Per Invoice'!$M$2:$M$801,$N67)))</f>
        <v/>
      </c>
      <c r="N67">
        <f>IF(ROWS($N$2:$N67)&lt;=COUNT('Per Invoice'!$O$2:$O$801),MATCH(ROWS($N$2:$N67),'Per Invoice'!$O$2:$O$801,0),"")</f>
        <v/>
      </c>
    </row>
    <row r="68">
      <c r="A68">
        <f>IF($N68="","",IF(INDEX('Per Invoice'!$A$2:$A$801,$N68)="","",INDEX('Per Invoice'!$A$2:$A$801,$N68)))</f>
        <v/>
      </c>
      <c r="B68">
        <f>IF($N68="","",IF(INDEX('Per Invoice'!$B$2:$B$801,$N68)="","",INDEX('Per Invoice'!$B$2:$B$801,$N68)))</f>
        <v/>
      </c>
      <c r="C68">
        <f>IF($N68="","",IF(INDEX('Per Invoice'!$C$2:$C$801,$N68)="","",INDEX('Per Invoice'!$C$2:$C$801,$N68)))</f>
        <v/>
      </c>
      <c r="D68">
        <f>IF($N68="","",IF(INDEX('Per Invoice'!$D$2:$D$801,$N68)="","",INDEX('Per Invoice'!$D$2:$D$801,$N68)))</f>
        <v/>
      </c>
      <c r="E68">
        <f>IF($N68="","",IF(INDEX('Per Invoice'!$E$2:$E$801,$N68)="","",INDEX('Per Invoice'!$E$2:$E$801,$N68)))</f>
        <v/>
      </c>
      <c r="F68">
        <f>IF($N68="","",IF(INDEX('Per Invoice'!$F$2:$F$801,$N68)="","",INDEX('Per Invoice'!$F$2:$F$801,$N68)))</f>
        <v/>
      </c>
      <c r="G68">
        <f>IF($N68="","",IF(INDEX('Per Invoice'!$G$2:$G$801,$N68)="","",INDEX('Per Invoice'!$G$2:$G$801,$N68)))</f>
        <v/>
      </c>
      <c r="H68">
        <f>IF($N68="","",IF(INDEX('Per Invoice'!$H$2:$H$801,$N68)="","",INDEX('Per Invoice'!$H$2:$H$801,$N68)))</f>
        <v/>
      </c>
      <c r="I68" s="5">
        <f>IF($N68="","",IF(INDEX('Per Invoice'!$I$2:$I$801,$N68)="","",INDEX('Per Invoice'!$I$2:$I$801,$N68)))</f>
        <v/>
      </c>
      <c r="J68" s="5">
        <f>IF($N68="","",IF(INDEX('Per Invoice'!$J$2:$J$801,$N68)="","",INDEX('Per Invoice'!$J$2:$J$801,$N68)))</f>
        <v/>
      </c>
      <c r="K68" s="5">
        <f>IF($N68="","",IF(INDEX('Per Invoice'!$K$2:$K$801,$N68)="","",INDEX('Per Invoice'!$K$2:$K$801,$N68)))</f>
        <v/>
      </c>
      <c r="L68" s="5">
        <f>IF($N68="","",IF(INDEX('Per Invoice'!$L$2:$L$801,$N68)="","",INDEX('Per Invoice'!$L$2:$L$801,$N68)))</f>
        <v/>
      </c>
      <c r="M68" s="5">
        <f>IF($N68="","",IF(INDEX('Per Invoice'!$M$2:$M$801,$N68)="","",INDEX('Per Invoice'!$M$2:$M$801,$N68)))</f>
        <v/>
      </c>
      <c r="N68">
        <f>IF(ROWS($N$2:$N68)&lt;=COUNT('Per Invoice'!$O$2:$O$801),MATCH(ROWS($N$2:$N68),'Per Invoice'!$O$2:$O$801,0),"")</f>
        <v/>
      </c>
    </row>
    <row r="69">
      <c r="A69">
        <f>IF($N69="","",IF(INDEX('Per Invoice'!$A$2:$A$801,$N69)="","",INDEX('Per Invoice'!$A$2:$A$801,$N69)))</f>
        <v/>
      </c>
      <c r="B69">
        <f>IF($N69="","",IF(INDEX('Per Invoice'!$B$2:$B$801,$N69)="","",INDEX('Per Invoice'!$B$2:$B$801,$N69)))</f>
        <v/>
      </c>
      <c r="C69">
        <f>IF($N69="","",IF(INDEX('Per Invoice'!$C$2:$C$801,$N69)="","",INDEX('Per Invoice'!$C$2:$C$801,$N69)))</f>
        <v/>
      </c>
      <c r="D69">
        <f>IF($N69="","",IF(INDEX('Per Invoice'!$D$2:$D$801,$N69)="","",INDEX('Per Invoice'!$D$2:$D$801,$N69)))</f>
        <v/>
      </c>
      <c r="E69">
        <f>IF($N69="","",IF(INDEX('Per Invoice'!$E$2:$E$801,$N69)="","",INDEX('Per Invoice'!$E$2:$E$801,$N69)))</f>
        <v/>
      </c>
      <c r="F69">
        <f>IF($N69="","",IF(INDEX('Per Invoice'!$F$2:$F$801,$N69)="","",INDEX('Per Invoice'!$F$2:$F$801,$N69)))</f>
        <v/>
      </c>
      <c r="G69">
        <f>IF($N69="","",IF(INDEX('Per Invoice'!$G$2:$G$801,$N69)="","",INDEX('Per Invoice'!$G$2:$G$801,$N69)))</f>
        <v/>
      </c>
      <c r="H69">
        <f>IF($N69="","",IF(INDEX('Per Invoice'!$H$2:$H$801,$N69)="","",INDEX('Per Invoice'!$H$2:$H$801,$N69)))</f>
        <v/>
      </c>
      <c r="I69" s="5">
        <f>IF($N69="","",IF(INDEX('Per Invoice'!$I$2:$I$801,$N69)="","",INDEX('Per Invoice'!$I$2:$I$801,$N69)))</f>
        <v/>
      </c>
      <c r="J69" s="5">
        <f>IF($N69="","",IF(INDEX('Per Invoice'!$J$2:$J$801,$N69)="","",INDEX('Per Invoice'!$J$2:$J$801,$N69)))</f>
        <v/>
      </c>
      <c r="K69" s="5">
        <f>IF($N69="","",IF(INDEX('Per Invoice'!$K$2:$K$801,$N69)="","",INDEX('Per Invoice'!$K$2:$K$801,$N69)))</f>
        <v/>
      </c>
      <c r="L69" s="5">
        <f>IF($N69="","",IF(INDEX('Per Invoice'!$L$2:$L$801,$N69)="","",INDEX('Per Invoice'!$L$2:$L$801,$N69)))</f>
        <v/>
      </c>
      <c r="M69" s="5">
        <f>IF($N69="","",IF(INDEX('Per Invoice'!$M$2:$M$801,$N69)="","",INDEX('Per Invoice'!$M$2:$M$801,$N69)))</f>
        <v/>
      </c>
      <c r="N69">
        <f>IF(ROWS($N$2:$N69)&lt;=COUNT('Per Invoice'!$O$2:$O$801),MATCH(ROWS($N$2:$N69),'Per Invoice'!$O$2:$O$801,0),"")</f>
        <v/>
      </c>
    </row>
    <row r="70">
      <c r="A70">
        <f>IF($N70="","",IF(INDEX('Per Invoice'!$A$2:$A$801,$N70)="","",INDEX('Per Invoice'!$A$2:$A$801,$N70)))</f>
        <v/>
      </c>
      <c r="B70">
        <f>IF($N70="","",IF(INDEX('Per Invoice'!$B$2:$B$801,$N70)="","",INDEX('Per Invoice'!$B$2:$B$801,$N70)))</f>
        <v/>
      </c>
      <c r="C70">
        <f>IF($N70="","",IF(INDEX('Per Invoice'!$C$2:$C$801,$N70)="","",INDEX('Per Invoice'!$C$2:$C$801,$N70)))</f>
        <v/>
      </c>
      <c r="D70">
        <f>IF($N70="","",IF(INDEX('Per Invoice'!$D$2:$D$801,$N70)="","",INDEX('Per Invoice'!$D$2:$D$801,$N70)))</f>
        <v/>
      </c>
      <c r="E70">
        <f>IF($N70="","",IF(INDEX('Per Invoice'!$E$2:$E$801,$N70)="","",INDEX('Per Invoice'!$E$2:$E$801,$N70)))</f>
        <v/>
      </c>
      <c r="F70">
        <f>IF($N70="","",IF(INDEX('Per Invoice'!$F$2:$F$801,$N70)="","",INDEX('Per Invoice'!$F$2:$F$801,$N70)))</f>
        <v/>
      </c>
      <c r="G70">
        <f>IF($N70="","",IF(INDEX('Per Invoice'!$G$2:$G$801,$N70)="","",INDEX('Per Invoice'!$G$2:$G$801,$N70)))</f>
        <v/>
      </c>
      <c r="H70">
        <f>IF($N70="","",IF(INDEX('Per Invoice'!$H$2:$H$801,$N70)="","",INDEX('Per Invoice'!$H$2:$H$801,$N70)))</f>
        <v/>
      </c>
      <c r="I70" s="5">
        <f>IF($N70="","",IF(INDEX('Per Invoice'!$I$2:$I$801,$N70)="","",INDEX('Per Invoice'!$I$2:$I$801,$N70)))</f>
        <v/>
      </c>
      <c r="J70" s="5">
        <f>IF($N70="","",IF(INDEX('Per Invoice'!$J$2:$J$801,$N70)="","",INDEX('Per Invoice'!$J$2:$J$801,$N70)))</f>
        <v/>
      </c>
      <c r="K70" s="5">
        <f>IF($N70="","",IF(INDEX('Per Invoice'!$K$2:$K$801,$N70)="","",INDEX('Per Invoice'!$K$2:$K$801,$N70)))</f>
        <v/>
      </c>
      <c r="L70" s="5">
        <f>IF($N70="","",IF(INDEX('Per Invoice'!$L$2:$L$801,$N70)="","",INDEX('Per Invoice'!$L$2:$L$801,$N70)))</f>
        <v/>
      </c>
      <c r="M70" s="5">
        <f>IF($N70="","",IF(INDEX('Per Invoice'!$M$2:$M$801,$N70)="","",INDEX('Per Invoice'!$M$2:$M$801,$N70)))</f>
        <v/>
      </c>
      <c r="N70">
        <f>IF(ROWS($N$2:$N70)&lt;=COUNT('Per Invoice'!$O$2:$O$801),MATCH(ROWS($N$2:$N70),'Per Invoice'!$O$2:$O$801,0),"")</f>
        <v/>
      </c>
    </row>
    <row r="71">
      <c r="A71">
        <f>IF($N71="","",IF(INDEX('Per Invoice'!$A$2:$A$801,$N71)="","",INDEX('Per Invoice'!$A$2:$A$801,$N71)))</f>
        <v/>
      </c>
      <c r="B71">
        <f>IF($N71="","",IF(INDEX('Per Invoice'!$B$2:$B$801,$N71)="","",INDEX('Per Invoice'!$B$2:$B$801,$N71)))</f>
        <v/>
      </c>
      <c r="C71">
        <f>IF($N71="","",IF(INDEX('Per Invoice'!$C$2:$C$801,$N71)="","",INDEX('Per Invoice'!$C$2:$C$801,$N71)))</f>
        <v/>
      </c>
      <c r="D71">
        <f>IF($N71="","",IF(INDEX('Per Invoice'!$D$2:$D$801,$N71)="","",INDEX('Per Invoice'!$D$2:$D$801,$N71)))</f>
        <v/>
      </c>
      <c r="E71">
        <f>IF($N71="","",IF(INDEX('Per Invoice'!$E$2:$E$801,$N71)="","",INDEX('Per Invoice'!$E$2:$E$801,$N71)))</f>
        <v/>
      </c>
      <c r="F71">
        <f>IF($N71="","",IF(INDEX('Per Invoice'!$F$2:$F$801,$N71)="","",INDEX('Per Invoice'!$F$2:$F$801,$N71)))</f>
        <v/>
      </c>
      <c r="G71">
        <f>IF($N71="","",IF(INDEX('Per Invoice'!$G$2:$G$801,$N71)="","",INDEX('Per Invoice'!$G$2:$G$801,$N71)))</f>
        <v/>
      </c>
      <c r="H71">
        <f>IF($N71="","",IF(INDEX('Per Invoice'!$H$2:$H$801,$N71)="","",INDEX('Per Invoice'!$H$2:$H$801,$N71)))</f>
        <v/>
      </c>
      <c r="I71" s="5">
        <f>IF($N71="","",IF(INDEX('Per Invoice'!$I$2:$I$801,$N71)="","",INDEX('Per Invoice'!$I$2:$I$801,$N71)))</f>
        <v/>
      </c>
      <c r="J71" s="5">
        <f>IF($N71="","",IF(INDEX('Per Invoice'!$J$2:$J$801,$N71)="","",INDEX('Per Invoice'!$J$2:$J$801,$N71)))</f>
        <v/>
      </c>
      <c r="K71" s="5">
        <f>IF($N71="","",IF(INDEX('Per Invoice'!$K$2:$K$801,$N71)="","",INDEX('Per Invoice'!$K$2:$K$801,$N71)))</f>
        <v/>
      </c>
      <c r="L71" s="5">
        <f>IF($N71="","",IF(INDEX('Per Invoice'!$L$2:$L$801,$N71)="","",INDEX('Per Invoice'!$L$2:$L$801,$N71)))</f>
        <v/>
      </c>
      <c r="M71" s="5">
        <f>IF($N71="","",IF(INDEX('Per Invoice'!$M$2:$M$801,$N71)="","",INDEX('Per Invoice'!$M$2:$M$801,$N71)))</f>
        <v/>
      </c>
      <c r="N71">
        <f>IF(ROWS($N$2:$N71)&lt;=COUNT('Per Invoice'!$O$2:$O$801),MATCH(ROWS($N$2:$N71),'Per Invoice'!$O$2:$O$801,0),"")</f>
        <v/>
      </c>
    </row>
    <row r="72">
      <c r="A72">
        <f>IF($N72="","",IF(INDEX('Per Invoice'!$A$2:$A$801,$N72)="","",INDEX('Per Invoice'!$A$2:$A$801,$N72)))</f>
        <v/>
      </c>
      <c r="B72">
        <f>IF($N72="","",IF(INDEX('Per Invoice'!$B$2:$B$801,$N72)="","",INDEX('Per Invoice'!$B$2:$B$801,$N72)))</f>
        <v/>
      </c>
      <c r="C72">
        <f>IF($N72="","",IF(INDEX('Per Invoice'!$C$2:$C$801,$N72)="","",INDEX('Per Invoice'!$C$2:$C$801,$N72)))</f>
        <v/>
      </c>
      <c r="D72">
        <f>IF($N72="","",IF(INDEX('Per Invoice'!$D$2:$D$801,$N72)="","",INDEX('Per Invoice'!$D$2:$D$801,$N72)))</f>
        <v/>
      </c>
      <c r="E72">
        <f>IF($N72="","",IF(INDEX('Per Invoice'!$E$2:$E$801,$N72)="","",INDEX('Per Invoice'!$E$2:$E$801,$N72)))</f>
        <v/>
      </c>
      <c r="F72">
        <f>IF($N72="","",IF(INDEX('Per Invoice'!$F$2:$F$801,$N72)="","",INDEX('Per Invoice'!$F$2:$F$801,$N72)))</f>
        <v/>
      </c>
      <c r="G72">
        <f>IF($N72="","",IF(INDEX('Per Invoice'!$G$2:$G$801,$N72)="","",INDEX('Per Invoice'!$G$2:$G$801,$N72)))</f>
        <v/>
      </c>
      <c r="H72">
        <f>IF($N72="","",IF(INDEX('Per Invoice'!$H$2:$H$801,$N72)="","",INDEX('Per Invoice'!$H$2:$H$801,$N72)))</f>
        <v/>
      </c>
      <c r="I72" s="5">
        <f>IF($N72="","",IF(INDEX('Per Invoice'!$I$2:$I$801,$N72)="","",INDEX('Per Invoice'!$I$2:$I$801,$N72)))</f>
        <v/>
      </c>
      <c r="J72" s="5">
        <f>IF($N72="","",IF(INDEX('Per Invoice'!$J$2:$J$801,$N72)="","",INDEX('Per Invoice'!$J$2:$J$801,$N72)))</f>
        <v/>
      </c>
      <c r="K72" s="5">
        <f>IF($N72="","",IF(INDEX('Per Invoice'!$K$2:$K$801,$N72)="","",INDEX('Per Invoice'!$K$2:$K$801,$N72)))</f>
        <v/>
      </c>
      <c r="L72" s="5">
        <f>IF($N72="","",IF(INDEX('Per Invoice'!$L$2:$L$801,$N72)="","",INDEX('Per Invoice'!$L$2:$L$801,$N72)))</f>
        <v/>
      </c>
      <c r="M72" s="5">
        <f>IF($N72="","",IF(INDEX('Per Invoice'!$M$2:$M$801,$N72)="","",INDEX('Per Invoice'!$M$2:$M$801,$N72)))</f>
        <v/>
      </c>
      <c r="N72">
        <f>IF(ROWS($N$2:$N72)&lt;=COUNT('Per Invoice'!$O$2:$O$801),MATCH(ROWS($N$2:$N72),'Per Invoice'!$O$2:$O$801,0),"")</f>
        <v/>
      </c>
    </row>
    <row r="73">
      <c r="A73">
        <f>IF($N73="","",IF(INDEX('Per Invoice'!$A$2:$A$801,$N73)="","",INDEX('Per Invoice'!$A$2:$A$801,$N73)))</f>
        <v/>
      </c>
      <c r="B73">
        <f>IF($N73="","",IF(INDEX('Per Invoice'!$B$2:$B$801,$N73)="","",INDEX('Per Invoice'!$B$2:$B$801,$N73)))</f>
        <v/>
      </c>
      <c r="C73">
        <f>IF($N73="","",IF(INDEX('Per Invoice'!$C$2:$C$801,$N73)="","",INDEX('Per Invoice'!$C$2:$C$801,$N73)))</f>
        <v/>
      </c>
      <c r="D73">
        <f>IF($N73="","",IF(INDEX('Per Invoice'!$D$2:$D$801,$N73)="","",INDEX('Per Invoice'!$D$2:$D$801,$N73)))</f>
        <v/>
      </c>
      <c r="E73">
        <f>IF($N73="","",IF(INDEX('Per Invoice'!$E$2:$E$801,$N73)="","",INDEX('Per Invoice'!$E$2:$E$801,$N73)))</f>
        <v/>
      </c>
      <c r="F73">
        <f>IF($N73="","",IF(INDEX('Per Invoice'!$F$2:$F$801,$N73)="","",INDEX('Per Invoice'!$F$2:$F$801,$N73)))</f>
        <v/>
      </c>
      <c r="G73">
        <f>IF($N73="","",IF(INDEX('Per Invoice'!$G$2:$G$801,$N73)="","",INDEX('Per Invoice'!$G$2:$G$801,$N73)))</f>
        <v/>
      </c>
      <c r="H73">
        <f>IF($N73="","",IF(INDEX('Per Invoice'!$H$2:$H$801,$N73)="","",INDEX('Per Invoice'!$H$2:$H$801,$N73)))</f>
        <v/>
      </c>
      <c r="I73" s="5">
        <f>IF($N73="","",IF(INDEX('Per Invoice'!$I$2:$I$801,$N73)="","",INDEX('Per Invoice'!$I$2:$I$801,$N73)))</f>
        <v/>
      </c>
      <c r="J73" s="5">
        <f>IF($N73="","",IF(INDEX('Per Invoice'!$J$2:$J$801,$N73)="","",INDEX('Per Invoice'!$J$2:$J$801,$N73)))</f>
        <v/>
      </c>
      <c r="K73" s="5">
        <f>IF($N73="","",IF(INDEX('Per Invoice'!$K$2:$K$801,$N73)="","",INDEX('Per Invoice'!$K$2:$K$801,$N73)))</f>
        <v/>
      </c>
      <c r="L73" s="5">
        <f>IF($N73="","",IF(INDEX('Per Invoice'!$L$2:$L$801,$N73)="","",INDEX('Per Invoice'!$L$2:$L$801,$N73)))</f>
        <v/>
      </c>
      <c r="M73" s="5">
        <f>IF($N73="","",IF(INDEX('Per Invoice'!$M$2:$M$801,$N73)="","",INDEX('Per Invoice'!$M$2:$M$801,$N73)))</f>
        <v/>
      </c>
      <c r="N73">
        <f>IF(ROWS($N$2:$N73)&lt;=COUNT('Per Invoice'!$O$2:$O$801),MATCH(ROWS($N$2:$N73),'Per Invoice'!$O$2:$O$801,0),"")</f>
        <v/>
      </c>
    </row>
    <row r="74">
      <c r="A74">
        <f>IF($N74="","",IF(INDEX('Per Invoice'!$A$2:$A$801,$N74)="","",INDEX('Per Invoice'!$A$2:$A$801,$N74)))</f>
        <v/>
      </c>
      <c r="B74">
        <f>IF($N74="","",IF(INDEX('Per Invoice'!$B$2:$B$801,$N74)="","",INDEX('Per Invoice'!$B$2:$B$801,$N74)))</f>
        <v/>
      </c>
      <c r="C74">
        <f>IF($N74="","",IF(INDEX('Per Invoice'!$C$2:$C$801,$N74)="","",INDEX('Per Invoice'!$C$2:$C$801,$N74)))</f>
        <v/>
      </c>
      <c r="D74">
        <f>IF($N74="","",IF(INDEX('Per Invoice'!$D$2:$D$801,$N74)="","",INDEX('Per Invoice'!$D$2:$D$801,$N74)))</f>
        <v/>
      </c>
      <c r="E74">
        <f>IF($N74="","",IF(INDEX('Per Invoice'!$E$2:$E$801,$N74)="","",INDEX('Per Invoice'!$E$2:$E$801,$N74)))</f>
        <v/>
      </c>
      <c r="F74">
        <f>IF($N74="","",IF(INDEX('Per Invoice'!$F$2:$F$801,$N74)="","",INDEX('Per Invoice'!$F$2:$F$801,$N74)))</f>
        <v/>
      </c>
      <c r="G74">
        <f>IF($N74="","",IF(INDEX('Per Invoice'!$G$2:$G$801,$N74)="","",INDEX('Per Invoice'!$G$2:$G$801,$N74)))</f>
        <v/>
      </c>
      <c r="H74">
        <f>IF($N74="","",IF(INDEX('Per Invoice'!$H$2:$H$801,$N74)="","",INDEX('Per Invoice'!$H$2:$H$801,$N74)))</f>
        <v/>
      </c>
      <c r="I74" s="5">
        <f>IF($N74="","",IF(INDEX('Per Invoice'!$I$2:$I$801,$N74)="","",INDEX('Per Invoice'!$I$2:$I$801,$N74)))</f>
        <v/>
      </c>
      <c r="J74" s="5">
        <f>IF($N74="","",IF(INDEX('Per Invoice'!$J$2:$J$801,$N74)="","",INDEX('Per Invoice'!$J$2:$J$801,$N74)))</f>
        <v/>
      </c>
      <c r="K74" s="5">
        <f>IF($N74="","",IF(INDEX('Per Invoice'!$K$2:$K$801,$N74)="","",INDEX('Per Invoice'!$K$2:$K$801,$N74)))</f>
        <v/>
      </c>
      <c r="L74" s="5">
        <f>IF($N74="","",IF(INDEX('Per Invoice'!$L$2:$L$801,$N74)="","",INDEX('Per Invoice'!$L$2:$L$801,$N74)))</f>
        <v/>
      </c>
      <c r="M74" s="5">
        <f>IF($N74="","",IF(INDEX('Per Invoice'!$M$2:$M$801,$N74)="","",INDEX('Per Invoice'!$M$2:$M$801,$N74)))</f>
        <v/>
      </c>
      <c r="N74">
        <f>IF(ROWS($N$2:$N74)&lt;=COUNT('Per Invoice'!$O$2:$O$801),MATCH(ROWS($N$2:$N74),'Per Invoice'!$O$2:$O$801,0),"")</f>
        <v/>
      </c>
    </row>
    <row r="75">
      <c r="A75">
        <f>IF($N75="","",IF(INDEX('Per Invoice'!$A$2:$A$801,$N75)="","",INDEX('Per Invoice'!$A$2:$A$801,$N75)))</f>
        <v/>
      </c>
      <c r="B75">
        <f>IF($N75="","",IF(INDEX('Per Invoice'!$B$2:$B$801,$N75)="","",INDEX('Per Invoice'!$B$2:$B$801,$N75)))</f>
        <v/>
      </c>
      <c r="C75">
        <f>IF($N75="","",IF(INDEX('Per Invoice'!$C$2:$C$801,$N75)="","",INDEX('Per Invoice'!$C$2:$C$801,$N75)))</f>
        <v/>
      </c>
      <c r="D75">
        <f>IF($N75="","",IF(INDEX('Per Invoice'!$D$2:$D$801,$N75)="","",INDEX('Per Invoice'!$D$2:$D$801,$N75)))</f>
        <v/>
      </c>
      <c r="E75">
        <f>IF($N75="","",IF(INDEX('Per Invoice'!$E$2:$E$801,$N75)="","",INDEX('Per Invoice'!$E$2:$E$801,$N75)))</f>
        <v/>
      </c>
      <c r="F75">
        <f>IF($N75="","",IF(INDEX('Per Invoice'!$F$2:$F$801,$N75)="","",INDEX('Per Invoice'!$F$2:$F$801,$N75)))</f>
        <v/>
      </c>
      <c r="G75">
        <f>IF($N75="","",IF(INDEX('Per Invoice'!$G$2:$G$801,$N75)="","",INDEX('Per Invoice'!$G$2:$G$801,$N75)))</f>
        <v/>
      </c>
      <c r="H75">
        <f>IF($N75="","",IF(INDEX('Per Invoice'!$H$2:$H$801,$N75)="","",INDEX('Per Invoice'!$H$2:$H$801,$N75)))</f>
        <v/>
      </c>
      <c r="I75" s="5">
        <f>IF($N75="","",IF(INDEX('Per Invoice'!$I$2:$I$801,$N75)="","",INDEX('Per Invoice'!$I$2:$I$801,$N75)))</f>
        <v/>
      </c>
      <c r="J75" s="5">
        <f>IF($N75="","",IF(INDEX('Per Invoice'!$J$2:$J$801,$N75)="","",INDEX('Per Invoice'!$J$2:$J$801,$N75)))</f>
        <v/>
      </c>
      <c r="K75" s="5">
        <f>IF($N75="","",IF(INDEX('Per Invoice'!$K$2:$K$801,$N75)="","",INDEX('Per Invoice'!$K$2:$K$801,$N75)))</f>
        <v/>
      </c>
      <c r="L75" s="5">
        <f>IF($N75="","",IF(INDEX('Per Invoice'!$L$2:$L$801,$N75)="","",INDEX('Per Invoice'!$L$2:$L$801,$N75)))</f>
        <v/>
      </c>
      <c r="M75" s="5">
        <f>IF($N75="","",IF(INDEX('Per Invoice'!$M$2:$M$801,$N75)="","",INDEX('Per Invoice'!$M$2:$M$801,$N75)))</f>
        <v/>
      </c>
      <c r="N75">
        <f>IF(ROWS($N$2:$N75)&lt;=COUNT('Per Invoice'!$O$2:$O$801),MATCH(ROWS($N$2:$N75),'Per Invoice'!$O$2:$O$801,0),"")</f>
        <v/>
      </c>
    </row>
    <row r="76">
      <c r="A76">
        <f>IF($N76="","",IF(INDEX('Per Invoice'!$A$2:$A$801,$N76)="","",INDEX('Per Invoice'!$A$2:$A$801,$N76)))</f>
        <v/>
      </c>
      <c r="B76">
        <f>IF($N76="","",IF(INDEX('Per Invoice'!$B$2:$B$801,$N76)="","",INDEX('Per Invoice'!$B$2:$B$801,$N76)))</f>
        <v/>
      </c>
      <c r="C76">
        <f>IF($N76="","",IF(INDEX('Per Invoice'!$C$2:$C$801,$N76)="","",INDEX('Per Invoice'!$C$2:$C$801,$N76)))</f>
        <v/>
      </c>
      <c r="D76">
        <f>IF($N76="","",IF(INDEX('Per Invoice'!$D$2:$D$801,$N76)="","",INDEX('Per Invoice'!$D$2:$D$801,$N76)))</f>
        <v/>
      </c>
      <c r="E76">
        <f>IF($N76="","",IF(INDEX('Per Invoice'!$E$2:$E$801,$N76)="","",INDEX('Per Invoice'!$E$2:$E$801,$N76)))</f>
        <v/>
      </c>
      <c r="F76">
        <f>IF($N76="","",IF(INDEX('Per Invoice'!$F$2:$F$801,$N76)="","",INDEX('Per Invoice'!$F$2:$F$801,$N76)))</f>
        <v/>
      </c>
      <c r="G76">
        <f>IF($N76="","",IF(INDEX('Per Invoice'!$G$2:$G$801,$N76)="","",INDEX('Per Invoice'!$G$2:$G$801,$N76)))</f>
        <v/>
      </c>
      <c r="H76">
        <f>IF($N76="","",IF(INDEX('Per Invoice'!$H$2:$H$801,$N76)="","",INDEX('Per Invoice'!$H$2:$H$801,$N76)))</f>
        <v/>
      </c>
      <c r="I76" s="5">
        <f>IF($N76="","",IF(INDEX('Per Invoice'!$I$2:$I$801,$N76)="","",INDEX('Per Invoice'!$I$2:$I$801,$N76)))</f>
        <v/>
      </c>
      <c r="J76" s="5">
        <f>IF($N76="","",IF(INDEX('Per Invoice'!$J$2:$J$801,$N76)="","",INDEX('Per Invoice'!$J$2:$J$801,$N76)))</f>
        <v/>
      </c>
      <c r="K76" s="5">
        <f>IF($N76="","",IF(INDEX('Per Invoice'!$K$2:$K$801,$N76)="","",INDEX('Per Invoice'!$K$2:$K$801,$N76)))</f>
        <v/>
      </c>
      <c r="L76" s="5">
        <f>IF($N76="","",IF(INDEX('Per Invoice'!$L$2:$L$801,$N76)="","",INDEX('Per Invoice'!$L$2:$L$801,$N76)))</f>
        <v/>
      </c>
      <c r="M76" s="5">
        <f>IF($N76="","",IF(INDEX('Per Invoice'!$M$2:$M$801,$N76)="","",INDEX('Per Invoice'!$M$2:$M$801,$N76)))</f>
        <v/>
      </c>
      <c r="N76">
        <f>IF(ROWS($N$2:$N76)&lt;=COUNT('Per Invoice'!$O$2:$O$801),MATCH(ROWS($N$2:$N76),'Per Invoice'!$O$2:$O$801,0),"")</f>
        <v/>
      </c>
    </row>
    <row r="77">
      <c r="A77">
        <f>IF($N77="","",IF(INDEX('Per Invoice'!$A$2:$A$801,$N77)="","",INDEX('Per Invoice'!$A$2:$A$801,$N77)))</f>
        <v/>
      </c>
      <c r="B77">
        <f>IF($N77="","",IF(INDEX('Per Invoice'!$B$2:$B$801,$N77)="","",INDEX('Per Invoice'!$B$2:$B$801,$N77)))</f>
        <v/>
      </c>
      <c r="C77">
        <f>IF($N77="","",IF(INDEX('Per Invoice'!$C$2:$C$801,$N77)="","",INDEX('Per Invoice'!$C$2:$C$801,$N77)))</f>
        <v/>
      </c>
      <c r="D77">
        <f>IF($N77="","",IF(INDEX('Per Invoice'!$D$2:$D$801,$N77)="","",INDEX('Per Invoice'!$D$2:$D$801,$N77)))</f>
        <v/>
      </c>
      <c r="E77">
        <f>IF($N77="","",IF(INDEX('Per Invoice'!$E$2:$E$801,$N77)="","",INDEX('Per Invoice'!$E$2:$E$801,$N77)))</f>
        <v/>
      </c>
      <c r="F77">
        <f>IF($N77="","",IF(INDEX('Per Invoice'!$F$2:$F$801,$N77)="","",INDEX('Per Invoice'!$F$2:$F$801,$N77)))</f>
        <v/>
      </c>
      <c r="G77">
        <f>IF($N77="","",IF(INDEX('Per Invoice'!$G$2:$G$801,$N77)="","",INDEX('Per Invoice'!$G$2:$G$801,$N77)))</f>
        <v/>
      </c>
      <c r="H77">
        <f>IF($N77="","",IF(INDEX('Per Invoice'!$H$2:$H$801,$N77)="","",INDEX('Per Invoice'!$H$2:$H$801,$N77)))</f>
        <v/>
      </c>
      <c r="I77" s="5">
        <f>IF($N77="","",IF(INDEX('Per Invoice'!$I$2:$I$801,$N77)="","",INDEX('Per Invoice'!$I$2:$I$801,$N77)))</f>
        <v/>
      </c>
      <c r="J77" s="5">
        <f>IF($N77="","",IF(INDEX('Per Invoice'!$J$2:$J$801,$N77)="","",INDEX('Per Invoice'!$J$2:$J$801,$N77)))</f>
        <v/>
      </c>
      <c r="K77" s="5">
        <f>IF($N77="","",IF(INDEX('Per Invoice'!$K$2:$K$801,$N77)="","",INDEX('Per Invoice'!$K$2:$K$801,$N77)))</f>
        <v/>
      </c>
      <c r="L77" s="5">
        <f>IF($N77="","",IF(INDEX('Per Invoice'!$L$2:$L$801,$N77)="","",INDEX('Per Invoice'!$L$2:$L$801,$N77)))</f>
        <v/>
      </c>
      <c r="M77" s="5">
        <f>IF($N77="","",IF(INDEX('Per Invoice'!$M$2:$M$801,$N77)="","",INDEX('Per Invoice'!$M$2:$M$801,$N77)))</f>
        <v/>
      </c>
      <c r="N77">
        <f>IF(ROWS($N$2:$N77)&lt;=COUNT('Per Invoice'!$O$2:$O$801),MATCH(ROWS($N$2:$N77),'Per Invoice'!$O$2:$O$801,0),"")</f>
        <v/>
      </c>
    </row>
    <row r="78">
      <c r="A78">
        <f>IF($N78="","",IF(INDEX('Per Invoice'!$A$2:$A$801,$N78)="","",INDEX('Per Invoice'!$A$2:$A$801,$N78)))</f>
        <v/>
      </c>
      <c r="B78">
        <f>IF($N78="","",IF(INDEX('Per Invoice'!$B$2:$B$801,$N78)="","",INDEX('Per Invoice'!$B$2:$B$801,$N78)))</f>
        <v/>
      </c>
      <c r="C78">
        <f>IF($N78="","",IF(INDEX('Per Invoice'!$C$2:$C$801,$N78)="","",INDEX('Per Invoice'!$C$2:$C$801,$N78)))</f>
        <v/>
      </c>
      <c r="D78">
        <f>IF($N78="","",IF(INDEX('Per Invoice'!$D$2:$D$801,$N78)="","",INDEX('Per Invoice'!$D$2:$D$801,$N78)))</f>
        <v/>
      </c>
      <c r="E78">
        <f>IF($N78="","",IF(INDEX('Per Invoice'!$E$2:$E$801,$N78)="","",INDEX('Per Invoice'!$E$2:$E$801,$N78)))</f>
        <v/>
      </c>
      <c r="F78">
        <f>IF($N78="","",IF(INDEX('Per Invoice'!$F$2:$F$801,$N78)="","",INDEX('Per Invoice'!$F$2:$F$801,$N78)))</f>
        <v/>
      </c>
      <c r="G78">
        <f>IF($N78="","",IF(INDEX('Per Invoice'!$G$2:$G$801,$N78)="","",INDEX('Per Invoice'!$G$2:$G$801,$N78)))</f>
        <v/>
      </c>
      <c r="H78">
        <f>IF($N78="","",IF(INDEX('Per Invoice'!$H$2:$H$801,$N78)="","",INDEX('Per Invoice'!$H$2:$H$801,$N78)))</f>
        <v/>
      </c>
      <c r="I78" s="5">
        <f>IF($N78="","",IF(INDEX('Per Invoice'!$I$2:$I$801,$N78)="","",INDEX('Per Invoice'!$I$2:$I$801,$N78)))</f>
        <v/>
      </c>
      <c r="J78" s="5">
        <f>IF($N78="","",IF(INDEX('Per Invoice'!$J$2:$J$801,$N78)="","",INDEX('Per Invoice'!$J$2:$J$801,$N78)))</f>
        <v/>
      </c>
      <c r="K78" s="5">
        <f>IF($N78="","",IF(INDEX('Per Invoice'!$K$2:$K$801,$N78)="","",INDEX('Per Invoice'!$K$2:$K$801,$N78)))</f>
        <v/>
      </c>
      <c r="L78" s="5">
        <f>IF($N78="","",IF(INDEX('Per Invoice'!$L$2:$L$801,$N78)="","",INDEX('Per Invoice'!$L$2:$L$801,$N78)))</f>
        <v/>
      </c>
      <c r="M78" s="5">
        <f>IF($N78="","",IF(INDEX('Per Invoice'!$M$2:$M$801,$N78)="","",INDEX('Per Invoice'!$M$2:$M$801,$N78)))</f>
        <v/>
      </c>
      <c r="N78">
        <f>IF(ROWS($N$2:$N78)&lt;=COUNT('Per Invoice'!$O$2:$O$801),MATCH(ROWS($N$2:$N78),'Per Invoice'!$O$2:$O$801,0),"")</f>
        <v/>
      </c>
    </row>
    <row r="79">
      <c r="A79">
        <f>IF($N79="","",IF(INDEX('Per Invoice'!$A$2:$A$801,$N79)="","",INDEX('Per Invoice'!$A$2:$A$801,$N79)))</f>
        <v/>
      </c>
      <c r="B79">
        <f>IF($N79="","",IF(INDEX('Per Invoice'!$B$2:$B$801,$N79)="","",INDEX('Per Invoice'!$B$2:$B$801,$N79)))</f>
        <v/>
      </c>
      <c r="C79">
        <f>IF($N79="","",IF(INDEX('Per Invoice'!$C$2:$C$801,$N79)="","",INDEX('Per Invoice'!$C$2:$C$801,$N79)))</f>
        <v/>
      </c>
      <c r="D79">
        <f>IF($N79="","",IF(INDEX('Per Invoice'!$D$2:$D$801,$N79)="","",INDEX('Per Invoice'!$D$2:$D$801,$N79)))</f>
        <v/>
      </c>
      <c r="E79">
        <f>IF($N79="","",IF(INDEX('Per Invoice'!$E$2:$E$801,$N79)="","",INDEX('Per Invoice'!$E$2:$E$801,$N79)))</f>
        <v/>
      </c>
      <c r="F79">
        <f>IF($N79="","",IF(INDEX('Per Invoice'!$F$2:$F$801,$N79)="","",INDEX('Per Invoice'!$F$2:$F$801,$N79)))</f>
        <v/>
      </c>
      <c r="G79">
        <f>IF($N79="","",IF(INDEX('Per Invoice'!$G$2:$G$801,$N79)="","",INDEX('Per Invoice'!$G$2:$G$801,$N79)))</f>
        <v/>
      </c>
      <c r="H79">
        <f>IF($N79="","",IF(INDEX('Per Invoice'!$H$2:$H$801,$N79)="","",INDEX('Per Invoice'!$H$2:$H$801,$N79)))</f>
        <v/>
      </c>
      <c r="I79" s="5">
        <f>IF($N79="","",IF(INDEX('Per Invoice'!$I$2:$I$801,$N79)="","",INDEX('Per Invoice'!$I$2:$I$801,$N79)))</f>
        <v/>
      </c>
      <c r="J79" s="5">
        <f>IF($N79="","",IF(INDEX('Per Invoice'!$J$2:$J$801,$N79)="","",INDEX('Per Invoice'!$J$2:$J$801,$N79)))</f>
        <v/>
      </c>
      <c r="K79" s="5">
        <f>IF($N79="","",IF(INDEX('Per Invoice'!$K$2:$K$801,$N79)="","",INDEX('Per Invoice'!$K$2:$K$801,$N79)))</f>
        <v/>
      </c>
      <c r="L79" s="5">
        <f>IF($N79="","",IF(INDEX('Per Invoice'!$L$2:$L$801,$N79)="","",INDEX('Per Invoice'!$L$2:$L$801,$N79)))</f>
        <v/>
      </c>
      <c r="M79" s="5">
        <f>IF($N79="","",IF(INDEX('Per Invoice'!$M$2:$M$801,$N79)="","",INDEX('Per Invoice'!$M$2:$M$801,$N79)))</f>
        <v/>
      </c>
      <c r="N79">
        <f>IF(ROWS($N$2:$N79)&lt;=COUNT('Per Invoice'!$O$2:$O$801),MATCH(ROWS($N$2:$N79),'Per Invoice'!$O$2:$O$801,0),"")</f>
        <v/>
      </c>
    </row>
    <row r="80">
      <c r="A80">
        <f>IF($N80="","",IF(INDEX('Per Invoice'!$A$2:$A$801,$N80)="","",INDEX('Per Invoice'!$A$2:$A$801,$N80)))</f>
        <v/>
      </c>
      <c r="B80">
        <f>IF($N80="","",IF(INDEX('Per Invoice'!$B$2:$B$801,$N80)="","",INDEX('Per Invoice'!$B$2:$B$801,$N80)))</f>
        <v/>
      </c>
      <c r="C80">
        <f>IF($N80="","",IF(INDEX('Per Invoice'!$C$2:$C$801,$N80)="","",INDEX('Per Invoice'!$C$2:$C$801,$N80)))</f>
        <v/>
      </c>
      <c r="D80">
        <f>IF($N80="","",IF(INDEX('Per Invoice'!$D$2:$D$801,$N80)="","",INDEX('Per Invoice'!$D$2:$D$801,$N80)))</f>
        <v/>
      </c>
      <c r="E80">
        <f>IF($N80="","",IF(INDEX('Per Invoice'!$E$2:$E$801,$N80)="","",INDEX('Per Invoice'!$E$2:$E$801,$N80)))</f>
        <v/>
      </c>
      <c r="F80">
        <f>IF($N80="","",IF(INDEX('Per Invoice'!$F$2:$F$801,$N80)="","",INDEX('Per Invoice'!$F$2:$F$801,$N80)))</f>
        <v/>
      </c>
      <c r="G80">
        <f>IF($N80="","",IF(INDEX('Per Invoice'!$G$2:$G$801,$N80)="","",INDEX('Per Invoice'!$G$2:$G$801,$N80)))</f>
        <v/>
      </c>
      <c r="H80">
        <f>IF($N80="","",IF(INDEX('Per Invoice'!$H$2:$H$801,$N80)="","",INDEX('Per Invoice'!$H$2:$H$801,$N80)))</f>
        <v/>
      </c>
      <c r="I80" s="5">
        <f>IF($N80="","",IF(INDEX('Per Invoice'!$I$2:$I$801,$N80)="","",INDEX('Per Invoice'!$I$2:$I$801,$N80)))</f>
        <v/>
      </c>
      <c r="J80" s="5">
        <f>IF($N80="","",IF(INDEX('Per Invoice'!$J$2:$J$801,$N80)="","",INDEX('Per Invoice'!$J$2:$J$801,$N80)))</f>
        <v/>
      </c>
      <c r="K80" s="5">
        <f>IF($N80="","",IF(INDEX('Per Invoice'!$K$2:$K$801,$N80)="","",INDEX('Per Invoice'!$K$2:$K$801,$N80)))</f>
        <v/>
      </c>
      <c r="L80" s="5">
        <f>IF($N80="","",IF(INDEX('Per Invoice'!$L$2:$L$801,$N80)="","",INDEX('Per Invoice'!$L$2:$L$801,$N80)))</f>
        <v/>
      </c>
      <c r="M80" s="5">
        <f>IF($N80="","",IF(INDEX('Per Invoice'!$M$2:$M$801,$N80)="","",INDEX('Per Invoice'!$M$2:$M$801,$N80)))</f>
        <v/>
      </c>
      <c r="N80">
        <f>IF(ROWS($N$2:$N80)&lt;=COUNT('Per Invoice'!$O$2:$O$801),MATCH(ROWS($N$2:$N80),'Per Invoice'!$O$2:$O$801,0),"")</f>
        <v/>
      </c>
    </row>
    <row r="81">
      <c r="A81">
        <f>IF($N81="","",IF(INDEX('Per Invoice'!$A$2:$A$801,$N81)="","",INDEX('Per Invoice'!$A$2:$A$801,$N81)))</f>
        <v/>
      </c>
      <c r="B81">
        <f>IF($N81="","",IF(INDEX('Per Invoice'!$B$2:$B$801,$N81)="","",INDEX('Per Invoice'!$B$2:$B$801,$N81)))</f>
        <v/>
      </c>
      <c r="C81">
        <f>IF($N81="","",IF(INDEX('Per Invoice'!$C$2:$C$801,$N81)="","",INDEX('Per Invoice'!$C$2:$C$801,$N81)))</f>
        <v/>
      </c>
      <c r="D81">
        <f>IF($N81="","",IF(INDEX('Per Invoice'!$D$2:$D$801,$N81)="","",INDEX('Per Invoice'!$D$2:$D$801,$N81)))</f>
        <v/>
      </c>
      <c r="E81">
        <f>IF($N81="","",IF(INDEX('Per Invoice'!$E$2:$E$801,$N81)="","",INDEX('Per Invoice'!$E$2:$E$801,$N81)))</f>
        <v/>
      </c>
      <c r="F81">
        <f>IF($N81="","",IF(INDEX('Per Invoice'!$F$2:$F$801,$N81)="","",INDEX('Per Invoice'!$F$2:$F$801,$N81)))</f>
        <v/>
      </c>
      <c r="G81">
        <f>IF($N81="","",IF(INDEX('Per Invoice'!$G$2:$G$801,$N81)="","",INDEX('Per Invoice'!$G$2:$G$801,$N81)))</f>
        <v/>
      </c>
      <c r="H81">
        <f>IF($N81="","",IF(INDEX('Per Invoice'!$H$2:$H$801,$N81)="","",INDEX('Per Invoice'!$H$2:$H$801,$N81)))</f>
        <v/>
      </c>
      <c r="I81" s="5">
        <f>IF($N81="","",IF(INDEX('Per Invoice'!$I$2:$I$801,$N81)="","",INDEX('Per Invoice'!$I$2:$I$801,$N81)))</f>
        <v/>
      </c>
      <c r="J81" s="5">
        <f>IF($N81="","",IF(INDEX('Per Invoice'!$J$2:$J$801,$N81)="","",INDEX('Per Invoice'!$J$2:$J$801,$N81)))</f>
        <v/>
      </c>
      <c r="K81" s="5">
        <f>IF($N81="","",IF(INDEX('Per Invoice'!$K$2:$K$801,$N81)="","",INDEX('Per Invoice'!$K$2:$K$801,$N81)))</f>
        <v/>
      </c>
      <c r="L81" s="5">
        <f>IF($N81="","",IF(INDEX('Per Invoice'!$L$2:$L$801,$N81)="","",INDEX('Per Invoice'!$L$2:$L$801,$N81)))</f>
        <v/>
      </c>
      <c r="M81" s="5">
        <f>IF($N81="","",IF(INDEX('Per Invoice'!$M$2:$M$801,$N81)="","",INDEX('Per Invoice'!$M$2:$M$801,$N81)))</f>
        <v/>
      </c>
      <c r="N81">
        <f>IF(ROWS($N$2:$N81)&lt;=COUNT('Per Invoice'!$O$2:$O$801),MATCH(ROWS($N$2:$N81),'Per Invoice'!$O$2:$O$801,0),"")</f>
        <v/>
      </c>
    </row>
    <row r="82">
      <c r="A82">
        <f>IF($N82="","",IF(INDEX('Per Invoice'!$A$2:$A$801,$N82)="","",INDEX('Per Invoice'!$A$2:$A$801,$N82)))</f>
        <v/>
      </c>
      <c r="B82">
        <f>IF($N82="","",IF(INDEX('Per Invoice'!$B$2:$B$801,$N82)="","",INDEX('Per Invoice'!$B$2:$B$801,$N82)))</f>
        <v/>
      </c>
      <c r="C82">
        <f>IF($N82="","",IF(INDEX('Per Invoice'!$C$2:$C$801,$N82)="","",INDEX('Per Invoice'!$C$2:$C$801,$N82)))</f>
        <v/>
      </c>
      <c r="D82">
        <f>IF($N82="","",IF(INDEX('Per Invoice'!$D$2:$D$801,$N82)="","",INDEX('Per Invoice'!$D$2:$D$801,$N82)))</f>
        <v/>
      </c>
      <c r="E82">
        <f>IF($N82="","",IF(INDEX('Per Invoice'!$E$2:$E$801,$N82)="","",INDEX('Per Invoice'!$E$2:$E$801,$N82)))</f>
        <v/>
      </c>
      <c r="F82">
        <f>IF($N82="","",IF(INDEX('Per Invoice'!$F$2:$F$801,$N82)="","",INDEX('Per Invoice'!$F$2:$F$801,$N82)))</f>
        <v/>
      </c>
      <c r="G82">
        <f>IF($N82="","",IF(INDEX('Per Invoice'!$G$2:$G$801,$N82)="","",INDEX('Per Invoice'!$G$2:$G$801,$N82)))</f>
        <v/>
      </c>
      <c r="H82">
        <f>IF($N82="","",IF(INDEX('Per Invoice'!$H$2:$H$801,$N82)="","",INDEX('Per Invoice'!$H$2:$H$801,$N82)))</f>
        <v/>
      </c>
      <c r="I82" s="5">
        <f>IF($N82="","",IF(INDEX('Per Invoice'!$I$2:$I$801,$N82)="","",INDEX('Per Invoice'!$I$2:$I$801,$N82)))</f>
        <v/>
      </c>
      <c r="J82" s="5">
        <f>IF($N82="","",IF(INDEX('Per Invoice'!$J$2:$J$801,$N82)="","",INDEX('Per Invoice'!$J$2:$J$801,$N82)))</f>
        <v/>
      </c>
      <c r="K82" s="5">
        <f>IF($N82="","",IF(INDEX('Per Invoice'!$K$2:$K$801,$N82)="","",INDEX('Per Invoice'!$K$2:$K$801,$N82)))</f>
        <v/>
      </c>
      <c r="L82" s="5">
        <f>IF($N82="","",IF(INDEX('Per Invoice'!$L$2:$L$801,$N82)="","",INDEX('Per Invoice'!$L$2:$L$801,$N82)))</f>
        <v/>
      </c>
      <c r="M82" s="5">
        <f>IF($N82="","",IF(INDEX('Per Invoice'!$M$2:$M$801,$N82)="","",INDEX('Per Invoice'!$M$2:$M$801,$N82)))</f>
        <v/>
      </c>
      <c r="N82">
        <f>IF(ROWS($N$2:$N82)&lt;=COUNT('Per Invoice'!$O$2:$O$801),MATCH(ROWS($N$2:$N82),'Per Invoice'!$O$2:$O$801,0),"")</f>
        <v/>
      </c>
    </row>
    <row r="83">
      <c r="A83">
        <f>IF($N83="","",IF(INDEX('Per Invoice'!$A$2:$A$801,$N83)="","",INDEX('Per Invoice'!$A$2:$A$801,$N83)))</f>
        <v/>
      </c>
      <c r="B83">
        <f>IF($N83="","",IF(INDEX('Per Invoice'!$B$2:$B$801,$N83)="","",INDEX('Per Invoice'!$B$2:$B$801,$N83)))</f>
        <v/>
      </c>
      <c r="C83">
        <f>IF($N83="","",IF(INDEX('Per Invoice'!$C$2:$C$801,$N83)="","",INDEX('Per Invoice'!$C$2:$C$801,$N83)))</f>
        <v/>
      </c>
      <c r="D83">
        <f>IF($N83="","",IF(INDEX('Per Invoice'!$D$2:$D$801,$N83)="","",INDEX('Per Invoice'!$D$2:$D$801,$N83)))</f>
        <v/>
      </c>
      <c r="E83">
        <f>IF($N83="","",IF(INDEX('Per Invoice'!$E$2:$E$801,$N83)="","",INDEX('Per Invoice'!$E$2:$E$801,$N83)))</f>
        <v/>
      </c>
      <c r="F83">
        <f>IF($N83="","",IF(INDEX('Per Invoice'!$F$2:$F$801,$N83)="","",INDEX('Per Invoice'!$F$2:$F$801,$N83)))</f>
        <v/>
      </c>
      <c r="G83">
        <f>IF($N83="","",IF(INDEX('Per Invoice'!$G$2:$G$801,$N83)="","",INDEX('Per Invoice'!$G$2:$G$801,$N83)))</f>
        <v/>
      </c>
      <c r="H83">
        <f>IF($N83="","",IF(INDEX('Per Invoice'!$H$2:$H$801,$N83)="","",INDEX('Per Invoice'!$H$2:$H$801,$N83)))</f>
        <v/>
      </c>
      <c r="I83" s="5">
        <f>IF($N83="","",IF(INDEX('Per Invoice'!$I$2:$I$801,$N83)="","",INDEX('Per Invoice'!$I$2:$I$801,$N83)))</f>
        <v/>
      </c>
      <c r="J83" s="5">
        <f>IF($N83="","",IF(INDEX('Per Invoice'!$J$2:$J$801,$N83)="","",INDEX('Per Invoice'!$J$2:$J$801,$N83)))</f>
        <v/>
      </c>
      <c r="K83" s="5">
        <f>IF($N83="","",IF(INDEX('Per Invoice'!$K$2:$K$801,$N83)="","",INDEX('Per Invoice'!$K$2:$K$801,$N83)))</f>
        <v/>
      </c>
      <c r="L83" s="5">
        <f>IF($N83="","",IF(INDEX('Per Invoice'!$L$2:$L$801,$N83)="","",INDEX('Per Invoice'!$L$2:$L$801,$N83)))</f>
        <v/>
      </c>
      <c r="M83" s="5">
        <f>IF($N83="","",IF(INDEX('Per Invoice'!$M$2:$M$801,$N83)="","",INDEX('Per Invoice'!$M$2:$M$801,$N83)))</f>
        <v/>
      </c>
      <c r="N83">
        <f>IF(ROWS($N$2:$N83)&lt;=COUNT('Per Invoice'!$O$2:$O$801),MATCH(ROWS($N$2:$N83),'Per Invoice'!$O$2:$O$801,0),"")</f>
        <v/>
      </c>
    </row>
    <row r="84">
      <c r="A84">
        <f>IF($N84="","",IF(INDEX('Per Invoice'!$A$2:$A$801,$N84)="","",INDEX('Per Invoice'!$A$2:$A$801,$N84)))</f>
        <v/>
      </c>
      <c r="B84">
        <f>IF($N84="","",IF(INDEX('Per Invoice'!$B$2:$B$801,$N84)="","",INDEX('Per Invoice'!$B$2:$B$801,$N84)))</f>
        <v/>
      </c>
      <c r="C84">
        <f>IF($N84="","",IF(INDEX('Per Invoice'!$C$2:$C$801,$N84)="","",INDEX('Per Invoice'!$C$2:$C$801,$N84)))</f>
        <v/>
      </c>
      <c r="D84">
        <f>IF($N84="","",IF(INDEX('Per Invoice'!$D$2:$D$801,$N84)="","",INDEX('Per Invoice'!$D$2:$D$801,$N84)))</f>
        <v/>
      </c>
      <c r="E84">
        <f>IF($N84="","",IF(INDEX('Per Invoice'!$E$2:$E$801,$N84)="","",INDEX('Per Invoice'!$E$2:$E$801,$N84)))</f>
        <v/>
      </c>
      <c r="F84">
        <f>IF($N84="","",IF(INDEX('Per Invoice'!$F$2:$F$801,$N84)="","",INDEX('Per Invoice'!$F$2:$F$801,$N84)))</f>
        <v/>
      </c>
      <c r="G84">
        <f>IF($N84="","",IF(INDEX('Per Invoice'!$G$2:$G$801,$N84)="","",INDEX('Per Invoice'!$G$2:$G$801,$N84)))</f>
        <v/>
      </c>
      <c r="H84">
        <f>IF($N84="","",IF(INDEX('Per Invoice'!$H$2:$H$801,$N84)="","",INDEX('Per Invoice'!$H$2:$H$801,$N84)))</f>
        <v/>
      </c>
      <c r="I84" s="5">
        <f>IF($N84="","",IF(INDEX('Per Invoice'!$I$2:$I$801,$N84)="","",INDEX('Per Invoice'!$I$2:$I$801,$N84)))</f>
        <v/>
      </c>
      <c r="J84" s="5">
        <f>IF($N84="","",IF(INDEX('Per Invoice'!$J$2:$J$801,$N84)="","",INDEX('Per Invoice'!$J$2:$J$801,$N84)))</f>
        <v/>
      </c>
      <c r="K84" s="5">
        <f>IF($N84="","",IF(INDEX('Per Invoice'!$K$2:$K$801,$N84)="","",INDEX('Per Invoice'!$K$2:$K$801,$N84)))</f>
        <v/>
      </c>
      <c r="L84" s="5">
        <f>IF($N84="","",IF(INDEX('Per Invoice'!$L$2:$L$801,$N84)="","",INDEX('Per Invoice'!$L$2:$L$801,$N84)))</f>
        <v/>
      </c>
      <c r="M84" s="5">
        <f>IF($N84="","",IF(INDEX('Per Invoice'!$M$2:$M$801,$N84)="","",INDEX('Per Invoice'!$M$2:$M$801,$N84)))</f>
        <v/>
      </c>
      <c r="N84">
        <f>IF(ROWS($N$2:$N84)&lt;=COUNT('Per Invoice'!$O$2:$O$801),MATCH(ROWS($N$2:$N84),'Per Invoice'!$O$2:$O$801,0),"")</f>
        <v/>
      </c>
    </row>
    <row r="85">
      <c r="A85">
        <f>IF($N85="","",IF(INDEX('Per Invoice'!$A$2:$A$801,$N85)="","",INDEX('Per Invoice'!$A$2:$A$801,$N85)))</f>
        <v/>
      </c>
      <c r="B85">
        <f>IF($N85="","",IF(INDEX('Per Invoice'!$B$2:$B$801,$N85)="","",INDEX('Per Invoice'!$B$2:$B$801,$N85)))</f>
        <v/>
      </c>
      <c r="C85">
        <f>IF($N85="","",IF(INDEX('Per Invoice'!$C$2:$C$801,$N85)="","",INDEX('Per Invoice'!$C$2:$C$801,$N85)))</f>
        <v/>
      </c>
      <c r="D85">
        <f>IF($N85="","",IF(INDEX('Per Invoice'!$D$2:$D$801,$N85)="","",INDEX('Per Invoice'!$D$2:$D$801,$N85)))</f>
        <v/>
      </c>
      <c r="E85">
        <f>IF($N85="","",IF(INDEX('Per Invoice'!$E$2:$E$801,$N85)="","",INDEX('Per Invoice'!$E$2:$E$801,$N85)))</f>
        <v/>
      </c>
      <c r="F85">
        <f>IF($N85="","",IF(INDEX('Per Invoice'!$F$2:$F$801,$N85)="","",INDEX('Per Invoice'!$F$2:$F$801,$N85)))</f>
        <v/>
      </c>
      <c r="G85">
        <f>IF($N85="","",IF(INDEX('Per Invoice'!$G$2:$G$801,$N85)="","",INDEX('Per Invoice'!$G$2:$G$801,$N85)))</f>
        <v/>
      </c>
      <c r="H85">
        <f>IF($N85="","",IF(INDEX('Per Invoice'!$H$2:$H$801,$N85)="","",INDEX('Per Invoice'!$H$2:$H$801,$N85)))</f>
        <v/>
      </c>
      <c r="I85" s="5">
        <f>IF($N85="","",IF(INDEX('Per Invoice'!$I$2:$I$801,$N85)="","",INDEX('Per Invoice'!$I$2:$I$801,$N85)))</f>
        <v/>
      </c>
      <c r="J85" s="5">
        <f>IF($N85="","",IF(INDEX('Per Invoice'!$J$2:$J$801,$N85)="","",INDEX('Per Invoice'!$J$2:$J$801,$N85)))</f>
        <v/>
      </c>
      <c r="K85" s="5">
        <f>IF($N85="","",IF(INDEX('Per Invoice'!$K$2:$K$801,$N85)="","",INDEX('Per Invoice'!$K$2:$K$801,$N85)))</f>
        <v/>
      </c>
      <c r="L85" s="5">
        <f>IF($N85="","",IF(INDEX('Per Invoice'!$L$2:$L$801,$N85)="","",INDEX('Per Invoice'!$L$2:$L$801,$N85)))</f>
        <v/>
      </c>
      <c r="M85" s="5">
        <f>IF($N85="","",IF(INDEX('Per Invoice'!$M$2:$M$801,$N85)="","",INDEX('Per Invoice'!$M$2:$M$801,$N85)))</f>
        <v/>
      </c>
      <c r="N85">
        <f>IF(ROWS($N$2:$N85)&lt;=COUNT('Per Invoice'!$O$2:$O$801),MATCH(ROWS($N$2:$N85),'Per Invoice'!$O$2:$O$801,0),"")</f>
        <v/>
      </c>
    </row>
    <row r="86">
      <c r="A86">
        <f>IF($N86="","",IF(INDEX('Per Invoice'!$A$2:$A$801,$N86)="","",INDEX('Per Invoice'!$A$2:$A$801,$N86)))</f>
        <v/>
      </c>
      <c r="B86">
        <f>IF($N86="","",IF(INDEX('Per Invoice'!$B$2:$B$801,$N86)="","",INDEX('Per Invoice'!$B$2:$B$801,$N86)))</f>
        <v/>
      </c>
      <c r="C86">
        <f>IF($N86="","",IF(INDEX('Per Invoice'!$C$2:$C$801,$N86)="","",INDEX('Per Invoice'!$C$2:$C$801,$N86)))</f>
        <v/>
      </c>
      <c r="D86">
        <f>IF($N86="","",IF(INDEX('Per Invoice'!$D$2:$D$801,$N86)="","",INDEX('Per Invoice'!$D$2:$D$801,$N86)))</f>
        <v/>
      </c>
      <c r="E86">
        <f>IF($N86="","",IF(INDEX('Per Invoice'!$E$2:$E$801,$N86)="","",INDEX('Per Invoice'!$E$2:$E$801,$N86)))</f>
        <v/>
      </c>
      <c r="F86">
        <f>IF($N86="","",IF(INDEX('Per Invoice'!$F$2:$F$801,$N86)="","",INDEX('Per Invoice'!$F$2:$F$801,$N86)))</f>
        <v/>
      </c>
      <c r="G86">
        <f>IF($N86="","",IF(INDEX('Per Invoice'!$G$2:$G$801,$N86)="","",INDEX('Per Invoice'!$G$2:$G$801,$N86)))</f>
        <v/>
      </c>
      <c r="H86">
        <f>IF($N86="","",IF(INDEX('Per Invoice'!$H$2:$H$801,$N86)="","",INDEX('Per Invoice'!$H$2:$H$801,$N86)))</f>
        <v/>
      </c>
      <c r="I86" s="5">
        <f>IF($N86="","",IF(INDEX('Per Invoice'!$I$2:$I$801,$N86)="","",INDEX('Per Invoice'!$I$2:$I$801,$N86)))</f>
        <v/>
      </c>
      <c r="J86" s="5">
        <f>IF($N86="","",IF(INDEX('Per Invoice'!$J$2:$J$801,$N86)="","",INDEX('Per Invoice'!$J$2:$J$801,$N86)))</f>
        <v/>
      </c>
      <c r="K86" s="5">
        <f>IF($N86="","",IF(INDEX('Per Invoice'!$K$2:$K$801,$N86)="","",INDEX('Per Invoice'!$K$2:$K$801,$N86)))</f>
        <v/>
      </c>
      <c r="L86" s="5">
        <f>IF($N86="","",IF(INDEX('Per Invoice'!$L$2:$L$801,$N86)="","",INDEX('Per Invoice'!$L$2:$L$801,$N86)))</f>
        <v/>
      </c>
      <c r="M86" s="5">
        <f>IF($N86="","",IF(INDEX('Per Invoice'!$M$2:$M$801,$N86)="","",INDEX('Per Invoice'!$M$2:$M$801,$N86)))</f>
        <v/>
      </c>
      <c r="N86">
        <f>IF(ROWS($N$2:$N86)&lt;=COUNT('Per Invoice'!$O$2:$O$801),MATCH(ROWS($N$2:$N86),'Per Invoice'!$O$2:$O$801,0),"")</f>
        <v/>
      </c>
    </row>
    <row r="87">
      <c r="A87">
        <f>IF($N87="","",IF(INDEX('Per Invoice'!$A$2:$A$801,$N87)="","",INDEX('Per Invoice'!$A$2:$A$801,$N87)))</f>
        <v/>
      </c>
      <c r="B87">
        <f>IF($N87="","",IF(INDEX('Per Invoice'!$B$2:$B$801,$N87)="","",INDEX('Per Invoice'!$B$2:$B$801,$N87)))</f>
        <v/>
      </c>
      <c r="C87">
        <f>IF($N87="","",IF(INDEX('Per Invoice'!$C$2:$C$801,$N87)="","",INDEX('Per Invoice'!$C$2:$C$801,$N87)))</f>
        <v/>
      </c>
      <c r="D87">
        <f>IF($N87="","",IF(INDEX('Per Invoice'!$D$2:$D$801,$N87)="","",INDEX('Per Invoice'!$D$2:$D$801,$N87)))</f>
        <v/>
      </c>
      <c r="E87">
        <f>IF($N87="","",IF(INDEX('Per Invoice'!$E$2:$E$801,$N87)="","",INDEX('Per Invoice'!$E$2:$E$801,$N87)))</f>
        <v/>
      </c>
      <c r="F87">
        <f>IF($N87="","",IF(INDEX('Per Invoice'!$F$2:$F$801,$N87)="","",INDEX('Per Invoice'!$F$2:$F$801,$N87)))</f>
        <v/>
      </c>
      <c r="G87">
        <f>IF($N87="","",IF(INDEX('Per Invoice'!$G$2:$G$801,$N87)="","",INDEX('Per Invoice'!$G$2:$G$801,$N87)))</f>
        <v/>
      </c>
      <c r="H87">
        <f>IF($N87="","",IF(INDEX('Per Invoice'!$H$2:$H$801,$N87)="","",INDEX('Per Invoice'!$H$2:$H$801,$N87)))</f>
        <v/>
      </c>
      <c r="I87" s="5">
        <f>IF($N87="","",IF(INDEX('Per Invoice'!$I$2:$I$801,$N87)="","",INDEX('Per Invoice'!$I$2:$I$801,$N87)))</f>
        <v/>
      </c>
      <c r="J87" s="5">
        <f>IF($N87="","",IF(INDEX('Per Invoice'!$J$2:$J$801,$N87)="","",INDEX('Per Invoice'!$J$2:$J$801,$N87)))</f>
        <v/>
      </c>
      <c r="K87" s="5">
        <f>IF($N87="","",IF(INDEX('Per Invoice'!$K$2:$K$801,$N87)="","",INDEX('Per Invoice'!$K$2:$K$801,$N87)))</f>
        <v/>
      </c>
      <c r="L87" s="5">
        <f>IF($N87="","",IF(INDEX('Per Invoice'!$L$2:$L$801,$N87)="","",INDEX('Per Invoice'!$L$2:$L$801,$N87)))</f>
        <v/>
      </c>
      <c r="M87" s="5">
        <f>IF($N87="","",IF(INDEX('Per Invoice'!$M$2:$M$801,$N87)="","",INDEX('Per Invoice'!$M$2:$M$801,$N87)))</f>
        <v/>
      </c>
      <c r="N87">
        <f>IF(ROWS($N$2:$N87)&lt;=COUNT('Per Invoice'!$O$2:$O$801),MATCH(ROWS($N$2:$N87),'Per Invoice'!$O$2:$O$801,0),"")</f>
        <v/>
      </c>
    </row>
    <row r="88">
      <c r="A88">
        <f>IF($N88="","",IF(INDEX('Per Invoice'!$A$2:$A$801,$N88)="","",INDEX('Per Invoice'!$A$2:$A$801,$N88)))</f>
        <v/>
      </c>
      <c r="B88">
        <f>IF($N88="","",IF(INDEX('Per Invoice'!$B$2:$B$801,$N88)="","",INDEX('Per Invoice'!$B$2:$B$801,$N88)))</f>
        <v/>
      </c>
      <c r="C88">
        <f>IF($N88="","",IF(INDEX('Per Invoice'!$C$2:$C$801,$N88)="","",INDEX('Per Invoice'!$C$2:$C$801,$N88)))</f>
        <v/>
      </c>
      <c r="D88">
        <f>IF($N88="","",IF(INDEX('Per Invoice'!$D$2:$D$801,$N88)="","",INDEX('Per Invoice'!$D$2:$D$801,$N88)))</f>
        <v/>
      </c>
      <c r="E88">
        <f>IF($N88="","",IF(INDEX('Per Invoice'!$E$2:$E$801,$N88)="","",INDEX('Per Invoice'!$E$2:$E$801,$N88)))</f>
        <v/>
      </c>
      <c r="F88">
        <f>IF($N88="","",IF(INDEX('Per Invoice'!$F$2:$F$801,$N88)="","",INDEX('Per Invoice'!$F$2:$F$801,$N88)))</f>
        <v/>
      </c>
      <c r="G88">
        <f>IF($N88="","",IF(INDEX('Per Invoice'!$G$2:$G$801,$N88)="","",INDEX('Per Invoice'!$G$2:$G$801,$N88)))</f>
        <v/>
      </c>
      <c r="H88">
        <f>IF($N88="","",IF(INDEX('Per Invoice'!$H$2:$H$801,$N88)="","",INDEX('Per Invoice'!$H$2:$H$801,$N88)))</f>
        <v/>
      </c>
      <c r="I88" s="5">
        <f>IF($N88="","",IF(INDEX('Per Invoice'!$I$2:$I$801,$N88)="","",INDEX('Per Invoice'!$I$2:$I$801,$N88)))</f>
        <v/>
      </c>
      <c r="J88" s="5">
        <f>IF($N88="","",IF(INDEX('Per Invoice'!$J$2:$J$801,$N88)="","",INDEX('Per Invoice'!$J$2:$J$801,$N88)))</f>
        <v/>
      </c>
      <c r="K88" s="5">
        <f>IF($N88="","",IF(INDEX('Per Invoice'!$K$2:$K$801,$N88)="","",INDEX('Per Invoice'!$K$2:$K$801,$N88)))</f>
        <v/>
      </c>
      <c r="L88" s="5">
        <f>IF($N88="","",IF(INDEX('Per Invoice'!$L$2:$L$801,$N88)="","",INDEX('Per Invoice'!$L$2:$L$801,$N88)))</f>
        <v/>
      </c>
      <c r="M88" s="5">
        <f>IF($N88="","",IF(INDEX('Per Invoice'!$M$2:$M$801,$N88)="","",INDEX('Per Invoice'!$M$2:$M$801,$N88)))</f>
        <v/>
      </c>
      <c r="N88">
        <f>IF(ROWS($N$2:$N88)&lt;=COUNT('Per Invoice'!$O$2:$O$801),MATCH(ROWS($N$2:$N88),'Per Invoice'!$O$2:$O$801,0),"")</f>
        <v/>
      </c>
    </row>
    <row r="89">
      <c r="A89">
        <f>IF($N89="","",IF(INDEX('Per Invoice'!$A$2:$A$801,$N89)="","",INDEX('Per Invoice'!$A$2:$A$801,$N89)))</f>
        <v/>
      </c>
      <c r="B89">
        <f>IF($N89="","",IF(INDEX('Per Invoice'!$B$2:$B$801,$N89)="","",INDEX('Per Invoice'!$B$2:$B$801,$N89)))</f>
        <v/>
      </c>
      <c r="C89">
        <f>IF($N89="","",IF(INDEX('Per Invoice'!$C$2:$C$801,$N89)="","",INDEX('Per Invoice'!$C$2:$C$801,$N89)))</f>
        <v/>
      </c>
      <c r="D89">
        <f>IF($N89="","",IF(INDEX('Per Invoice'!$D$2:$D$801,$N89)="","",INDEX('Per Invoice'!$D$2:$D$801,$N89)))</f>
        <v/>
      </c>
      <c r="E89">
        <f>IF($N89="","",IF(INDEX('Per Invoice'!$E$2:$E$801,$N89)="","",INDEX('Per Invoice'!$E$2:$E$801,$N89)))</f>
        <v/>
      </c>
      <c r="F89">
        <f>IF($N89="","",IF(INDEX('Per Invoice'!$F$2:$F$801,$N89)="","",INDEX('Per Invoice'!$F$2:$F$801,$N89)))</f>
        <v/>
      </c>
      <c r="G89">
        <f>IF($N89="","",IF(INDEX('Per Invoice'!$G$2:$G$801,$N89)="","",INDEX('Per Invoice'!$G$2:$G$801,$N89)))</f>
        <v/>
      </c>
      <c r="H89">
        <f>IF($N89="","",IF(INDEX('Per Invoice'!$H$2:$H$801,$N89)="","",INDEX('Per Invoice'!$H$2:$H$801,$N89)))</f>
        <v/>
      </c>
      <c r="I89" s="5">
        <f>IF($N89="","",IF(INDEX('Per Invoice'!$I$2:$I$801,$N89)="","",INDEX('Per Invoice'!$I$2:$I$801,$N89)))</f>
        <v/>
      </c>
      <c r="J89" s="5">
        <f>IF($N89="","",IF(INDEX('Per Invoice'!$J$2:$J$801,$N89)="","",INDEX('Per Invoice'!$J$2:$J$801,$N89)))</f>
        <v/>
      </c>
      <c r="K89" s="5">
        <f>IF($N89="","",IF(INDEX('Per Invoice'!$K$2:$K$801,$N89)="","",INDEX('Per Invoice'!$K$2:$K$801,$N89)))</f>
        <v/>
      </c>
      <c r="L89" s="5">
        <f>IF($N89="","",IF(INDEX('Per Invoice'!$L$2:$L$801,$N89)="","",INDEX('Per Invoice'!$L$2:$L$801,$N89)))</f>
        <v/>
      </c>
      <c r="M89" s="5">
        <f>IF($N89="","",IF(INDEX('Per Invoice'!$M$2:$M$801,$N89)="","",INDEX('Per Invoice'!$M$2:$M$801,$N89)))</f>
        <v/>
      </c>
      <c r="N89">
        <f>IF(ROWS($N$2:$N89)&lt;=COUNT('Per Invoice'!$O$2:$O$801),MATCH(ROWS($N$2:$N89),'Per Invoice'!$O$2:$O$801,0),"")</f>
        <v/>
      </c>
    </row>
    <row r="90">
      <c r="A90">
        <f>IF($N90="","",IF(INDEX('Per Invoice'!$A$2:$A$801,$N90)="","",INDEX('Per Invoice'!$A$2:$A$801,$N90)))</f>
        <v/>
      </c>
      <c r="B90">
        <f>IF($N90="","",IF(INDEX('Per Invoice'!$B$2:$B$801,$N90)="","",INDEX('Per Invoice'!$B$2:$B$801,$N90)))</f>
        <v/>
      </c>
      <c r="C90">
        <f>IF($N90="","",IF(INDEX('Per Invoice'!$C$2:$C$801,$N90)="","",INDEX('Per Invoice'!$C$2:$C$801,$N90)))</f>
        <v/>
      </c>
      <c r="D90">
        <f>IF($N90="","",IF(INDEX('Per Invoice'!$D$2:$D$801,$N90)="","",INDEX('Per Invoice'!$D$2:$D$801,$N90)))</f>
        <v/>
      </c>
      <c r="E90">
        <f>IF($N90="","",IF(INDEX('Per Invoice'!$E$2:$E$801,$N90)="","",INDEX('Per Invoice'!$E$2:$E$801,$N90)))</f>
        <v/>
      </c>
      <c r="F90">
        <f>IF($N90="","",IF(INDEX('Per Invoice'!$F$2:$F$801,$N90)="","",INDEX('Per Invoice'!$F$2:$F$801,$N90)))</f>
        <v/>
      </c>
      <c r="G90">
        <f>IF($N90="","",IF(INDEX('Per Invoice'!$G$2:$G$801,$N90)="","",INDEX('Per Invoice'!$G$2:$G$801,$N90)))</f>
        <v/>
      </c>
      <c r="H90">
        <f>IF($N90="","",IF(INDEX('Per Invoice'!$H$2:$H$801,$N90)="","",INDEX('Per Invoice'!$H$2:$H$801,$N90)))</f>
        <v/>
      </c>
      <c r="I90" s="5">
        <f>IF($N90="","",IF(INDEX('Per Invoice'!$I$2:$I$801,$N90)="","",INDEX('Per Invoice'!$I$2:$I$801,$N90)))</f>
        <v/>
      </c>
      <c r="J90" s="5">
        <f>IF($N90="","",IF(INDEX('Per Invoice'!$J$2:$J$801,$N90)="","",INDEX('Per Invoice'!$J$2:$J$801,$N90)))</f>
        <v/>
      </c>
      <c r="K90" s="5">
        <f>IF($N90="","",IF(INDEX('Per Invoice'!$K$2:$K$801,$N90)="","",INDEX('Per Invoice'!$K$2:$K$801,$N90)))</f>
        <v/>
      </c>
      <c r="L90" s="5">
        <f>IF($N90="","",IF(INDEX('Per Invoice'!$L$2:$L$801,$N90)="","",INDEX('Per Invoice'!$L$2:$L$801,$N90)))</f>
        <v/>
      </c>
      <c r="M90" s="5">
        <f>IF($N90="","",IF(INDEX('Per Invoice'!$M$2:$M$801,$N90)="","",INDEX('Per Invoice'!$M$2:$M$801,$N90)))</f>
        <v/>
      </c>
      <c r="N90">
        <f>IF(ROWS($N$2:$N90)&lt;=COUNT('Per Invoice'!$O$2:$O$801),MATCH(ROWS($N$2:$N90),'Per Invoice'!$O$2:$O$801,0),"")</f>
        <v/>
      </c>
    </row>
    <row r="91">
      <c r="A91">
        <f>IF($N91="","",IF(INDEX('Per Invoice'!$A$2:$A$801,$N91)="","",INDEX('Per Invoice'!$A$2:$A$801,$N91)))</f>
        <v/>
      </c>
      <c r="B91">
        <f>IF($N91="","",IF(INDEX('Per Invoice'!$B$2:$B$801,$N91)="","",INDEX('Per Invoice'!$B$2:$B$801,$N91)))</f>
        <v/>
      </c>
      <c r="C91">
        <f>IF($N91="","",IF(INDEX('Per Invoice'!$C$2:$C$801,$N91)="","",INDEX('Per Invoice'!$C$2:$C$801,$N91)))</f>
        <v/>
      </c>
      <c r="D91">
        <f>IF($N91="","",IF(INDEX('Per Invoice'!$D$2:$D$801,$N91)="","",INDEX('Per Invoice'!$D$2:$D$801,$N91)))</f>
        <v/>
      </c>
      <c r="E91">
        <f>IF($N91="","",IF(INDEX('Per Invoice'!$E$2:$E$801,$N91)="","",INDEX('Per Invoice'!$E$2:$E$801,$N91)))</f>
        <v/>
      </c>
      <c r="F91">
        <f>IF($N91="","",IF(INDEX('Per Invoice'!$F$2:$F$801,$N91)="","",INDEX('Per Invoice'!$F$2:$F$801,$N91)))</f>
        <v/>
      </c>
      <c r="G91">
        <f>IF($N91="","",IF(INDEX('Per Invoice'!$G$2:$G$801,$N91)="","",INDEX('Per Invoice'!$G$2:$G$801,$N91)))</f>
        <v/>
      </c>
      <c r="H91">
        <f>IF($N91="","",IF(INDEX('Per Invoice'!$H$2:$H$801,$N91)="","",INDEX('Per Invoice'!$H$2:$H$801,$N91)))</f>
        <v/>
      </c>
      <c r="I91" s="5">
        <f>IF($N91="","",IF(INDEX('Per Invoice'!$I$2:$I$801,$N91)="","",INDEX('Per Invoice'!$I$2:$I$801,$N91)))</f>
        <v/>
      </c>
      <c r="J91" s="5">
        <f>IF($N91="","",IF(INDEX('Per Invoice'!$J$2:$J$801,$N91)="","",INDEX('Per Invoice'!$J$2:$J$801,$N91)))</f>
        <v/>
      </c>
      <c r="K91" s="5">
        <f>IF($N91="","",IF(INDEX('Per Invoice'!$K$2:$K$801,$N91)="","",INDEX('Per Invoice'!$K$2:$K$801,$N91)))</f>
        <v/>
      </c>
      <c r="L91" s="5">
        <f>IF($N91="","",IF(INDEX('Per Invoice'!$L$2:$L$801,$N91)="","",INDEX('Per Invoice'!$L$2:$L$801,$N91)))</f>
        <v/>
      </c>
      <c r="M91" s="5">
        <f>IF($N91="","",IF(INDEX('Per Invoice'!$M$2:$M$801,$N91)="","",INDEX('Per Invoice'!$M$2:$M$801,$N91)))</f>
        <v/>
      </c>
      <c r="N91">
        <f>IF(ROWS($N$2:$N91)&lt;=COUNT('Per Invoice'!$O$2:$O$801),MATCH(ROWS($N$2:$N91),'Per Invoice'!$O$2:$O$801,0),"")</f>
        <v/>
      </c>
    </row>
    <row r="92">
      <c r="A92">
        <f>IF($N92="","",IF(INDEX('Per Invoice'!$A$2:$A$801,$N92)="","",INDEX('Per Invoice'!$A$2:$A$801,$N92)))</f>
        <v/>
      </c>
      <c r="B92">
        <f>IF($N92="","",IF(INDEX('Per Invoice'!$B$2:$B$801,$N92)="","",INDEX('Per Invoice'!$B$2:$B$801,$N92)))</f>
        <v/>
      </c>
      <c r="C92">
        <f>IF($N92="","",IF(INDEX('Per Invoice'!$C$2:$C$801,$N92)="","",INDEX('Per Invoice'!$C$2:$C$801,$N92)))</f>
        <v/>
      </c>
      <c r="D92">
        <f>IF($N92="","",IF(INDEX('Per Invoice'!$D$2:$D$801,$N92)="","",INDEX('Per Invoice'!$D$2:$D$801,$N92)))</f>
        <v/>
      </c>
      <c r="E92">
        <f>IF($N92="","",IF(INDEX('Per Invoice'!$E$2:$E$801,$N92)="","",INDEX('Per Invoice'!$E$2:$E$801,$N92)))</f>
        <v/>
      </c>
      <c r="F92">
        <f>IF($N92="","",IF(INDEX('Per Invoice'!$F$2:$F$801,$N92)="","",INDEX('Per Invoice'!$F$2:$F$801,$N92)))</f>
        <v/>
      </c>
      <c r="G92">
        <f>IF($N92="","",IF(INDEX('Per Invoice'!$G$2:$G$801,$N92)="","",INDEX('Per Invoice'!$G$2:$G$801,$N92)))</f>
        <v/>
      </c>
      <c r="H92">
        <f>IF($N92="","",IF(INDEX('Per Invoice'!$H$2:$H$801,$N92)="","",INDEX('Per Invoice'!$H$2:$H$801,$N92)))</f>
        <v/>
      </c>
      <c r="I92" s="5">
        <f>IF($N92="","",IF(INDEX('Per Invoice'!$I$2:$I$801,$N92)="","",INDEX('Per Invoice'!$I$2:$I$801,$N92)))</f>
        <v/>
      </c>
      <c r="J92" s="5">
        <f>IF($N92="","",IF(INDEX('Per Invoice'!$J$2:$J$801,$N92)="","",INDEX('Per Invoice'!$J$2:$J$801,$N92)))</f>
        <v/>
      </c>
      <c r="K92" s="5">
        <f>IF($N92="","",IF(INDEX('Per Invoice'!$K$2:$K$801,$N92)="","",INDEX('Per Invoice'!$K$2:$K$801,$N92)))</f>
        <v/>
      </c>
      <c r="L92" s="5">
        <f>IF($N92="","",IF(INDEX('Per Invoice'!$L$2:$L$801,$N92)="","",INDEX('Per Invoice'!$L$2:$L$801,$N92)))</f>
        <v/>
      </c>
      <c r="M92" s="5">
        <f>IF($N92="","",IF(INDEX('Per Invoice'!$M$2:$M$801,$N92)="","",INDEX('Per Invoice'!$M$2:$M$801,$N92)))</f>
        <v/>
      </c>
      <c r="N92">
        <f>IF(ROWS($N$2:$N92)&lt;=COUNT('Per Invoice'!$O$2:$O$801),MATCH(ROWS($N$2:$N92),'Per Invoice'!$O$2:$O$801,0),"")</f>
        <v/>
      </c>
    </row>
    <row r="93">
      <c r="A93">
        <f>IF($N93="","",IF(INDEX('Per Invoice'!$A$2:$A$801,$N93)="","",INDEX('Per Invoice'!$A$2:$A$801,$N93)))</f>
        <v/>
      </c>
      <c r="B93">
        <f>IF($N93="","",IF(INDEX('Per Invoice'!$B$2:$B$801,$N93)="","",INDEX('Per Invoice'!$B$2:$B$801,$N93)))</f>
        <v/>
      </c>
      <c r="C93">
        <f>IF($N93="","",IF(INDEX('Per Invoice'!$C$2:$C$801,$N93)="","",INDEX('Per Invoice'!$C$2:$C$801,$N93)))</f>
        <v/>
      </c>
      <c r="D93">
        <f>IF($N93="","",IF(INDEX('Per Invoice'!$D$2:$D$801,$N93)="","",INDEX('Per Invoice'!$D$2:$D$801,$N93)))</f>
        <v/>
      </c>
      <c r="E93">
        <f>IF($N93="","",IF(INDEX('Per Invoice'!$E$2:$E$801,$N93)="","",INDEX('Per Invoice'!$E$2:$E$801,$N93)))</f>
        <v/>
      </c>
      <c r="F93">
        <f>IF($N93="","",IF(INDEX('Per Invoice'!$F$2:$F$801,$N93)="","",INDEX('Per Invoice'!$F$2:$F$801,$N93)))</f>
        <v/>
      </c>
      <c r="G93">
        <f>IF($N93="","",IF(INDEX('Per Invoice'!$G$2:$G$801,$N93)="","",INDEX('Per Invoice'!$G$2:$G$801,$N93)))</f>
        <v/>
      </c>
      <c r="H93">
        <f>IF($N93="","",IF(INDEX('Per Invoice'!$H$2:$H$801,$N93)="","",INDEX('Per Invoice'!$H$2:$H$801,$N93)))</f>
        <v/>
      </c>
      <c r="I93" s="5">
        <f>IF($N93="","",IF(INDEX('Per Invoice'!$I$2:$I$801,$N93)="","",INDEX('Per Invoice'!$I$2:$I$801,$N93)))</f>
        <v/>
      </c>
      <c r="J93" s="5">
        <f>IF($N93="","",IF(INDEX('Per Invoice'!$J$2:$J$801,$N93)="","",INDEX('Per Invoice'!$J$2:$J$801,$N93)))</f>
        <v/>
      </c>
      <c r="K93" s="5">
        <f>IF($N93="","",IF(INDEX('Per Invoice'!$K$2:$K$801,$N93)="","",INDEX('Per Invoice'!$K$2:$K$801,$N93)))</f>
        <v/>
      </c>
      <c r="L93" s="5">
        <f>IF($N93="","",IF(INDEX('Per Invoice'!$L$2:$L$801,$N93)="","",INDEX('Per Invoice'!$L$2:$L$801,$N93)))</f>
        <v/>
      </c>
      <c r="M93" s="5">
        <f>IF($N93="","",IF(INDEX('Per Invoice'!$M$2:$M$801,$N93)="","",INDEX('Per Invoice'!$M$2:$M$801,$N93)))</f>
        <v/>
      </c>
      <c r="N93">
        <f>IF(ROWS($N$2:$N93)&lt;=COUNT('Per Invoice'!$O$2:$O$801),MATCH(ROWS($N$2:$N93),'Per Invoice'!$O$2:$O$801,0),"")</f>
        <v/>
      </c>
    </row>
    <row r="94">
      <c r="A94">
        <f>IF($N94="","",IF(INDEX('Per Invoice'!$A$2:$A$801,$N94)="","",INDEX('Per Invoice'!$A$2:$A$801,$N94)))</f>
        <v/>
      </c>
      <c r="B94">
        <f>IF($N94="","",IF(INDEX('Per Invoice'!$B$2:$B$801,$N94)="","",INDEX('Per Invoice'!$B$2:$B$801,$N94)))</f>
        <v/>
      </c>
      <c r="C94">
        <f>IF($N94="","",IF(INDEX('Per Invoice'!$C$2:$C$801,$N94)="","",INDEX('Per Invoice'!$C$2:$C$801,$N94)))</f>
        <v/>
      </c>
      <c r="D94">
        <f>IF($N94="","",IF(INDEX('Per Invoice'!$D$2:$D$801,$N94)="","",INDEX('Per Invoice'!$D$2:$D$801,$N94)))</f>
        <v/>
      </c>
      <c r="E94">
        <f>IF($N94="","",IF(INDEX('Per Invoice'!$E$2:$E$801,$N94)="","",INDEX('Per Invoice'!$E$2:$E$801,$N94)))</f>
        <v/>
      </c>
      <c r="F94">
        <f>IF($N94="","",IF(INDEX('Per Invoice'!$F$2:$F$801,$N94)="","",INDEX('Per Invoice'!$F$2:$F$801,$N94)))</f>
        <v/>
      </c>
      <c r="G94">
        <f>IF($N94="","",IF(INDEX('Per Invoice'!$G$2:$G$801,$N94)="","",INDEX('Per Invoice'!$G$2:$G$801,$N94)))</f>
        <v/>
      </c>
      <c r="H94">
        <f>IF($N94="","",IF(INDEX('Per Invoice'!$H$2:$H$801,$N94)="","",INDEX('Per Invoice'!$H$2:$H$801,$N94)))</f>
        <v/>
      </c>
      <c r="I94" s="5">
        <f>IF($N94="","",IF(INDEX('Per Invoice'!$I$2:$I$801,$N94)="","",INDEX('Per Invoice'!$I$2:$I$801,$N94)))</f>
        <v/>
      </c>
      <c r="J94" s="5">
        <f>IF($N94="","",IF(INDEX('Per Invoice'!$J$2:$J$801,$N94)="","",INDEX('Per Invoice'!$J$2:$J$801,$N94)))</f>
        <v/>
      </c>
      <c r="K94" s="5">
        <f>IF($N94="","",IF(INDEX('Per Invoice'!$K$2:$K$801,$N94)="","",INDEX('Per Invoice'!$K$2:$K$801,$N94)))</f>
        <v/>
      </c>
      <c r="L94" s="5">
        <f>IF($N94="","",IF(INDEX('Per Invoice'!$L$2:$L$801,$N94)="","",INDEX('Per Invoice'!$L$2:$L$801,$N94)))</f>
        <v/>
      </c>
      <c r="M94" s="5">
        <f>IF($N94="","",IF(INDEX('Per Invoice'!$M$2:$M$801,$N94)="","",INDEX('Per Invoice'!$M$2:$M$801,$N94)))</f>
        <v/>
      </c>
      <c r="N94">
        <f>IF(ROWS($N$2:$N94)&lt;=COUNT('Per Invoice'!$O$2:$O$801),MATCH(ROWS($N$2:$N94),'Per Invoice'!$O$2:$O$801,0),"")</f>
        <v/>
      </c>
    </row>
    <row r="95">
      <c r="A95">
        <f>IF($N95="","",IF(INDEX('Per Invoice'!$A$2:$A$801,$N95)="","",INDEX('Per Invoice'!$A$2:$A$801,$N95)))</f>
        <v/>
      </c>
      <c r="B95">
        <f>IF($N95="","",IF(INDEX('Per Invoice'!$B$2:$B$801,$N95)="","",INDEX('Per Invoice'!$B$2:$B$801,$N95)))</f>
        <v/>
      </c>
      <c r="C95">
        <f>IF($N95="","",IF(INDEX('Per Invoice'!$C$2:$C$801,$N95)="","",INDEX('Per Invoice'!$C$2:$C$801,$N95)))</f>
        <v/>
      </c>
      <c r="D95">
        <f>IF($N95="","",IF(INDEX('Per Invoice'!$D$2:$D$801,$N95)="","",INDEX('Per Invoice'!$D$2:$D$801,$N95)))</f>
        <v/>
      </c>
      <c r="E95">
        <f>IF($N95="","",IF(INDEX('Per Invoice'!$E$2:$E$801,$N95)="","",INDEX('Per Invoice'!$E$2:$E$801,$N95)))</f>
        <v/>
      </c>
      <c r="F95">
        <f>IF($N95="","",IF(INDEX('Per Invoice'!$F$2:$F$801,$N95)="","",INDEX('Per Invoice'!$F$2:$F$801,$N95)))</f>
        <v/>
      </c>
      <c r="G95">
        <f>IF($N95="","",IF(INDEX('Per Invoice'!$G$2:$G$801,$N95)="","",INDEX('Per Invoice'!$G$2:$G$801,$N95)))</f>
        <v/>
      </c>
      <c r="H95">
        <f>IF($N95="","",IF(INDEX('Per Invoice'!$H$2:$H$801,$N95)="","",INDEX('Per Invoice'!$H$2:$H$801,$N95)))</f>
        <v/>
      </c>
      <c r="I95" s="5">
        <f>IF($N95="","",IF(INDEX('Per Invoice'!$I$2:$I$801,$N95)="","",INDEX('Per Invoice'!$I$2:$I$801,$N95)))</f>
        <v/>
      </c>
      <c r="J95" s="5">
        <f>IF($N95="","",IF(INDEX('Per Invoice'!$J$2:$J$801,$N95)="","",INDEX('Per Invoice'!$J$2:$J$801,$N95)))</f>
        <v/>
      </c>
      <c r="K95" s="5">
        <f>IF($N95="","",IF(INDEX('Per Invoice'!$K$2:$K$801,$N95)="","",INDEX('Per Invoice'!$K$2:$K$801,$N95)))</f>
        <v/>
      </c>
      <c r="L95" s="5">
        <f>IF($N95="","",IF(INDEX('Per Invoice'!$L$2:$L$801,$N95)="","",INDEX('Per Invoice'!$L$2:$L$801,$N95)))</f>
        <v/>
      </c>
      <c r="M95" s="5">
        <f>IF($N95="","",IF(INDEX('Per Invoice'!$M$2:$M$801,$N95)="","",INDEX('Per Invoice'!$M$2:$M$801,$N95)))</f>
        <v/>
      </c>
      <c r="N95">
        <f>IF(ROWS($N$2:$N95)&lt;=COUNT('Per Invoice'!$O$2:$O$801),MATCH(ROWS($N$2:$N95),'Per Invoice'!$O$2:$O$801,0),"")</f>
        <v/>
      </c>
    </row>
    <row r="96">
      <c r="A96">
        <f>IF($N96="","",IF(INDEX('Per Invoice'!$A$2:$A$801,$N96)="","",INDEX('Per Invoice'!$A$2:$A$801,$N96)))</f>
        <v/>
      </c>
      <c r="B96">
        <f>IF($N96="","",IF(INDEX('Per Invoice'!$B$2:$B$801,$N96)="","",INDEX('Per Invoice'!$B$2:$B$801,$N96)))</f>
        <v/>
      </c>
      <c r="C96">
        <f>IF($N96="","",IF(INDEX('Per Invoice'!$C$2:$C$801,$N96)="","",INDEX('Per Invoice'!$C$2:$C$801,$N96)))</f>
        <v/>
      </c>
      <c r="D96">
        <f>IF($N96="","",IF(INDEX('Per Invoice'!$D$2:$D$801,$N96)="","",INDEX('Per Invoice'!$D$2:$D$801,$N96)))</f>
        <v/>
      </c>
      <c r="E96">
        <f>IF($N96="","",IF(INDEX('Per Invoice'!$E$2:$E$801,$N96)="","",INDEX('Per Invoice'!$E$2:$E$801,$N96)))</f>
        <v/>
      </c>
      <c r="F96">
        <f>IF($N96="","",IF(INDEX('Per Invoice'!$F$2:$F$801,$N96)="","",INDEX('Per Invoice'!$F$2:$F$801,$N96)))</f>
        <v/>
      </c>
      <c r="G96">
        <f>IF($N96="","",IF(INDEX('Per Invoice'!$G$2:$G$801,$N96)="","",INDEX('Per Invoice'!$G$2:$G$801,$N96)))</f>
        <v/>
      </c>
      <c r="H96">
        <f>IF($N96="","",IF(INDEX('Per Invoice'!$H$2:$H$801,$N96)="","",INDEX('Per Invoice'!$H$2:$H$801,$N96)))</f>
        <v/>
      </c>
      <c r="I96" s="5">
        <f>IF($N96="","",IF(INDEX('Per Invoice'!$I$2:$I$801,$N96)="","",INDEX('Per Invoice'!$I$2:$I$801,$N96)))</f>
        <v/>
      </c>
      <c r="J96" s="5">
        <f>IF($N96="","",IF(INDEX('Per Invoice'!$J$2:$J$801,$N96)="","",INDEX('Per Invoice'!$J$2:$J$801,$N96)))</f>
        <v/>
      </c>
      <c r="K96" s="5">
        <f>IF($N96="","",IF(INDEX('Per Invoice'!$K$2:$K$801,$N96)="","",INDEX('Per Invoice'!$K$2:$K$801,$N96)))</f>
        <v/>
      </c>
      <c r="L96" s="5">
        <f>IF($N96="","",IF(INDEX('Per Invoice'!$L$2:$L$801,$N96)="","",INDEX('Per Invoice'!$L$2:$L$801,$N96)))</f>
        <v/>
      </c>
      <c r="M96" s="5">
        <f>IF($N96="","",IF(INDEX('Per Invoice'!$M$2:$M$801,$N96)="","",INDEX('Per Invoice'!$M$2:$M$801,$N96)))</f>
        <v/>
      </c>
      <c r="N96">
        <f>IF(ROWS($N$2:$N96)&lt;=COUNT('Per Invoice'!$O$2:$O$801),MATCH(ROWS($N$2:$N96),'Per Invoice'!$O$2:$O$801,0),"")</f>
        <v/>
      </c>
    </row>
    <row r="97">
      <c r="A97">
        <f>IF($N97="","",IF(INDEX('Per Invoice'!$A$2:$A$801,$N97)="","",INDEX('Per Invoice'!$A$2:$A$801,$N97)))</f>
        <v/>
      </c>
      <c r="B97">
        <f>IF($N97="","",IF(INDEX('Per Invoice'!$B$2:$B$801,$N97)="","",INDEX('Per Invoice'!$B$2:$B$801,$N97)))</f>
        <v/>
      </c>
      <c r="C97">
        <f>IF($N97="","",IF(INDEX('Per Invoice'!$C$2:$C$801,$N97)="","",INDEX('Per Invoice'!$C$2:$C$801,$N97)))</f>
        <v/>
      </c>
      <c r="D97">
        <f>IF($N97="","",IF(INDEX('Per Invoice'!$D$2:$D$801,$N97)="","",INDEX('Per Invoice'!$D$2:$D$801,$N97)))</f>
        <v/>
      </c>
      <c r="E97">
        <f>IF($N97="","",IF(INDEX('Per Invoice'!$E$2:$E$801,$N97)="","",INDEX('Per Invoice'!$E$2:$E$801,$N97)))</f>
        <v/>
      </c>
      <c r="F97">
        <f>IF($N97="","",IF(INDEX('Per Invoice'!$F$2:$F$801,$N97)="","",INDEX('Per Invoice'!$F$2:$F$801,$N97)))</f>
        <v/>
      </c>
      <c r="G97">
        <f>IF($N97="","",IF(INDEX('Per Invoice'!$G$2:$G$801,$N97)="","",INDEX('Per Invoice'!$G$2:$G$801,$N97)))</f>
        <v/>
      </c>
      <c r="H97">
        <f>IF($N97="","",IF(INDEX('Per Invoice'!$H$2:$H$801,$N97)="","",INDEX('Per Invoice'!$H$2:$H$801,$N97)))</f>
        <v/>
      </c>
      <c r="I97" s="5">
        <f>IF($N97="","",IF(INDEX('Per Invoice'!$I$2:$I$801,$N97)="","",INDEX('Per Invoice'!$I$2:$I$801,$N97)))</f>
        <v/>
      </c>
      <c r="J97" s="5">
        <f>IF($N97="","",IF(INDEX('Per Invoice'!$J$2:$J$801,$N97)="","",INDEX('Per Invoice'!$J$2:$J$801,$N97)))</f>
        <v/>
      </c>
      <c r="K97" s="5">
        <f>IF($N97="","",IF(INDEX('Per Invoice'!$K$2:$K$801,$N97)="","",INDEX('Per Invoice'!$K$2:$K$801,$N97)))</f>
        <v/>
      </c>
      <c r="L97" s="5">
        <f>IF($N97="","",IF(INDEX('Per Invoice'!$L$2:$L$801,$N97)="","",INDEX('Per Invoice'!$L$2:$L$801,$N97)))</f>
        <v/>
      </c>
      <c r="M97" s="5">
        <f>IF($N97="","",IF(INDEX('Per Invoice'!$M$2:$M$801,$N97)="","",INDEX('Per Invoice'!$M$2:$M$801,$N97)))</f>
        <v/>
      </c>
      <c r="N97">
        <f>IF(ROWS($N$2:$N97)&lt;=COUNT('Per Invoice'!$O$2:$O$801),MATCH(ROWS($N$2:$N97),'Per Invoice'!$O$2:$O$801,0),"")</f>
        <v/>
      </c>
    </row>
    <row r="98">
      <c r="A98">
        <f>IF($N98="","",IF(INDEX('Per Invoice'!$A$2:$A$801,$N98)="","",INDEX('Per Invoice'!$A$2:$A$801,$N98)))</f>
        <v/>
      </c>
      <c r="B98">
        <f>IF($N98="","",IF(INDEX('Per Invoice'!$B$2:$B$801,$N98)="","",INDEX('Per Invoice'!$B$2:$B$801,$N98)))</f>
        <v/>
      </c>
      <c r="C98">
        <f>IF($N98="","",IF(INDEX('Per Invoice'!$C$2:$C$801,$N98)="","",INDEX('Per Invoice'!$C$2:$C$801,$N98)))</f>
        <v/>
      </c>
      <c r="D98">
        <f>IF($N98="","",IF(INDEX('Per Invoice'!$D$2:$D$801,$N98)="","",INDEX('Per Invoice'!$D$2:$D$801,$N98)))</f>
        <v/>
      </c>
      <c r="E98">
        <f>IF($N98="","",IF(INDEX('Per Invoice'!$E$2:$E$801,$N98)="","",INDEX('Per Invoice'!$E$2:$E$801,$N98)))</f>
        <v/>
      </c>
      <c r="F98">
        <f>IF($N98="","",IF(INDEX('Per Invoice'!$F$2:$F$801,$N98)="","",INDEX('Per Invoice'!$F$2:$F$801,$N98)))</f>
        <v/>
      </c>
      <c r="G98">
        <f>IF($N98="","",IF(INDEX('Per Invoice'!$G$2:$G$801,$N98)="","",INDEX('Per Invoice'!$G$2:$G$801,$N98)))</f>
        <v/>
      </c>
      <c r="H98">
        <f>IF($N98="","",IF(INDEX('Per Invoice'!$H$2:$H$801,$N98)="","",INDEX('Per Invoice'!$H$2:$H$801,$N98)))</f>
        <v/>
      </c>
      <c r="I98" s="5">
        <f>IF($N98="","",IF(INDEX('Per Invoice'!$I$2:$I$801,$N98)="","",INDEX('Per Invoice'!$I$2:$I$801,$N98)))</f>
        <v/>
      </c>
      <c r="J98" s="5">
        <f>IF($N98="","",IF(INDEX('Per Invoice'!$J$2:$J$801,$N98)="","",INDEX('Per Invoice'!$J$2:$J$801,$N98)))</f>
        <v/>
      </c>
      <c r="K98" s="5">
        <f>IF($N98="","",IF(INDEX('Per Invoice'!$K$2:$K$801,$N98)="","",INDEX('Per Invoice'!$K$2:$K$801,$N98)))</f>
        <v/>
      </c>
      <c r="L98" s="5">
        <f>IF($N98="","",IF(INDEX('Per Invoice'!$L$2:$L$801,$N98)="","",INDEX('Per Invoice'!$L$2:$L$801,$N98)))</f>
        <v/>
      </c>
      <c r="M98" s="5">
        <f>IF($N98="","",IF(INDEX('Per Invoice'!$M$2:$M$801,$N98)="","",INDEX('Per Invoice'!$M$2:$M$801,$N98)))</f>
        <v/>
      </c>
      <c r="N98">
        <f>IF(ROWS($N$2:$N98)&lt;=COUNT('Per Invoice'!$O$2:$O$801),MATCH(ROWS($N$2:$N98),'Per Invoice'!$O$2:$O$801,0),"")</f>
        <v/>
      </c>
    </row>
    <row r="99">
      <c r="A99">
        <f>IF($N99="","",IF(INDEX('Per Invoice'!$A$2:$A$801,$N99)="","",INDEX('Per Invoice'!$A$2:$A$801,$N99)))</f>
        <v/>
      </c>
      <c r="B99">
        <f>IF($N99="","",IF(INDEX('Per Invoice'!$B$2:$B$801,$N99)="","",INDEX('Per Invoice'!$B$2:$B$801,$N99)))</f>
        <v/>
      </c>
      <c r="C99">
        <f>IF($N99="","",IF(INDEX('Per Invoice'!$C$2:$C$801,$N99)="","",INDEX('Per Invoice'!$C$2:$C$801,$N99)))</f>
        <v/>
      </c>
      <c r="D99">
        <f>IF($N99="","",IF(INDEX('Per Invoice'!$D$2:$D$801,$N99)="","",INDEX('Per Invoice'!$D$2:$D$801,$N99)))</f>
        <v/>
      </c>
      <c r="E99">
        <f>IF($N99="","",IF(INDEX('Per Invoice'!$E$2:$E$801,$N99)="","",INDEX('Per Invoice'!$E$2:$E$801,$N99)))</f>
        <v/>
      </c>
      <c r="F99">
        <f>IF($N99="","",IF(INDEX('Per Invoice'!$F$2:$F$801,$N99)="","",INDEX('Per Invoice'!$F$2:$F$801,$N99)))</f>
        <v/>
      </c>
      <c r="G99">
        <f>IF($N99="","",IF(INDEX('Per Invoice'!$G$2:$G$801,$N99)="","",INDEX('Per Invoice'!$G$2:$G$801,$N99)))</f>
        <v/>
      </c>
      <c r="H99">
        <f>IF($N99="","",IF(INDEX('Per Invoice'!$H$2:$H$801,$N99)="","",INDEX('Per Invoice'!$H$2:$H$801,$N99)))</f>
        <v/>
      </c>
      <c r="I99" s="5">
        <f>IF($N99="","",IF(INDEX('Per Invoice'!$I$2:$I$801,$N99)="","",INDEX('Per Invoice'!$I$2:$I$801,$N99)))</f>
        <v/>
      </c>
      <c r="J99" s="5">
        <f>IF($N99="","",IF(INDEX('Per Invoice'!$J$2:$J$801,$N99)="","",INDEX('Per Invoice'!$J$2:$J$801,$N99)))</f>
        <v/>
      </c>
      <c r="K99" s="5">
        <f>IF($N99="","",IF(INDEX('Per Invoice'!$K$2:$K$801,$N99)="","",INDEX('Per Invoice'!$K$2:$K$801,$N99)))</f>
        <v/>
      </c>
      <c r="L99" s="5">
        <f>IF($N99="","",IF(INDEX('Per Invoice'!$L$2:$L$801,$N99)="","",INDEX('Per Invoice'!$L$2:$L$801,$N99)))</f>
        <v/>
      </c>
      <c r="M99" s="5">
        <f>IF($N99="","",IF(INDEX('Per Invoice'!$M$2:$M$801,$N99)="","",INDEX('Per Invoice'!$M$2:$M$801,$N99)))</f>
        <v/>
      </c>
      <c r="N99">
        <f>IF(ROWS($N$2:$N99)&lt;=COUNT('Per Invoice'!$O$2:$O$801),MATCH(ROWS($N$2:$N99),'Per Invoice'!$O$2:$O$801,0),"")</f>
        <v/>
      </c>
    </row>
    <row r="100">
      <c r="A100">
        <f>IF($N100="","",IF(INDEX('Per Invoice'!$A$2:$A$801,$N100)="","",INDEX('Per Invoice'!$A$2:$A$801,$N100)))</f>
        <v/>
      </c>
      <c r="B100">
        <f>IF($N100="","",IF(INDEX('Per Invoice'!$B$2:$B$801,$N100)="","",INDEX('Per Invoice'!$B$2:$B$801,$N100)))</f>
        <v/>
      </c>
      <c r="C100">
        <f>IF($N100="","",IF(INDEX('Per Invoice'!$C$2:$C$801,$N100)="","",INDEX('Per Invoice'!$C$2:$C$801,$N100)))</f>
        <v/>
      </c>
      <c r="D100">
        <f>IF($N100="","",IF(INDEX('Per Invoice'!$D$2:$D$801,$N100)="","",INDEX('Per Invoice'!$D$2:$D$801,$N100)))</f>
        <v/>
      </c>
      <c r="E100">
        <f>IF($N100="","",IF(INDEX('Per Invoice'!$E$2:$E$801,$N100)="","",INDEX('Per Invoice'!$E$2:$E$801,$N100)))</f>
        <v/>
      </c>
      <c r="F100">
        <f>IF($N100="","",IF(INDEX('Per Invoice'!$F$2:$F$801,$N100)="","",INDEX('Per Invoice'!$F$2:$F$801,$N100)))</f>
        <v/>
      </c>
      <c r="G100">
        <f>IF($N100="","",IF(INDEX('Per Invoice'!$G$2:$G$801,$N100)="","",INDEX('Per Invoice'!$G$2:$G$801,$N100)))</f>
        <v/>
      </c>
      <c r="H100">
        <f>IF($N100="","",IF(INDEX('Per Invoice'!$H$2:$H$801,$N100)="","",INDEX('Per Invoice'!$H$2:$H$801,$N100)))</f>
        <v/>
      </c>
      <c r="I100" s="5">
        <f>IF($N100="","",IF(INDEX('Per Invoice'!$I$2:$I$801,$N100)="","",INDEX('Per Invoice'!$I$2:$I$801,$N100)))</f>
        <v/>
      </c>
      <c r="J100" s="5">
        <f>IF($N100="","",IF(INDEX('Per Invoice'!$J$2:$J$801,$N100)="","",INDEX('Per Invoice'!$J$2:$J$801,$N100)))</f>
        <v/>
      </c>
      <c r="K100" s="5">
        <f>IF($N100="","",IF(INDEX('Per Invoice'!$K$2:$K$801,$N100)="","",INDEX('Per Invoice'!$K$2:$K$801,$N100)))</f>
        <v/>
      </c>
      <c r="L100" s="5">
        <f>IF($N100="","",IF(INDEX('Per Invoice'!$L$2:$L$801,$N100)="","",INDEX('Per Invoice'!$L$2:$L$801,$N100)))</f>
        <v/>
      </c>
      <c r="M100" s="5">
        <f>IF($N100="","",IF(INDEX('Per Invoice'!$M$2:$M$801,$N100)="","",INDEX('Per Invoice'!$M$2:$M$801,$N100)))</f>
        <v/>
      </c>
      <c r="N100">
        <f>IF(ROWS($N$2:$N100)&lt;=COUNT('Per Invoice'!$O$2:$O$801),MATCH(ROWS($N$2:$N100),'Per Invoice'!$O$2:$O$801,0),"")</f>
        <v/>
      </c>
    </row>
    <row r="101">
      <c r="A101">
        <f>IF($N101="","",IF(INDEX('Per Invoice'!$A$2:$A$801,$N101)="","",INDEX('Per Invoice'!$A$2:$A$801,$N101)))</f>
        <v/>
      </c>
      <c r="B101">
        <f>IF($N101="","",IF(INDEX('Per Invoice'!$B$2:$B$801,$N101)="","",INDEX('Per Invoice'!$B$2:$B$801,$N101)))</f>
        <v/>
      </c>
      <c r="C101">
        <f>IF($N101="","",IF(INDEX('Per Invoice'!$C$2:$C$801,$N101)="","",INDEX('Per Invoice'!$C$2:$C$801,$N101)))</f>
        <v/>
      </c>
      <c r="D101">
        <f>IF($N101="","",IF(INDEX('Per Invoice'!$D$2:$D$801,$N101)="","",INDEX('Per Invoice'!$D$2:$D$801,$N101)))</f>
        <v/>
      </c>
      <c r="E101">
        <f>IF($N101="","",IF(INDEX('Per Invoice'!$E$2:$E$801,$N101)="","",INDEX('Per Invoice'!$E$2:$E$801,$N101)))</f>
        <v/>
      </c>
      <c r="F101">
        <f>IF($N101="","",IF(INDEX('Per Invoice'!$F$2:$F$801,$N101)="","",INDEX('Per Invoice'!$F$2:$F$801,$N101)))</f>
        <v/>
      </c>
      <c r="G101">
        <f>IF($N101="","",IF(INDEX('Per Invoice'!$G$2:$G$801,$N101)="","",INDEX('Per Invoice'!$G$2:$G$801,$N101)))</f>
        <v/>
      </c>
      <c r="H101">
        <f>IF($N101="","",IF(INDEX('Per Invoice'!$H$2:$H$801,$N101)="","",INDEX('Per Invoice'!$H$2:$H$801,$N101)))</f>
        <v/>
      </c>
      <c r="I101" s="5">
        <f>IF($N101="","",IF(INDEX('Per Invoice'!$I$2:$I$801,$N101)="","",INDEX('Per Invoice'!$I$2:$I$801,$N101)))</f>
        <v/>
      </c>
      <c r="J101" s="5">
        <f>IF($N101="","",IF(INDEX('Per Invoice'!$J$2:$J$801,$N101)="","",INDEX('Per Invoice'!$J$2:$J$801,$N101)))</f>
        <v/>
      </c>
      <c r="K101" s="5">
        <f>IF($N101="","",IF(INDEX('Per Invoice'!$K$2:$K$801,$N101)="","",INDEX('Per Invoice'!$K$2:$K$801,$N101)))</f>
        <v/>
      </c>
      <c r="L101" s="5">
        <f>IF($N101="","",IF(INDEX('Per Invoice'!$L$2:$L$801,$N101)="","",INDEX('Per Invoice'!$L$2:$L$801,$N101)))</f>
        <v/>
      </c>
      <c r="M101" s="5">
        <f>IF($N101="","",IF(INDEX('Per Invoice'!$M$2:$M$801,$N101)="","",INDEX('Per Invoice'!$M$2:$M$801,$N101)))</f>
        <v/>
      </c>
      <c r="N101">
        <f>IF(ROWS($N$2:$N101)&lt;=COUNT('Per Invoice'!$O$2:$O$801),MATCH(ROWS($N$2:$N101),'Per Invoice'!$O$2:$O$801,0),"")</f>
        <v/>
      </c>
    </row>
    <row r="102">
      <c r="A102">
        <f>IF($N102="","",IF(INDEX('Per Invoice'!$A$2:$A$801,$N102)="","",INDEX('Per Invoice'!$A$2:$A$801,$N102)))</f>
        <v/>
      </c>
      <c r="B102">
        <f>IF($N102="","",IF(INDEX('Per Invoice'!$B$2:$B$801,$N102)="","",INDEX('Per Invoice'!$B$2:$B$801,$N102)))</f>
        <v/>
      </c>
      <c r="C102">
        <f>IF($N102="","",IF(INDEX('Per Invoice'!$C$2:$C$801,$N102)="","",INDEX('Per Invoice'!$C$2:$C$801,$N102)))</f>
        <v/>
      </c>
      <c r="D102">
        <f>IF($N102="","",IF(INDEX('Per Invoice'!$D$2:$D$801,$N102)="","",INDEX('Per Invoice'!$D$2:$D$801,$N102)))</f>
        <v/>
      </c>
      <c r="E102">
        <f>IF($N102="","",IF(INDEX('Per Invoice'!$E$2:$E$801,$N102)="","",INDEX('Per Invoice'!$E$2:$E$801,$N102)))</f>
        <v/>
      </c>
      <c r="F102">
        <f>IF($N102="","",IF(INDEX('Per Invoice'!$F$2:$F$801,$N102)="","",INDEX('Per Invoice'!$F$2:$F$801,$N102)))</f>
        <v/>
      </c>
      <c r="G102">
        <f>IF($N102="","",IF(INDEX('Per Invoice'!$G$2:$G$801,$N102)="","",INDEX('Per Invoice'!$G$2:$G$801,$N102)))</f>
        <v/>
      </c>
      <c r="H102">
        <f>IF($N102="","",IF(INDEX('Per Invoice'!$H$2:$H$801,$N102)="","",INDEX('Per Invoice'!$H$2:$H$801,$N102)))</f>
        <v/>
      </c>
      <c r="I102" s="5">
        <f>IF($N102="","",IF(INDEX('Per Invoice'!$I$2:$I$801,$N102)="","",INDEX('Per Invoice'!$I$2:$I$801,$N102)))</f>
        <v/>
      </c>
      <c r="J102" s="5">
        <f>IF($N102="","",IF(INDEX('Per Invoice'!$J$2:$J$801,$N102)="","",INDEX('Per Invoice'!$J$2:$J$801,$N102)))</f>
        <v/>
      </c>
      <c r="K102" s="5">
        <f>IF($N102="","",IF(INDEX('Per Invoice'!$K$2:$K$801,$N102)="","",INDEX('Per Invoice'!$K$2:$K$801,$N102)))</f>
        <v/>
      </c>
      <c r="L102" s="5">
        <f>IF($N102="","",IF(INDEX('Per Invoice'!$L$2:$L$801,$N102)="","",INDEX('Per Invoice'!$L$2:$L$801,$N102)))</f>
        <v/>
      </c>
      <c r="M102" s="5">
        <f>IF($N102="","",IF(INDEX('Per Invoice'!$M$2:$M$801,$N102)="","",INDEX('Per Invoice'!$M$2:$M$801,$N102)))</f>
        <v/>
      </c>
      <c r="N102">
        <f>IF(ROWS($N$2:$N102)&lt;=COUNT('Per Invoice'!$O$2:$O$801),MATCH(ROWS($N$2:$N102),'Per Invoice'!$O$2:$O$801,0),"")</f>
        <v/>
      </c>
    </row>
    <row r="103">
      <c r="A103">
        <f>IF($N103="","",IF(INDEX('Per Invoice'!$A$2:$A$801,$N103)="","",INDEX('Per Invoice'!$A$2:$A$801,$N103)))</f>
        <v/>
      </c>
      <c r="B103">
        <f>IF($N103="","",IF(INDEX('Per Invoice'!$B$2:$B$801,$N103)="","",INDEX('Per Invoice'!$B$2:$B$801,$N103)))</f>
        <v/>
      </c>
      <c r="C103">
        <f>IF($N103="","",IF(INDEX('Per Invoice'!$C$2:$C$801,$N103)="","",INDEX('Per Invoice'!$C$2:$C$801,$N103)))</f>
        <v/>
      </c>
      <c r="D103">
        <f>IF($N103="","",IF(INDEX('Per Invoice'!$D$2:$D$801,$N103)="","",INDEX('Per Invoice'!$D$2:$D$801,$N103)))</f>
        <v/>
      </c>
      <c r="E103">
        <f>IF($N103="","",IF(INDEX('Per Invoice'!$E$2:$E$801,$N103)="","",INDEX('Per Invoice'!$E$2:$E$801,$N103)))</f>
        <v/>
      </c>
      <c r="F103">
        <f>IF($N103="","",IF(INDEX('Per Invoice'!$F$2:$F$801,$N103)="","",INDEX('Per Invoice'!$F$2:$F$801,$N103)))</f>
        <v/>
      </c>
      <c r="G103">
        <f>IF($N103="","",IF(INDEX('Per Invoice'!$G$2:$G$801,$N103)="","",INDEX('Per Invoice'!$G$2:$G$801,$N103)))</f>
        <v/>
      </c>
      <c r="H103">
        <f>IF($N103="","",IF(INDEX('Per Invoice'!$H$2:$H$801,$N103)="","",INDEX('Per Invoice'!$H$2:$H$801,$N103)))</f>
        <v/>
      </c>
      <c r="I103" s="5">
        <f>IF($N103="","",IF(INDEX('Per Invoice'!$I$2:$I$801,$N103)="","",INDEX('Per Invoice'!$I$2:$I$801,$N103)))</f>
        <v/>
      </c>
      <c r="J103" s="5">
        <f>IF($N103="","",IF(INDEX('Per Invoice'!$J$2:$J$801,$N103)="","",INDEX('Per Invoice'!$J$2:$J$801,$N103)))</f>
        <v/>
      </c>
      <c r="K103" s="5">
        <f>IF($N103="","",IF(INDEX('Per Invoice'!$K$2:$K$801,$N103)="","",INDEX('Per Invoice'!$K$2:$K$801,$N103)))</f>
        <v/>
      </c>
      <c r="L103" s="5">
        <f>IF($N103="","",IF(INDEX('Per Invoice'!$L$2:$L$801,$N103)="","",INDEX('Per Invoice'!$L$2:$L$801,$N103)))</f>
        <v/>
      </c>
      <c r="M103" s="5">
        <f>IF($N103="","",IF(INDEX('Per Invoice'!$M$2:$M$801,$N103)="","",INDEX('Per Invoice'!$M$2:$M$801,$N103)))</f>
        <v/>
      </c>
      <c r="N103">
        <f>IF(ROWS($N$2:$N103)&lt;=COUNT('Per Invoice'!$O$2:$O$801),MATCH(ROWS($N$2:$N103),'Per Invoice'!$O$2:$O$801,0),"")</f>
        <v/>
      </c>
    </row>
    <row r="104">
      <c r="A104">
        <f>IF($N104="","",IF(INDEX('Per Invoice'!$A$2:$A$801,$N104)="","",INDEX('Per Invoice'!$A$2:$A$801,$N104)))</f>
        <v/>
      </c>
      <c r="B104">
        <f>IF($N104="","",IF(INDEX('Per Invoice'!$B$2:$B$801,$N104)="","",INDEX('Per Invoice'!$B$2:$B$801,$N104)))</f>
        <v/>
      </c>
      <c r="C104">
        <f>IF($N104="","",IF(INDEX('Per Invoice'!$C$2:$C$801,$N104)="","",INDEX('Per Invoice'!$C$2:$C$801,$N104)))</f>
        <v/>
      </c>
      <c r="D104">
        <f>IF($N104="","",IF(INDEX('Per Invoice'!$D$2:$D$801,$N104)="","",INDEX('Per Invoice'!$D$2:$D$801,$N104)))</f>
        <v/>
      </c>
      <c r="E104">
        <f>IF($N104="","",IF(INDEX('Per Invoice'!$E$2:$E$801,$N104)="","",INDEX('Per Invoice'!$E$2:$E$801,$N104)))</f>
        <v/>
      </c>
      <c r="F104">
        <f>IF($N104="","",IF(INDEX('Per Invoice'!$F$2:$F$801,$N104)="","",INDEX('Per Invoice'!$F$2:$F$801,$N104)))</f>
        <v/>
      </c>
      <c r="G104">
        <f>IF($N104="","",IF(INDEX('Per Invoice'!$G$2:$G$801,$N104)="","",INDEX('Per Invoice'!$G$2:$G$801,$N104)))</f>
        <v/>
      </c>
      <c r="H104">
        <f>IF($N104="","",IF(INDEX('Per Invoice'!$H$2:$H$801,$N104)="","",INDEX('Per Invoice'!$H$2:$H$801,$N104)))</f>
        <v/>
      </c>
      <c r="I104" s="5">
        <f>IF($N104="","",IF(INDEX('Per Invoice'!$I$2:$I$801,$N104)="","",INDEX('Per Invoice'!$I$2:$I$801,$N104)))</f>
        <v/>
      </c>
      <c r="J104" s="5">
        <f>IF($N104="","",IF(INDEX('Per Invoice'!$J$2:$J$801,$N104)="","",INDEX('Per Invoice'!$J$2:$J$801,$N104)))</f>
        <v/>
      </c>
      <c r="K104" s="5">
        <f>IF($N104="","",IF(INDEX('Per Invoice'!$K$2:$K$801,$N104)="","",INDEX('Per Invoice'!$K$2:$K$801,$N104)))</f>
        <v/>
      </c>
      <c r="L104" s="5">
        <f>IF($N104="","",IF(INDEX('Per Invoice'!$L$2:$L$801,$N104)="","",INDEX('Per Invoice'!$L$2:$L$801,$N104)))</f>
        <v/>
      </c>
      <c r="M104" s="5">
        <f>IF($N104="","",IF(INDEX('Per Invoice'!$M$2:$M$801,$N104)="","",INDEX('Per Invoice'!$M$2:$M$801,$N104)))</f>
        <v/>
      </c>
      <c r="N104">
        <f>IF(ROWS($N$2:$N104)&lt;=COUNT('Per Invoice'!$O$2:$O$801),MATCH(ROWS($N$2:$N104),'Per Invoice'!$O$2:$O$801,0),"")</f>
        <v/>
      </c>
    </row>
    <row r="105">
      <c r="A105">
        <f>IF($N105="","",IF(INDEX('Per Invoice'!$A$2:$A$801,$N105)="","",INDEX('Per Invoice'!$A$2:$A$801,$N105)))</f>
        <v/>
      </c>
      <c r="B105">
        <f>IF($N105="","",IF(INDEX('Per Invoice'!$B$2:$B$801,$N105)="","",INDEX('Per Invoice'!$B$2:$B$801,$N105)))</f>
        <v/>
      </c>
      <c r="C105">
        <f>IF($N105="","",IF(INDEX('Per Invoice'!$C$2:$C$801,$N105)="","",INDEX('Per Invoice'!$C$2:$C$801,$N105)))</f>
        <v/>
      </c>
      <c r="D105">
        <f>IF($N105="","",IF(INDEX('Per Invoice'!$D$2:$D$801,$N105)="","",INDEX('Per Invoice'!$D$2:$D$801,$N105)))</f>
        <v/>
      </c>
      <c r="E105">
        <f>IF($N105="","",IF(INDEX('Per Invoice'!$E$2:$E$801,$N105)="","",INDEX('Per Invoice'!$E$2:$E$801,$N105)))</f>
        <v/>
      </c>
      <c r="F105">
        <f>IF($N105="","",IF(INDEX('Per Invoice'!$F$2:$F$801,$N105)="","",INDEX('Per Invoice'!$F$2:$F$801,$N105)))</f>
        <v/>
      </c>
      <c r="G105">
        <f>IF($N105="","",IF(INDEX('Per Invoice'!$G$2:$G$801,$N105)="","",INDEX('Per Invoice'!$G$2:$G$801,$N105)))</f>
        <v/>
      </c>
      <c r="H105">
        <f>IF($N105="","",IF(INDEX('Per Invoice'!$H$2:$H$801,$N105)="","",INDEX('Per Invoice'!$H$2:$H$801,$N105)))</f>
        <v/>
      </c>
      <c r="I105" s="5">
        <f>IF($N105="","",IF(INDEX('Per Invoice'!$I$2:$I$801,$N105)="","",INDEX('Per Invoice'!$I$2:$I$801,$N105)))</f>
        <v/>
      </c>
      <c r="J105" s="5">
        <f>IF($N105="","",IF(INDEX('Per Invoice'!$J$2:$J$801,$N105)="","",INDEX('Per Invoice'!$J$2:$J$801,$N105)))</f>
        <v/>
      </c>
      <c r="K105" s="5">
        <f>IF($N105="","",IF(INDEX('Per Invoice'!$K$2:$K$801,$N105)="","",INDEX('Per Invoice'!$K$2:$K$801,$N105)))</f>
        <v/>
      </c>
      <c r="L105" s="5">
        <f>IF($N105="","",IF(INDEX('Per Invoice'!$L$2:$L$801,$N105)="","",INDEX('Per Invoice'!$L$2:$L$801,$N105)))</f>
        <v/>
      </c>
      <c r="M105" s="5">
        <f>IF($N105="","",IF(INDEX('Per Invoice'!$M$2:$M$801,$N105)="","",INDEX('Per Invoice'!$M$2:$M$801,$N105)))</f>
        <v/>
      </c>
      <c r="N105">
        <f>IF(ROWS($N$2:$N105)&lt;=COUNT('Per Invoice'!$O$2:$O$801),MATCH(ROWS($N$2:$N105),'Per Invoice'!$O$2:$O$801,0),"")</f>
        <v/>
      </c>
    </row>
    <row r="106">
      <c r="A106">
        <f>IF($N106="","",IF(INDEX('Per Invoice'!$A$2:$A$801,$N106)="","",INDEX('Per Invoice'!$A$2:$A$801,$N106)))</f>
        <v/>
      </c>
      <c r="B106">
        <f>IF($N106="","",IF(INDEX('Per Invoice'!$B$2:$B$801,$N106)="","",INDEX('Per Invoice'!$B$2:$B$801,$N106)))</f>
        <v/>
      </c>
      <c r="C106">
        <f>IF($N106="","",IF(INDEX('Per Invoice'!$C$2:$C$801,$N106)="","",INDEX('Per Invoice'!$C$2:$C$801,$N106)))</f>
        <v/>
      </c>
      <c r="D106">
        <f>IF($N106="","",IF(INDEX('Per Invoice'!$D$2:$D$801,$N106)="","",INDEX('Per Invoice'!$D$2:$D$801,$N106)))</f>
        <v/>
      </c>
      <c r="E106">
        <f>IF($N106="","",IF(INDEX('Per Invoice'!$E$2:$E$801,$N106)="","",INDEX('Per Invoice'!$E$2:$E$801,$N106)))</f>
        <v/>
      </c>
      <c r="F106">
        <f>IF($N106="","",IF(INDEX('Per Invoice'!$F$2:$F$801,$N106)="","",INDEX('Per Invoice'!$F$2:$F$801,$N106)))</f>
        <v/>
      </c>
      <c r="G106">
        <f>IF($N106="","",IF(INDEX('Per Invoice'!$G$2:$G$801,$N106)="","",INDEX('Per Invoice'!$G$2:$G$801,$N106)))</f>
        <v/>
      </c>
      <c r="H106">
        <f>IF($N106="","",IF(INDEX('Per Invoice'!$H$2:$H$801,$N106)="","",INDEX('Per Invoice'!$H$2:$H$801,$N106)))</f>
        <v/>
      </c>
      <c r="I106" s="5">
        <f>IF($N106="","",IF(INDEX('Per Invoice'!$I$2:$I$801,$N106)="","",INDEX('Per Invoice'!$I$2:$I$801,$N106)))</f>
        <v/>
      </c>
      <c r="J106" s="5">
        <f>IF($N106="","",IF(INDEX('Per Invoice'!$J$2:$J$801,$N106)="","",INDEX('Per Invoice'!$J$2:$J$801,$N106)))</f>
        <v/>
      </c>
      <c r="K106" s="5">
        <f>IF($N106="","",IF(INDEX('Per Invoice'!$K$2:$K$801,$N106)="","",INDEX('Per Invoice'!$K$2:$K$801,$N106)))</f>
        <v/>
      </c>
      <c r="L106" s="5">
        <f>IF($N106="","",IF(INDEX('Per Invoice'!$L$2:$L$801,$N106)="","",INDEX('Per Invoice'!$L$2:$L$801,$N106)))</f>
        <v/>
      </c>
      <c r="M106" s="5">
        <f>IF($N106="","",IF(INDEX('Per Invoice'!$M$2:$M$801,$N106)="","",INDEX('Per Invoice'!$M$2:$M$801,$N106)))</f>
        <v/>
      </c>
      <c r="N106">
        <f>IF(ROWS($N$2:$N106)&lt;=COUNT('Per Invoice'!$O$2:$O$801),MATCH(ROWS($N$2:$N106),'Per Invoice'!$O$2:$O$801,0),"")</f>
        <v/>
      </c>
    </row>
    <row r="107">
      <c r="A107">
        <f>IF($N107="","",IF(INDEX('Per Invoice'!$A$2:$A$801,$N107)="","",INDEX('Per Invoice'!$A$2:$A$801,$N107)))</f>
        <v/>
      </c>
      <c r="B107">
        <f>IF($N107="","",IF(INDEX('Per Invoice'!$B$2:$B$801,$N107)="","",INDEX('Per Invoice'!$B$2:$B$801,$N107)))</f>
        <v/>
      </c>
      <c r="C107">
        <f>IF($N107="","",IF(INDEX('Per Invoice'!$C$2:$C$801,$N107)="","",INDEX('Per Invoice'!$C$2:$C$801,$N107)))</f>
        <v/>
      </c>
      <c r="D107">
        <f>IF($N107="","",IF(INDEX('Per Invoice'!$D$2:$D$801,$N107)="","",INDEX('Per Invoice'!$D$2:$D$801,$N107)))</f>
        <v/>
      </c>
      <c r="E107">
        <f>IF($N107="","",IF(INDEX('Per Invoice'!$E$2:$E$801,$N107)="","",INDEX('Per Invoice'!$E$2:$E$801,$N107)))</f>
        <v/>
      </c>
      <c r="F107">
        <f>IF($N107="","",IF(INDEX('Per Invoice'!$F$2:$F$801,$N107)="","",INDEX('Per Invoice'!$F$2:$F$801,$N107)))</f>
        <v/>
      </c>
      <c r="G107">
        <f>IF($N107="","",IF(INDEX('Per Invoice'!$G$2:$G$801,$N107)="","",INDEX('Per Invoice'!$G$2:$G$801,$N107)))</f>
        <v/>
      </c>
      <c r="H107">
        <f>IF($N107="","",IF(INDEX('Per Invoice'!$H$2:$H$801,$N107)="","",INDEX('Per Invoice'!$H$2:$H$801,$N107)))</f>
        <v/>
      </c>
      <c r="I107" s="5">
        <f>IF($N107="","",IF(INDEX('Per Invoice'!$I$2:$I$801,$N107)="","",INDEX('Per Invoice'!$I$2:$I$801,$N107)))</f>
        <v/>
      </c>
      <c r="J107" s="5">
        <f>IF($N107="","",IF(INDEX('Per Invoice'!$J$2:$J$801,$N107)="","",INDEX('Per Invoice'!$J$2:$J$801,$N107)))</f>
        <v/>
      </c>
      <c r="K107" s="5">
        <f>IF($N107="","",IF(INDEX('Per Invoice'!$K$2:$K$801,$N107)="","",INDEX('Per Invoice'!$K$2:$K$801,$N107)))</f>
        <v/>
      </c>
      <c r="L107" s="5">
        <f>IF($N107="","",IF(INDEX('Per Invoice'!$L$2:$L$801,$N107)="","",INDEX('Per Invoice'!$L$2:$L$801,$N107)))</f>
        <v/>
      </c>
      <c r="M107" s="5">
        <f>IF($N107="","",IF(INDEX('Per Invoice'!$M$2:$M$801,$N107)="","",INDEX('Per Invoice'!$M$2:$M$801,$N107)))</f>
        <v/>
      </c>
      <c r="N107">
        <f>IF(ROWS($N$2:$N107)&lt;=COUNT('Per Invoice'!$O$2:$O$801),MATCH(ROWS($N$2:$N107),'Per Invoice'!$O$2:$O$801,0),"")</f>
        <v/>
      </c>
    </row>
    <row r="108">
      <c r="A108">
        <f>IF($N108="","",IF(INDEX('Per Invoice'!$A$2:$A$801,$N108)="","",INDEX('Per Invoice'!$A$2:$A$801,$N108)))</f>
        <v/>
      </c>
      <c r="B108">
        <f>IF($N108="","",IF(INDEX('Per Invoice'!$B$2:$B$801,$N108)="","",INDEX('Per Invoice'!$B$2:$B$801,$N108)))</f>
        <v/>
      </c>
      <c r="C108">
        <f>IF($N108="","",IF(INDEX('Per Invoice'!$C$2:$C$801,$N108)="","",INDEX('Per Invoice'!$C$2:$C$801,$N108)))</f>
        <v/>
      </c>
      <c r="D108">
        <f>IF($N108="","",IF(INDEX('Per Invoice'!$D$2:$D$801,$N108)="","",INDEX('Per Invoice'!$D$2:$D$801,$N108)))</f>
        <v/>
      </c>
      <c r="E108">
        <f>IF($N108="","",IF(INDEX('Per Invoice'!$E$2:$E$801,$N108)="","",INDEX('Per Invoice'!$E$2:$E$801,$N108)))</f>
        <v/>
      </c>
      <c r="F108">
        <f>IF($N108="","",IF(INDEX('Per Invoice'!$F$2:$F$801,$N108)="","",INDEX('Per Invoice'!$F$2:$F$801,$N108)))</f>
        <v/>
      </c>
      <c r="G108">
        <f>IF($N108="","",IF(INDEX('Per Invoice'!$G$2:$G$801,$N108)="","",INDEX('Per Invoice'!$G$2:$G$801,$N108)))</f>
        <v/>
      </c>
      <c r="H108">
        <f>IF($N108="","",IF(INDEX('Per Invoice'!$H$2:$H$801,$N108)="","",INDEX('Per Invoice'!$H$2:$H$801,$N108)))</f>
        <v/>
      </c>
      <c r="I108" s="5">
        <f>IF($N108="","",IF(INDEX('Per Invoice'!$I$2:$I$801,$N108)="","",INDEX('Per Invoice'!$I$2:$I$801,$N108)))</f>
        <v/>
      </c>
      <c r="J108" s="5">
        <f>IF($N108="","",IF(INDEX('Per Invoice'!$J$2:$J$801,$N108)="","",INDEX('Per Invoice'!$J$2:$J$801,$N108)))</f>
        <v/>
      </c>
      <c r="K108" s="5">
        <f>IF($N108="","",IF(INDEX('Per Invoice'!$K$2:$K$801,$N108)="","",INDEX('Per Invoice'!$K$2:$K$801,$N108)))</f>
        <v/>
      </c>
      <c r="L108" s="5">
        <f>IF($N108="","",IF(INDEX('Per Invoice'!$L$2:$L$801,$N108)="","",INDEX('Per Invoice'!$L$2:$L$801,$N108)))</f>
        <v/>
      </c>
      <c r="M108" s="5">
        <f>IF($N108="","",IF(INDEX('Per Invoice'!$M$2:$M$801,$N108)="","",INDEX('Per Invoice'!$M$2:$M$801,$N108)))</f>
        <v/>
      </c>
      <c r="N108">
        <f>IF(ROWS($N$2:$N108)&lt;=COUNT('Per Invoice'!$O$2:$O$801),MATCH(ROWS($N$2:$N108),'Per Invoice'!$O$2:$O$801,0),"")</f>
        <v/>
      </c>
    </row>
    <row r="109">
      <c r="A109">
        <f>IF($N109="","",IF(INDEX('Per Invoice'!$A$2:$A$801,$N109)="","",INDEX('Per Invoice'!$A$2:$A$801,$N109)))</f>
        <v/>
      </c>
      <c r="B109">
        <f>IF($N109="","",IF(INDEX('Per Invoice'!$B$2:$B$801,$N109)="","",INDEX('Per Invoice'!$B$2:$B$801,$N109)))</f>
        <v/>
      </c>
      <c r="C109">
        <f>IF($N109="","",IF(INDEX('Per Invoice'!$C$2:$C$801,$N109)="","",INDEX('Per Invoice'!$C$2:$C$801,$N109)))</f>
        <v/>
      </c>
      <c r="D109">
        <f>IF($N109="","",IF(INDEX('Per Invoice'!$D$2:$D$801,$N109)="","",INDEX('Per Invoice'!$D$2:$D$801,$N109)))</f>
        <v/>
      </c>
      <c r="E109">
        <f>IF($N109="","",IF(INDEX('Per Invoice'!$E$2:$E$801,$N109)="","",INDEX('Per Invoice'!$E$2:$E$801,$N109)))</f>
        <v/>
      </c>
      <c r="F109">
        <f>IF($N109="","",IF(INDEX('Per Invoice'!$F$2:$F$801,$N109)="","",INDEX('Per Invoice'!$F$2:$F$801,$N109)))</f>
        <v/>
      </c>
      <c r="G109">
        <f>IF($N109="","",IF(INDEX('Per Invoice'!$G$2:$G$801,$N109)="","",INDEX('Per Invoice'!$G$2:$G$801,$N109)))</f>
        <v/>
      </c>
      <c r="H109">
        <f>IF($N109="","",IF(INDEX('Per Invoice'!$H$2:$H$801,$N109)="","",INDEX('Per Invoice'!$H$2:$H$801,$N109)))</f>
        <v/>
      </c>
      <c r="I109" s="5">
        <f>IF($N109="","",IF(INDEX('Per Invoice'!$I$2:$I$801,$N109)="","",INDEX('Per Invoice'!$I$2:$I$801,$N109)))</f>
        <v/>
      </c>
      <c r="J109" s="5">
        <f>IF($N109="","",IF(INDEX('Per Invoice'!$J$2:$J$801,$N109)="","",INDEX('Per Invoice'!$J$2:$J$801,$N109)))</f>
        <v/>
      </c>
      <c r="K109" s="5">
        <f>IF($N109="","",IF(INDEX('Per Invoice'!$K$2:$K$801,$N109)="","",INDEX('Per Invoice'!$K$2:$K$801,$N109)))</f>
        <v/>
      </c>
      <c r="L109" s="5">
        <f>IF($N109="","",IF(INDEX('Per Invoice'!$L$2:$L$801,$N109)="","",INDEX('Per Invoice'!$L$2:$L$801,$N109)))</f>
        <v/>
      </c>
      <c r="M109" s="5">
        <f>IF($N109="","",IF(INDEX('Per Invoice'!$M$2:$M$801,$N109)="","",INDEX('Per Invoice'!$M$2:$M$801,$N109)))</f>
        <v/>
      </c>
      <c r="N109">
        <f>IF(ROWS($N$2:$N109)&lt;=COUNT('Per Invoice'!$O$2:$O$801),MATCH(ROWS($N$2:$N109),'Per Invoice'!$O$2:$O$801,0),"")</f>
        <v/>
      </c>
    </row>
    <row r="110">
      <c r="A110">
        <f>IF($N110="","",IF(INDEX('Per Invoice'!$A$2:$A$801,$N110)="","",INDEX('Per Invoice'!$A$2:$A$801,$N110)))</f>
        <v/>
      </c>
      <c r="B110">
        <f>IF($N110="","",IF(INDEX('Per Invoice'!$B$2:$B$801,$N110)="","",INDEX('Per Invoice'!$B$2:$B$801,$N110)))</f>
        <v/>
      </c>
      <c r="C110">
        <f>IF($N110="","",IF(INDEX('Per Invoice'!$C$2:$C$801,$N110)="","",INDEX('Per Invoice'!$C$2:$C$801,$N110)))</f>
        <v/>
      </c>
      <c r="D110">
        <f>IF($N110="","",IF(INDEX('Per Invoice'!$D$2:$D$801,$N110)="","",INDEX('Per Invoice'!$D$2:$D$801,$N110)))</f>
        <v/>
      </c>
      <c r="E110">
        <f>IF($N110="","",IF(INDEX('Per Invoice'!$E$2:$E$801,$N110)="","",INDEX('Per Invoice'!$E$2:$E$801,$N110)))</f>
        <v/>
      </c>
      <c r="F110">
        <f>IF($N110="","",IF(INDEX('Per Invoice'!$F$2:$F$801,$N110)="","",INDEX('Per Invoice'!$F$2:$F$801,$N110)))</f>
        <v/>
      </c>
      <c r="G110">
        <f>IF($N110="","",IF(INDEX('Per Invoice'!$G$2:$G$801,$N110)="","",INDEX('Per Invoice'!$G$2:$G$801,$N110)))</f>
        <v/>
      </c>
      <c r="H110">
        <f>IF($N110="","",IF(INDEX('Per Invoice'!$H$2:$H$801,$N110)="","",INDEX('Per Invoice'!$H$2:$H$801,$N110)))</f>
        <v/>
      </c>
      <c r="I110" s="5">
        <f>IF($N110="","",IF(INDEX('Per Invoice'!$I$2:$I$801,$N110)="","",INDEX('Per Invoice'!$I$2:$I$801,$N110)))</f>
        <v/>
      </c>
      <c r="J110" s="5">
        <f>IF($N110="","",IF(INDEX('Per Invoice'!$J$2:$J$801,$N110)="","",INDEX('Per Invoice'!$J$2:$J$801,$N110)))</f>
        <v/>
      </c>
      <c r="K110" s="5">
        <f>IF($N110="","",IF(INDEX('Per Invoice'!$K$2:$K$801,$N110)="","",INDEX('Per Invoice'!$K$2:$K$801,$N110)))</f>
        <v/>
      </c>
      <c r="L110" s="5">
        <f>IF($N110="","",IF(INDEX('Per Invoice'!$L$2:$L$801,$N110)="","",INDEX('Per Invoice'!$L$2:$L$801,$N110)))</f>
        <v/>
      </c>
      <c r="M110" s="5">
        <f>IF($N110="","",IF(INDEX('Per Invoice'!$M$2:$M$801,$N110)="","",INDEX('Per Invoice'!$M$2:$M$801,$N110)))</f>
        <v/>
      </c>
      <c r="N110">
        <f>IF(ROWS($N$2:$N110)&lt;=COUNT('Per Invoice'!$O$2:$O$801),MATCH(ROWS($N$2:$N110),'Per Invoice'!$O$2:$O$801,0),"")</f>
        <v/>
      </c>
    </row>
    <row r="111">
      <c r="A111">
        <f>IF($N111="","",IF(INDEX('Per Invoice'!$A$2:$A$801,$N111)="","",INDEX('Per Invoice'!$A$2:$A$801,$N111)))</f>
        <v/>
      </c>
      <c r="B111">
        <f>IF($N111="","",IF(INDEX('Per Invoice'!$B$2:$B$801,$N111)="","",INDEX('Per Invoice'!$B$2:$B$801,$N111)))</f>
        <v/>
      </c>
      <c r="C111">
        <f>IF($N111="","",IF(INDEX('Per Invoice'!$C$2:$C$801,$N111)="","",INDEX('Per Invoice'!$C$2:$C$801,$N111)))</f>
        <v/>
      </c>
      <c r="D111">
        <f>IF($N111="","",IF(INDEX('Per Invoice'!$D$2:$D$801,$N111)="","",INDEX('Per Invoice'!$D$2:$D$801,$N111)))</f>
        <v/>
      </c>
      <c r="E111">
        <f>IF($N111="","",IF(INDEX('Per Invoice'!$E$2:$E$801,$N111)="","",INDEX('Per Invoice'!$E$2:$E$801,$N111)))</f>
        <v/>
      </c>
      <c r="F111">
        <f>IF($N111="","",IF(INDEX('Per Invoice'!$F$2:$F$801,$N111)="","",INDEX('Per Invoice'!$F$2:$F$801,$N111)))</f>
        <v/>
      </c>
      <c r="G111">
        <f>IF($N111="","",IF(INDEX('Per Invoice'!$G$2:$G$801,$N111)="","",INDEX('Per Invoice'!$G$2:$G$801,$N111)))</f>
        <v/>
      </c>
      <c r="H111">
        <f>IF($N111="","",IF(INDEX('Per Invoice'!$H$2:$H$801,$N111)="","",INDEX('Per Invoice'!$H$2:$H$801,$N111)))</f>
        <v/>
      </c>
      <c r="I111" s="5">
        <f>IF($N111="","",IF(INDEX('Per Invoice'!$I$2:$I$801,$N111)="","",INDEX('Per Invoice'!$I$2:$I$801,$N111)))</f>
        <v/>
      </c>
      <c r="J111" s="5">
        <f>IF($N111="","",IF(INDEX('Per Invoice'!$J$2:$J$801,$N111)="","",INDEX('Per Invoice'!$J$2:$J$801,$N111)))</f>
        <v/>
      </c>
      <c r="K111" s="5">
        <f>IF($N111="","",IF(INDEX('Per Invoice'!$K$2:$K$801,$N111)="","",INDEX('Per Invoice'!$K$2:$K$801,$N111)))</f>
        <v/>
      </c>
      <c r="L111" s="5">
        <f>IF($N111="","",IF(INDEX('Per Invoice'!$L$2:$L$801,$N111)="","",INDEX('Per Invoice'!$L$2:$L$801,$N111)))</f>
        <v/>
      </c>
      <c r="M111" s="5">
        <f>IF($N111="","",IF(INDEX('Per Invoice'!$M$2:$M$801,$N111)="","",INDEX('Per Invoice'!$M$2:$M$801,$N111)))</f>
        <v/>
      </c>
      <c r="N111">
        <f>IF(ROWS($N$2:$N111)&lt;=COUNT('Per Invoice'!$O$2:$O$801),MATCH(ROWS($N$2:$N111),'Per Invoice'!$O$2:$O$801,0),"")</f>
        <v/>
      </c>
    </row>
    <row r="112">
      <c r="A112">
        <f>IF($N112="","",IF(INDEX('Per Invoice'!$A$2:$A$801,$N112)="","",INDEX('Per Invoice'!$A$2:$A$801,$N112)))</f>
        <v/>
      </c>
      <c r="B112">
        <f>IF($N112="","",IF(INDEX('Per Invoice'!$B$2:$B$801,$N112)="","",INDEX('Per Invoice'!$B$2:$B$801,$N112)))</f>
        <v/>
      </c>
      <c r="C112">
        <f>IF($N112="","",IF(INDEX('Per Invoice'!$C$2:$C$801,$N112)="","",INDEX('Per Invoice'!$C$2:$C$801,$N112)))</f>
        <v/>
      </c>
      <c r="D112">
        <f>IF($N112="","",IF(INDEX('Per Invoice'!$D$2:$D$801,$N112)="","",INDEX('Per Invoice'!$D$2:$D$801,$N112)))</f>
        <v/>
      </c>
      <c r="E112">
        <f>IF($N112="","",IF(INDEX('Per Invoice'!$E$2:$E$801,$N112)="","",INDEX('Per Invoice'!$E$2:$E$801,$N112)))</f>
        <v/>
      </c>
      <c r="F112">
        <f>IF($N112="","",IF(INDEX('Per Invoice'!$F$2:$F$801,$N112)="","",INDEX('Per Invoice'!$F$2:$F$801,$N112)))</f>
        <v/>
      </c>
      <c r="G112">
        <f>IF($N112="","",IF(INDEX('Per Invoice'!$G$2:$G$801,$N112)="","",INDEX('Per Invoice'!$G$2:$G$801,$N112)))</f>
        <v/>
      </c>
      <c r="H112">
        <f>IF($N112="","",IF(INDEX('Per Invoice'!$H$2:$H$801,$N112)="","",INDEX('Per Invoice'!$H$2:$H$801,$N112)))</f>
        <v/>
      </c>
      <c r="I112" s="5">
        <f>IF($N112="","",IF(INDEX('Per Invoice'!$I$2:$I$801,$N112)="","",INDEX('Per Invoice'!$I$2:$I$801,$N112)))</f>
        <v/>
      </c>
      <c r="J112" s="5">
        <f>IF($N112="","",IF(INDEX('Per Invoice'!$J$2:$J$801,$N112)="","",INDEX('Per Invoice'!$J$2:$J$801,$N112)))</f>
        <v/>
      </c>
      <c r="K112" s="5">
        <f>IF($N112="","",IF(INDEX('Per Invoice'!$K$2:$K$801,$N112)="","",INDEX('Per Invoice'!$K$2:$K$801,$N112)))</f>
        <v/>
      </c>
      <c r="L112" s="5">
        <f>IF($N112="","",IF(INDEX('Per Invoice'!$L$2:$L$801,$N112)="","",INDEX('Per Invoice'!$L$2:$L$801,$N112)))</f>
        <v/>
      </c>
      <c r="M112" s="5">
        <f>IF($N112="","",IF(INDEX('Per Invoice'!$M$2:$M$801,$N112)="","",INDEX('Per Invoice'!$M$2:$M$801,$N112)))</f>
        <v/>
      </c>
      <c r="N112">
        <f>IF(ROWS($N$2:$N112)&lt;=COUNT('Per Invoice'!$O$2:$O$801),MATCH(ROWS($N$2:$N112),'Per Invoice'!$O$2:$O$801,0),"")</f>
        <v/>
      </c>
    </row>
    <row r="113">
      <c r="A113">
        <f>IF($N113="","",IF(INDEX('Per Invoice'!$A$2:$A$801,$N113)="","",INDEX('Per Invoice'!$A$2:$A$801,$N113)))</f>
        <v/>
      </c>
      <c r="B113">
        <f>IF($N113="","",IF(INDEX('Per Invoice'!$B$2:$B$801,$N113)="","",INDEX('Per Invoice'!$B$2:$B$801,$N113)))</f>
        <v/>
      </c>
      <c r="C113">
        <f>IF($N113="","",IF(INDEX('Per Invoice'!$C$2:$C$801,$N113)="","",INDEX('Per Invoice'!$C$2:$C$801,$N113)))</f>
        <v/>
      </c>
      <c r="D113">
        <f>IF($N113="","",IF(INDEX('Per Invoice'!$D$2:$D$801,$N113)="","",INDEX('Per Invoice'!$D$2:$D$801,$N113)))</f>
        <v/>
      </c>
      <c r="E113">
        <f>IF($N113="","",IF(INDEX('Per Invoice'!$E$2:$E$801,$N113)="","",INDEX('Per Invoice'!$E$2:$E$801,$N113)))</f>
        <v/>
      </c>
      <c r="F113">
        <f>IF($N113="","",IF(INDEX('Per Invoice'!$F$2:$F$801,$N113)="","",INDEX('Per Invoice'!$F$2:$F$801,$N113)))</f>
        <v/>
      </c>
      <c r="G113">
        <f>IF($N113="","",IF(INDEX('Per Invoice'!$G$2:$G$801,$N113)="","",INDEX('Per Invoice'!$G$2:$G$801,$N113)))</f>
        <v/>
      </c>
      <c r="H113">
        <f>IF($N113="","",IF(INDEX('Per Invoice'!$H$2:$H$801,$N113)="","",INDEX('Per Invoice'!$H$2:$H$801,$N113)))</f>
        <v/>
      </c>
      <c r="I113" s="5">
        <f>IF($N113="","",IF(INDEX('Per Invoice'!$I$2:$I$801,$N113)="","",INDEX('Per Invoice'!$I$2:$I$801,$N113)))</f>
        <v/>
      </c>
      <c r="J113" s="5">
        <f>IF($N113="","",IF(INDEX('Per Invoice'!$J$2:$J$801,$N113)="","",INDEX('Per Invoice'!$J$2:$J$801,$N113)))</f>
        <v/>
      </c>
      <c r="K113" s="5">
        <f>IF($N113="","",IF(INDEX('Per Invoice'!$K$2:$K$801,$N113)="","",INDEX('Per Invoice'!$K$2:$K$801,$N113)))</f>
        <v/>
      </c>
      <c r="L113" s="5">
        <f>IF($N113="","",IF(INDEX('Per Invoice'!$L$2:$L$801,$N113)="","",INDEX('Per Invoice'!$L$2:$L$801,$N113)))</f>
        <v/>
      </c>
      <c r="M113" s="5">
        <f>IF($N113="","",IF(INDEX('Per Invoice'!$M$2:$M$801,$N113)="","",INDEX('Per Invoice'!$M$2:$M$801,$N113)))</f>
        <v/>
      </c>
      <c r="N113">
        <f>IF(ROWS($N$2:$N113)&lt;=COUNT('Per Invoice'!$O$2:$O$801),MATCH(ROWS($N$2:$N113),'Per Invoice'!$O$2:$O$801,0),"")</f>
        <v/>
      </c>
    </row>
    <row r="114">
      <c r="A114">
        <f>IF($N114="","",IF(INDEX('Per Invoice'!$A$2:$A$801,$N114)="","",INDEX('Per Invoice'!$A$2:$A$801,$N114)))</f>
        <v/>
      </c>
      <c r="B114">
        <f>IF($N114="","",IF(INDEX('Per Invoice'!$B$2:$B$801,$N114)="","",INDEX('Per Invoice'!$B$2:$B$801,$N114)))</f>
        <v/>
      </c>
      <c r="C114">
        <f>IF($N114="","",IF(INDEX('Per Invoice'!$C$2:$C$801,$N114)="","",INDEX('Per Invoice'!$C$2:$C$801,$N114)))</f>
        <v/>
      </c>
      <c r="D114">
        <f>IF($N114="","",IF(INDEX('Per Invoice'!$D$2:$D$801,$N114)="","",INDEX('Per Invoice'!$D$2:$D$801,$N114)))</f>
        <v/>
      </c>
      <c r="E114">
        <f>IF($N114="","",IF(INDEX('Per Invoice'!$E$2:$E$801,$N114)="","",INDEX('Per Invoice'!$E$2:$E$801,$N114)))</f>
        <v/>
      </c>
      <c r="F114">
        <f>IF($N114="","",IF(INDEX('Per Invoice'!$F$2:$F$801,$N114)="","",INDEX('Per Invoice'!$F$2:$F$801,$N114)))</f>
        <v/>
      </c>
      <c r="G114">
        <f>IF($N114="","",IF(INDEX('Per Invoice'!$G$2:$G$801,$N114)="","",INDEX('Per Invoice'!$G$2:$G$801,$N114)))</f>
        <v/>
      </c>
      <c r="H114">
        <f>IF($N114="","",IF(INDEX('Per Invoice'!$H$2:$H$801,$N114)="","",INDEX('Per Invoice'!$H$2:$H$801,$N114)))</f>
        <v/>
      </c>
      <c r="I114" s="5">
        <f>IF($N114="","",IF(INDEX('Per Invoice'!$I$2:$I$801,$N114)="","",INDEX('Per Invoice'!$I$2:$I$801,$N114)))</f>
        <v/>
      </c>
      <c r="J114" s="5">
        <f>IF($N114="","",IF(INDEX('Per Invoice'!$J$2:$J$801,$N114)="","",INDEX('Per Invoice'!$J$2:$J$801,$N114)))</f>
        <v/>
      </c>
      <c r="K114" s="5">
        <f>IF($N114="","",IF(INDEX('Per Invoice'!$K$2:$K$801,$N114)="","",INDEX('Per Invoice'!$K$2:$K$801,$N114)))</f>
        <v/>
      </c>
      <c r="L114" s="5">
        <f>IF($N114="","",IF(INDEX('Per Invoice'!$L$2:$L$801,$N114)="","",INDEX('Per Invoice'!$L$2:$L$801,$N114)))</f>
        <v/>
      </c>
      <c r="M114" s="5">
        <f>IF($N114="","",IF(INDEX('Per Invoice'!$M$2:$M$801,$N114)="","",INDEX('Per Invoice'!$M$2:$M$801,$N114)))</f>
        <v/>
      </c>
      <c r="N114">
        <f>IF(ROWS($N$2:$N114)&lt;=COUNT('Per Invoice'!$O$2:$O$801),MATCH(ROWS($N$2:$N114),'Per Invoice'!$O$2:$O$801,0),"")</f>
        <v/>
      </c>
    </row>
    <row r="115">
      <c r="A115">
        <f>IF($N115="","",IF(INDEX('Per Invoice'!$A$2:$A$801,$N115)="","",INDEX('Per Invoice'!$A$2:$A$801,$N115)))</f>
        <v/>
      </c>
      <c r="B115">
        <f>IF($N115="","",IF(INDEX('Per Invoice'!$B$2:$B$801,$N115)="","",INDEX('Per Invoice'!$B$2:$B$801,$N115)))</f>
        <v/>
      </c>
      <c r="C115">
        <f>IF($N115="","",IF(INDEX('Per Invoice'!$C$2:$C$801,$N115)="","",INDEX('Per Invoice'!$C$2:$C$801,$N115)))</f>
        <v/>
      </c>
      <c r="D115">
        <f>IF($N115="","",IF(INDEX('Per Invoice'!$D$2:$D$801,$N115)="","",INDEX('Per Invoice'!$D$2:$D$801,$N115)))</f>
        <v/>
      </c>
      <c r="E115">
        <f>IF($N115="","",IF(INDEX('Per Invoice'!$E$2:$E$801,$N115)="","",INDEX('Per Invoice'!$E$2:$E$801,$N115)))</f>
        <v/>
      </c>
      <c r="F115">
        <f>IF($N115="","",IF(INDEX('Per Invoice'!$F$2:$F$801,$N115)="","",INDEX('Per Invoice'!$F$2:$F$801,$N115)))</f>
        <v/>
      </c>
      <c r="G115">
        <f>IF($N115="","",IF(INDEX('Per Invoice'!$G$2:$G$801,$N115)="","",INDEX('Per Invoice'!$G$2:$G$801,$N115)))</f>
        <v/>
      </c>
      <c r="H115">
        <f>IF($N115="","",IF(INDEX('Per Invoice'!$H$2:$H$801,$N115)="","",INDEX('Per Invoice'!$H$2:$H$801,$N115)))</f>
        <v/>
      </c>
      <c r="I115" s="5">
        <f>IF($N115="","",IF(INDEX('Per Invoice'!$I$2:$I$801,$N115)="","",INDEX('Per Invoice'!$I$2:$I$801,$N115)))</f>
        <v/>
      </c>
      <c r="J115" s="5">
        <f>IF($N115="","",IF(INDEX('Per Invoice'!$J$2:$J$801,$N115)="","",INDEX('Per Invoice'!$J$2:$J$801,$N115)))</f>
        <v/>
      </c>
      <c r="K115" s="5">
        <f>IF($N115="","",IF(INDEX('Per Invoice'!$K$2:$K$801,$N115)="","",INDEX('Per Invoice'!$K$2:$K$801,$N115)))</f>
        <v/>
      </c>
      <c r="L115" s="5">
        <f>IF($N115="","",IF(INDEX('Per Invoice'!$L$2:$L$801,$N115)="","",INDEX('Per Invoice'!$L$2:$L$801,$N115)))</f>
        <v/>
      </c>
      <c r="M115" s="5">
        <f>IF($N115="","",IF(INDEX('Per Invoice'!$M$2:$M$801,$N115)="","",INDEX('Per Invoice'!$M$2:$M$801,$N115)))</f>
        <v/>
      </c>
      <c r="N115">
        <f>IF(ROWS($N$2:$N115)&lt;=COUNT('Per Invoice'!$O$2:$O$801),MATCH(ROWS($N$2:$N115),'Per Invoice'!$O$2:$O$801,0),"")</f>
        <v/>
      </c>
    </row>
    <row r="116">
      <c r="A116">
        <f>IF($N116="","",IF(INDEX('Per Invoice'!$A$2:$A$801,$N116)="","",INDEX('Per Invoice'!$A$2:$A$801,$N116)))</f>
        <v/>
      </c>
      <c r="B116">
        <f>IF($N116="","",IF(INDEX('Per Invoice'!$B$2:$B$801,$N116)="","",INDEX('Per Invoice'!$B$2:$B$801,$N116)))</f>
        <v/>
      </c>
      <c r="C116">
        <f>IF($N116="","",IF(INDEX('Per Invoice'!$C$2:$C$801,$N116)="","",INDEX('Per Invoice'!$C$2:$C$801,$N116)))</f>
        <v/>
      </c>
      <c r="D116">
        <f>IF($N116="","",IF(INDEX('Per Invoice'!$D$2:$D$801,$N116)="","",INDEX('Per Invoice'!$D$2:$D$801,$N116)))</f>
        <v/>
      </c>
      <c r="E116">
        <f>IF($N116="","",IF(INDEX('Per Invoice'!$E$2:$E$801,$N116)="","",INDEX('Per Invoice'!$E$2:$E$801,$N116)))</f>
        <v/>
      </c>
      <c r="F116">
        <f>IF($N116="","",IF(INDEX('Per Invoice'!$F$2:$F$801,$N116)="","",INDEX('Per Invoice'!$F$2:$F$801,$N116)))</f>
        <v/>
      </c>
      <c r="G116">
        <f>IF($N116="","",IF(INDEX('Per Invoice'!$G$2:$G$801,$N116)="","",INDEX('Per Invoice'!$G$2:$G$801,$N116)))</f>
        <v/>
      </c>
      <c r="H116">
        <f>IF($N116="","",IF(INDEX('Per Invoice'!$H$2:$H$801,$N116)="","",INDEX('Per Invoice'!$H$2:$H$801,$N116)))</f>
        <v/>
      </c>
      <c r="I116" s="5">
        <f>IF($N116="","",IF(INDEX('Per Invoice'!$I$2:$I$801,$N116)="","",INDEX('Per Invoice'!$I$2:$I$801,$N116)))</f>
        <v/>
      </c>
      <c r="J116" s="5">
        <f>IF($N116="","",IF(INDEX('Per Invoice'!$J$2:$J$801,$N116)="","",INDEX('Per Invoice'!$J$2:$J$801,$N116)))</f>
        <v/>
      </c>
      <c r="K116" s="5">
        <f>IF($N116="","",IF(INDEX('Per Invoice'!$K$2:$K$801,$N116)="","",INDEX('Per Invoice'!$K$2:$K$801,$N116)))</f>
        <v/>
      </c>
      <c r="L116" s="5">
        <f>IF($N116="","",IF(INDEX('Per Invoice'!$L$2:$L$801,$N116)="","",INDEX('Per Invoice'!$L$2:$L$801,$N116)))</f>
        <v/>
      </c>
      <c r="M116" s="5">
        <f>IF($N116="","",IF(INDEX('Per Invoice'!$M$2:$M$801,$N116)="","",INDEX('Per Invoice'!$M$2:$M$801,$N116)))</f>
        <v/>
      </c>
      <c r="N116">
        <f>IF(ROWS($N$2:$N116)&lt;=COUNT('Per Invoice'!$O$2:$O$801),MATCH(ROWS($N$2:$N116),'Per Invoice'!$O$2:$O$801,0),"")</f>
        <v/>
      </c>
    </row>
    <row r="117">
      <c r="A117">
        <f>IF($N117="","",IF(INDEX('Per Invoice'!$A$2:$A$801,$N117)="","",INDEX('Per Invoice'!$A$2:$A$801,$N117)))</f>
        <v/>
      </c>
      <c r="B117">
        <f>IF($N117="","",IF(INDEX('Per Invoice'!$B$2:$B$801,$N117)="","",INDEX('Per Invoice'!$B$2:$B$801,$N117)))</f>
        <v/>
      </c>
      <c r="C117">
        <f>IF($N117="","",IF(INDEX('Per Invoice'!$C$2:$C$801,$N117)="","",INDEX('Per Invoice'!$C$2:$C$801,$N117)))</f>
        <v/>
      </c>
      <c r="D117">
        <f>IF($N117="","",IF(INDEX('Per Invoice'!$D$2:$D$801,$N117)="","",INDEX('Per Invoice'!$D$2:$D$801,$N117)))</f>
        <v/>
      </c>
      <c r="E117">
        <f>IF($N117="","",IF(INDEX('Per Invoice'!$E$2:$E$801,$N117)="","",INDEX('Per Invoice'!$E$2:$E$801,$N117)))</f>
        <v/>
      </c>
      <c r="F117">
        <f>IF($N117="","",IF(INDEX('Per Invoice'!$F$2:$F$801,$N117)="","",INDEX('Per Invoice'!$F$2:$F$801,$N117)))</f>
        <v/>
      </c>
      <c r="G117">
        <f>IF($N117="","",IF(INDEX('Per Invoice'!$G$2:$G$801,$N117)="","",INDEX('Per Invoice'!$G$2:$G$801,$N117)))</f>
        <v/>
      </c>
      <c r="H117">
        <f>IF($N117="","",IF(INDEX('Per Invoice'!$H$2:$H$801,$N117)="","",INDEX('Per Invoice'!$H$2:$H$801,$N117)))</f>
        <v/>
      </c>
      <c r="I117" s="5">
        <f>IF($N117="","",IF(INDEX('Per Invoice'!$I$2:$I$801,$N117)="","",INDEX('Per Invoice'!$I$2:$I$801,$N117)))</f>
        <v/>
      </c>
      <c r="J117" s="5">
        <f>IF($N117="","",IF(INDEX('Per Invoice'!$J$2:$J$801,$N117)="","",INDEX('Per Invoice'!$J$2:$J$801,$N117)))</f>
        <v/>
      </c>
      <c r="K117" s="5">
        <f>IF($N117="","",IF(INDEX('Per Invoice'!$K$2:$K$801,$N117)="","",INDEX('Per Invoice'!$K$2:$K$801,$N117)))</f>
        <v/>
      </c>
      <c r="L117" s="5">
        <f>IF($N117="","",IF(INDEX('Per Invoice'!$L$2:$L$801,$N117)="","",INDEX('Per Invoice'!$L$2:$L$801,$N117)))</f>
        <v/>
      </c>
      <c r="M117" s="5">
        <f>IF($N117="","",IF(INDEX('Per Invoice'!$M$2:$M$801,$N117)="","",INDEX('Per Invoice'!$M$2:$M$801,$N117)))</f>
        <v/>
      </c>
      <c r="N117">
        <f>IF(ROWS($N$2:$N117)&lt;=COUNT('Per Invoice'!$O$2:$O$801),MATCH(ROWS($N$2:$N117),'Per Invoice'!$O$2:$O$801,0),"")</f>
        <v/>
      </c>
    </row>
    <row r="118">
      <c r="A118">
        <f>IF($N118="","",IF(INDEX('Per Invoice'!$A$2:$A$801,$N118)="","",INDEX('Per Invoice'!$A$2:$A$801,$N118)))</f>
        <v/>
      </c>
      <c r="B118">
        <f>IF($N118="","",IF(INDEX('Per Invoice'!$B$2:$B$801,$N118)="","",INDEX('Per Invoice'!$B$2:$B$801,$N118)))</f>
        <v/>
      </c>
      <c r="C118">
        <f>IF($N118="","",IF(INDEX('Per Invoice'!$C$2:$C$801,$N118)="","",INDEX('Per Invoice'!$C$2:$C$801,$N118)))</f>
        <v/>
      </c>
      <c r="D118">
        <f>IF($N118="","",IF(INDEX('Per Invoice'!$D$2:$D$801,$N118)="","",INDEX('Per Invoice'!$D$2:$D$801,$N118)))</f>
        <v/>
      </c>
      <c r="E118">
        <f>IF($N118="","",IF(INDEX('Per Invoice'!$E$2:$E$801,$N118)="","",INDEX('Per Invoice'!$E$2:$E$801,$N118)))</f>
        <v/>
      </c>
      <c r="F118">
        <f>IF($N118="","",IF(INDEX('Per Invoice'!$F$2:$F$801,$N118)="","",INDEX('Per Invoice'!$F$2:$F$801,$N118)))</f>
        <v/>
      </c>
      <c r="G118">
        <f>IF($N118="","",IF(INDEX('Per Invoice'!$G$2:$G$801,$N118)="","",INDEX('Per Invoice'!$G$2:$G$801,$N118)))</f>
        <v/>
      </c>
      <c r="H118">
        <f>IF($N118="","",IF(INDEX('Per Invoice'!$H$2:$H$801,$N118)="","",INDEX('Per Invoice'!$H$2:$H$801,$N118)))</f>
        <v/>
      </c>
      <c r="I118" s="5">
        <f>IF($N118="","",IF(INDEX('Per Invoice'!$I$2:$I$801,$N118)="","",INDEX('Per Invoice'!$I$2:$I$801,$N118)))</f>
        <v/>
      </c>
      <c r="J118" s="5">
        <f>IF($N118="","",IF(INDEX('Per Invoice'!$J$2:$J$801,$N118)="","",INDEX('Per Invoice'!$J$2:$J$801,$N118)))</f>
        <v/>
      </c>
      <c r="K118" s="5">
        <f>IF($N118="","",IF(INDEX('Per Invoice'!$K$2:$K$801,$N118)="","",INDEX('Per Invoice'!$K$2:$K$801,$N118)))</f>
        <v/>
      </c>
      <c r="L118" s="5">
        <f>IF($N118="","",IF(INDEX('Per Invoice'!$L$2:$L$801,$N118)="","",INDEX('Per Invoice'!$L$2:$L$801,$N118)))</f>
        <v/>
      </c>
      <c r="M118" s="5">
        <f>IF($N118="","",IF(INDEX('Per Invoice'!$M$2:$M$801,$N118)="","",INDEX('Per Invoice'!$M$2:$M$801,$N118)))</f>
        <v/>
      </c>
      <c r="N118">
        <f>IF(ROWS($N$2:$N118)&lt;=COUNT('Per Invoice'!$O$2:$O$801),MATCH(ROWS($N$2:$N118),'Per Invoice'!$O$2:$O$801,0),"")</f>
        <v/>
      </c>
    </row>
    <row r="119">
      <c r="A119">
        <f>IF($N119="","",IF(INDEX('Per Invoice'!$A$2:$A$801,$N119)="","",INDEX('Per Invoice'!$A$2:$A$801,$N119)))</f>
        <v/>
      </c>
      <c r="B119">
        <f>IF($N119="","",IF(INDEX('Per Invoice'!$B$2:$B$801,$N119)="","",INDEX('Per Invoice'!$B$2:$B$801,$N119)))</f>
        <v/>
      </c>
      <c r="C119">
        <f>IF($N119="","",IF(INDEX('Per Invoice'!$C$2:$C$801,$N119)="","",INDEX('Per Invoice'!$C$2:$C$801,$N119)))</f>
        <v/>
      </c>
      <c r="D119">
        <f>IF($N119="","",IF(INDEX('Per Invoice'!$D$2:$D$801,$N119)="","",INDEX('Per Invoice'!$D$2:$D$801,$N119)))</f>
        <v/>
      </c>
      <c r="E119">
        <f>IF($N119="","",IF(INDEX('Per Invoice'!$E$2:$E$801,$N119)="","",INDEX('Per Invoice'!$E$2:$E$801,$N119)))</f>
        <v/>
      </c>
      <c r="F119">
        <f>IF($N119="","",IF(INDEX('Per Invoice'!$F$2:$F$801,$N119)="","",INDEX('Per Invoice'!$F$2:$F$801,$N119)))</f>
        <v/>
      </c>
      <c r="G119">
        <f>IF($N119="","",IF(INDEX('Per Invoice'!$G$2:$G$801,$N119)="","",INDEX('Per Invoice'!$G$2:$G$801,$N119)))</f>
        <v/>
      </c>
      <c r="H119">
        <f>IF($N119="","",IF(INDEX('Per Invoice'!$H$2:$H$801,$N119)="","",INDEX('Per Invoice'!$H$2:$H$801,$N119)))</f>
        <v/>
      </c>
      <c r="I119" s="5">
        <f>IF($N119="","",IF(INDEX('Per Invoice'!$I$2:$I$801,$N119)="","",INDEX('Per Invoice'!$I$2:$I$801,$N119)))</f>
        <v/>
      </c>
      <c r="J119" s="5">
        <f>IF($N119="","",IF(INDEX('Per Invoice'!$J$2:$J$801,$N119)="","",INDEX('Per Invoice'!$J$2:$J$801,$N119)))</f>
        <v/>
      </c>
      <c r="K119" s="5">
        <f>IF($N119="","",IF(INDEX('Per Invoice'!$K$2:$K$801,$N119)="","",INDEX('Per Invoice'!$K$2:$K$801,$N119)))</f>
        <v/>
      </c>
      <c r="L119" s="5">
        <f>IF($N119="","",IF(INDEX('Per Invoice'!$L$2:$L$801,$N119)="","",INDEX('Per Invoice'!$L$2:$L$801,$N119)))</f>
        <v/>
      </c>
      <c r="M119" s="5">
        <f>IF($N119="","",IF(INDEX('Per Invoice'!$M$2:$M$801,$N119)="","",INDEX('Per Invoice'!$M$2:$M$801,$N119)))</f>
        <v/>
      </c>
      <c r="N119">
        <f>IF(ROWS($N$2:$N119)&lt;=COUNT('Per Invoice'!$O$2:$O$801),MATCH(ROWS($N$2:$N119),'Per Invoice'!$O$2:$O$801,0),"")</f>
        <v/>
      </c>
    </row>
    <row r="120">
      <c r="A120">
        <f>IF($N120="","",IF(INDEX('Per Invoice'!$A$2:$A$801,$N120)="","",INDEX('Per Invoice'!$A$2:$A$801,$N120)))</f>
        <v/>
      </c>
      <c r="B120">
        <f>IF($N120="","",IF(INDEX('Per Invoice'!$B$2:$B$801,$N120)="","",INDEX('Per Invoice'!$B$2:$B$801,$N120)))</f>
        <v/>
      </c>
      <c r="C120">
        <f>IF($N120="","",IF(INDEX('Per Invoice'!$C$2:$C$801,$N120)="","",INDEX('Per Invoice'!$C$2:$C$801,$N120)))</f>
        <v/>
      </c>
      <c r="D120">
        <f>IF($N120="","",IF(INDEX('Per Invoice'!$D$2:$D$801,$N120)="","",INDEX('Per Invoice'!$D$2:$D$801,$N120)))</f>
        <v/>
      </c>
      <c r="E120">
        <f>IF($N120="","",IF(INDEX('Per Invoice'!$E$2:$E$801,$N120)="","",INDEX('Per Invoice'!$E$2:$E$801,$N120)))</f>
        <v/>
      </c>
      <c r="F120">
        <f>IF($N120="","",IF(INDEX('Per Invoice'!$F$2:$F$801,$N120)="","",INDEX('Per Invoice'!$F$2:$F$801,$N120)))</f>
        <v/>
      </c>
      <c r="G120">
        <f>IF($N120="","",IF(INDEX('Per Invoice'!$G$2:$G$801,$N120)="","",INDEX('Per Invoice'!$G$2:$G$801,$N120)))</f>
        <v/>
      </c>
      <c r="H120">
        <f>IF($N120="","",IF(INDEX('Per Invoice'!$H$2:$H$801,$N120)="","",INDEX('Per Invoice'!$H$2:$H$801,$N120)))</f>
        <v/>
      </c>
      <c r="I120" s="5">
        <f>IF($N120="","",IF(INDEX('Per Invoice'!$I$2:$I$801,$N120)="","",INDEX('Per Invoice'!$I$2:$I$801,$N120)))</f>
        <v/>
      </c>
      <c r="J120" s="5">
        <f>IF($N120="","",IF(INDEX('Per Invoice'!$J$2:$J$801,$N120)="","",INDEX('Per Invoice'!$J$2:$J$801,$N120)))</f>
        <v/>
      </c>
      <c r="K120" s="5">
        <f>IF($N120="","",IF(INDEX('Per Invoice'!$K$2:$K$801,$N120)="","",INDEX('Per Invoice'!$K$2:$K$801,$N120)))</f>
        <v/>
      </c>
      <c r="L120" s="5">
        <f>IF($N120="","",IF(INDEX('Per Invoice'!$L$2:$L$801,$N120)="","",INDEX('Per Invoice'!$L$2:$L$801,$N120)))</f>
        <v/>
      </c>
      <c r="M120" s="5">
        <f>IF($N120="","",IF(INDEX('Per Invoice'!$M$2:$M$801,$N120)="","",INDEX('Per Invoice'!$M$2:$M$801,$N120)))</f>
        <v/>
      </c>
      <c r="N120">
        <f>IF(ROWS($N$2:$N120)&lt;=COUNT('Per Invoice'!$O$2:$O$801),MATCH(ROWS($N$2:$N120),'Per Invoice'!$O$2:$O$801,0),"")</f>
        <v/>
      </c>
    </row>
    <row r="121">
      <c r="A121">
        <f>IF($N121="","",IF(INDEX('Per Invoice'!$A$2:$A$801,$N121)="","",INDEX('Per Invoice'!$A$2:$A$801,$N121)))</f>
        <v/>
      </c>
      <c r="B121">
        <f>IF($N121="","",IF(INDEX('Per Invoice'!$B$2:$B$801,$N121)="","",INDEX('Per Invoice'!$B$2:$B$801,$N121)))</f>
        <v/>
      </c>
      <c r="C121">
        <f>IF($N121="","",IF(INDEX('Per Invoice'!$C$2:$C$801,$N121)="","",INDEX('Per Invoice'!$C$2:$C$801,$N121)))</f>
        <v/>
      </c>
      <c r="D121">
        <f>IF($N121="","",IF(INDEX('Per Invoice'!$D$2:$D$801,$N121)="","",INDEX('Per Invoice'!$D$2:$D$801,$N121)))</f>
        <v/>
      </c>
      <c r="E121">
        <f>IF($N121="","",IF(INDEX('Per Invoice'!$E$2:$E$801,$N121)="","",INDEX('Per Invoice'!$E$2:$E$801,$N121)))</f>
        <v/>
      </c>
      <c r="F121">
        <f>IF($N121="","",IF(INDEX('Per Invoice'!$F$2:$F$801,$N121)="","",INDEX('Per Invoice'!$F$2:$F$801,$N121)))</f>
        <v/>
      </c>
      <c r="G121">
        <f>IF($N121="","",IF(INDEX('Per Invoice'!$G$2:$G$801,$N121)="","",INDEX('Per Invoice'!$G$2:$G$801,$N121)))</f>
        <v/>
      </c>
      <c r="H121">
        <f>IF($N121="","",IF(INDEX('Per Invoice'!$H$2:$H$801,$N121)="","",INDEX('Per Invoice'!$H$2:$H$801,$N121)))</f>
        <v/>
      </c>
      <c r="I121" s="5">
        <f>IF($N121="","",IF(INDEX('Per Invoice'!$I$2:$I$801,$N121)="","",INDEX('Per Invoice'!$I$2:$I$801,$N121)))</f>
        <v/>
      </c>
      <c r="J121" s="5">
        <f>IF($N121="","",IF(INDEX('Per Invoice'!$J$2:$J$801,$N121)="","",INDEX('Per Invoice'!$J$2:$J$801,$N121)))</f>
        <v/>
      </c>
      <c r="K121" s="5">
        <f>IF($N121="","",IF(INDEX('Per Invoice'!$K$2:$K$801,$N121)="","",INDEX('Per Invoice'!$K$2:$K$801,$N121)))</f>
        <v/>
      </c>
      <c r="L121" s="5">
        <f>IF($N121="","",IF(INDEX('Per Invoice'!$L$2:$L$801,$N121)="","",INDEX('Per Invoice'!$L$2:$L$801,$N121)))</f>
        <v/>
      </c>
      <c r="M121" s="5">
        <f>IF($N121="","",IF(INDEX('Per Invoice'!$M$2:$M$801,$N121)="","",INDEX('Per Invoice'!$M$2:$M$801,$N121)))</f>
        <v/>
      </c>
      <c r="N121">
        <f>IF(ROWS($N$2:$N121)&lt;=COUNT('Per Invoice'!$O$2:$O$801),MATCH(ROWS($N$2:$N121),'Per Invoice'!$O$2:$O$801,0),"")</f>
        <v/>
      </c>
    </row>
    <row r="122">
      <c r="A122">
        <f>IF($N122="","",IF(INDEX('Per Invoice'!$A$2:$A$801,$N122)="","",INDEX('Per Invoice'!$A$2:$A$801,$N122)))</f>
        <v/>
      </c>
      <c r="B122">
        <f>IF($N122="","",IF(INDEX('Per Invoice'!$B$2:$B$801,$N122)="","",INDEX('Per Invoice'!$B$2:$B$801,$N122)))</f>
        <v/>
      </c>
      <c r="C122">
        <f>IF($N122="","",IF(INDEX('Per Invoice'!$C$2:$C$801,$N122)="","",INDEX('Per Invoice'!$C$2:$C$801,$N122)))</f>
        <v/>
      </c>
      <c r="D122">
        <f>IF($N122="","",IF(INDEX('Per Invoice'!$D$2:$D$801,$N122)="","",INDEX('Per Invoice'!$D$2:$D$801,$N122)))</f>
        <v/>
      </c>
      <c r="E122">
        <f>IF($N122="","",IF(INDEX('Per Invoice'!$E$2:$E$801,$N122)="","",INDEX('Per Invoice'!$E$2:$E$801,$N122)))</f>
        <v/>
      </c>
      <c r="F122">
        <f>IF($N122="","",IF(INDEX('Per Invoice'!$F$2:$F$801,$N122)="","",INDEX('Per Invoice'!$F$2:$F$801,$N122)))</f>
        <v/>
      </c>
      <c r="G122">
        <f>IF($N122="","",IF(INDEX('Per Invoice'!$G$2:$G$801,$N122)="","",INDEX('Per Invoice'!$G$2:$G$801,$N122)))</f>
        <v/>
      </c>
      <c r="H122">
        <f>IF($N122="","",IF(INDEX('Per Invoice'!$H$2:$H$801,$N122)="","",INDEX('Per Invoice'!$H$2:$H$801,$N122)))</f>
        <v/>
      </c>
      <c r="I122" s="5">
        <f>IF($N122="","",IF(INDEX('Per Invoice'!$I$2:$I$801,$N122)="","",INDEX('Per Invoice'!$I$2:$I$801,$N122)))</f>
        <v/>
      </c>
      <c r="J122" s="5">
        <f>IF($N122="","",IF(INDEX('Per Invoice'!$J$2:$J$801,$N122)="","",INDEX('Per Invoice'!$J$2:$J$801,$N122)))</f>
        <v/>
      </c>
      <c r="K122" s="5">
        <f>IF($N122="","",IF(INDEX('Per Invoice'!$K$2:$K$801,$N122)="","",INDEX('Per Invoice'!$K$2:$K$801,$N122)))</f>
        <v/>
      </c>
      <c r="L122" s="5">
        <f>IF($N122="","",IF(INDEX('Per Invoice'!$L$2:$L$801,$N122)="","",INDEX('Per Invoice'!$L$2:$L$801,$N122)))</f>
        <v/>
      </c>
      <c r="M122" s="5">
        <f>IF($N122="","",IF(INDEX('Per Invoice'!$M$2:$M$801,$N122)="","",INDEX('Per Invoice'!$M$2:$M$801,$N122)))</f>
        <v/>
      </c>
      <c r="N122">
        <f>IF(ROWS($N$2:$N122)&lt;=COUNT('Per Invoice'!$O$2:$O$801),MATCH(ROWS($N$2:$N122),'Per Invoice'!$O$2:$O$801,0),"")</f>
        <v/>
      </c>
    </row>
    <row r="123">
      <c r="A123">
        <f>IF($N123="","",IF(INDEX('Per Invoice'!$A$2:$A$801,$N123)="","",INDEX('Per Invoice'!$A$2:$A$801,$N123)))</f>
        <v/>
      </c>
      <c r="B123">
        <f>IF($N123="","",IF(INDEX('Per Invoice'!$B$2:$B$801,$N123)="","",INDEX('Per Invoice'!$B$2:$B$801,$N123)))</f>
        <v/>
      </c>
      <c r="C123">
        <f>IF($N123="","",IF(INDEX('Per Invoice'!$C$2:$C$801,$N123)="","",INDEX('Per Invoice'!$C$2:$C$801,$N123)))</f>
        <v/>
      </c>
      <c r="D123">
        <f>IF($N123="","",IF(INDEX('Per Invoice'!$D$2:$D$801,$N123)="","",INDEX('Per Invoice'!$D$2:$D$801,$N123)))</f>
        <v/>
      </c>
      <c r="E123">
        <f>IF($N123="","",IF(INDEX('Per Invoice'!$E$2:$E$801,$N123)="","",INDEX('Per Invoice'!$E$2:$E$801,$N123)))</f>
        <v/>
      </c>
      <c r="F123">
        <f>IF($N123="","",IF(INDEX('Per Invoice'!$F$2:$F$801,$N123)="","",INDEX('Per Invoice'!$F$2:$F$801,$N123)))</f>
        <v/>
      </c>
      <c r="G123">
        <f>IF($N123="","",IF(INDEX('Per Invoice'!$G$2:$G$801,$N123)="","",INDEX('Per Invoice'!$G$2:$G$801,$N123)))</f>
        <v/>
      </c>
      <c r="H123">
        <f>IF($N123="","",IF(INDEX('Per Invoice'!$H$2:$H$801,$N123)="","",INDEX('Per Invoice'!$H$2:$H$801,$N123)))</f>
        <v/>
      </c>
      <c r="I123" s="5">
        <f>IF($N123="","",IF(INDEX('Per Invoice'!$I$2:$I$801,$N123)="","",INDEX('Per Invoice'!$I$2:$I$801,$N123)))</f>
        <v/>
      </c>
      <c r="J123" s="5">
        <f>IF($N123="","",IF(INDEX('Per Invoice'!$J$2:$J$801,$N123)="","",INDEX('Per Invoice'!$J$2:$J$801,$N123)))</f>
        <v/>
      </c>
      <c r="K123" s="5">
        <f>IF($N123="","",IF(INDEX('Per Invoice'!$K$2:$K$801,$N123)="","",INDEX('Per Invoice'!$K$2:$K$801,$N123)))</f>
        <v/>
      </c>
      <c r="L123" s="5">
        <f>IF($N123="","",IF(INDEX('Per Invoice'!$L$2:$L$801,$N123)="","",INDEX('Per Invoice'!$L$2:$L$801,$N123)))</f>
        <v/>
      </c>
      <c r="M123" s="5">
        <f>IF($N123="","",IF(INDEX('Per Invoice'!$M$2:$M$801,$N123)="","",INDEX('Per Invoice'!$M$2:$M$801,$N123)))</f>
        <v/>
      </c>
      <c r="N123">
        <f>IF(ROWS($N$2:$N123)&lt;=COUNT('Per Invoice'!$O$2:$O$801),MATCH(ROWS($N$2:$N123),'Per Invoice'!$O$2:$O$801,0),"")</f>
        <v/>
      </c>
    </row>
    <row r="124">
      <c r="A124">
        <f>IF($N124="","",IF(INDEX('Per Invoice'!$A$2:$A$801,$N124)="","",INDEX('Per Invoice'!$A$2:$A$801,$N124)))</f>
        <v/>
      </c>
      <c r="B124">
        <f>IF($N124="","",IF(INDEX('Per Invoice'!$B$2:$B$801,$N124)="","",INDEX('Per Invoice'!$B$2:$B$801,$N124)))</f>
        <v/>
      </c>
      <c r="C124">
        <f>IF($N124="","",IF(INDEX('Per Invoice'!$C$2:$C$801,$N124)="","",INDEX('Per Invoice'!$C$2:$C$801,$N124)))</f>
        <v/>
      </c>
      <c r="D124">
        <f>IF($N124="","",IF(INDEX('Per Invoice'!$D$2:$D$801,$N124)="","",INDEX('Per Invoice'!$D$2:$D$801,$N124)))</f>
        <v/>
      </c>
      <c r="E124">
        <f>IF($N124="","",IF(INDEX('Per Invoice'!$E$2:$E$801,$N124)="","",INDEX('Per Invoice'!$E$2:$E$801,$N124)))</f>
        <v/>
      </c>
      <c r="F124">
        <f>IF($N124="","",IF(INDEX('Per Invoice'!$F$2:$F$801,$N124)="","",INDEX('Per Invoice'!$F$2:$F$801,$N124)))</f>
        <v/>
      </c>
      <c r="G124">
        <f>IF($N124="","",IF(INDEX('Per Invoice'!$G$2:$G$801,$N124)="","",INDEX('Per Invoice'!$G$2:$G$801,$N124)))</f>
        <v/>
      </c>
      <c r="H124">
        <f>IF($N124="","",IF(INDEX('Per Invoice'!$H$2:$H$801,$N124)="","",INDEX('Per Invoice'!$H$2:$H$801,$N124)))</f>
        <v/>
      </c>
      <c r="I124" s="5">
        <f>IF($N124="","",IF(INDEX('Per Invoice'!$I$2:$I$801,$N124)="","",INDEX('Per Invoice'!$I$2:$I$801,$N124)))</f>
        <v/>
      </c>
      <c r="J124" s="5">
        <f>IF($N124="","",IF(INDEX('Per Invoice'!$J$2:$J$801,$N124)="","",INDEX('Per Invoice'!$J$2:$J$801,$N124)))</f>
        <v/>
      </c>
      <c r="K124" s="5">
        <f>IF($N124="","",IF(INDEX('Per Invoice'!$K$2:$K$801,$N124)="","",INDEX('Per Invoice'!$K$2:$K$801,$N124)))</f>
        <v/>
      </c>
      <c r="L124" s="5">
        <f>IF($N124="","",IF(INDEX('Per Invoice'!$L$2:$L$801,$N124)="","",INDEX('Per Invoice'!$L$2:$L$801,$N124)))</f>
        <v/>
      </c>
      <c r="M124" s="5">
        <f>IF($N124="","",IF(INDEX('Per Invoice'!$M$2:$M$801,$N124)="","",INDEX('Per Invoice'!$M$2:$M$801,$N124)))</f>
        <v/>
      </c>
      <c r="N124">
        <f>IF(ROWS($N$2:$N124)&lt;=COUNT('Per Invoice'!$O$2:$O$801),MATCH(ROWS($N$2:$N124),'Per Invoice'!$O$2:$O$801,0),"")</f>
        <v/>
      </c>
    </row>
    <row r="125">
      <c r="A125">
        <f>IF($N125="","",IF(INDEX('Per Invoice'!$A$2:$A$801,$N125)="","",INDEX('Per Invoice'!$A$2:$A$801,$N125)))</f>
        <v/>
      </c>
      <c r="B125">
        <f>IF($N125="","",IF(INDEX('Per Invoice'!$B$2:$B$801,$N125)="","",INDEX('Per Invoice'!$B$2:$B$801,$N125)))</f>
        <v/>
      </c>
      <c r="C125">
        <f>IF($N125="","",IF(INDEX('Per Invoice'!$C$2:$C$801,$N125)="","",INDEX('Per Invoice'!$C$2:$C$801,$N125)))</f>
        <v/>
      </c>
      <c r="D125">
        <f>IF($N125="","",IF(INDEX('Per Invoice'!$D$2:$D$801,$N125)="","",INDEX('Per Invoice'!$D$2:$D$801,$N125)))</f>
        <v/>
      </c>
      <c r="E125">
        <f>IF($N125="","",IF(INDEX('Per Invoice'!$E$2:$E$801,$N125)="","",INDEX('Per Invoice'!$E$2:$E$801,$N125)))</f>
        <v/>
      </c>
      <c r="F125">
        <f>IF($N125="","",IF(INDEX('Per Invoice'!$F$2:$F$801,$N125)="","",INDEX('Per Invoice'!$F$2:$F$801,$N125)))</f>
        <v/>
      </c>
      <c r="G125">
        <f>IF($N125="","",IF(INDEX('Per Invoice'!$G$2:$G$801,$N125)="","",INDEX('Per Invoice'!$G$2:$G$801,$N125)))</f>
        <v/>
      </c>
      <c r="H125">
        <f>IF($N125="","",IF(INDEX('Per Invoice'!$H$2:$H$801,$N125)="","",INDEX('Per Invoice'!$H$2:$H$801,$N125)))</f>
        <v/>
      </c>
      <c r="I125" s="5">
        <f>IF($N125="","",IF(INDEX('Per Invoice'!$I$2:$I$801,$N125)="","",INDEX('Per Invoice'!$I$2:$I$801,$N125)))</f>
        <v/>
      </c>
      <c r="J125" s="5">
        <f>IF($N125="","",IF(INDEX('Per Invoice'!$J$2:$J$801,$N125)="","",INDEX('Per Invoice'!$J$2:$J$801,$N125)))</f>
        <v/>
      </c>
      <c r="K125" s="5">
        <f>IF($N125="","",IF(INDEX('Per Invoice'!$K$2:$K$801,$N125)="","",INDEX('Per Invoice'!$K$2:$K$801,$N125)))</f>
        <v/>
      </c>
      <c r="L125" s="5">
        <f>IF($N125="","",IF(INDEX('Per Invoice'!$L$2:$L$801,$N125)="","",INDEX('Per Invoice'!$L$2:$L$801,$N125)))</f>
        <v/>
      </c>
      <c r="M125" s="5">
        <f>IF($N125="","",IF(INDEX('Per Invoice'!$M$2:$M$801,$N125)="","",INDEX('Per Invoice'!$M$2:$M$801,$N125)))</f>
        <v/>
      </c>
      <c r="N125">
        <f>IF(ROWS($N$2:$N125)&lt;=COUNT('Per Invoice'!$O$2:$O$801),MATCH(ROWS($N$2:$N125),'Per Invoice'!$O$2:$O$801,0),"")</f>
        <v/>
      </c>
    </row>
    <row r="126">
      <c r="A126">
        <f>IF($N126="","",IF(INDEX('Per Invoice'!$A$2:$A$801,$N126)="","",INDEX('Per Invoice'!$A$2:$A$801,$N126)))</f>
        <v/>
      </c>
      <c r="B126">
        <f>IF($N126="","",IF(INDEX('Per Invoice'!$B$2:$B$801,$N126)="","",INDEX('Per Invoice'!$B$2:$B$801,$N126)))</f>
        <v/>
      </c>
      <c r="C126">
        <f>IF($N126="","",IF(INDEX('Per Invoice'!$C$2:$C$801,$N126)="","",INDEX('Per Invoice'!$C$2:$C$801,$N126)))</f>
        <v/>
      </c>
      <c r="D126">
        <f>IF($N126="","",IF(INDEX('Per Invoice'!$D$2:$D$801,$N126)="","",INDEX('Per Invoice'!$D$2:$D$801,$N126)))</f>
        <v/>
      </c>
      <c r="E126">
        <f>IF($N126="","",IF(INDEX('Per Invoice'!$E$2:$E$801,$N126)="","",INDEX('Per Invoice'!$E$2:$E$801,$N126)))</f>
        <v/>
      </c>
      <c r="F126">
        <f>IF($N126="","",IF(INDEX('Per Invoice'!$F$2:$F$801,$N126)="","",INDEX('Per Invoice'!$F$2:$F$801,$N126)))</f>
        <v/>
      </c>
      <c r="G126">
        <f>IF($N126="","",IF(INDEX('Per Invoice'!$G$2:$G$801,$N126)="","",INDEX('Per Invoice'!$G$2:$G$801,$N126)))</f>
        <v/>
      </c>
      <c r="H126">
        <f>IF($N126="","",IF(INDEX('Per Invoice'!$H$2:$H$801,$N126)="","",INDEX('Per Invoice'!$H$2:$H$801,$N126)))</f>
        <v/>
      </c>
      <c r="I126" s="5">
        <f>IF($N126="","",IF(INDEX('Per Invoice'!$I$2:$I$801,$N126)="","",INDEX('Per Invoice'!$I$2:$I$801,$N126)))</f>
        <v/>
      </c>
      <c r="J126" s="5">
        <f>IF($N126="","",IF(INDEX('Per Invoice'!$J$2:$J$801,$N126)="","",INDEX('Per Invoice'!$J$2:$J$801,$N126)))</f>
        <v/>
      </c>
      <c r="K126" s="5">
        <f>IF($N126="","",IF(INDEX('Per Invoice'!$K$2:$K$801,$N126)="","",INDEX('Per Invoice'!$K$2:$K$801,$N126)))</f>
        <v/>
      </c>
      <c r="L126" s="5">
        <f>IF($N126="","",IF(INDEX('Per Invoice'!$L$2:$L$801,$N126)="","",INDEX('Per Invoice'!$L$2:$L$801,$N126)))</f>
        <v/>
      </c>
      <c r="M126" s="5">
        <f>IF($N126="","",IF(INDEX('Per Invoice'!$M$2:$M$801,$N126)="","",INDEX('Per Invoice'!$M$2:$M$801,$N126)))</f>
        <v/>
      </c>
      <c r="N126">
        <f>IF(ROWS($N$2:$N126)&lt;=COUNT('Per Invoice'!$O$2:$O$801),MATCH(ROWS($N$2:$N126),'Per Invoice'!$O$2:$O$801,0),"")</f>
        <v/>
      </c>
    </row>
    <row r="127">
      <c r="A127">
        <f>IF($N127="","",IF(INDEX('Per Invoice'!$A$2:$A$801,$N127)="","",INDEX('Per Invoice'!$A$2:$A$801,$N127)))</f>
        <v/>
      </c>
      <c r="B127">
        <f>IF($N127="","",IF(INDEX('Per Invoice'!$B$2:$B$801,$N127)="","",INDEX('Per Invoice'!$B$2:$B$801,$N127)))</f>
        <v/>
      </c>
      <c r="C127">
        <f>IF($N127="","",IF(INDEX('Per Invoice'!$C$2:$C$801,$N127)="","",INDEX('Per Invoice'!$C$2:$C$801,$N127)))</f>
        <v/>
      </c>
      <c r="D127">
        <f>IF($N127="","",IF(INDEX('Per Invoice'!$D$2:$D$801,$N127)="","",INDEX('Per Invoice'!$D$2:$D$801,$N127)))</f>
        <v/>
      </c>
      <c r="E127">
        <f>IF($N127="","",IF(INDEX('Per Invoice'!$E$2:$E$801,$N127)="","",INDEX('Per Invoice'!$E$2:$E$801,$N127)))</f>
        <v/>
      </c>
      <c r="F127">
        <f>IF($N127="","",IF(INDEX('Per Invoice'!$F$2:$F$801,$N127)="","",INDEX('Per Invoice'!$F$2:$F$801,$N127)))</f>
        <v/>
      </c>
      <c r="G127">
        <f>IF($N127="","",IF(INDEX('Per Invoice'!$G$2:$G$801,$N127)="","",INDEX('Per Invoice'!$G$2:$G$801,$N127)))</f>
        <v/>
      </c>
      <c r="H127">
        <f>IF($N127="","",IF(INDEX('Per Invoice'!$H$2:$H$801,$N127)="","",INDEX('Per Invoice'!$H$2:$H$801,$N127)))</f>
        <v/>
      </c>
      <c r="I127" s="5">
        <f>IF($N127="","",IF(INDEX('Per Invoice'!$I$2:$I$801,$N127)="","",INDEX('Per Invoice'!$I$2:$I$801,$N127)))</f>
        <v/>
      </c>
      <c r="J127" s="5">
        <f>IF($N127="","",IF(INDEX('Per Invoice'!$J$2:$J$801,$N127)="","",INDEX('Per Invoice'!$J$2:$J$801,$N127)))</f>
        <v/>
      </c>
      <c r="K127" s="5">
        <f>IF($N127="","",IF(INDEX('Per Invoice'!$K$2:$K$801,$N127)="","",INDEX('Per Invoice'!$K$2:$K$801,$N127)))</f>
        <v/>
      </c>
      <c r="L127" s="5">
        <f>IF($N127="","",IF(INDEX('Per Invoice'!$L$2:$L$801,$N127)="","",INDEX('Per Invoice'!$L$2:$L$801,$N127)))</f>
        <v/>
      </c>
      <c r="M127" s="5">
        <f>IF($N127="","",IF(INDEX('Per Invoice'!$M$2:$M$801,$N127)="","",INDEX('Per Invoice'!$M$2:$M$801,$N127)))</f>
        <v/>
      </c>
      <c r="N127">
        <f>IF(ROWS($N$2:$N127)&lt;=COUNT('Per Invoice'!$O$2:$O$801),MATCH(ROWS($N$2:$N127),'Per Invoice'!$O$2:$O$801,0),"")</f>
        <v/>
      </c>
    </row>
    <row r="128">
      <c r="A128">
        <f>IF($N128="","",IF(INDEX('Per Invoice'!$A$2:$A$801,$N128)="","",INDEX('Per Invoice'!$A$2:$A$801,$N128)))</f>
        <v/>
      </c>
      <c r="B128">
        <f>IF($N128="","",IF(INDEX('Per Invoice'!$B$2:$B$801,$N128)="","",INDEX('Per Invoice'!$B$2:$B$801,$N128)))</f>
        <v/>
      </c>
      <c r="C128">
        <f>IF($N128="","",IF(INDEX('Per Invoice'!$C$2:$C$801,$N128)="","",INDEX('Per Invoice'!$C$2:$C$801,$N128)))</f>
        <v/>
      </c>
      <c r="D128">
        <f>IF($N128="","",IF(INDEX('Per Invoice'!$D$2:$D$801,$N128)="","",INDEX('Per Invoice'!$D$2:$D$801,$N128)))</f>
        <v/>
      </c>
      <c r="E128">
        <f>IF($N128="","",IF(INDEX('Per Invoice'!$E$2:$E$801,$N128)="","",INDEX('Per Invoice'!$E$2:$E$801,$N128)))</f>
        <v/>
      </c>
      <c r="F128">
        <f>IF($N128="","",IF(INDEX('Per Invoice'!$F$2:$F$801,$N128)="","",INDEX('Per Invoice'!$F$2:$F$801,$N128)))</f>
        <v/>
      </c>
      <c r="G128">
        <f>IF($N128="","",IF(INDEX('Per Invoice'!$G$2:$G$801,$N128)="","",INDEX('Per Invoice'!$G$2:$G$801,$N128)))</f>
        <v/>
      </c>
      <c r="H128">
        <f>IF($N128="","",IF(INDEX('Per Invoice'!$H$2:$H$801,$N128)="","",INDEX('Per Invoice'!$H$2:$H$801,$N128)))</f>
        <v/>
      </c>
      <c r="I128" s="5">
        <f>IF($N128="","",IF(INDEX('Per Invoice'!$I$2:$I$801,$N128)="","",INDEX('Per Invoice'!$I$2:$I$801,$N128)))</f>
        <v/>
      </c>
      <c r="J128" s="5">
        <f>IF($N128="","",IF(INDEX('Per Invoice'!$J$2:$J$801,$N128)="","",INDEX('Per Invoice'!$J$2:$J$801,$N128)))</f>
        <v/>
      </c>
      <c r="K128" s="5">
        <f>IF($N128="","",IF(INDEX('Per Invoice'!$K$2:$K$801,$N128)="","",INDEX('Per Invoice'!$K$2:$K$801,$N128)))</f>
        <v/>
      </c>
      <c r="L128" s="5">
        <f>IF($N128="","",IF(INDEX('Per Invoice'!$L$2:$L$801,$N128)="","",INDEX('Per Invoice'!$L$2:$L$801,$N128)))</f>
        <v/>
      </c>
      <c r="M128" s="5">
        <f>IF($N128="","",IF(INDEX('Per Invoice'!$M$2:$M$801,$N128)="","",INDEX('Per Invoice'!$M$2:$M$801,$N128)))</f>
        <v/>
      </c>
      <c r="N128">
        <f>IF(ROWS($N$2:$N128)&lt;=COUNT('Per Invoice'!$O$2:$O$801),MATCH(ROWS($N$2:$N128),'Per Invoice'!$O$2:$O$801,0),"")</f>
        <v/>
      </c>
    </row>
    <row r="129">
      <c r="A129">
        <f>IF($N129="","",IF(INDEX('Per Invoice'!$A$2:$A$801,$N129)="","",INDEX('Per Invoice'!$A$2:$A$801,$N129)))</f>
        <v/>
      </c>
      <c r="B129">
        <f>IF($N129="","",IF(INDEX('Per Invoice'!$B$2:$B$801,$N129)="","",INDEX('Per Invoice'!$B$2:$B$801,$N129)))</f>
        <v/>
      </c>
      <c r="C129">
        <f>IF($N129="","",IF(INDEX('Per Invoice'!$C$2:$C$801,$N129)="","",INDEX('Per Invoice'!$C$2:$C$801,$N129)))</f>
        <v/>
      </c>
      <c r="D129">
        <f>IF($N129="","",IF(INDEX('Per Invoice'!$D$2:$D$801,$N129)="","",INDEX('Per Invoice'!$D$2:$D$801,$N129)))</f>
        <v/>
      </c>
      <c r="E129">
        <f>IF($N129="","",IF(INDEX('Per Invoice'!$E$2:$E$801,$N129)="","",INDEX('Per Invoice'!$E$2:$E$801,$N129)))</f>
        <v/>
      </c>
      <c r="F129">
        <f>IF($N129="","",IF(INDEX('Per Invoice'!$F$2:$F$801,$N129)="","",INDEX('Per Invoice'!$F$2:$F$801,$N129)))</f>
        <v/>
      </c>
      <c r="G129">
        <f>IF($N129="","",IF(INDEX('Per Invoice'!$G$2:$G$801,$N129)="","",INDEX('Per Invoice'!$G$2:$G$801,$N129)))</f>
        <v/>
      </c>
      <c r="H129">
        <f>IF($N129="","",IF(INDEX('Per Invoice'!$H$2:$H$801,$N129)="","",INDEX('Per Invoice'!$H$2:$H$801,$N129)))</f>
        <v/>
      </c>
      <c r="I129" s="5">
        <f>IF($N129="","",IF(INDEX('Per Invoice'!$I$2:$I$801,$N129)="","",INDEX('Per Invoice'!$I$2:$I$801,$N129)))</f>
        <v/>
      </c>
      <c r="J129" s="5">
        <f>IF($N129="","",IF(INDEX('Per Invoice'!$J$2:$J$801,$N129)="","",INDEX('Per Invoice'!$J$2:$J$801,$N129)))</f>
        <v/>
      </c>
      <c r="K129" s="5">
        <f>IF($N129="","",IF(INDEX('Per Invoice'!$K$2:$K$801,$N129)="","",INDEX('Per Invoice'!$K$2:$K$801,$N129)))</f>
        <v/>
      </c>
      <c r="L129" s="5">
        <f>IF($N129="","",IF(INDEX('Per Invoice'!$L$2:$L$801,$N129)="","",INDEX('Per Invoice'!$L$2:$L$801,$N129)))</f>
        <v/>
      </c>
      <c r="M129" s="5">
        <f>IF($N129="","",IF(INDEX('Per Invoice'!$M$2:$M$801,$N129)="","",INDEX('Per Invoice'!$M$2:$M$801,$N129)))</f>
        <v/>
      </c>
      <c r="N129">
        <f>IF(ROWS($N$2:$N129)&lt;=COUNT('Per Invoice'!$O$2:$O$801),MATCH(ROWS($N$2:$N129),'Per Invoice'!$O$2:$O$801,0),"")</f>
        <v/>
      </c>
    </row>
    <row r="130">
      <c r="A130">
        <f>IF($N130="","",IF(INDEX('Per Invoice'!$A$2:$A$801,$N130)="","",INDEX('Per Invoice'!$A$2:$A$801,$N130)))</f>
        <v/>
      </c>
      <c r="B130">
        <f>IF($N130="","",IF(INDEX('Per Invoice'!$B$2:$B$801,$N130)="","",INDEX('Per Invoice'!$B$2:$B$801,$N130)))</f>
        <v/>
      </c>
      <c r="C130">
        <f>IF($N130="","",IF(INDEX('Per Invoice'!$C$2:$C$801,$N130)="","",INDEX('Per Invoice'!$C$2:$C$801,$N130)))</f>
        <v/>
      </c>
      <c r="D130">
        <f>IF($N130="","",IF(INDEX('Per Invoice'!$D$2:$D$801,$N130)="","",INDEX('Per Invoice'!$D$2:$D$801,$N130)))</f>
        <v/>
      </c>
      <c r="E130">
        <f>IF($N130="","",IF(INDEX('Per Invoice'!$E$2:$E$801,$N130)="","",INDEX('Per Invoice'!$E$2:$E$801,$N130)))</f>
        <v/>
      </c>
      <c r="F130">
        <f>IF($N130="","",IF(INDEX('Per Invoice'!$F$2:$F$801,$N130)="","",INDEX('Per Invoice'!$F$2:$F$801,$N130)))</f>
        <v/>
      </c>
      <c r="G130">
        <f>IF($N130="","",IF(INDEX('Per Invoice'!$G$2:$G$801,$N130)="","",INDEX('Per Invoice'!$G$2:$G$801,$N130)))</f>
        <v/>
      </c>
      <c r="H130">
        <f>IF($N130="","",IF(INDEX('Per Invoice'!$H$2:$H$801,$N130)="","",INDEX('Per Invoice'!$H$2:$H$801,$N130)))</f>
        <v/>
      </c>
      <c r="I130" s="5">
        <f>IF($N130="","",IF(INDEX('Per Invoice'!$I$2:$I$801,$N130)="","",INDEX('Per Invoice'!$I$2:$I$801,$N130)))</f>
        <v/>
      </c>
      <c r="J130" s="5">
        <f>IF($N130="","",IF(INDEX('Per Invoice'!$J$2:$J$801,$N130)="","",INDEX('Per Invoice'!$J$2:$J$801,$N130)))</f>
        <v/>
      </c>
      <c r="K130" s="5">
        <f>IF($N130="","",IF(INDEX('Per Invoice'!$K$2:$K$801,$N130)="","",INDEX('Per Invoice'!$K$2:$K$801,$N130)))</f>
        <v/>
      </c>
      <c r="L130" s="5">
        <f>IF($N130="","",IF(INDEX('Per Invoice'!$L$2:$L$801,$N130)="","",INDEX('Per Invoice'!$L$2:$L$801,$N130)))</f>
        <v/>
      </c>
      <c r="M130" s="5">
        <f>IF($N130="","",IF(INDEX('Per Invoice'!$M$2:$M$801,$N130)="","",INDEX('Per Invoice'!$M$2:$M$801,$N130)))</f>
        <v/>
      </c>
      <c r="N130">
        <f>IF(ROWS($N$2:$N130)&lt;=COUNT('Per Invoice'!$O$2:$O$801),MATCH(ROWS($N$2:$N130),'Per Invoice'!$O$2:$O$801,0),"")</f>
        <v/>
      </c>
    </row>
    <row r="131">
      <c r="A131">
        <f>IF($N131="","",IF(INDEX('Per Invoice'!$A$2:$A$801,$N131)="","",INDEX('Per Invoice'!$A$2:$A$801,$N131)))</f>
        <v/>
      </c>
      <c r="B131">
        <f>IF($N131="","",IF(INDEX('Per Invoice'!$B$2:$B$801,$N131)="","",INDEX('Per Invoice'!$B$2:$B$801,$N131)))</f>
        <v/>
      </c>
      <c r="C131">
        <f>IF($N131="","",IF(INDEX('Per Invoice'!$C$2:$C$801,$N131)="","",INDEX('Per Invoice'!$C$2:$C$801,$N131)))</f>
        <v/>
      </c>
      <c r="D131">
        <f>IF($N131="","",IF(INDEX('Per Invoice'!$D$2:$D$801,$N131)="","",INDEX('Per Invoice'!$D$2:$D$801,$N131)))</f>
        <v/>
      </c>
      <c r="E131">
        <f>IF($N131="","",IF(INDEX('Per Invoice'!$E$2:$E$801,$N131)="","",INDEX('Per Invoice'!$E$2:$E$801,$N131)))</f>
        <v/>
      </c>
      <c r="F131">
        <f>IF($N131="","",IF(INDEX('Per Invoice'!$F$2:$F$801,$N131)="","",INDEX('Per Invoice'!$F$2:$F$801,$N131)))</f>
        <v/>
      </c>
      <c r="G131">
        <f>IF($N131="","",IF(INDEX('Per Invoice'!$G$2:$G$801,$N131)="","",INDEX('Per Invoice'!$G$2:$G$801,$N131)))</f>
        <v/>
      </c>
      <c r="H131">
        <f>IF($N131="","",IF(INDEX('Per Invoice'!$H$2:$H$801,$N131)="","",INDEX('Per Invoice'!$H$2:$H$801,$N131)))</f>
        <v/>
      </c>
      <c r="I131" s="5">
        <f>IF($N131="","",IF(INDEX('Per Invoice'!$I$2:$I$801,$N131)="","",INDEX('Per Invoice'!$I$2:$I$801,$N131)))</f>
        <v/>
      </c>
      <c r="J131" s="5">
        <f>IF($N131="","",IF(INDEX('Per Invoice'!$J$2:$J$801,$N131)="","",INDEX('Per Invoice'!$J$2:$J$801,$N131)))</f>
        <v/>
      </c>
      <c r="K131" s="5">
        <f>IF($N131="","",IF(INDEX('Per Invoice'!$K$2:$K$801,$N131)="","",INDEX('Per Invoice'!$K$2:$K$801,$N131)))</f>
        <v/>
      </c>
      <c r="L131" s="5">
        <f>IF($N131="","",IF(INDEX('Per Invoice'!$L$2:$L$801,$N131)="","",INDEX('Per Invoice'!$L$2:$L$801,$N131)))</f>
        <v/>
      </c>
      <c r="M131" s="5">
        <f>IF($N131="","",IF(INDEX('Per Invoice'!$M$2:$M$801,$N131)="","",INDEX('Per Invoice'!$M$2:$M$801,$N131)))</f>
        <v/>
      </c>
      <c r="N131">
        <f>IF(ROWS($N$2:$N131)&lt;=COUNT('Per Invoice'!$O$2:$O$801),MATCH(ROWS($N$2:$N131),'Per Invoice'!$O$2:$O$801,0),"")</f>
        <v/>
      </c>
    </row>
    <row r="132">
      <c r="A132">
        <f>IF($N132="","",IF(INDEX('Per Invoice'!$A$2:$A$801,$N132)="","",INDEX('Per Invoice'!$A$2:$A$801,$N132)))</f>
        <v/>
      </c>
      <c r="B132">
        <f>IF($N132="","",IF(INDEX('Per Invoice'!$B$2:$B$801,$N132)="","",INDEX('Per Invoice'!$B$2:$B$801,$N132)))</f>
        <v/>
      </c>
      <c r="C132">
        <f>IF($N132="","",IF(INDEX('Per Invoice'!$C$2:$C$801,$N132)="","",INDEX('Per Invoice'!$C$2:$C$801,$N132)))</f>
        <v/>
      </c>
      <c r="D132">
        <f>IF($N132="","",IF(INDEX('Per Invoice'!$D$2:$D$801,$N132)="","",INDEX('Per Invoice'!$D$2:$D$801,$N132)))</f>
        <v/>
      </c>
      <c r="E132">
        <f>IF($N132="","",IF(INDEX('Per Invoice'!$E$2:$E$801,$N132)="","",INDEX('Per Invoice'!$E$2:$E$801,$N132)))</f>
        <v/>
      </c>
      <c r="F132">
        <f>IF($N132="","",IF(INDEX('Per Invoice'!$F$2:$F$801,$N132)="","",INDEX('Per Invoice'!$F$2:$F$801,$N132)))</f>
        <v/>
      </c>
      <c r="G132">
        <f>IF($N132="","",IF(INDEX('Per Invoice'!$G$2:$G$801,$N132)="","",INDEX('Per Invoice'!$G$2:$G$801,$N132)))</f>
        <v/>
      </c>
      <c r="H132">
        <f>IF($N132="","",IF(INDEX('Per Invoice'!$H$2:$H$801,$N132)="","",INDEX('Per Invoice'!$H$2:$H$801,$N132)))</f>
        <v/>
      </c>
      <c r="I132" s="5">
        <f>IF($N132="","",IF(INDEX('Per Invoice'!$I$2:$I$801,$N132)="","",INDEX('Per Invoice'!$I$2:$I$801,$N132)))</f>
        <v/>
      </c>
      <c r="J132" s="5">
        <f>IF($N132="","",IF(INDEX('Per Invoice'!$J$2:$J$801,$N132)="","",INDEX('Per Invoice'!$J$2:$J$801,$N132)))</f>
        <v/>
      </c>
      <c r="K132" s="5">
        <f>IF($N132="","",IF(INDEX('Per Invoice'!$K$2:$K$801,$N132)="","",INDEX('Per Invoice'!$K$2:$K$801,$N132)))</f>
        <v/>
      </c>
      <c r="L132" s="5">
        <f>IF($N132="","",IF(INDEX('Per Invoice'!$L$2:$L$801,$N132)="","",INDEX('Per Invoice'!$L$2:$L$801,$N132)))</f>
        <v/>
      </c>
      <c r="M132" s="5">
        <f>IF($N132="","",IF(INDEX('Per Invoice'!$M$2:$M$801,$N132)="","",INDEX('Per Invoice'!$M$2:$M$801,$N132)))</f>
        <v/>
      </c>
      <c r="N132">
        <f>IF(ROWS($N$2:$N132)&lt;=COUNT('Per Invoice'!$O$2:$O$801),MATCH(ROWS($N$2:$N132),'Per Invoice'!$O$2:$O$801,0),"")</f>
        <v/>
      </c>
    </row>
    <row r="133">
      <c r="A133">
        <f>IF($N133="","",IF(INDEX('Per Invoice'!$A$2:$A$801,$N133)="","",INDEX('Per Invoice'!$A$2:$A$801,$N133)))</f>
        <v/>
      </c>
      <c r="B133">
        <f>IF($N133="","",IF(INDEX('Per Invoice'!$B$2:$B$801,$N133)="","",INDEX('Per Invoice'!$B$2:$B$801,$N133)))</f>
        <v/>
      </c>
      <c r="C133">
        <f>IF($N133="","",IF(INDEX('Per Invoice'!$C$2:$C$801,$N133)="","",INDEX('Per Invoice'!$C$2:$C$801,$N133)))</f>
        <v/>
      </c>
      <c r="D133">
        <f>IF($N133="","",IF(INDEX('Per Invoice'!$D$2:$D$801,$N133)="","",INDEX('Per Invoice'!$D$2:$D$801,$N133)))</f>
        <v/>
      </c>
      <c r="E133">
        <f>IF($N133="","",IF(INDEX('Per Invoice'!$E$2:$E$801,$N133)="","",INDEX('Per Invoice'!$E$2:$E$801,$N133)))</f>
        <v/>
      </c>
      <c r="F133">
        <f>IF($N133="","",IF(INDEX('Per Invoice'!$F$2:$F$801,$N133)="","",INDEX('Per Invoice'!$F$2:$F$801,$N133)))</f>
        <v/>
      </c>
      <c r="G133">
        <f>IF($N133="","",IF(INDEX('Per Invoice'!$G$2:$G$801,$N133)="","",INDEX('Per Invoice'!$G$2:$G$801,$N133)))</f>
        <v/>
      </c>
      <c r="H133">
        <f>IF($N133="","",IF(INDEX('Per Invoice'!$H$2:$H$801,$N133)="","",INDEX('Per Invoice'!$H$2:$H$801,$N133)))</f>
        <v/>
      </c>
      <c r="I133" s="5">
        <f>IF($N133="","",IF(INDEX('Per Invoice'!$I$2:$I$801,$N133)="","",INDEX('Per Invoice'!$I$2:$I$801,$N133)))</f>
        <v/>
      </c>
      <c r="J133" s="5">
        <f>IF($N133="","",IF(INDEX('Per Invoice'!$J$2:$J$801,$N133)="","",INDEX('Per Invoice'!$J$2:$J$801,$N133)))</f>
        <v/>
      </c>
      <c r="K133" s="5">
        <f>IF($N133="","",IF(INDEX('Per Invoice'!$K$2:$K$801,$N133)="","",INDEX('Per Invoice'!$K$2:$K$801,$N133)))</f>
        <v/>
      </c>
      <c r="L133" s="5">
        <f>IF($N133="","",IF(INDEX('Per Invoice'!$L$2:$L$801,$N133)="","",INDEX('Per Invoice'!$L$2:$L$801,$N133)))</f>
        <v/>
      </c>
      <c r="M133" s="5">
        <f>IF($N133="","",IF(INDEX('Per Invoice'!$M$2:$M$801,$N133)="","",INDEX('Per Invoice'!$M$2:$M$801,$N133)))</f>
        <v/>
      </c>
      <c r="N133">
        <f>IF(ROWS($N$2:$N133)&lt;=COUNT('Per Invoice'!$O$2:$O$801),MATCH(ROWS($N$2:$N133),'Per Invoice'!$O$2:$O$801,0),"")</f>
        <v/>
      </c>
    </row>
    <row r="134">
      <c r="A134">
        <f>IF($N134="","",IF(INDEX('Per Invoice'!$A$2:$A$801,$N134)="","",INDEX('Per Invoice'!$A$2:$A$801,$N134)))</f>
        <v/>
      </c>
      <c r="B134">
        <f>IF($N134="","",IF(INDEX('Per Invoice'!$B$2:$B$801,$N134)="","",INDEX('Per Invoice'!$B$2:$B$801,$N134)))</f>
        <v/>
      </c>
      <c r="C134">
        <f>IF($N134="","",IF(INDEX('Per Invoice'!$C$2:$C$801,$N134)="","",INDEX('Per Invoice'!$C$2:$C$801,$N134)))</f>
        <v/>
      </c>
      <c r="D134">
        <f>IF($N134="","",IF(INDEX('Per Invoice'!$D$2:$D$801,$N134)="","",INDEX('Per Invoice'!$D$2:$D$801,$N134)))</f>
        <v/>
      </c>
      <c r="E134">
        <f>IF($N134="","",IF(INDEX('Per Invoice'!$E$2:$E$801,$N134)="","",INDEX('Per Invoice'!$E$2:$E$801,$N134)))</f>
        <v/>
      </c>
      <c r="F134">
        <f>IF($N134="","",IF(INDEX('Per Invoice'!$F$2:$F$801,$N134)="","",INDEX('Per Invoice'!$F$2:$F$801,$N134)))</f>
        <v/>
      </c>
      <c r="G134">
        <f>IF($N134="","",IF(INDEX('Per Invoice'!$G$2:$G$801,$N134)="","",INDEX('Per Invoice'!$G$2:$G$801,$N134)))</f>
        <v/>
      </c>
      <c r="H134">
        <f>IF($N134="","",IF(INDEX('Per Invoice'!$H$2:$H$801,$N134)="","",INDEX('Per Invoice'!$H$2:$H$801,$N134)))</f>
        <v/>
      </c>
      <c r="I134" s="5">
        <f>IF($N134="","",IF(INDEX('Per Invoice'!$I$2:$I$801,$N134)="","",INDEX('Per Invoice'!$I$2:$I$801,$N134)))</f>
        <v/>
      </c>
      <c r="J134" s="5">
        <f>IF($N134="","",IF(INDEX('Per Invoice'!$J$2:$J$801,$N134)="","",INDEX('Per Invoice'!$J$2:$J$801,$N134)))</f>
        <v/>
      </c>
      <c r="K134" s="5">
        <f>IF($N134="","",IF(INDEX('Per Invoice'!$K$2:$K$801,$N134)="","",INDEX('Per Invoice'!$K$2:$K$801,$N134)))</f>
        <v/>
      </c>
      <c r="L134" s="5">
        <f>IF($N134="","",IF(INDEX('Per Invoice'!$L$2:$L$801,$N134)="","",INDEX('Per Invoice'!$L$2:$L$801,$N134)))</f>
        <v/>
      </c>
      <c r="M134" s="5">
        <f>IF($N134="","",IF(INDEX('Per Invoice'!$M$2:$M$801,$N134)="","",INDEX('Per Invoice'!$M$2:$M$801,$N134)))</f>
        <v/>
      </c>
      <c r="N134">
        <f>IF(ROWS($N$2:$N134)&lt;=COUNT('Per Invoice'!$O$2:$O$801),MATCH(ROWS($N$2:$N134),'Per Invoice'!$O$2:$O$801,0),"")</f>
        <v/>
      </c>
    </row>
    <row r="135">
      <c r="A135">
        <f>IF($N135="","",IF(INDEX('Per Invoice'!$A$2:$A$801,$N135)="","",INDEX('Per Invoice'!$A$2:$A$801,$N135)))</f>
        <v/>
      </c>
      <c r="B135">
        <f>IF($N135="","",IF(INDEX('Per Invoice'!$B$2:$B$801,$N135)="","",INDEX('Per Invoice'!$B$2:$B$801,$N135)))</f>
        <v/>
      </c>
      <c r="C135">
        <f>IF($N135="","",IF(INDEX('Per Invoice'!$C$2:$C$801,$N135)="","",INDEX('Per Invoice'!$C$2:$C$801,$N135)))</f>
        <v/>
      </c>
      <c r="D135">
        <f>IF($N135="","",IF(INDEX('Per Invoice'!$D$2:$D$801,$N135)="","",INDEX('Per Invoice'!$D$2:$D$801,$N135)))</f>
        <v/>
      </c>
      <c r="E135">
        <f>IF($N135="","",IF(INDEX('Per Invoice'!$E$2:$E$801,$N135)="","",INDEX('Per Invoice'!$E$2:$E$801,$N135)))</f>
        <v/>
      </c>
      <c r="F135">
        <f>IF($N135="","",IF(INDEX('Per Invoice'!$F$2:$F$801,$N135)="","",INDEX('Per Invoice'!$F$2:$F$801,$N135)))</f>
        <v/>
      </c>
      <c r="G135">
        <f>IF($N135="","",IF(INDEX('Per Invoice'!$G$2:$G$801,$N135)="","",INDEX('Per Invoice'!$G$2:$G$801,$N135)))</f>
        <v/>
      </c>
      <c r="H135">
        <f>IF($N135="","",IF(INDEX('Per Invoice'!$H$2:$H$801,$N135)="","",INDEX('Per Invoice'!$H$2:$H$801,$N135)))</f>
        <v/>
      </c>
      <c r="I135" s="5">
        <f>IF($N135="","",IF(INDEX('Per Invoice'!$I$2:$I$801,$N135)="","",INDEX('Per Invoice'!$I$2:$I$801,$N135)))</f>
        <v/>
      </c>
      <c r="J135" s="5">
        <f>IF($N135="","",IF(INDEX('Per Invoice'!$J$2:$J$801,$N135)="","",INDEX('Per Invoice'!$J$2:$J$801,$N135)))</f>
        <v/>
      </c>
      <c r="K135" s="5">
        <f>IF($N135="","",IF(INDEX('Per Invoice'!$K$2:$K$801,$N135)="","",INDEX('Per Invoice'!$K$2:$K$801,$N135)))</f>
        <v/>
      </c>
      <c r="L135" s="5">
        <f>IF($N135="","",IF(INDEX('Per Invoice'!$L$2:$L$801,$N135)="","",INDEX('Per Invoice'!$L$2:$L$801,$N135)))</f>
        <v/>
      </c>
      <c r="M135" s="5">
        <f>IF($N135="","",IF(INDEX('Per Invoice'!$M$2:$M$801,$N135)="","",INDEX('Per Invoice'!$M$2:$M$801,$N135)))</f>
        <v/>
      </c>
      <c r="N135">
        <f>IF(ROWS($N$2:$N135)&lt;=COUNT('Per Invoice'!$O$2:$O$801),MATCH(ROWS($N$2:$N135),'Per Invoice'!$O$2:$O$801,0),"")</f>
        <v/>
      </c>
    </row>
    <row r="136">
      <c r="A136">
        <f>IF($N136="","",IF(INDEX('Per Invoice'!$A$2:$A$801,$N136)="","",INDEX('Per Invoice'!$A$2:$A$801,$N136)))</f>
        <v/>
      </c>
      <c r="B136">
        <f>IF($N136="","",IF(INDEX('Per Invoice'!$B$2:$B$801,$N136)="","",INDEX('Per Invoice'!$B$2:$B$801,$N136)))</f>
        <v/>
      </c>
      <c r="C136">
        <f>IF($N136="","",IF(INDEX('Per Invoice'!$C$2:$C$801,$N136)="","",INDEX('Per Invoice'!$C$2:$C$801,$N136)))</f>
        <v/>
      </c>
      <c r="D136">
        <f>IF($N136="","",IF(INDEX('Per Invoice'!$D$2:$D$801,$N136)="","",INDEX('Per Invoice'!$D$2:$D$801,$N136)))</f>
        <v/>
      </c>
      <c r="E136">
        <f>IF($N136="","",IF(INDEX('Per Invoice'!$E$2:$E$801,$N136)="","",INDEX('Per Invoice'!$E$2:$E$801,$N136)))</f>
        <v/>
      </c>
      <c r="F136">
        <f>IF($N136="","",IF(INDEX('Per Invoice'!$F$2:$F$801,$N136)="","",INDEX('Per Invoice'!$F$2:$F$801,$N136)))</f>
        <v/>
      </c>
      <c r="G136">
        <f>IF($N136="","",IF(INDEX('Per Invoice'!$G$2:$G$801,$N136)="","",INDEX('Per Invoice'!$G$2:$G$801,$N136)))</f>
        <v/>
      </c>
      <c r="H136">
        <f>IF($N136="","",IF(INDEX('Per Invoice'!$H$2:$H$801,$N136)="","",INDEX('Per Invoice'!$H$2:$H$801,$N136)))</f>
        <v/>
      </c>
      <c r="I136" s="5">
        <f>IF($N136="","",IF(INDEX('Per Invoice'!$I$2:$I$801,$N136)="","",INDEX('Per Invoice'!$I$2:$I$801,$N136)))</f>
        <v/>
      </c>
      <c r="J136" s="5">
        <f>IF($N136="","",IF(INDEX('Per Invoice'!$J$2:$J$801,$N136)="","",INDEX('Per Invoice'!$J$2:$J$801,$N136)))</f>
        <v/>
      </c>
      <c r="K136" s="5">
        <f>IF($N136="","",IF(INDEX('Per Invoice'!$K$2:$K$801,$N136)="","",INDEX('Per Invoice'!$K$2:$K$801,$N136)))</f>
        <v/>
      </c>
      <c r="L136" s="5">
        <f>IF($N136="","",IF(INDEX('Per Invoice'!$L$2:$L$801,$N136)="","",INDEX('Per Invoice'!$L$2:$L$801,$N136)))</f>
        <v/>
      </c>
      <c r="M136" s="5">
        <f>IF($N136="","",IF(INDEX('Per Invoice'!$M$2:$M$801,$N136)="","",INDEX('Per Invoice'!$M$2:$M$801,$N136)))</f>
        <v/>
      </c>
      <c r="N136">
        <f>IF(ROWS($N$2:$N136)&lt;=COUNT('Per Invoice'!$O$2:$O$801),MATCH(ROWS($N$2:$N136),'Per Invoice'!$O$2:$O$801,0),"")</f>
        <v/>
      </c>
    </row>
    <row r="137">
      <c r="A137">
        <f>IF($N137="","",IF(INDEX('Per Invoice'!$A$2:$A$801,$N137)="","",INDEX('Per Invoice'!$A$2:$A$801,$N137)))</f>
        <v/>
      </c>
      <c r="B137">
        <f>IF($N137="","",IF(INDEX('Per Invoice'!$B$2:$B$801,$N137)="","",INDEX('Per Invoice'!$B$2:$B$801,$N137)))</f>
        <v/>
      </c>
      <c r="C137">
        <f>IF($N137="","",IF(INDEX('Per Invoice'!$C$2:$C$801,$N137)="","",INDEX('Per Invoice'!$C$2:$C$801,$N137)))</f>
        <v/>
      </c>
      <c r="D137">
        <f>IF($N137="","",IF(INDEX('Per Invoice'!$D$2:$D$801,$N137)="","",INDEX('Per Invoice'!$D$2:$D$801,$N137)))</f>
        <v/>
      </c>
      <c r="E137">
        <f>IF($N137="","",IF(INDEX('Per Invoice'!$E$2:$E$801,$N137)="","",INDEX('Per Invoice'!$E$2:$E$801,$N137)))</f>
        <v/>
      </c>
      <c r="F137">
        <f>IF($N137="","",IF(INDEX('Per Invoice'!$F$2:$F$801,$N137)="","",INDEX('Per Invoice'!$F$2:$F$801,$N137)))</f>
        <v/>
      </c>
      <c r="G137">
        <f>IF($N137="","",IF(INDEX('Per Invoice'!$G$2:$G$801,$N137)="","",INDEX('Per Invoice'!$G$2:$G$801,$N137)))</f>
        <v/>
      </c>
      <c r="H137">
        <f>IF($N137="","",IF(INDEX('Per Invoice'!$H$2:$H$801,$N137)="","",INDEX('Per Invoice'!$H$2:$H$801,$N137)))</f>
        <v/>
      </c>
      <c r="I137" s="5">
        <f>IF($N137="","",IF(INDEX('Per Invoice'!$I$2:$I$801,$N137)="","",INDEX('Per Invoice'!$I$2:$I$801,$N137)))</f>
        <v/>
      </c>
      <c r="J137" s="5">
        <f>IF($N137="","",IF(INDEX('Per Invoice'!$J$2:$J$801,$N137)="","",INDEX('Per Invoice'!$J$2:$J$801,$N137)))</f>
        <v/>
      </c>
      <c r="K137" s="5">
        <f>IF($N137="","",IF(INDEX('Per Invoice'!$K$2:$K$801,$N137)="","",INDEX('Per Invoice'!$K$2:$K$801,$N137)))</f>
        <v/>
      </c>
      <c r="L137" s="5">
        <f>IF($N137="","",IF(INDEX('Per Invoice'!$L$2:$L$801,$N137)="","",INDEX('Per Invoice'!$L$2:$L$801,$N137)))</f>
        <v/>
      </c>
      <c r="M137" s="5">
        <f>IF($N137="","",IF(INDEX('Per Invoice'!$M$2:$M$801,$N137)="","",INDEX('Per Invoice'!$M$2:$M$801,$N137)))</f>
        <v/>
      </c>
      <c r="N137">
        <f>IF(ROWS($N$2:$N137)&lt;=COUNT('Per Invoice'!$O$2:$O$801),MATCH(ROWS($N$2:$N137),'Per Invoice'!$O$2:$O$801,0),"")</f>
        <v/>
      </c>
    </row>
    <row r="138">
      <c r="A138">
        <f>IF($N138="","",IF(INDEX('Per Invoice'!$A$2:$A$801,$N138)="","",INDEX('Per Invoice'!$A$2:$A$801,$N138)))</f>
        <v/>
      </c>
      <c r="B138">
        <f>IF($N138="","",IF(INDEX('Per Invoice'!$B$2:$B$801,$N138)="","",INDEX('Per Invoice'!$B$2:$B$801,$N138)))</f>
        <v/>
      </c>
      <c r="C138">
        <f>IF($N138="","",IF(INDEX('Per Invoice'!$C$2:$C$801,$N138)="","",INDEX('Per Invoice'!$C$2:$C$801,$N138)))</f>
        <v/>
      </c>
      <c r="D138">
        <f>IF($N138="","",IF(INDEX('Per Invoice'!$D$2:$D$801,$N138)="","",INDEX('Per Invoice'!$D$2:$D$801,$N138)))</f>
        <v/>
      </c>
      <c r="E138">
        <f>IF($N138="","",IF(INDEX('Per Invoice'!$E$2:$E$801,$N138)="","",INDEX('Per Invoice'!$E$2:$E$801,$N138)))</f>
        <v/>
      </c>
      <c r="F138">
        <f>IF($N138="","",IF(INDEX('Per Invoice'!$F$2:$F$801,$N138)="","",INDEX('Per Invoice'!$F$2:$F$801,$N138)))</f>
        <v/>
      </c>
      <c r="G138">
        <f>IF($N138="","",IF(INDEX('Per Invoice'!$G$2:$G$801,$N138)="","",INDEX('Per Invoice'!$G$2:$G$801,$N138)))</f>
        <v/>
      </c>
      <c r="H138">
        <f>IF($N138="","",IF(INDEX('Per Invoice'!$H$2:$H$801,$N138)="","",INDEX('Per Invoice'!$H$2:$H$801,$N138)))</f>
        <v/>
      </c>
      <c r="I138" s="5">
        <f>IF($N138="","",IF(INDEX('Per Invoice'!$I$2:$I$801,$N138)="","",INDEX('Per Invoice'!$I$2:$I$801,$N138)))</f>
        <v/>
      </c>
      <c r="J138" s="5">
        <f>IF($N138="","",IF(INDEX('Per Invoice'!$J$2:$J$801,$N138)="","",INDEX('Per Invoice'!$J$2:$J$801,$N138)))</f>
        <v/>
      </c>
      <c r="K138" s="5">
        <f>IF($N138="","",IF(INDEX('Per Invoice'!$K$2:$K$801,$N138)="","",INDEX('Per Invoice'!$K$2:$K$801,$N138)))</f>
        <v/>
      </c>
      <c r="L138" s="5">
        <f>IF($N138="","",IF(INDEX('Per Invoice'!$L$2:$L$801,$N138)="","",INDEX('Per Invoice'!$L$2:$L$801,$N138)))</f>
        <v/>
      </c>
      <c r="M138" s="5">
        <f>IF($N138="","",IF(INDEX('Per Invoice'!$M$2:$M$801,$N138)="","",INDEX('Per Invoice'!$M$2:$M$801,$N138)))</f>
        <v/>
      </c>
      <c r="N138">
        <f>IF(ROWS($N$2:$N138)&lt;=COUNT('Per Invoice'!$O$2:$O$801),MATCH(ROWS($N$2:$N138),'Per Invoice'!$O$2:$O$801,0),"")</f>
        <v/>
      </c>
    </row>
    <row r="139">
      <c r="A139">
        <f>IF($N139="","",IF(INDEX('Per Invoice'!$A$2:$A$801,$N139)="","",INDEX('Per Invoice'!$A$2:$A$801,$N139)))</f>
        <v/>
      </c>
      <c r="B139">
        <f>IF($N139="","",IF(INDEX('Per Invoice'!$B$2:$B$801,$N139)="","",INDEX('Per Invoice'!$B$2:$B$801,$N139)))</f>
        <v/>
      </c>
      <c r="C139">
        <f>IF($N139="","",IF(INDEX('Per Invoice'!$C$2:$C$801,$N139)="","",INDEX('Per Invoice'!$C$2:$C$801,$N139)))</f>
        <v/>
      </c>
      <c r="D139">
        <f>IF($N139="","",IF(INDEX('Per Invoice'!$D$2:$D$801,$N139)="","",INDEX('Per Invoice'!$D$2:$D$801,$N139)))</f>
        <v/>
      </c>
      <c r="E139">
        <f>IF($N139="","",IF(INDEX('Per Invoice'!$E$2:$E$801,$N139)="","",INDEX('Per Invoice'!$E$2:$E$801,$N139)))</f>
        <v/>
      </c>
      <c r="F139">
        <f>IF($N139="","",IF(INDEX('Per Invoice'!$F$2:$F$801,$N139)="","",INDEX('Per Invoice'!$F$2:$F$801,$N139)))</f>
        <v/>
      </c>
      <c r="G139">
        <f>IF($N139="","",IF(INDEX('Per Invoice'!$G$2:$G$801,$N139)="","",INDEX('Per Invoice'!$G$2:$G$801,$N139)))</f>
        <v/>
      </c>
      <c r="H139">
        <f>IF($N139="","",IF(INDEX('Per Invoice'!$H$2:$H$801,$N139)="","",INDEX('Per Invoice'!$H$2:$H$801,$N139)))</f>
        <v/>
      </c>
      <c r="I139" s="5">
        <f>IF($N139="","",IF(INDEX('Per Invoice'!$I$2:$I$801,$N139)="","",INDEX('Per Invoice'!$I$2:$I$801,$N139)))</f>
        <v/>
      </c>
      <c r="J139" s="5">
        <f>IF($N139="","",IF(INDEX('Per Invoice'!$J$2:$J$801,$N139)="","",INDEX('Per Invoice'!$J$2:$J$801,$N139)))</f>
        <v/>
      </c>
      <c r="K139" s="5">
        <f>IF($N139="","",IF(INDEX('Per Invoice'!$K$2:$K$801,$N139)="","",INDEX('Per Invoice'!$K$2:$K$801,$N139)))</f>
        <v/>
      </c>
      <c r="L139" s="5">
        <f>IF($N139="","",IF(INDEX('Per Invoice'!$L$2:$L$801,$N139)="","",INDEX('Per Invoice'!$L$2:$L$801,$N139)))</f>
        <v/>
      </c>
      <c r="M139" s="5">
        <f>IF($N139="","",IF(INDEX('Per Invoice'!$M$2:$M$801,$N139)="","",INDEX('Per Invoice'!$M$2:$M$801,$N139)))</f>
        <v/>
      </c>
      <c r="N139">
        <f>IF(ROWS($N$2:$N139)&lt;=COUNT('Per Invoice'!$O$2:$O$801),MATCH(ROWS($N$2:$N139),'Per Invoice'!$O$2:$O$801,0),"")</f>
        <v/>
      </c>
    </row>
    <row r="140">
      <c r="A140">
        <f>IF($N140="","",IF(INDEX('Per Invoice'!$A$2:$A$801,$N140)="","",INDEX('Per Invoice'!$A$2:$A$801,$N140)))</f>
        <v/>
      </c>
      <c r="B140">
        <f>IF($N140="","",IF(INDEX('Per Invoice'!$B$2:$B$801,$N140)="","",INDEX('Per Invoice'!$B$2:$B$801,$N140)))</f>
        <v/>
      </c>
      <c r="C140">
        <f>IF($N140="","",IF(INDEX('Per Invoice'!$C$2:$C$801,$N140)="","",INDEX('Per Invoice'!$C$2:$C$801,$N140)))</f>
        <v/>
      </c>
      <c r="D140">
        <f>IF($N140="","",IF(INDEX('Per Invoice'!$D$2:$D$801,$N140)="","",INDEX('Per Invoice'!$D$2:$D$801,$N140)))</f>
        <v/>
      </c>
      <c r="E140">
        <f>IF($N140="","",IF(INDEX('Per Invoice'!$E$2:$E$801,$N140)="","",INDEX('Per Invoice'!$E$2:$E$801,$N140)))</f>
        <v/>
      </c>
      <c r="F140">
        <f>IF($N140="","",IF(INDEX('Per Invoice'!$F$2:$F$801,$N140)="","",INDEX('Per Invoice'!$F$2:$F$801,$N140)))</f>
        <v/>
      </c>
      <c r="G140">
        <f>IF($N140="","",IF(INDEX('Per Invoice'!$G$2:$G$801,$N140)="","",INDEX('Per Invoice'!$G$2:$G$801,$N140)))</f>
        <v/>
      </c>
      <c r="H140">
        <f>IF($N140="","",IF(INDEX('Per Invoice'!$H$2:$H$801,$N140)="","",INDEX('Per Invoice'!$H$2:$H$801,$N140)))</f>
        <v/>
      </c>
      <c r="I140" s="5">
        <f>IF($N140="","",IF(INDEX('Per Invoice'!$I$2:$I$801,$N140)="","",INDEX('Per Invoice'!$I$2:$I$801,$N140)))</f>
        <v/>
      </c>
      <c r="J140" s="5">
        <f>IF($N140="","",IF(INDEX('Per Invoice'!$J$2:$J$801,$N140)="","",INDEX('Per Invoice'!$J$2:$J$801,$N140)))</f>
        <v/>
      </c>
      <c r="K140" s="5">
        <f>IF($N140="","",IF(INDEX('Per Invoice'!$K$2:$K$801,$N140)="","",INDEX('Per Invoice'!$K$2:$K$801,$N140)))</f>
        <v/>
      </c>
      <c r="L140" s="5">
        <f>IF($N140="","",IF(INDEX('Per Invoice'!$L$2:$L$801,$N140)="","",INDEX('Per Invoice'!$L$2:$L$801,$N140)))</f>
        <v/>
      </c>
      <c r="M140" s="5">
        <f>IF($N140="","",IF(INDEX('Per Invoice'!$M$2:$M$801,$N140)="","",INDEX('Per Invoice'!$M$2:$M$801,$N140)))</f>
        <v/>
      </c>
      <c r="N140">
        <f>IF(ROWS($N$2:$N140)&lt;=COUNT('Per Invoice'!$O$2:$O$801),MATCH(ROWS($N$2:$N140),'Per Invoice'!$O$2:$O$801,0),"")</f>
        <v/>
      </c>
    </row>
    <row r="141">
      <c r="A141">
        <f>IF($N141="","",IF(INDEX('Per Invoice'!$A$2:$A$801,$N141)="","",INDEX('Per Invoice'!$A$2:$A$801,$N141)))</f>
        <v/>
      </c>
      <c r="B141">
        <f>IF($N141="","",IF(INDEX('Per Invoice'!$B$2:$B$801,$N141)="","",INDEX('Per Invoice'!$B$2:$B$801,$N141)))</f>
        <v/>
      </c>
      <c r="C141">
        <f>IF($N141="","",IF(INDEX('Per Invoice'!$C$2:$C$801,$N141)="","",INDEX('Per Invoice'!$C$2:$C$801,$N141)))</f>
        <v/>
      </c>
      <c r="D141">
        <f>IF($N141="","",IF(INDEX('Per Invoice'!$D$2:$D$801,$N141)="","",INDEX('Per Invoice'!$D$2:$D$801,$N141)))</f>
        <v/>
      </c>
      <c r="E141">
        <f>IF($N141="","",IF(INDEX('Per Invoice'!$E$2:$E$801,$N141)="","",INDEX('Per Invoice'!$E$2:$E$801,$N141)))</f>
        <v/>
      </c>
      <c r="F141">
        <f>IF($N141="","",IF(INDEX('Per Invoice'!$F$2:$F$801,$N141)="","",INDEX('Per Invoice'!$F$2:$F$801,$N141)))</f>
        <v/>
      </c>
      <c r="G141">
        <f>IF($N141="","",IF(INDEX('Per Invoice'!$G$2:$G$801,$N141)="","",INDEX('Per Invoice'!$G$2:$G$801,$N141)))</f>
        <v/>
      </c>
      <c r="H141">
        <f>IF($N141="","",IF(INDEX('Per Invoice'!$H$2:$H$801,$N141)="","",INDEX('Per Invoice'!$H$2:$H$801,$N141)))</f>
        <v/>
      </c>
      <c r="I141" s="5">
        <f>IF($N141="","",IF(INDEX('Per Invoice'!$I$2:$I$801,$N141)="","",INDEX('Per Invoice'!$I$2:$I$801,$N141)))</f>
        <v/>
      </c>
      <c r="J141" s="5">
        <f>IF($N141="","",IF(INDEX('Per Invoice'!$J$2:$J$801,$N141)="","",INDEX('Per Invoice'!$J$2:$J$801,$N141)))</f>
        <v/>
      </c>
      <c r="K141" s="5">
        <f>IF($N141="","",IF(INDEX('Per Invoice'!$K$2:$K$801,$N141)="","",INDEX('Per Invoice'!$K$2:$K$801,$N141)))</f>
        <v/>
      </c>
      <c r="L141" s="5">
        <f>IF($N141="","",IF(INDEX('Per Invoice'!$L$2:$L$801,$N141)="","",INDEX('Per Invoice'!$L$2:$L$801,$N141)))</f>
        <v/>
      </c>
      <c r="M141" s="5">
        <f>IF($N141="","",IF(INDEX('Per Invoice'!$M$2:$M$801,$N141)="","",INDEX('Per Invoice'!$M$2:$M$801,$N141)))</f>
        <v/>
      </c>
      <c r="N141">
        <f>IF(ROWS($N$2:$N141)&lt;=COUNT('Per Invoice'!$O$2:$O$801),MATCH(ROWS($N$2:$N141),'Per Invoice'!$O$2:$O$801,0),"")</f>
        <v/>
      </c>
    </row>
    <row r="142">
      <c r="A142">
        <f>IF($N142="","",IF(INDEX('Per Invoice'!$A$2:$A$801,$N142)="","",INDEX('Per Invoice'!$A$2:$A$801,$N142)))</f>
        <v/>
      </c>
      <c r="B142">
        <f>IF($N142="","",IF(INDEX('Per Invoice'!$B$2:$B$801,$N142)="","",INDEX('Per Invoice'!$B$2:$B$801,$N142)))</f>
        <v/>
      </c>
      <c r="C142">
        <f>IF($N142="","",IF(INDEX('Per Invoice'!$C$2:$C$801,$N142)="","",INDEX('Per Invoice'!$C$2:$C$801,$N142)))</f>
        <v/>
      </c>
      <c r="D142">
        <f>IF($N142="","",IF(INDEX('Per Invoice'!$D$2:$D$801,$N142)="","",INDEX('Per Invoice'!$D$2:$D$801,$N142)))</f>
        <v/>
      </c>
      <c r="E142">
        <f>IF($N142="","",IF(INDEX('Per Invoice'!$E$2:$E$801,$N142)="","",INDEX('Per Invoice'!$E$2:$E$801,$N142)))</f>
        <v/>
      </c>
      <c r="F142">
        <f>IF($N142="","",IF(INDEX('Per Invoice'!$F$2:$F$801,$N142)="","",INDEX('Per Invoice'!$F$2:$F$801,$N142)))</f>
        <v/>
      </c>
      <c r="G142">
        <f>IF($N142="","",IF(INDEX('Per Invoice'!$G$2:$G$801,$N142)="","",INDEX('Per Invoice'!$G$2:$G$801,$N142)))</f>
        <v/>
      </c>
      <c r="H142">
        <f>IF($N142="","",IF(INDEX('Per Invoice'!$H$2:$H$801,$N142)="","",INDEX('Per Invoice'!$H$2:$H$801,$N142)))</f>
        <v/>
      </c>
      <c r="I142" s="5">
        <f>IF($N142="","",IF(INDEX('Per Invoice'!$I$2:$I$801,$N142)="","",INDEX('Per Invoice'!$I$2:$I$801,$N142)))</f>
        <v/>
      </c>
      <c r="J142" s="5">
        <f>IF($N142="","",IF(INDEX('Per Invoice'!$J$2:$J$801,$N142)="","",INDEX('Per Invoice'!$J$2:$J$801,$N142)))</f>
        <v/>
      </c>
      <c r="K142" s="5">
        <f>IF($N142="","",IF(INDEX('Per Invoice'!$K$2:$K$801,$N142)="","",INDEX('Per Invoice'!$K$2:$K$801,$N142)))</f>
        <v/>
      </c>
      <c r="L142" s="5">
        <f>IF($N142="","",IF(INDEX('Per Invoice'!$L$2:$L$801,$N142)="","",INDEX('Per Invoice'!$L$2:$L$801,$N142)))</f>
        <v/>
      </c>
      <c r="M142" s="5">
        <f>IF($N142="","",IF(INDEX('Per Invoice'!$M$2:$M$801,$N142)="","",INDEX('Per Invoice'!$M$2:$M$801,$N142)))</f>
        <v/>
      </c>
      <c r="N142">
        <f>IF(ROWS($N$2:$N142)&lt;=COUNT('Per Invoice'!$O$2:$O$801),MATCH(ROWS($N$2:$N142),'Per Invoice'!$O$2:$O$801,0),"")</f>
        <v/>
      </c>
    </row>
    <row r="143">
      <c r="A143">
        <f>IF($N143="","",IF(INDEX('Per Invoice'!$A$2:$A$801,$N143)="","",INDEX('Per Invoice'!$A$2:$A$801,$N143)))</f>
        <v/>
      </c>
      <c r="B143">
        <f>IF($N143="","",IF(INDEX('Per Invoice'!$B$2:$B$801,$N143)="","",INDEX('Per Invoice'!$B$2:$B$801,$N143)))</f>
        <v/>
      </c>
      <c r="C143">
        <f>IF($N143="","",IF(INDEX('Per Invoice'!$C$2:$C$801,$N143)="","",INDEX('Per Invoice'!$C$2:$C$801,$N143)))</f>
        <v/>
      </c>
      <c r="D143">
        <f>IF($N143="","",IF(INDEX('Per Invoice'!$D$2:$D$801,$N143)="","",INDEX('Per Invoice'!$D$2:$D$801,$N143)))</f>
        <v/>
      </c>
      <c r="E143">
        <f>IF($N143="","",IF(INDEX('Per Invoice'!$E$2:$E$801,$N143)="","",INDEX('Per Invoice'!$E$2:$E$801,$N143)))</f>
        <v/>
      </c>
      <c r="F143">
        <f>IF($N143="","",IF(INDEX('Per Invoice'!$F$2:$F$801,$N143)="","",INDEX('Per Invoice'!$F$2:$F$801,$N143)))</f>
        <v/>
      </c>
      <c r="G143">
        <f>IF($N143="","",IF(INDEX('Per Invoice'!$G$2:$G$801,$N143)="","",INDEX('Per Invoice'!$G$2:$G$801,$N143)))</f>
        <v/>
      </c>
      <c r="H143">
        <f>IF($N143="","",IF(INDEX('Per Invoice'!$H$2:$H$801,$N143)="","",INDEX('Per Invoice'!$H$2:$H$801,$N143)))</f>
        <v/>
      </c>
      <c r="I143" s="5">
        <f>IF($N143="","",IF(INDEX('Per Invoice'!$I$2:$I$801,$N143)="","",INDEX('Per Invoice'!$I$2:$I$801,$N143)))</f>
        <v/>
      </c>
      <c r="J143" s="5">
        <f>IF($N143="","",IF(INDEX('Per Invoice'!$J$2:$J$801,$N143)="","",INDEX('Per Invoice'!$J$2:$J$801,$N143)))</f>
        <v/>
      </c>
      <c r="K143" s="5">
        <f>IF($N143="","",IF(INDEX('Per Invoice'!$K$2:$K$801,$N143)="","",INDEX('Per Invoice'!$K$2:$K$801,$N143)))</f>
        <v/>
      </c>
      <c r="L143" s="5">
        <f>IF($N143="","",IF(INDEX('Per Invoice'!$L$2:$L$801,$N143)="","",INDEX('Per Invoice'!$L$2:$L$801,$N143)))</f>
        <v/>
      </c>
      <c r="M143" s="5">
        <f>IF($N143="","",IF(INDEX('Per Invoice'!$M$2:$M$801,$N143)="","",INDEX('Per Invoice'!$M$2:$M$801,$N143)))</f>
        <v/>
      </c>
      <c r="N143">
        <f>IF(ROWS($N$2:$N143)&lt;=COUNT('Per Invoice'!$O$2:$O$801),MATCH(ROWS($N$2:$N143),'Per Invoice'!$O$2:$O$801,0),"")</f>
        <v/>
      </c>
    </row>
    <row r="144">
      <c r="A144">
        <f>IF($N144="","",IF(INDEX('Per Invoice'!$A$2:$A$801,$N144)="","",INDEX('Per Invoice'!$A$2:$A$801,$N144)))</f>
        <v/>
      </c>
      <c r="B144">
        <f>IF($N144="","",IF(INDEX('Per Invoice'!$B$2:$B$801,$N144)="","",INDEX('Per Invoice'!$B$2:$B$801,$N144)))</f>
        <v/>
      </c>
      <c r="C144">
        <f>IF($N144="","",IF(INDEX('Per Invoice'!$C$2:$C$801,$N144)="","",INDEX('Per Invoice'!$C$2:$C$801,$N144)))</f>
        <v/>
      </c>
      <c r="D144">
        <f>IF($N144="","",IF(INDEX('Per Invoice'!$D$2:$D$801,$N144)="","",INDEX('Per Invoice'!$D$2:$D$801,$N144)))</f>
        <v/>
      </c>
      <c r="E144">
        <f>IF($N144="","",IF(INDEX('Per Invoice'!$E$2:$E$801,$N144)="","",INDEX('Per Invoice'!$E$2:$E$801,$N144)))</f>
        <v/>
      </c>
      <c r="F144">
        <f>IF($N144="","",IF(INDEX('Per Invoice'!$F$2:$F$801,$N144)="","",INDEX('Per Invoice'!$F$2:$F$801,$N144)))</f>
        <v/>
      </c>
      <c r="G144">
        <f>IF($N144="","",IF(INDEX('Per Invoice'!$G$2:$G$801,$N144)="","",INDEX('Per Invoice'!$G$2:$G$801,$N144)))</f>
        <v/>
      </c>
      <c r="H144">
        <f>IF($N144="","",IF(INDEX('Per Invoice'!$H$2:$H$801,$N144)="","",INDEX('Per Invoice'!$H$2:$H$801,$N144)))</f>
        <v/>
      </c>
      <c r="I144" s="5">
        <f>IF($N144="","",IF(INDEX('Per Invoice'!$I$2:$I$801,$N144)="","",INDEX('Per Invoice'!$I$2:$I$801,$N144)))</f>
        <v/>
      </c>
      <c r="J144" s="5">
        <f>IF($N144="","",IF(INDEX('Per Invoice'!$J$2:$J$801,$N144)="","",INDEX('Per Invoice'!$J$2:$J$801,$N144)))</f>
        <v/>
      </c>
      <c r="K144" s="5">
        <f>IF($N144="","",IF(INDEX('Per Invoice'!$K$2:$K$801,$N144)="","",INDEX('Per Invoice'!$K$2:$K$801,$N144)))</f>
        <v/>
      </c>
      <c r="L144" s="5">
        <f>IF($N144="","",IF(INDEX('Per Invoice'!$L$2:$L$801,$N144)="","",INDEX('Per Invoice'!$L$2:$L$801,$N144)))</f>
        <v/>
      </c>
      <c r="M144" s="5">
        <f>IF($N144="","",IF(INDEX('Per Invoice'!$M$2:$M$801,$N144)="","",INDEX('Per Invoice'!$M$2:$M$801,$N144)))</f>
        <v/>
      </c>
      <c r="N144">
        <f>IF(ROWS($N$2:$N144)&lt;=COUNT('Per Invoice'!$O$2:$O$801),MATCH(ROWS($N$2:$N144),'Per Invoice'!$O$2:$O$801,0),"")</f>
        <v/>
      </c>
    </row>
    <row r="145">
      <c r="A145">
        <f>IF($N145="","",IF(INDEX('Per Invoice'!$A$2:$A$801,$N145)="","",INDEX('Per Invoice'!$A$2:$A$801,$N145)))</f>
        <v/>
      </c>
      <c r="B145">
        <f>IF($N145="","",IF(INDEX('Per Invoice'!$B$2:$B$801,$N145)="","",INDEX('Per Invoice'!$B$2:$B$801,$N145)))</f>
        <v/>
      </c>
      <c r="C145">
        <f>IF($N145="","",IF(INDEX('Per Invoice'!$C$2:$C$801,$N145)="","",INDEX('Per Invoice'!$C$2:$C$801,$N145)))</f>
        <v/>
      </c>
      <c r="D145">
        <f>IF($N145="","",IF(INDEX('Per Invoice'!$D$2:$D$801,$N145)="","",INDEX('Per Invoice'!$D$2:$D$801,$N145)))</f>
        <v/>
      </c>
      <c r="E145">
        <f>IF($N145="","",IF(INDEX('Per Invoice'!$E$2:$E$801,$N145)="","",INDEX('Per Invoice'!$E$2:$E$801,$N145)))</f>
        <v/>
      </c>
      <c r="F145">
        <f>IF($N145="","",IF(INDEX('Per Invoice'!$F$2:$F$801,$N145)="","",INDEX('Per Invoice'!$F$2:$F$801,$N145)))</f>
        <v/>
      </c>
      <c r="G145">
        <f>IF($N145="","",IF(INDEX('Per Invoice'!$G$2:$G$801,$N145)="","",INDEX('Per Invoice'!$G$2:$G$801,$N145)))</f>
        <v/>
      </c>
      <c r="H145">
        <f>IF($N145="","",IF(INDEX('Per Invoice'!$H$2:$H$801,$N145)="","",INDEX('Per Invoice'!$H$2:$H$801,$N145)))</f>
        <v/>
      </c>
      <c r="I145" s="5">
        <f>IF($N145="","",IF(INDEX('Per Invoice'!$I$2:$I$801,$N145)="","",INDEX('Per Invoice'!$I$2:$I$801,$N145)))</f>
        <v/>
      </c>
      <c r="J145" s="5">
        <f>IF($N145="","",IF(INDEX('Per Invoice'!$J$2:$J$801,$N145)="","",INDEX('Per Invoice'!$J$2:$J$801,$N145)))</f>
        <v/>
      </c>
      <c r="K145" s="5">
        <f>IF($N145="","",IF(INDEX('Per Invoice'!$K$2:$K$801,$N145)="","",INDEX('Per Invoice'!$K$2:$K$801,$N145)))</f>
        <v/>
      </c>
      <c r="L145" s="5">
        <f>IF($N145="","",IF(INDEX('Per Invoice'!$L$2:$L$801,$N145)="","",INDEX('Per Invoice'!$L$2:$L$801,$N145)))</f>
        <v/>
      </c>
      <c r="M145" s="5">
        <f>IF($N145="","",IF(INDEX('Per Invoice'!$M$2:$M$801,$N145)="","",INDEX('Per Invoice'!$M$2:$M$801,$N145)))</f>
        <v/>
      </c>
      <c r="N145">
        <f>IF(ROWS($N$2:$N145)&lt;=COUNT('Per Invoice'!$O$2:$O$801),MATCH(ROWS($N$2:$N145),'Per Invoice'!$O$2:$O$801,0),"")</f>
        <v/>
      </c>
    </row>
    <row r="146">
      <c r="A146">
        <f>IF($N146="","",IF(INDEX('Per Invoice'!$A$2:$A$801,$N146)="","",INDEX('Per Invoice'!$A$2:$A$801,$N146)))</f>
        <v/>
      </c>
      <c r="B146">
        <f>IF($N146="","",IF(INDEX('Per Invoice'!$B$2:$B$801,$N146)="","",INDEX('Per Invoice'!$B$2:$B$801,$N146)))</f>
        <v/>
      </c>
      <c r="C146">
        <f>IF($N146="","",IF(INDEX('Per Invoice'!$C$2:$C$801,$N146)="","",INDEX('Per Invoice'!$C$2:$C$801,$N146)))</f>
        <v/>
      </c>
      <c r="D146">
        <f>IF($N146="","",IF(INDEX('Per Invoice'!$D$2:$D$801,$N146)="","",INDEX('Per Invoice'!$D$2:$D$801,$N146)))</f>
        <v/>
      </c>
      <c r="E146">
        <f>IF($N146="","",IF(INDEX('Per Invoice'!$E$2:$E$801,$N146)="","",INDEX('Per Invoice'!$E$2:$E$801,$N146)))</f>
        <v/>
      </c>
      <c r="F146">
        <f>IF($N146="","",IF(INDEX('Per Invoice'!$F$2:$F$801,$N146)="","",INDEX('Per Invoice'!$F$2:$F$801,$N146)))</f>
        <v/>
      </c>
      <c r="G146">
        <f>IF($N146="","",IF(INDEX('Per Invoice'!$G$2:$G$801,$N146)="","",INDEX('Per Invoice'!$G$2:$G$801,$N146)))</f>
        <v/>
      </c>
      <c r="H146">
        <f>IF($N146="","",IF(INDEX('Per Invoice'!$H$2:$H$801,$N146)="","",INDEX('Per Invoice'!$H$2:$H$801,$N146)))</f>
        <v/>
      </c>
      <c r="I146" s="5">
        <f>IF($N146="","",IF(INDEX('Per Invoice'!$I$2:$I$801,$N146)="","",INDEX('Per Invoice'!$I$2:$I$801,$N146)))</f>
        <v/>
      </c>
      <c r="J146" s="5">
        <f>IF($N146="","",IF(INDEX('Per Invoice'!$J$2:$J$801,$N146)="","",INDEX('Per Invoice'!$J$2:$J$801,$N146)))</f>
        <v/>
      </c>
      <c r="K146" s="5">
        <f>IF($N146="","",IF(INDEX('Per Invoice'!$K$2:$K$801,$N146)="","",INDEX('Per Invoice'!$K$2:$K$801,$N146)))</f>
        <v/>
      </c>
      <c r="L146" s="5">
        <f>IF($N146="","",IF(INDEX('Per Invoice'!$L$2:$L$801,$N146)="","",INDEX('Per Invoice'!$L$2:$L$801,$N146)))</f>
        <v/>
      </c>
      <c r="M146" s="5">
        <f>IF($N146="","",IF(INDEX('Per Invoice'!$M$2:$M$801,$N146)="","",INDEX('Per Invoice'!$M$2:$M$801,$N146)))</f>
        <v/>
      </c>
      <c r="N146">
        <f>IF(ROWS($N$2:$N146)&lt;=COUNT('Per Invoice'!$O$2:$O$801),MATCH(ROWS($N$2:$N146),'Per Invoice'!$O$2:$O$801,0),"")</f>
        <v/>
      </c>
    </row>
    <row r="147">
      <c r="A147">
        <f>IF($N147="","",IF(INDEX('Per Invoice'!$A$2:$A$801,$N147)="","",INDEX('Per Invoice'!$A$2:$A$801,$N147)))</f>
        <v/>
      </c>
      <c r="B147">
        <f>IF($N147="","",IF(INDEX('Per Invoice'!$B$2:$B$801,$N147)="","",INDEX('Per Invoice'!$B$2:$B$801,$N147)))</f>
        <v/>
      </c>
      <c r="C147">
        <f>IF($N147="","",IF(INDEX('Per Invoice'!$C$2:$C$801,$N147)="","",INDEX('Per Invoice'!$C$2:$C$801,$N147)))</f>
        <v/>
      </c>
      <c r="D147">
        <f>IF($N147="","",IF(INDEX('Per Invoice'!$D$2:$D$801,$N147)="","",INDEX('Per Invoice'!$D$2:$D$801,$N147)))</f>
        <v/>
      </c>
      <c r="E147">
        <f>IF($N147="","",IF(INDEX('Per Invoice'!$E$2:$E$801,$N147)="","",INDEX('Per Invoice'!$E$2:$E$801,$N147)))</f>
        <v/>
      </c>
      <c r="F147">
        <f>IF($N147="","",IF(INDEX('Per Invoice'!$F$2:$F$801,$N147)="","",INDEX('Per Invoice'!$F$2:$F$801,$N147)))</f>
        <v/>
      </c>
      <c r="G147">
        <f>IF($N147="","",IF(INDEX('Per Invoice'!$G$2:$G$801,$N147)="","",INDEX('Per Invoice'!$G$2:$G$801,$N147)))</f>
        <v/>
      </c>
      <c r="H147">
        <f>IF($N147="","",IF(INDEX('Per Invoice'!$H$2:$H$801,$N147)="","",INDEX('Per Invoice'!$H$2:$H$801,$N147)))</f>
        <v/>
      </c>
      <c r="I147" s="5">
        <f>IF($N147="","",IF(INDEX('Per Invoice'!$I$2:$I$801,$N147)="","",INDEX('Per Invoice'!$I$2:$I$801,$N147)))</f>
        <v/>
      </c>
      <c r="J147" s="5">
        <f>IF($N147="","",IF(INDEX('Per Invoice'!$J$2:$J$801,$N147)="","",INDEX('Per Invoice'!$J$2:$J$801,$N147)))</f>
        <v/>
      </c>
      <c r="K147" s="5">
        <f>IF($N147="","",IF(INDEX('Per Invoice'!$K$2:$K$801,$N147)="","",INDEX('Per Invoice'!$K$2:$K$801,$N147)))</f>
        <v/>
      </c>
      <c r="L147" s="5">
        <f>IF($N147="","",IF(INDEX('Per Invoice'!$L$2:$L$801,$N147)="","",INDEX('Per Invoice'!$L$2:$L$801,$N147)))</f>
        <v/>
      </c>
      <c r="M147" s="5">
        <f>IF($N147="","",IF(INDEX('Per Invoice'!$M$2:$M$801,$N147)="","",INDEX('Per Invoice'!$M$2:$M$801,$N147)))</f>
        <v/>
      </c>
      <c r="N147">
        <f>IF(ROWS($N$2:$N147)&lt;=COUNT('Per Invoice'!$O$2:$O$801),MATCH(ROWS($N$2:$N147),'Per Invoice'!$O$2:$O$801,0),"")</f>
        <v/>
      </c>
    </row>
    <row r="148">
      <c r="A148">
        <f>IF($N148="","",IF(INDEX('Per Invoice'!$A$2:$A$801,$N148)="","",INDEX('Per Invoice'!$A$2:$A$801,$N148)))</f>
        <v/>
      </c>
      <c r="B148">
        <f>IF($N148="","",IF(INDEX('Per Invoice'!$B$2:$B$801,$N148)="","",INDEX('Per Invoice'!$B$2:$B$801,$N148)))</f>
        <v/>
      </c>
      <c r="C148">
        <f>IF($N148="","",IF(INDEX('Per Invoice'!$C$2:$C$801,$N148)="","",INDEX('Per Invoice'!$C$2:$C$801,$N148)))</f>
        <v/>
      </c>
      <c r="D148">
        <f>IF($N148="","",IF(INDEX('Per Invoice'!$D$2:$D$801,$N148)="","",INDEX('Per Invoice'!$D$2:$D$801,$N148)))</f>
        <v/>
      </c>
      <c r="E148">
        <f>IF($N148="","",IF(INDEX('Per Invoice'!$E$2:$E$801,$N148)="","",INDEX('Per Invoice'!$E$2:$E$801,$N148)))</f>
        <v/>
      </c>
      <c r="F148">
        <f>IF($N148="","",IF(INDEX('Per Invoice'!$F$2:$F$801,$N148)="","",INDEX('Per Invoice'!$F$2:$F$801,$N148)))</f>
        <v/>
      </c>
      <c r="G148">
        <f>IF($N148="","",IF(INDEX('Per Invoice'!$G$2:$G$801,$N148)="","",INDEX('Per Invoice'!$G$2:$G$801,$N148)))</f>
        <v/>
      </c>
      <c r="H148">
        <f>IF($N148="","",IF(INDEX('Per Invoice'!$H$2:$H$801,$N148)="","",INDEX('Per Invoice'!$H$2:$H$801,$N148)))</f>
        <v/>
      </c>
      <c r="I148" s="5">
        <f>IF($N148="","",IF(INDEX('Per Invoice'!$I$2:$I$801,$N148)="","",INDEX('Per Invoice'!$I$2:$I$801,$N148)))</f>
        <v/>
      </c>
      <c r="J148" s="5">
        <f>IF($N148="","",IF(INDEX('Per Invoice'!$J$2:$J$801,$N148)="","",INDEX('Per Invoice'!$J$2:$J$801,$N148)))</f>
        <v/>
      </c>
      <c r="K148" s="5">
        <f>IF($N148="","",IF(INDEX('Per Invoice'!$K$2:$K$801,$N148)="","",INDEX('Per Invoice'!$K$2:$K$801,$N148)))</f>
        <v/>
      </c>
      <c r="L148" s="5">
        <f>IF($N148="","",IF(INDEX('Per Invoice'!$L$2:$L$801,$N148)="","",INDEX('Per Invoice'!$L$2:$L$801,$N148)))</f>
        <v/>
      </c>
      <c r="M148" s="5">
        <f>IF($N148="","",IF(INDEX('Per Invoice'!$M$2:$M$801,$N148)="","",INDEX('Per Invoice'!$M$2:$M$801,$N148)))</f>
        <v/>
      </c>
      <c r="N148">
        <f>IF(ROWS($N$2:$N148)&lt;=COUNT('Per Invoice'!$O$2:$O$801),MATCH(ROWS($N$2:$N148),'Per Invoice'!$O$2:$O$801,0),"")</f>
        <v/>
      </c>
    </row>
    <row r="149">
      <c r="A149">
        <f>IF($N149="","",IF(INDEX('Per Invoice'!$A$2:$A$801,$N149)="","",INDEX('Per Invoice'!$A$2:$A$801,$N149)))</f>
        <v/>
      </c>
      <c r="B149">
        <f>IF($N149="","",IF(INDEX('Per Invoice'!$B$2:$B$801,$N149)="","",INDEX('Per Invoice'!$B$2:$B$801,$N149)))</f>
        <v/>
      </c>
      <c r="C149">
        <f>IF($N149="","",IF(INDEX('Per Invoice'!$C$2:$C$801,$N149)="","",INDEX('Per Invoice'!$C$2:$C$801,$N149)))</f>
        <v/>
      </c>
      <c r="D149">
        <f>IF($N149="","",IF(INDEX('Per Invoice'!$D$2:$D$801,$N149)="","",INDEX('Per Invoice'!$D$2:$D$801,$N149)))</f>
        <v/>
      </c>
      <c r="E149">
        <f>IF($N149="","",IF(INDEX('Per Invoice'!$E$2:$E$801,$N149)="","",INDEX('Per Invoice'!$E$2:$E$801,$N149)))</f>
        <v/>
      </c>
      <c r="F149">
        <f>IF($N149="","",IF(INDEX('Per Invoice'!$F$2:$F$801,$N149)="","",INDEX('Per Invoice'!$F$2:$F$801,$N149)))</f>
        <v/>
      </c>
      <c r="G149">
        <f>IF($N149="","",IF(INDEX('Per Invoice'!$G$2:$G$801,$N149)="","",INDEX('Per Invoice'!$G$2:$G$801,$N149)))</f>
        <v/>
      </c>
      <c r="H149">
        <f>IF($N149="","",IF(INDEX('Per Invoice'!$H$2:$H$801,$N149)="","",INDEX('Per Invoice'!$H$2:$H$801,$N149)))</f>
        <v/>
      </c>
      <c r="I149" s="5">
        <f>IF($N149="","",IF(INDEX('Per Invoice'!$I$2:$I$801,$N149)="","",INDEX('Per Invoice'!$I$2:$I$801,$N149)))</f>
        <v/>
      </c>
      <c r="J149" s="5">
        <f>IF($N149="","",IF(INDEX('Per Invoice'!$J$2:$J$801,$N149)="","",INDEX('Per Invoice'!$J$2:$J$801,$N149)))</f>
        <v/>
      </c>
      <c r="K149" s="5">
        <f>IF($N149="","",IF(INDEX('Per Invoice'!$K$2:$K$801,$N149)="","",INDEX('Per Invoice'!$K$2:$K$801,$N149)))</f>
        <v/>
      </c>
      <c r="L149" s="5">
        <f>IF($N149="","",IF(INDEX('Per Invoice'!$L$2:$L$801,$N149)="","",INDEX('Per Invoice'!$L$2:$L$801,$N149)))</f>
        <v/>
      </c>
      <c r="M149" s="5">
        <f>IF($N149="","",IF(INDEX('Per Invoice'!$M$2:$M$801,$N149)="","",INDEX('Per Invoice'!$M$2:$M$801,$N149)))</f>
        <v/>
      </c>
      <c r="N149">
        <f>IF(ROWS($N$2:$N149)&lt;=COUNT('Per Invoice'!$O$2:$O$801),MATCH(ROWS($N$2:$N149),'Per Invoice'!$O$2:$O$801,0),"")</f>
        <v/>
      </c>
    </row>
    <row r="150">
      <c r="A150">
        <f>IF($N150="","",IF(INDEX('Per Invoice'!$A$2:$A$801,$N150)="","",INDEX('Per Invoice'!$A$2:$A$801,$N150)))</f>
        <v/>
      </c>
      <c r="B150">
        <f>IF($N150="","",IF(INDEX('Per Invoice'!$B$2:$B$801,$N150)="","",INDEX('Per Invoice'!$B$2:$B$801,$N150)))</f>
        <v/>
      </c>
      <c r="C150">
        <f>IF($N150="","",IF(INDEX('Per Invoice'!$C$2:$C$801,$N150)="","",INDEX('Per Invoice'!$C$2:$C$801,$N150)))</f>
        <v/>
      </c>
      <c r="D150">
        <f>IF($N150="","",IF(INDEX('Per Invoice'!$D$2:$D$801,$N150)="","",INDEX('Per Invoice'!$D$2:$D$801,$N150)))</f>
        <v/>
      </c>
      <c r="E150">
        <f>IF($N150="","",IF(INDEX('Per Invoice'!$E$2:$E$801,$N150)="","",INDEX('Per Invoice'!$E$2:$E$801,$N150)))</f>
        <v/>
      </c>
      <c r="F150">
        <f>IF($N150="","",IF(INDEX('Per Invoice'!$F$2:$F$801,$N150)="","",INDEX('Per Invoice'!$F$2:$F$801,$N150)))</f>
        <v/>
      </c>
      <c r="G150">
        <f>IF($N150="","",IF(INDEX('Per Invoice'!$G$2:$G$801,$N150)="","",INDEX('Per Invoice'!$G$2:$G$801,$N150)))</f>
        <v/>
      </c>
      <c r="H150">
        <f>IF($N150="","",IF(INDEX('Per Invoice'!$H$2:$H$801,$N150)="","",INDEX('Per Invoice'!$H$2:$H$801,$N150)))</f>
        <v/>
      </c>
      <c r="I150" s="5">
        <f>IF($N150="","",IF(INDEX('Per Invoice'!$I$2:$I$801,$N150)="","",INDEX('Per Invoice'!$I$2:$I$801,$N150)))</f>
        <v/>
      </c>
      <c r="J150" s="5">
        <f>IF($N150="","",IF(INDEX('Per Invoice'!$J$2:$J$801,$N150)="","",INDEX('Per Invoice'!$J$2:$J$801,$N150)))</f>
        <v/>
      </c>
      <c r="K150" s="5">
        <f>IF($N150="","",IF(INDEX('Per Invoice'!$K$2:$K$801,$N150)="","",INDEX('Per Invoice'!$K$2:$K$801,$N150)))</f>
        <v/>
      </c>
      <c r="L150" s="5">
        <f>IF($N150="","",IF(INDEX('Per Invoice'!$L$2:$L$801,$N150)="","",INDEX('Per Invoice'!$L$2:$L$801,$N150)))</f>
        <v/>
      </c>
      <c r="M150" s="5">
        <f>IF($N150="","",IF(INDEX('Per Invoice'!$M$2:$M$801,$N150)="","",INDEX('Per Invoice'!$M$2:$M$801,$N150)))</f>
        <v/>
      </c>
      <c r="N150">
        <f>IF(ROWS($N$2:$N150)&lt;=COUNT('Per Invoice'!$O$2:$O$801),MATCH(ROWS($N$2:$N150),'Per Invoice'!$O$2:$O$801,0),"")</f>
        <v/>
      </c>
    </row>
    <row r="151">
      <c r="A151">
        <f>IF($N151="","",IF(INDEX('Per Invoice'!$A$2:$A$801,$N151)="","",INDEX('Per Invoice'!$A$2:$A$801,$N151)))</f>
        <v/>
      </c>
      <c r="B151">
        <f>IF($N151="","",IF(INDEX('Per Invoice'!$B$2:$B$801,$N151)="","",INDEX('Per Invoice'!$B$2:$B$801,$N151)))</f>
        <v/>
      </c>
      <c r="C151">
        <f>IF($N151="","",IF(INDEX('Per Invoice'!$C$2:$C$801,$N151)="","",INDEX('Per Invoice'!$C$2:$C$801,$N151)))</f>
        <v/>
      </c>
      <c r="D151">
        <f>IF($N151="","",IF(INDEX('Per Invoice'!$D$2:$D$801,$N151)="","",INDEX('Per Invoice'!$D$2:$D$801,$N151)))</f>
        <v/>
      </c>
      <c r="E151">
        <f>IF($N151="","",IF(INDEX('Per Invoice'!$E$2:$E$801,$N151)="","",INDEX('Per Invoice'!$E$2:$E$801,$N151)))</f>
        <v/>
      </c>
      <c r="F151">
        <f>IF($N151="","",IF(INDEX('Per Invoice'!$F$2:$F$801,$N151)="","",INDEX('Per Invoice'!$F$2:$F$801,$N151)))</f>
        <v/>
      </c>
      <c r="G151">
        <f>IF($N151="","",IF(INDEX('Per Invoice'!$G$2:$G$801,$N151)="","",INDEX('Per Invoice'!$G$2:$G$801,$N151)))</f>
        <v/>
      </c>
      <c r="H151">
        <f>IF($N151="","",IF(INDEX('Per Invoice'!$H$2:$H$801,$N151)="","",INDEX('Per Invoice'!$H$2:$H$801,$N151)))</f>
        <v/>
      </c>
      <c r="I151" s="5">
        <f>IF($N151="","",IF(INDEX('Per Invoice'!$I$2:$I$801,$N151)="","",INDEX('Per Invoice'!$I$2:$I$801,$N151)))</f>
        <v/>
      </c>
      <c r="J151" s="5">
        <f>IF($N151="","",IF(INDEX('Per Invoice'!$J$2:$J$801,$N151)="","",INDEX('Per Invoice'!$J$2:$J$801,$N151)))</f>
        <v/>
      </c>
      <c r="K151" s="5">
        <f>IF($N151="","",IF(INDEX('Per Invoice'!$K$2:$K$801,$N151)="","",INDEX('Per Invoice'!$K$2:$K$801,$N151)))</f>
        <v/>
      </c>
      <c r="L151" s="5">
        <f>IF($N151="","",IF(INDEX('Per Invoice'!$L$2:$L$801,$N151)="","",INDEX('Per Invoice'!$L$2:$L$801,$N151)))</f>
        <v/>
      </c>
      <c r="M151" s="5">
        <f>IF($N151="","",IF(INDEX('Per Invoice'!$M$2:$M$801,$N151)="","",INDEX('Per Invoice'!$M$2:$M$801,$N151)))</f>
        <v/>
      </c>
      <c r="N151">
        <f>IF(ROWS($N$2:$N151)&lt;=COUNT('Per Invoice'!$O$2:$O$801),MATCH(ROWS($N$2:$N151),'Per Invoice'!$O$2:$O$801,0),"")</f>
        <v/>
      </c>
    </row>
    <row r="152">
      <c r="A152">
        <f>IF($N152="","",IF(INDEX('Per Invoice'!$A$2:$A$801,$N152)="","",INDEX('Per Invoice'!$A$2:$A$801,$N152)))</f>
        <v/>
      </c>
      <c r="B152">
        <f>IF($N152="","",IF(INDEX('Per Invoice'!$B$2:$B$801,$N152)="","",INDEX('Per Invoice'!$B$2:$B$801,$N152)))</f>
        <v/>
      </c>
      <c r="C152">
        <f>IF($N152="","",IF(INDEX('Per Invoice'!$C$2:$C$801,$N152)="","",INDEX('Per Invoice'!$C$2:$C$801,$N152)))</f>
        <v/>
      </c>
      <c r="D152">
        <f>IF($N152="","",IF(INDEX('Per Invoice'!$D$2:$D$801,$N152)="","",INDEX('Per Invoice'!$D$2:$D$801,$N152)))</f>
        <v/>
      </c>
      <c r="E152">
        <f>IF($N152="","",IF(INDEX('Per Invoice'!$E$2:$E$801,$N152)="","",INDEX('Per Invoice'!$E$2:$E$801,$N152)))</f>
        <v/>
      </c>
      <c r="F152">
        <f>IF($N152="","",IF(INDEX('Per Invoice'!$F$2:$F$801,$N152)="","",INDEX('Per Invoice'!$F$2:$F$801,$N152)))</f>
        <v/>
      </c>
      <c r="G152">
        <f>IF($N152="","",IF(INDEX('Per Invoice'!$G$2:$G$801,$N152)="","",INDEX('Per Invoice'!$G$2:$G$801,$N152)))</f>
        <v/>
      </c>
      <c r="H152">
        <f>IF($N152="","",IF(INDEX('Per Invoice'!$H$2:$H$801,$N152)="","",INDEX('Per Invoice'!$H$2:$H$801,$N152)))</f>
        <v/>
      </c>
      <c r="I152" s="5">
        <f>IF($N152="","",IF(INDEX('Per Invoice'!$I$2:$I$801,$N152)="","",INDEX('Per Invoice'!$I$2:$I$801,$N152)))</f>
        <v/>
      </c>
      <c r="J152" s="5">
        <f>IF($N152="","",IF(INDEX('Per Invoice'!$J$2:$J$801,$N152)="","",INDEX('Per Invoice'!$J$2:$J$801,$N152)))</f>
        <v/>
      </c>
      <c r="K152" s="5">
        <f>IF($N152="","",IF(INDEX('Per Invoice'!$K$2:$K$801,$N152)="","",INDEX('Per Invoice'!$K$2:$K$801,$N152)))</f>
        <v/>
      </c>
      <c r="L152" s="5">
        <f>IF($N152="","",IF(INDEX('Per Invoice'!$L$2:$L$801,$N152)="","",INDEX('Per Invoice'!$L$2:$L$801,$N152)))</f>
        <v/>
      </c>
      <c r="M152" s="5">
        <f>IF($N152="","",IF(INDEX('Per Invoice'!$M$2:$M$801,$N152)="","",INDEX('Per Invoice'!$M$2:$M$801,$N152)))</f>
        <v/>
      </c>
      <c r="N152">
        <f>IF(ROWS($N$2:$N152)&lt;=COUNT('Per Invoice'!$O$2:$O$801),MATCH(ROWS($N$2:$N152),'Per Invoice'!$O$2:$O$801,0),"")</f>
        <v/>
      </c>
    </row>
    <row r="153">
      <c r="A153">
        <f>IF($N153="","",IF(INDEX('Per Invoice'!$A$2:$A$801,$N153)="","",INDEX('Per Invoice'!$A$2:$A$801,$N153)))</f>
        <v/>
      </c>
      <c r="B153">
        <f>IF($N153="","",IF(INDEX('Per Invoice'!$B$2:$B$801,$N153)="","",INDEX('Per Invoice'!$B$2:$B$801,$N153)))</f>
        <v/>
      </c>
      <c r="C153">
        <f>IF($N153="","",IF(INDEX('Per Invoice'!$C$2:$C$801,$N153)="","",INDEX('Per Invoice'!$C$2:$C$801,$N153)))</f>
        <v/>
      </c>
      <c r="D153">
        <f>IF($N153="","",IF(INDEX('Per Invoice'!$D$2:$D$801,$N153)="","",INDEX('Per Invoice'!$D$2:$D$801,$N153)))</f>
        <v/>
      </c>
      <c r="E153">
        <f>IF($N153="","",IF(INDEX('Per Invoice'!$E$2:$E$801,$N153)="","",INDEX('Per Invoice'!$E$2:$E$801,$N153)))</f>
        <v/>
      </c>
      <c r="F153">
        <f>IF($N153="","",IF(INDEX('Per Invoice'!$F$2:$F$801,$N153)="","",INDEX('Per Invoice'!$F$2:$F$801,$N153)))</f>
        <v/>
      </c>
      <c r="G153">
        <f>IF($N153="","",IF(INDEX('Per Invoice'!$G$2:$G$801,$N153)="","",INDEX('Per Invoice'!$G$2:$G$801,$N153)))</f>
        <v/>
      </c>
      <c r="H153">
        <f>IF($N153="","",IF(INDEX('Per Invoice'!$H$2:$H$801,$N153)="","",INDEX('Per Invoice'!$H$2:$H$801,$N153)))</f>
        <v/>
      </c>
      <c r="I153" s="5">
        <f>IF($N153="","",IF(INDEX('Per Invoice'!$I$2:$I$801,$N153)="","",INDEX('Per Invoice'!$I$2:$I$801,$N153)))</f>
        <v/>
      </c>
      <c r="J153" s="5">
        <f>IF($N153="","",IF(INDEX('Per Invoice'!$J$2:$J$801,$N153)="","",INDEX('Per Invoice'!$J$2:$J$801,$N153)))</f>
        <v/>
      </c>
      <c r="K153" s="5">
        <f>IF($N153="","",IF(INDEX('Per Invoice'!$K$2:$K$801,$N153)="","",INDEX('Per Invoice'!$K$2:$K$801,$N153)))</f>
        <v/>
      </c>
      <c r="L153" s="5">
        <f>IF($N153="","",IF(INDEX('Per Invoice'!$L$2:$L$801,$N153)="","",INDEX('Per Invoice'!$L$2:$L$801,$N153)))</f>
        <v/>
      </c>
      <c r="M153" s="5">
        <f>IF($N153="","",IF(INDEX('Per Invoice'!$M$2:$M$801,$N153)="","",INDEX('Per Invoice'!$M$2:$M$801,$N153)))</f>
        <v/>
      </c>
      <c r="N153">
        <f>IF(ROWS($N$2:$N153)&lt;=COUNT('Per Invoice'!$O$2:$O$801),MATCH(ROWS($N$2:$N153),'Per Invoice'!$O$2:$O$801,0),"")</f>
        <v/>
      </c>
    </row>
    <row r="154">
      <c r="A154">
        <f>IF($N154="","",IF(INDEX('Per Invoice'!$A$2:$A$801,$N154)="","",INDEX('Per Invoice'!$A$2:$A$801,$N154)))</f>
        <v/>
      </c>
      <c r="B154">
        <f>IF($N154="","",IF(INDEX('Per Invoice'!$B$2:$B$801,$N154)="","",INDEX('Per Invoice'!$B$2:$B$801,$N154)))</f>
        <v/>
      </c>
      <c r="C154">
        <f>IF($N154="","",IF(INDEX('Per Invoice'!$C$2:$C$801,$N154)="","",INDEX('Per Invoice'!$C$2:$C$801,$N154)))</f>
        <v/>
      </c>
      <c r="D154">
        <f>IF($N154="","",IF(INDEX('Per Invoice'!$D$2:$D$801,$N154)="","",INDEX('Per Invoice'!$D$2:$D$801,$N154)))</f>
        <v/>
      </c>
      <c r="E154">
        <f>IF($N154="","",IF(INDEX('Per Invoice'!$E$2:$E$801,$N154)="","",INDEX('Per Invoice'!$E$2:$E$801,$N154)))</f>
        <v/>
      </c>
      <c r="F154">
        <f>IF($N154="","",IF(INDEX('Per Invoice'!$F$2:$F$801,$N154)="","",INDEX('Per Invoice'!$F$2:$F$801,$N154)))</f>
        <v/>
      </c>
      <c r="G154">
        <f>IF($N154="","",IF(INDEX('Per Invoice'!$G$2:$G$801,$N154)="","",INDEX('Per Invoice'!$G$2:$G$801,$N154)))</f>
        <v/>
      </c>
      <c r="H154">
        <f>IF($N154="","",IF(INDEX('Per Invoice'!$H$2:$H$801,$N154)="","",INDEX('Per Invoice'!$H$2:$H$801,$N154)))</f>
        <v/>
      </c>
      <c r="I154" s="5">
        <f>IF($N154="","",IF(INDEX('Per Invoice'!$I$2:$I$801,$N154)="","",INDEX('Per Invoice'!$I$2:$I$801,$N154)))</f>
        <v/>
      </c>
      <c r="J154" s="5">
        <f>IF($N154="","",IF(INDEX('Per Invoice'!$J$2:$J$801,$N154)="","",INDEX('Per Invoice'!$J$2:$J$801,$N154)))</f>
        <v/>
      </c>
      <c r="K154" s="5">
        <f>IF($N154="","",IF(INDEX('Per Invoice'!$K$2:$K$801,$N154)="","",INDEX('Per Invoice'!$K$2:$K$801,$N154)))</f>
        <v/>
      </c>
      <c r="L154" s="5">
        <f>IF($N154="","",IF(INDEX('Per Invoice'!$L$2:$L$801,$N154)="","",INDEX('Per Invoice'!$L$2:$L$801,$N154)))</f>
        <v/>
      </c>
      <c r="M154" s="5">
        <f>IF($N154="","",IF(INDEX('Per Invoice'!$M$2:$M$801,$N154)="","",INDEX('Per Invoice'!$M$2:$M$801,$N154)))</f>
        <v/>
      </c>
      <c r="N154">
        <f>IF(ROWS($N$2:$N154)&lt;=COUNT('Per Invoice'!$O$2:$O$801),MATCH(ROWS($N$2:$N154),'Per Invoice'!$O$2:$O$801,0),"")</f>
        <v/>
      </c>
    </row>
    <row r="155">
      <c r="A155">
        <f>IF($N155="","",IF(INDEX('Per Invoice'!$A$2:$A$801,$N155)="","",INDEX('Per Invoice'!$A$2:$A$801,$N155)))</f>
        <v/>
      </c>
      <c r="B155">
        <f>IF($N155="","",IF(INDEX('Per Invoice'!$B$2:$B$801,$N155)="","",INDEX('Per Invoice'!$B$2:$B$801,$N155)))</f>
        <v/>
      </c>
      <c r="C155">
        <f>IF($N155="","",IF(INDEX('Per Invoice'!$C$2:$C$801,$N155)="","",INDEX('Per Invoice'!$C$2:$C$801,$N155)))</f>
        <v/>
      </c>
      <c r="D155">
        <f>IF($N155="","",IF(INDEX('Per Invoice'!$D$2:$D$801,$N155)="","",INDEX('Per Invoice'!$D$2:$D$801,$N155)))</f>
        <v/>
      </c>
      <c r="E155">
        <f>IF($N155="","",IF(INDEX('Per Invoice'!$E$2:$E$801,$N155)="","",INDEX('Per Invoice'!$E$2:$E$801,$N155)))</f>
        <v/>
      </c>
      <c r="F155">
        <f>IF($N155="","",IF(INDEX('Per Invoice'!$F$2:$F$801,$N155)="","",INDEX('Per Invoice'!$F$2:$F$801,$N155)))</f>
        <v/>
      </c>
      <c r="G155">
        <f>IF($N155="","",IF(INDEX('Per Invoice'!$G$2:$G$801,$N155)="","",INDEX('Per Invoice'!$G$2:$G$801,$N155)))</f>
        <v/>
      </c>
      <c r="H155">
        <f>IF($N155="","",IF(INDEX('Per Invoice'!$H$2:$H$801,$N155)="","",INDEX('Per Invoice'!$H$2:$H$801,$N155)))</f>
        <v/>
      </c>
      <c r="I155" s="5">
        <f>IF($N155="","",IF(INDEX('Per Invoice'!$I$2:$I$801,$N155)="","",INDEX('Per Invoice'!$I$2:$I$801,$N155)))</f>
        <v/>
      </c>
      <c r="J155" s="5">
        <f>IF($N155="","",IF(INDEX('Per Invoice'!$J$2:$J$801,$N155)="","",INDEX('Per Invoice'!$J$2:$J$801,$N155)))</f>
        <v/>
      </c>
      <c r="K155" s="5">
        <f>IF($N155="","",IF(INDEX('Per Invoice'!$K$2:$K$801,$N155)="","",INDEX('Per Invoice'!$K$2:$K$801,$N155)))</f>
        <v/>
      </c>
      <c r="L155" s="5">
        <f>IF($N155="","",IF(INDEX('Per Invoice'!$L$2:$L$801,$N155)="","",INDEX('Per Invoice'!$L$2:$L$801,$N155)))</f>
        <v/>
      </c>
      <c r="M155" s="5">
        <f>IF($N155="","",IF(INDEX('Per Invoice'!$M$2:$M$801,$N155)="","",INDEX('Per Invoice'!$M$2:$M$801,$N155)))</f>
        <v/>
      </c>
      <c r="N155">
        <f>IF(ROWS($N$2:$N155)&lt;=COUNT('Per Invoice'!$O$2:$O$801),MATCH(ROWS($N$2:$N155),'Per Invoice'!$O$2:$O$801,0),"")</f>
        <v/>
      </c>
    </row>
    <row r="156">
      <c r="A156">
        <f>IF($N156="","",IF(INDEX('Per Invoice'!$A$2:$A$801,$N156)="","",INDEX('Per Invoice'!$A$2:$A$801,$N156)))</f>
        <v/>
      </c>
      <c r="B156">
        <f>IF($N156="","",IF(INDEX('Per Invoice'!$B$2:$B$801,$N156)="","",INDEX('Per Invoice'!$B$2:$B$801,$N156)))</f>
        <v/>
      </c>
      <c r="C156">
        <f>IF($N156="","",IF(INDEX('Per Invoice'!$C$2:$C$801,$N156)="","",INDEX('Per Invoice'!$C$2:$C$801,$N156)))</f>
        <v/>
      </c>
      <c r="D156">
        <f>IF($N156="","",IF(INDEX('Per Invoice'!$D$2:$D$801,$N156)="","",INDEX('Per Invoice'!$D$2:$D$801,$N156)))</f>
        <v/>
      </c>
      <c r="E156">
        <f>IF($N156="","",IF(INDEX('Per Invoice'!$E$2:$E$801,$N156)="","",INDEX('Per Invoice'!$E$2:$E$801,$N156)))</f>
        <v/>
      </c>
      <c r="F156">
        <f>IF($N156="","",IF(INDEX('Per Invoice'!$F$2:$F$801,$N156)="","",INDEX('Per Invoice'!$F$2:$F$801,$N156)))</f>
        <v/>
      </c>
      <c r="G156">
        <f>IF($N156="","",IF(INDEX('Per Invoice'!$G$2:$G$801,$N156)="","",INDEX('Per Invoice'!$G$2:$G$801,$N156)))</f>
        <v/>
      </c>
      <c r="H156">
        <f>IF($N156="","",IF(INDEX('Per Invoice'!$H$2:$H$801,$N156)="","",INDEX('Per Invoice'!$H$2:$H$801,$N156)))</f>
        <v/>
      </c>
      <c r="I156" s="5">
        <f>IF($N156="","",IF(INDEX('Per Invoice'!$I$2:$I$801,$N156)="","",INDEX('Per Invoice'!$I$2:$I$801,$N156)))</f>
        <v/>
      </c>
      <c r="J156" s="5">
        <f>IF($N156="","",IF(INDEX('Per Invoice'!$J$2:$J$801,$N156)="","",INDEX('Per Invoice'!$J$2:$J$801,$N156)))</f>
        <v/>
      </c>
      <c r="K156" s="5">
        <f>IF($N156="","",IF(INDEX('Per Invoice'!$K$2:$K$801,$N156)="","",INDEX('Per Invoice'!$K$2:$K$801,$N156)))</f>
        <v/>
      </c>
      <c r="L156" s="5">
        <f>IF($N156="","",IF(INDEX('Per Invoice'!$L$2:$L$801,$N156)="","",INDEX('Per Invoice'!$L$2:$L$801,$N156)))</f>
        <v/>
      </c>
      <c r="M156" s="5">
        <f>IF($N156="","",IF(INDEX('Per Invoice'!$M$2:$M$801,$N156)="","",INDEX('Per Invoice'!$M$2:$M$801,$N156)))</f>
        <v/>
      </c>
      <c r="N156">
        <f>IF(ROWS($N$2:$N156)&lt;=COUNT('Per Invoice'!$O$2:$O$801),MATCH(ROWS($N$2:$N156),'Per Invoice'!$O$2:$O$801,0),"")</f>
        <v/>
      </c>
    </row>
    <row r="157">
      <c r="A157">
        <f>IF($N157="","",IF(INDEX('Per Invoice'!$A$2:$A$801,$N157)="","",INDEX('Per Invoice'!$A$2:$A$801,$N157)))</f>
        <v/>
      </c>
      <c r="B157">
        <f>IF($N157="","",IF(INDEX('Per Invoice'!$B$2:$B$801,$N157)="","",INDEX('Per Invoice'!$B$2:$B$801,$N157)))</f>
        <v/>
      </c>
      <c r="C157">
        <f>IF($N157="","",IF(INDEX('Per Invoice'!$C$2:$C$801,$N157)="","",INDEX('Per Invoice'!$C$2:$C$801,$N157)))</f>
        <v/>
      </c>
      <c r="D157">
        <f>IF($N157="","",IF(INDEX('Per Invoice'!$D$2:$D$801,$N157)="","",INDEX('Per Invoice'!$D$2:$D$801,$N157)))</f>
        <v/>
      </c>
      <c r="E157">
        <f>IF($N157="","",IF(INDEX('Per Invoice'!$E$2:$E$801,$N157)="","",INDEX('Per Invoice'!$E$2:$E$801,$N157)))</f>
        <v/>
      </c>
      <c r="F157">
        <f>IF($N157="","",IF(INDEX('Per Invoice'!$F$2:$F$801,$N157)="","",INDEX('Per Invoice'!$F$2:$F$801,$N157)))</f>
        <v/>
      </c>
      <c r="G157">
        <f>IF($N157="","",IF(INDEX('Per Invoice'!$G$2:$G$801,$N157)="","",INDEX('Per Invoice'!$G$2:$G$801,$N157)))</f>
        <v/>
      </c>
      <c r="H157">
        <f>IF($N157="","",IF(INDEX('Per Invoice'!$H$2:$H$801,$N157)="","",INDEX('Per Invoice'!$H$2:$H$801,$N157)))</f>
        <v/>
      </c>
      <c r="I157" s="5">
        <f>IF($N157="","",IF(INDEX('Per Invoice'!$I$2:$I$801,$N157)="","",INDEX('Per Invoice'!$I$2:$I$801,$N157)))</f>
        <v/>
      </c>
      <c r="J157" s="5">
        <f>IF($N157="","",IF(INDEX('Per Invoice'!$J$2:$J$801,$N157)="","",INDEX('Per Invoice'!$J$2:$J$801,$N157)))</f>
        <v/>
      </c>
      <c r="K157" s="5">
        <f>IF($N157="","",IF(INDEX('Per Invoice'!$K$2:$K$801,$N157)="","",INDEX('Per Invoice'!$K$2:$K$801,$N157)))</f>
        <v/>
      </c>
      <c r="L157" s="5">
        <f>IF($N157="","",IF(INDEX('Per Invoice'!$L$2:$L$801,$N157)="","",INDEX('Per Invoice'!$L$2:$L$801,$N157)))</f>
        <v/>
      </c>
      <c r="M157" s="5">
        <f>IF($N157="","",IF(INDEX('Per Invoice'!$M$2:$M$801,$N157)="","",INDEX('Per Invoice'!$M$2:$M$801,$N157)))</f>
        <v/>
      </c>
      <c r="N157">
        <f>IF(ROWS($N$2:$N157)&lt;=COUNT('Per Invoice'!$O$2:$O$801),MATCH(ROWS($N$2:$N157),'Per Invoice'!$O$2:$O$801,0),"")</f>
        <v/>
      </c>
    </row>
    <row r="158">
      <c r="A158">
        <f>IF($N158="","",IF(INDEX('Per Invoice'!$A$2:$A$801,$N158)="","",INDEX('Per Invoice'!$A$2:$A$801,$N158)))</f>
        <v/>
      </c>
      <c r="B158">
        <f>IF($N158="","",IF(INDEX('Per Invoice'!$B$2:$B$801,$N158)="","",INDEX('Per Invoice'!$B$2:$B$801,$N158)))</f>
        <v/>
      </c>
      <c r="C158">
        <f>IF($N158="","",IF(INDEX('Per Invoice'!$C$2:$C$801,$N158)="","",INDEX('Per Invoice'!$C$2:$C$801,$N158)))</f>
        <v/>
      </c>
      <c r="D158">
        <f>IF($N158="","",IF(INDEX('Per Invoice'!$D$2:$D$801,$N158)="","",INDEX('Per Invoice'!$D$2:$D$801,$N158)))</f>
        <v/>
      </c>
      <c r="E158">
        <f>IF($N158="","",IF(INDEX('Per Invoice'!$E$2:$E$801,$N158)="","",INDEX('Per Invoice'!$E$2:$E$801,$N158)))</f>
        <v/>
      </c>
      <c r="F158">
        <f>IF($N158="","",IF(INDEX('Per Invoice'!$F$2:$F$801,$N158)="","",INDEX('Per Invoice'!$F$2:$F$801,$N158)))</f>
        <v/>
      </c>
      <c r="G158">
        <f>IF($N158="","",IF(INDEX('Per Invoice'!$G$2:$G$801,$N158)="","",INDEX('Per Invoice'!$G$2:$G$801,$N158)))</f>
        <v/>
      </c>
      <c r="H158">
        <f>IF($N158="","",IF(INDEX('Per Invoice'!$H$2:$H$801,$N158)="","",INDEX('Per Invoice'!$H$2:$H$801,$N158)))</f>
        <v/>
      </c>
      <c r="I158" s="5">
        <f>IF($N158="","",IF(INDEX('Per Invoice'!$I$2:$I$801,$N158)="","",INDEX('Per Invoice'!$I$2:$I$801,$N158)))</f>
        <v/>
      </c>
      <c r="J158" s="5">
        <f>IF($N158="","",IF(INDEX('Per Invoice'!$J$2:$J$801,$N158)="","",INDEX('Per Invoice'!$J$2:$J$801,$N158)))</f>
        <v/>
      </c>
      <c r="K158" s="5">
        <f>IF($N158="","",IF(INDEX('Per Invoice'!$K$2:$K$801,$N158)="","",INDEX('Per Invoice'!$K$2:$K$801,$N158)))</f>
        <v/>
      </c>
      <c r="L158" s="5">
        <f>IF($N158="","",IF(INDEX('Per Invoice'!$L$2:$L$801,$N158)="","",INDEX('Per Invoice'!$L$2:$L$801,$N158)))</f>
        <v/>
      </c>
      <c r="M158" s="5">
        <f>IF($N158="","",IF(INDEX('Per Invoice'!$M$2:$M$801,$N158)="","",INDEX('Per Invoice'!$M$2:$M$801,$N158)))</f>
        <v/>
      </c>
      <c r="N158">
        <f>IF(ROWS($N$2:$N158)&lt;=COUNT('Per Invoice'!$O$2:$O$801),MATCH(ROWS($N$2:$N158),'Per Invoice'!$O$2:$O$801,0),"")</f>
        <v/>
      </c>
    </row>
    <row r="159">
      <c r="A159">
        <f>IF($N159="","",IF(INDEX('Per Invoice'!$A$2:$A$801,$N159)="","",INDEX('Per Invoice'!$A$2:$A$801,$N159)))</f>
        <v/>
      </c>
      <c r="B159">
        <f>IF($N159="","",IF(INDEX('Per Invoice'!$B$2:$B$801,$N159)="","",INDEX('Per Invoice'!$B$2:$B$801,$N159)))</f>
        <v/>
      </c>
      <c r="C159">
        <f>IF($N159="","",IF(INDEX('Per Invoice'!$C$2:$C$801,$N159)="","",INDEX('Per Invoice'!$C$2:$C$801,$N159)))</f>
        <v/>
      </c>
      <c r="D159">
        <f>IF($N159="","",IF(INDEX('Per Invoice'!$D$2:$D$801,$N159)="","",INDEX('Per Invoice'!$D$2:$D$801,$N159)))</f>
        <v/>
      </c>
      <c r="E159">
        <f>IF($N159="","",IF(INDEX('Per Invoice'!$E$2:$E$801,$N159)="","",INDEX('Per Invoice'!$E$2:$E$801,$N159)))</f>
        <v/>
      </c>
      <c r="F159">
        <f>IF($N159="","",IF(INDEX('Per Invoice'!$F$2:$F$801,$N159)="","",INDEX('Per Invoice'!$F$2:$F$801,$N159)))</f>
        <v/>
      </c>
      <c r="G159">
        <f>IF($N159="","",IF(INDEX('Per Invoice'!$G$2:$G$801,$N159)="","",INDEX('Per Invoice'!$G$2:$G$801,$N159)))</f>
        <v/>
      </c>
      <c r="H159">
        <f>IF($N159="","",IF(INDEX('Per Invoice'!$H$2:$H$801,$N159)="","",INDEX('Per Invoice'!$H$2:$H$801,$N159)))</f>
        <v/>
      </c>
      <c r="I159" s="5">
        <f>IF($N159="","",IF(INDEX('Per Invoice'!$I$2:$I$801,$N159)="","",INDEX('Per Invoice'!$I$2:$I$801,$N159)))</f>
        <v/>
      </c>
      <c r="J159" s="5">
        <f>IF($N159="","",IF(INDEX('Per Invoice'!$J$2:$J$801,$N159)="","",INDEX('Per Invoice'!$J$2:$J$801,$N159)))</f>
        <v/>
      </c>
      <c r="K159" s="5">
        <f>IF($N159="","",IF(INDEX('Per Invoice'!$K$2:$K$801,$N159)="","",INDEX('Per Invoice'!$K$2:$K$801,$N159)))</f>
        <v/>
      </c>
      <c r="L159" s="5">
        <f>IF($N159="","",IF(INDEX('Per Invoice'!$L$2:$L$801,$N159)="","",INDEX('Per Invoice'!$L$2:$L$801,$N159)))</f>
        <v/>
      </c>
      <c r="M159" s="5">
        <f>IF($N159="","",IF(INDEX('Per Invoice'!$M$2:$M$801,$N159)="","",INDEX('Per Invoice'!$M$2:$M$801,$N159)))</f>
        <v/>
      </c>
      <c r="N159">
        <f>IF(ROWS($N$2:$N159)&lt;=COUNT('Per Invoice'!$O$2:$O$801),MATCH(ROWS($N$2:$N159),'Per Invoice'!$O$2:$O$801,0),"")</f>
        <v/>
      </c>
    </row>
    <row r="160">
      <c r="A160">
        <f>IF($N160="","",IF(INDEX('Per Invoice'!$A$2:$A$801,$N160)="","",INDEX('Per Invoice'!$A$2:$A$801,$N160)))</f>
        <v/>
      </c>
      <c r="B160">
        <f>IF($N160="","",IF(INDEX('Per Invoice'!$B$2:$B$801,$N160)="","",INDEX('Per Invoice'!$B$2:$B$801,$N160)))</f>
        <v/>
      </c>
      <c r="C160">
        <f>IF($N160="","",IF(INDEX('Per Invoice'!$C$2:$C$801,$N160)="","",INDEX('Per Invoice'!$C$2:$C$801,$N160)))</f>
        <v/>
      </c>
      <c r="D160">
        <f>IF($N160="","",IF(INDEX('Per Invoice'!$D$2:$D$801,$N160)="","",INDEX('Per Invoice'!$D$2:$D$801,$N160)))</f>
        <v/>
      </c>
      <c r="E160">
        <f>IF($N160="","",IF(INDEX('Per Invoice'!$E$2:$E$801,$N160)="","",INDEX('Per Invoice'!$E$2:$E$801,$N160)))</f>
        <v/>
      </c>
      <c r="F160">
        <f>IF($N160="","",IF(INDEX('Per Invoice'!$F$2:$F$801,$N160)="","",INDEX('Per Invoice'!$F$2:$F$801,$N160)))</f>
        <v/>
      </c>
      <c r="G160">
        <f>IF($N160="","",IF(INDEX('Per Invoice'!$G$2:$G$801,$N160)="","",INDEX('Per Invoice'!$G$2:$G$801,$N160)))</f>
        <v/>
      </c>
      <c r="H160">
        <f>IF($N160="","",IF(INDEX('Per Invoice'!$H$2:$H$801,$N160)="","",INDEX('Per Invoice'!$H$2:$H$801,$N160)))</f>
        <v/>
      </c>
      <c r="I160" s="5">
        <f>IF($N160="","",IF(INDEX('Per Invoice'!$I$2:$I$801,$N160)="","",INDEX('Per Invoice'!$I$2:$I$801,$N160)))</f>
        <v/>
      </c>
      <c r="J160" s="5">
        <f>IF($N160="","",IF(INDEX('Per Invoice'!$J$2:$J$801,$N160)="","",INDEX('Per Invoice'!$J$2:$J$801,$N160)))</f>
        <v/>
      </c>
      <c r="K160" s="5">
        <f>IF($N160="","",IF(INDEX('Per Invoice'!$K$2:$K$801,$N160)="","",INDEX('Per Invoice'!$K$2:$K$801,$N160)))</f>
        <v/>
      </c>
      <c r="L160" s="5">
        <f>IF($N160="","",IF(INDEX('Per Invoice'!$L$2:$L$801,$N160)="","",INDEX('Per Invoice'!$L$2:$L$801,$N160)))</f>
        <v/>
      </c>
      <c r="M160" s="5">
        <f>IF($N160="","",IF(INDEX('Per Invoice'!$M$2:$M$801,$N160)="","",INDEX('Per Invoice'!$M$2:$M$801,$N160)))</f>
        <v/>
      </c>
      <c r="N160">
        <f>IF(ROWS($N$2:$N160)&lt;=COUNT('Per Invoice'!$O$2:$O$801),MATCH(ROWS($N$2:$N160),'Per Invoice'!$O$2:$O$801,0),"")</f>
        <v/>
      </c>
    </row>
    <row r="161">
      <c r="A161">
        <f>IF($N161="","",IF(INDEX('Per Invoice'!$A$2:$A$801,$N161)="","",INDEX('Per Invoice'!$A$2:$A$801,$N161)))</f>
        <v/>
      </c>
      <c r="B161">
        <f>IF($N161="","",IF(INDEX('Per Invoice'!$B$2:$B$801,$N161)="","",INDEX('Per Invoice'!$B$2:$B$801,$N161)))</f>
        <v/>
      </c>
      <c r="C161">
        <f>IF($N161="","",IF(INDEX('Per Invoice'!$C$2:$C$801,$N161)="","",INDEX('Per Invoice'!$C$2:$C$801,$N161)))</f>
        <v/>
      </c>
      <c r="D161">
        <f>IF($N161="","",IF(INDEX('Per Invoice'!$D$2:$D$801,$N161)="","",INDEX('Per Invoice'!$D$2:$D$801,$N161)))</f>
        <v/>
      </c>
      <c r="E161">
        <f>IF($N161="","",IF(INDEX('Per Invoice'!$E$2:$E$801,$N161)="","",INDEX('Per Invoice'!$E$2:$E$801,$N161)))</f>
        <v/>
      </c>
      <c r="F161">
        <f>IF($N161="","",IF(INDEX('Per Invoice'!$F$2:$F$801,$N161)="","",INDEX('Per Invoice'!$F$2:$F$801,$N161)))</f>
        <v/>
      </c>
      <c r="G161">
        <f>IF($N161="","",IF(INDEX('Per Invoice'!$G$2:$G$801,$N161)="","",INDEX('Per Invoice'!$G$2:$G$801,$N161)))</f>
        <v/>
      </c>
      <c r="H161">
        <f>IF($N161="","",IF(INDEX('Per Invoice'!$H$2:$H$801,$N161)="","",INDEX('Per Invoice'!$H$2:$H$801,$N161)))</f>
        <v/>
      </c>
      <c r="I161" s="5">
        <f>IF($N161="","",IF(INDEX('Per Invoice'!$I$2:$I$801,$N161)="","",INDEX('Per Invoice'!$I$2:$I$801,$N161)))</f>
        <v/>
      </c>
      <c r="J161" s="5">
        <f>IF($N161="","",IF(INDEX('Per Invoice'!$J$2:$J$801,$N161)="","",INDEX('Per Invoice'!$J$2:$J$801,$N161)))</f>
        <v/>
      </c>
      <c r="K161" s="5">
        <f>IF($N161="","",IF(INDEX('Per Invoice'!$K$2:$K$801,$N161)="","",INDEX('Per Invoice'!$K$2:$K$801,$N161)))</f>
        <v/>
      </c>
      <c r="L161" s="5">
        <f>IF($N161="","",IF(INDEX('Per Invoice'!$L$2:$L$801,$N161)="","",INDEX('Per Invoice'!$L$2:$L$801,$N161)))</f>
        <v/>
      </c>
      <c r="M161" s="5">
        <f>IF($N161="","",IF(INDEX('Per Invoice'!$M$2:$M$801,$N161)="","",INDEX('Per Invoice'!$M$2:$M$801,$N161)))</f>
        <v/>
      </c>
      <c r="N161">
        <f>IF(ROWS($N$2:$N161)&lt;=COUNT('Per Invoice'!$O$2:$O$801),MATCH(ROWS($N$2:$N161),'Per Invoice'!$O$2:$O$801,0),"")</f>
        <v/>
      </c>
    </row>
    <row r="162">
      <c r="A162">
        <f>IF($N162="","",IF(INDEX('Per Invoice'!$A$2:$A$801,$N162)="","",INDEX('Per Invoice'!$A$2:$A$801,$N162)))</f>
        <v/>
      </c>
      <c r="B162">
        <f>IF($N162="","",IF(INDEX('Per Invoice'!$B$2:$B$801,$N162)="","",INDEX('Per Invoice'!$B$2:$B$801,$N162)))</f>
        <v/>
      </c>
      <c r="C162">
        <f>IF($N162="","",IF(INDEX('Per Invoice'!$C$2:$C$801,$N162)="","",INDEX('Per Invoice'!$C$2:$C$801,$N162)))</f>
        <v/>
      </c>
      <c r="D162">
        <f>IF($N162="","",IF(INDEX('Per Invoice'!$D$2:$D$801,$N162)="","",INDEX('Per Invoice'!$D$2:$D$801,$N162)))</f>
        <v/>
      </c>
      <c r="E162">
        <f>IF($N162="","",IF(INDEX('Per Invoice'!$E$2:$E$801,$N162)="","",INDEX('Per Invoice'!$E$2:$E$801,$N162)))</f>
        <v/>
      </c>
      <c r="F162">
        <f>IF($N162="","",IF(INDEX('Per Invoice'!$F$2:$F$801,$N162)="","",INDEX('Per Invoice'!$F$2:$F$801,$N162)))</f>
        <v/>
      </c>
      <c r="G162">
        <f>IF($N162="","",IF(INDEX('Per Invoice'!$G$2:$G$801,$N162)="","",INDEX('Per Invoice'!$G$2:$G$801,$N162)))</f>
        <v/>
      </c>
      <c r="H162">
        <f>IF($N162="","",IF(INDEX('Per Invoice'!$H$2:$H$801,$N162)="","",INDEX('Per Invoice'!$H$2:$H$801,$N162)))</f>
        <v/>
      </c>
      <c r="I162" s="5">
        <f>IF($N162="","",IF(INDEX('Per Invoice'!$I$2:$I$801,$N162)="","",INDEX('Per Invoice'!$I$2:$I$801,$N162)))</f>
        <v/>
      </c>
      <c r="J162" s="5">
        <f>IF($N162="","",IF(INDEX('Per Invoice'!$J$2:$J$801,$N162)="","",INDEX('Per Invoice'!$J$2:$J$801,$N162)))</f>
        <v/>
      </c>
      <c r="K162" s="5">
        <f>IF($N162="","",IF(INDEX('Per Invoice'!$K$2:$K$801,$N162)="","",INDEX('Per Invoice'!$K$2:$K$801,$N162)))</f>
        <v/>
      </c>
      <c r="L162" s="5">
        <f>IF($N162="","",IF(INDEX('Per Invoice'!$L$2:$L$801,$N162)="","",INDEX('Per Invoice'!$L$2:$L$801,$N162)))</f>
        <v/>
      </c>
      <c r="M162" s="5">
        <f>IF($N162="","",IF(INDEX('Per Invoice'!$M$2:$M$801,$N162)="","",INDEX('Per Invoice'!$M$2:$M$801,$N162)))</f>
        <v/>
      </c>
      <c r="N162">
        <f>IF(ROWS($N$2:$N162)&lt;=COUNT('Per Invoice'!$O$2:$O$801),MATCH(ROWS($N$2:$N162),'Per Invoice'!$O$2:$O$801,0),"")</f>
        <v/>
      </c>
    </row>
    <row r="163">
      <c r="A163">
        <f>IF($N163="","",IF(INDEX('Per Invoice'!$A$2:$A$801,$N163)="","",INDEX('Per Invoice'!$A$2:$A$801,$N163)))</f>
        <v/>
      </c>
      <c r="B163">
        <f>IF($N163="","",IF(INDEX('Per Invoice'!$B$2:$B$801,$N163)="","",INDEX('Per Invoice'!$B$2:$B$801,$N163)))</f>
        <v/>
      </c>
      <c r="C163">
        <f>IF($N163="","",IF(INDEX('Per Invoice'!$C$2:$C$801,$N163)="","",INDEX('Per Invoice'!$C$2:$C$801,$N163)))</f>
        <v/>
      </c>
      <c r="D163">
        <f>IF($N163="","",IF(INDEX('Per Invoice'!$D$2:$D$801,$N163)="","",INDEX('Per Invoice'!$D$2:$D$801,$N163)))</f>
        <v/>
      </c>
      <c r="E163">
        <f>IF($N163="","",IF(INDEX('Per Invoice'!$E$2:$E$801,$N163)="","",INDEX('Per Invoice'!$E$2:$E$801,$N163)))</f>
        <v/>
      </c>
      <c r="F163">
        <f>IF($N163="","",IF(INDEX('Per Invoice'!$F$2:$F$801,$N163)="","",INDEX('Per Invoice'!$F$2:$F$801,$N163)))</f>
        <v/>
      </c>
      <c r="G163">
        <f>IF($N163="","",IF(INDEX('Per Invoice'!$G$2:$G$801,$N163)="","",INDEX('Per Invoice'!$G$2:$G$801,$N163)))</f>
        <v/>
      </c>
      <c r="H163">
        <f>IF($N163="","",IF(INDEX('Per Invoice'!$H$2:$H$801,$N163)="","",INDEX('Per Invoice'!$H$2:$H$801,$N163)))</f>
        <v/>
      </c>
      <c r="I163" s="5">
        <f>IF($N163="","",IF(INDEX('Per Invoice'!$I$2:$I$801,$N163)="","",INDEX('Per Invoice'!$I$2:$I$801,$N163)))</f>
        <v/>
      </c>
      <c r="J163" s="5">
        <f>IF($N163="","",IF(INDEX('Per Invoice'!$J$2:$J$801,$N163)="","",INDEX('Per Invoice'!$J$2:$J$801,$N163)))</f>
        <v/>
      </c>
      <c r="K163" s="5">
        <f>IF($N163="","",IF(INDEX('Per Invoice'!$K$2:$K$801,$N163)="","",INDEX('Per Invoice'!$K$2:$K$801,$N163)))</f>
        <v/>
      </c>
      <c r="L163" s="5">
        <f>IF($N163="","",IF(INDEX('Per Invoice'!$L$2:$L$801,$N163)="","",INDEX('Per Invoice'!$L$2:$L$801,$N163)))</f>
        <v/>
      </c>
      <c r="M163" s="5">
        <f>IF($N163="","",IF(INDEX('Per Invoice'!$M$2:$M$801,$N163)="","",INDEX('Per Invoice'!$M$2:$M$801,$N163)))</f>
        <v/>
      </c>
      <c r="N163">
        <f>IF(ROWS($N$2:$N163)&lt;=COUNT('Per Invoice'!$O$2:$O$801),MATCH(ROWS($N$2:$N163),'Per Invoice'!$O$2:$O$801,0),"")</f>
        <v/>
      </c>
    </row>
    <row r="164">
      <c r="A164">
        <f>IF($N164="","",IF(INDEX('Per Invoice'!$A$2:$A$801,$N164)="","",INDEX('Per Invoice'!$A$2:$A$801,$N164)))</f>
        <v/>
      </c>
      <c r="B164">
        <f>IF($N164="","",IF(INDEX('Per Invoice'!$B$2:$B$801,$N164)="","",INDEX('Per Invoice'!$B$2:$B$801,$N164)))</f>
        <v/>
      </c>
      <c r="C164">
        <f>IF($N164="","",IF(INDEX('Per Invoice'!$C$2:$C$801,$N164)="","",INDEX('Per Invoice'!$C$2:$C$801,$N164)))</f>
        <v/>
      </c>
      <c r="D164">
        <f>IF($N164="","",IF(INDEX('Per Invoice'!$D$2:$D$801,$N164)="","",INDEX('Per Invoice'!$D$2:$D$801,$N164)))</f>
        <v/>
      </c>
      <c r="E164">
        <f>IF($N164="","",IF(INDEX('Per Invoice'!$E$2:$E$801,$N164)="","",INDEX('Per Invoice'!$E$2:$E$801,$N164)))</f>
        <v/>
      </c>
      <c r="F164">
        <f>IF($N164="","",IF(INDEX('Per Invoice'!$F$2:$F$801,$N164)="","",INDEX('Per Invoice'!$F$2:$F$801,$N164)))</f>
        <v/>
      </c>
      <c r="G164">
        <f>IF($N164="","",IF(INDEX('Per Invoice'!$G$2:$G$801,$N164)="","",INDEX('Per Invoice'!$G$2:$G$801,$N164)))</f>
        <v/>
      </c>
      <c r="H164">
        <f>IF($N164="","",IF(INDEX('Per Invoice'!$H$2:$H$801,$N164)="","",INDEX('Per Invoice'!$H$2:$H$801,$N164)))</f>
        <v/>
      </c>
      <c r="I164" s="5">
        <f>IF($N164="","",IF(INDEX('Per Invoice'!$I$2:$I$801,$N164)="","",INDEX('Per Invoice'!$I$2:$I$801,$N164)))</f>
        <v/>
      </c>
      <c r="J164" s="5">
        <f>IF($N164="","",IF(INDEX('Per Invoice'!$J$2:$J$801,$N164)="","",INDEX('Per Invoice'!$J$2:$J$801,$N164)))</f>
        <v/>
      </c>
      <c r="K164" s="5">
        <f>IF($N164="","",IF(INDEX('Per Invoice'!$K$2:$K$801,$N164)="","",INDEX('Per Invoice'!$K$2:$K$801,$N164)))</f>
        <v/>
      </c>
      <c r="L164" s="5">
        <f>IF($N164="","",IF(INDEX('Per Invoice'!$L$2:$L$801,$N164)="","",INDEX('Per Invoice'!$L$2:$L$801,$N164)))</f>
        <v/>
      </c>
      <c r="M164" s="5">
        <f>IF($N164="","",IF(INDEX('Per Invoice'!$M$2:$M$801,$N164)="","",INDEX('Per Invoice'!$M$2:$M$801,$N164)))</f>
        <v/>
      </c>
      <c r="N164">
        <f>IF(ROWS($N$2:$N164)&lt;=COUNT('Per Invoice'!$O$2:$O$801),MATCH(ROWS($N$2:$N164),'Per Invoice'!$O$2:$O$801,0),"")</f>
        <v/>
      </c>
    </row>
    <row r="165">
      <c r="A165">
        <f>IF($N165="","",IF(INDEX('Per Invoice'!$A$2:$A$801,$N165)="","",INDEX('Per Invoice'!$A$2:$A$801,$N165)))</f>
        <v/>
      </c>
      <c r="B165">
        <f>IF($N165="","",IF(INDEX('Per Invoice'!$B$2:$B$801,$N165)="","",INDEX('Per Invoice'!$B$2:$B$801,$N165)))</f>
        <v/>
      </c>
      <c r="C165">
        <f>IF($N165="","",IF(INDEX('Per Invoice'!$C$2:$C$801,$N165)="","",INDEX('Per Invoice'!$C$2:$C$801,$N165)))</f>
        <v/>
      </c>
      <c r="D165">
        <f>IF($N165="","",IF(INDEX('Per Invoice'!$D$2:$D$801,$N165)="","",INDEX('Per Invoice'!$D$2:$D$801,$N165)))</f>
        <v/>
      </c>
      <c r="E165">
        <f>IF($N165="","",IF(INDEX('Per Invoice'!$E$2:$E$801,$N165)="","",INDEX('Per Invoice'!$E$2:$E$801,$N165)))</f>
        <v/>
      </c>
      <c r="F165">
        <f>IF($N165="","",IF(INDEX('Per Invoice'!$F$2:$F$801,$N165)="","",INDEX('Per Invoice'!$F$2:$F$801,$N165)))</f>
        <v/>
      </c>
      <c r="G165">
        <f>IF($N165="","",IF(INDEX('Per Invoice'!$G$2:$G$801,$N165)="","",INDEX('Per Invoice'!$G$2:$G$801,$N165)))</f>
        <v/>
      </c>
      <c r="H165">
        <f>IF($N165="","",IF(INDEX('Per Invoice'!$H$2:$H$801,$N165)="","",INDEX('Per Invoice'!$H$2:$H$801,$N165)))</f>
        <v/>
      </c>
      <c r="I165" s="5">
        <f>IF($N165="","",IF(INDEX('Per Invoice'!$I$2:$I$801,$N165)="","",INDEX('Per Invoice'!$I$2:$I$801,$N165)))</f>
        <v/>
      </c>
      <c r="J165" s="5">
        <f>IF($N165="","",IF(INDEX('Per Invoice'!$J$2:$J$801,$N165)="","",INDEX('Per Invoice'!$J$2:$J$801,$N165)))</f>
        <v/>
      </c>
      <c r="K165" s="5">
        <f>IF($N165="","",IF(INDEX('Per Invoice'!$K$2:$K$801,$N165)="","",INDEX('Per Invoice'!$K$2:$K$801,$N165)))</f>
        <v/>
      </c>
      <c r="L165" s="5">
        <f>IF($N165="","",IF(INDEX('Per Invoice'!$L$2:$L$801,$N165)="","",INDEX('Per Invoice'!$L$2:$L$801,$N165)))</f>
        <v/>
      </c>
      <c r="M165" s="5">
        <f>IF($N165="","",IF(INDEX('Per Invoice'!$M$2:$M$801,$N165)="","",INDEX('Per Invoice'!$M$2:$M$801,$N165)))</f>
        <v/>
      </c>
      <c r="N165">
        <f>IF(ROWS($N$2:$N165)&lt;=COUNT('Per Invoice'!$O$2:$O$801),MATCH(ROWS($N$2:$N165),'Per Invoice'!$O$2:$O$801,0),"")</f>
        <v/>
      </c>
    </row>
    <row r="166">
      <c r="A166">
        <f>IF($N166="","",IF(INDEX('Per Invoice'!$A$2:$A$801,$N166)="","",INDEX('Per Invoice'!$A$2:$A$801,$N166)))</f>
        <v/>
      </c>
      <c r="B166">
        <f>IF($N166="","",IF(INDEX('Per Invoice'!$B$2:$B$801,$N166)="","",INDEX('Per Invoice'!$B$2:$B$801,$N166)))</f>
        <v/>
      </c>
      <c r="C166">
        <f>IF($N166="","",IF(INDEX('Per Invoice'!$C$2:$C$801,$N166)="","",INDEX('Per Invoice'!$C$2:$C$801,$N166)))</f>
        <v/>
      </c>
      <c r="D166">
        <f>IF($N166="","",IF(INDEX('Per Invoice'!$D$2:$D$801,$N166)="","",INDEX('Per Invoice'!$D$2:$D$801,$N166)))</f>
        <v/>
      </c>
      <c r="E166">
        <f>IF($N166="","",IF(INDEX('Per Invoice'!$E$2:$E$801,$N166)="","",INDEX('Per Invoice'!$E$2:$E$801,$N166)))</f>
        <v/>
      </c>
      <c r="F166">
        <f>IF($N166="","",IF(INDEX('Per Invoice'!$F$2:$F$801,$N166)="","",INDEX('Per Invoice'!$F$2:$F$801,$N166)))</f>
        <v/>
      </c>
      <c r="G166">
        <f>IF($N166="","",IF(INDEX('Per Invoice'!$G$2:$G$801,$N166)="","",INDEX('Per Invoice'!$G$2:$G$801,$N166)))</f>
        <v/>
      </c>
      <c r="H166">
        <f>IF($N166="","",IF(INDEX('Per Invoice'!$H$2:$H$801,$N166)="","",INDEX('Per Invoice'!$H$2:$H$801,$N166)))</f>
        <v/>
      </c>
      <c r="I166" s="5">
        <f>IF($N166="","",IF(INDEX('Per Invoice'!$I$2:$I$801,$N166)="","",INDEX('Per Invoice'!$I$2:$I$801,$N166)))</f>
        <v/>
      </c>
      <c r="J166" s="5">
        <f>IF($N166="","",IF(INDEX('Per Invoice'!$J$2:$J$801,$N166)="","",INDEX('Per Invoice'!$J$2:$J$801,$N166)))</f>
        <v/>
      </c>
      <c r="K166" s="5">
        <f>IF($N166="","",IF(INDEX('Per Invoice'!$K$2:$K$801,$N166)="","",INDEX('Per Invoice'!$K$2:$K$801,$N166)))</f>
        <v/>
      </c>
      <c r="L166" s="5">
        <f>IF($N166="","",IF(INDEX('Per Invoice'!$L$2:$L$801,$N166)="","",INDEX('Per Invoice'!$L$2:$L$801,$N166)))</f>
        <v/>
      </c>
      <c r="M166" s="5">
        <f>IF($N166="","",IF(INDEX('Per Invoice'!$M$2:$M$801,$N166)="","",INDEX('Per Invoice'!$M$2:$M$801,$N166)))</f>
        <v/>
      </c>
      <c r="N166">
        <f>IF(ROWS($N$2:$N166)&lt;=COUNT('Per Invoice'!$O$2:$O$801),MATCH(ROWS($N$2:$N166),'Per Invoice'!$O$2:$O$801,0),"")</f>
        <v/>
      </c>
    </row>
    <row r="167">
      <c r="A167">
        <f>IF($N167="","",IF(INDEX('Per Invoice'!$A$2:$A$801,$N167)="","",INDEX('Per Invoice'!$A$2:$A$801,$N167)))</f>
        <v/>
      </c>
      <c r="B167">
        <f>IF($N167="","",IF(INDEX('Per Invoice'!$B$2:$B$801,$N167)="","",INDEX('Per Invoice'!$B$2:$B$801,$N167)))</f>
        <v/>
      </c>
      <c r="C167">
        <f>IF($N167="","",IF(INDEX('Per Invoice'!$C$2:$C$801,$N167)="","",INDEX('Per Invoice'!$C$2:$C$801,$N167)))</f>
        <v/>
      </c>
      <c r="D167">
        <f>IF($N167="","",IF(INDEX('Per Invoice'!$D$2:$D$801,$N167)="","",INDEX('Per Invoice'!$D$2:$D$801,$N167)))</f>
        <v/>
      </c>
      <c r="E167">
        <f>IF($N167="","",IF(INDEX('Per Invoice'!$E$2:$E$801,$N167)="","",INDEX('Per Invoice'!$E$2:$E$801,$N167)))</f>
        <v/>
      </c>
      <c r="F167">
        <f>IF($N167="","",IF(INDEX('Per Invoice'!$F$2:$F$801,$N167)="","",INDEX('Per Invoice'!$F$2:$F$801,$N167)))</f>
        <v/>
      </c>
      <c r="G167">
        <f>IF($N167="","",IF(INDEX('Per Invoice'!$G$2:$G$801,$N167)="","",INDEX('Per Invoice'!$G$2:$G$801,$N167)))</f>
        <v/>
      </c>
      <c r="H167">
        <f>IF($N167="","",IF(INDEX('Per Invoice'!$H$2:$H$801,$N167)="","",INDEX('Per Invoice'!$H$2:$H$801,$N167)))</f>
        <v/>
      </c>
      <c r="I167" s="5">
        <f>IF($N167="","",IF(INDEX('Per Invoice'!$I$2:$I$801,$N167)="","",INDEX('Per Invoice'!$I$2:$I$801,$N167)))</f>
        <v/>
      </c>
      <c r="J167" s="5">
        <f>IF($N167="","",IF(INDEX('Per Invoice'!$J$2:$J$801,$N167)="","",INDEX('Per Invoice'!$J$2:$J$801,$N167)))</f>
        <v/>
      </c>
      <c r="K167" s="5">
        <f>IF($N167="","",IF(INDEX('Per Invoice'!$K$2:$K$801,$N167)="","",INDEX('Per Invoice'!$K$2:$K$801,$N167)))</f>
        <v/>
      </c>
      <c r="L167" s="5">
        <f>IF($N167="","",IF(INDEX('Per Invoice'!$L$2:$L$801,$N167)="","",INDEX('Per Invoice'!$L$2:$L$801,$N167)))</f>
        <v/>
      </c>
      <c r="M167" s="5">
        <f>IF($N167="","",IF(INDEX('Per Invoice'!$M$2:$M$801,$N167)="","",INDEX('Per Invoice'!$M$2:$M$801,$N167)))</f>
        <v/>
      </c>
      <c r="N167">
        <f>IF(ROWS($N$2:$N167)&lt;=COUNT('Per Invoice'!$O$2:$O$801),MATCH(ROWS($N$2:$N167),'Per Invoice'!$O$2:$O$801,0),"")</f>
        <v/>
      </c>
    </row>
    <row r="168">
      <c r="A168">
        <f>IF($N168="","",IF(INDEX('Per Invoice'!$A$2:$A$801,$N168)="","",INDEX('Per Invoice'!$A$2:$A$801,$N168)))</f>
        <v/>
      </c>
      <c r="B168">
        <f>IF($N168="","",IF(INDEX('Per Invoice'!$B$2:$B$801,$N168)="","",INDEX('Per Invoice'!$B$2:$B$801,$N168)))</f>
        <v/>
      </c>
      <c r="C168">
        <f>IF($N168="","",IF(INDEX('Per Invoice'!$C$2:$C$801,$N168)="","",INDEX('Per Invoice'!$C$2:$C$801,$N168)))</f>
        <v/>
      </c>
      <c r="D168">
        <f>IF($N168="","",IF(INDEX('Per Invoice'!$D$2:$D$801,$N168)="","",INDEX('Per Invoice'!$D$2:$D$801,$N168)))</f>
        <v/>
      </c>
      <c r="E168">
        <f>IF($N168="","",IF(INDEX('Per Invoice'!$E$2:$E$801,$N168)="","",INDEX('Per Invoice'!$E$2:$E$801,$N168)))</f>
        <v/>
      </c>
      <c r="F168">
        <f>IF($N168="","",IF(INDEX('Per Invoice'!$F$2:$F$801,$N168)="","",INDEX('Per Invoice'!$F$2:$F$801,$N168)))</f>
        <v/>
      </c>
      <c r="G168">
        <f>IF($N168="","",IF(INDEX('Per Invoice'!$G$2:$G$801,$N168)="","",INDEX('Per Invoice'!$G$2:$G$801,$N168)))</f>
        <v/>
      </c>
      <c r="H168">
        <f>IF($N168="","",IF(INDEX('Per Invoice'!$H$2:$H$801,$N168)="","",INDEX('Per Invoice'!$H$2:$H$801,$N168)))</f>
        <v/>
      </c>
      <c r="I168" s="5">
        <f>IF($N168="","",IF(INDEX('Per Invoice'!$I$2:$I$801,$N168)="","",INDEX('Per Invoice'!$I$2:$I$801,$N168)))</f>
        <v/>
      </c>
      <c r="J168" s="5">
        <f>IF($N168="","",IF(INDEX('Per Invoice'!$J$2:$J$801,$N168)="","",INDEX('Per Invoice'!$J$2:$J$801,$N168)))</f>
        <v/>
      </c>
      <c r="K168" s="5">
        <f>IF($N168="","",IF(INDEX('Per Invoice'!$K$2:$K$801,$N168)="","",INDEX('Per Invoice'!$K$2:$K$801,$N168)))</f>
        <v/>
      </c>
      <c r="L168" s="5">
        <f>IF($N168="","",IF(INDEX('Per Invoice'!$L$2:$L$801,$N168)="","",INDEX('Per Invoice'!$L$2:$L$801,$N168)))</f>
        <v/>
      </c>
      <c r="M168" s="5">
        <f>IF($N168="","",IF(INDEX('Per Invoice'!$M$2:$M$801,$N168)="","",INDEX('Per Invoice'!$M$2:$M$801,$N168)))</f>
        <v/>
      </c>
      <c r="N168">
        <f>IF(ROWS($N$2:$N168)&lt;=COUNT('Per Invoice'!$O$2:$O$801),MATCH(ROWS($N$2:$N168),'Per Invoice'!$O$2:$O$801,0),"")</f>
        <v/>
      </c>
    </row>
    <row r="169">
      <c r="A169">
        <f>IF($N169="","",IF(INDEX('Per Invoice'!$A$2:$A$801,$N169)="","",INDEX('Per Invoice'!$A$2:$A$801,$N169)))</f>
        <v/>
      </c>
      <c r="B169">
        <f>IF($N169="","",IF(INDEX('Per Invoice'!$B$2:$B$801,$N169)="","",INDEX('Per Invoice'!$B$2:$B$801,$N169)))</f>
        <v/>
      </c>
      <c r="C169">
        <f>IF($N169="","",IF(INDEX('Per Invoice'!$C$2:$C$801,$N169)="","",INDEX('Per Invoice'!$C$2:$C$801,$N169)))</f>
        <v/>
      </c>
      <c r="D169">
        <f>IF($N169="","",IF(INDEX('Per Invoice'!$D$2:$D$801,$N169)="","",INDEX('Per Invoice'!$D$2:$D$801,$N169)))</f>
        <v/>
      </c>
      <c r="E169">
        <f>IF($N169="","",IF(INDEX('Per Invoice'!$E$2:$E$801,$N169)="","",INDEX('Per Invoice'!$E$2:$E$801,$N169)))</f>
        <v/>
      </c>
      <c r="F169">
        <f>IF($N169="","",IF(INDEX('Per Invoice'!$F$2:$F$801,$N169)="","",INDEX('Per Invoice'!$F$2:$F$801,$N169)))</f>
        <v/>
      </c>
      <c r="G169">
        <f>IF($N169="","",IF(INDEX('Per Invoice'!$G$2:$G$801,$N169)="","",INDEX('Per Invoice'!$G$2:$G$801,$N169)))</f>
        <v/>
      </c>
      <c r="H169">
        <f>IF($N169="","",IF(INDEX('Per Invoice'!$H$2:$H$801,$N169)="","",INDEX('Per Invoice'!$H$2:$H$801,$N169)))</f>
        <v/>
      </c>
      <c r="I169" s="5">
        <f>IF($N169="","",IF(INDEX('Per Invoice'!$I$2:$I$801,$N169)="","",INDEX('Per Invoice'!$I$2:$I$801,$N169)))</f>
        <v/>
      </c>
      <c r="J169" s="5">
        <f>IF($N169="","",IF(INDEX('Per Invoice'!$J$2:$J$801,$N169)="","",INDEX('Per Invoice'!$J$2:$J$801,$N169)))</f>
        <v/>
      </c>
      <c r="K169" s="5">
        <f>IF($N169="","",IF(INDEX('Per Invoice'!$K$2:$K$801,$N169)="","",INDEX('Per Invoice'!$K$2:$K$801,$N169)))</f>
        <v/>
      </c>
      <c r="L169" s="5">
        <f>IF($N169="","",IF(INDEX('Per Invoice'!$L$2:$L$801,$N169)="","",INDEX('Per Invoice'!$L$2:$L$801,$N169)))</f>
        <v/>
      </c>
      <c r="M169" s="5">
        <f>IF($N169="","",IF(INDEX('Per Invoice'!$M$2:$M$801,$N169)="","",INDEX('Per Invoice'!$M$2:$M$801,$N169)))</f>
        <v/>
      </c>
      <c r="N169">
        <f>IF(ROWS($N$2:$N169)&lt;=COUNT('Per Invoice'!$O$2:$O$801),MATCH(ROWS($N$2:$N169),'Per Invoice'!$O$2:$O$801,0),"")</f>
        <v/>
      </c>
    </row>
    <row r="170">
      <c r="A170">
        <f>IF($N170="","",IF(INDEX('Per Invoice'!$A$2:$A$801,$N170)="","",INDEX('Per Invoice'!$A$2:$A$801,$N170)))</f>
        <v/>
      </c>
      <c r="B170">
        <f>IF($N170="","",IF(INDEX('Per Invoice'!$B$2:$B$801,$N170)="","",INDEX('Per Invoice'!$B$2:$B$801,$N170)))</f>
        <v/>
      </c>
      <c r="C170">
        <f>IF($N170="","",IF(INDEX('Per Invoice'!$C$2:$C$801,$N170)="","",INDEX('Per Invoice'!$C$2:$C$801,$N170)))</f>
        <v/>
      </c>
      <c r="D170">
        <f>IF($N170="","",IF(INDEX('Per Invoice'!$D$2:$D$801,$N170)="","",INDEX('Per Invoice'!$D$2:$D$801,$N170)))</f>
        <v/>
      </c>
      <c r="E170">
        <f>IF($N170="","",IF(INDEX('Per Invoice'!$E$2:$E$801,$N170)="","",INDEX('Per Invoice'!$E$2:$E$801,$N170)))</f>
        <v/>
      </c>
      <c r="F170">
        <f>IF($N170="","",IF(INDEX('Per Invoice'!$F$2:$F$801,$N170)="","",INDEX('Per Invoice'!$F$2:$F$801,$N170)))</f>
        <v/>
      </c>
      <c r="G170">
        <f>IF($N170="","",IF(INDEX('Per Invoice'!$G$2:$G$801,$N170)="","",INDEX('Per Invoice'!$G$2:$G$801,$N170)))</f>
        <v/>
      </c>
      <c r="H170">
        <f>IF($N170="","",IF(INDEX('Per Invoice'!$H$2:$H$801,$N170)="","",INDEX('Per Invoice'!$H$2:$H$801,$N170)))</f>
        <v/>
      </c>
      <c r="I170" s="5">
        <f>IF($N170="","",IF(INDEX('Per Invoice'!$I$2:$I$801,$N170)="","",INDEX('Per Invoice'!$I$2:$I$801,$N170)))</f>
        <v/>
      </c>
      <c r="J170" s="5">
        <f>IF($N170="","",IF(INDEX('Per Invoice'!$J$2:$J$801,$N170)="","",INDEX('Per Invoice'!$J$2:$J$801,$N170)))</f>
        <v/>
      </c>
      <c r="K170" s="5">
        <f>IF($N170="","",IF(INDEX('Per Invoice'!$K$2:$K$801,$N170)="","",INDEX('Per Invoice'!$K$2:$K$801,$N170)))</f>
        <v/>
      </c>
      <c r="L170" s="5">
        <f>IF($N170="","",IF(INDEX('Per Invoice'!$L$2:$L$801,$N170)="","",INDEX('Per Invoice'!$L$2:$L$801,$N170)))</f>
        <v/>
      </c>
      <c r="M170" s="5">
        <f>IF($N170="","",IF(INDEX('Per Invoice'!$M$2:$M$801,$N170)="","",INDEX('Per Invoice'!$M$2:$M$801,$N170)))</f>
        <v/>
      </c>
      <c r="N170">
        <f>IF(ROWS($N$2:$N170)&lt;=COUNT('Per Invoice'!$O$2:$O$801),MATCH(ROWS($N$2:$N170),'Per Invoice'!$O$2:$O$801,0),"")</f>
        <v/>
      </c>
    </row>
    <row r="171">
      <c r="A171">
        <f>IF($N171="","",IF(INDEX('Per Invoice'!$A$2:$A$801,$N171)="","",INDEX('Per Invoice'!$A$2:$A$801,$N171)))</f>
        <v/>
      </c>
      <c r="B171">
        <f>IF($N171="","",IF(INDEX('Per Invoice'!$B$2:$B$801,$N171)="","",INDEX('Per Invoice'!$B$2:$B$801,$N171)))</f>
        <v/>
      </c>
      <c r="C171">
        <f>IF($N171="","",IF(INDEX('Per Invoice'!$C$2:$C$801,$N171)="","",INDEX('Per Invoice'!$C$2:$C$801,$N171)))</f>
        <v/>
      </c>
      <c r="D171">
        <f>IF($N171="","",IF(INDEX('Per Invoice'!$D$2:$D$801,$N171)="","",INDEX('Per Invoice'!$D$2:$D$801,$N171)))</f>
        <v/>
      </c>
      <c r="E171">
        <f>IF($N171="","",IF(INDEX('Per Invoice'!$E$2:$E$801,$N171)="","",INDEX('Per Invoice'!$E$2:$E$801,$N171)))</f>
        <v/>
      </c>
      <c r="F171">
        <f>IF($N171="","",IF(INDEX('Per Invoice'!$F$2:$F$801,$N171)="","",INDEX('Per Invoice'!$F$2:$F$801,$N171)))</f>
        <v/>
      </c>
      <c r="G171">
        <f>IF($N171="","",IF(INDEX('Per Invoice'!$G$2:$G$801,$N171)="","",INDEX('Per Invoice'!$G$2:$G$801,$N171)))</f>
        <v/>
      </c>
      <c r="H171">
        <f>IF($N171="","",IF(INDEX('Per Invoice'!$H$2:$H$801,$N171)="","",INDEX('Per Invoice'!$H$2:$H$801,$N171)))</f>
        <v/>
      </c>
      <c r="I171" s="5">
        <f>IF($N171="","",IF(INDEX('Per Invoice'!$I$2:$I$801,$N171)="","",INDEX('Per Invoice'!$I$2:$I$801,$N171)))</f>
        <v/>
      </c>
      <c r="J171" s="5">
        <f>IF($N171="","",IF(INDEX('Per Invoice'!$J$2:$J$801,$N171)="","",INDEX('Per Invoice'!$J$2:$J$801,$N171)))</f>
        <v/>
      </c>
      <c r="K171" s="5">
        <f>IF($N171="","",IF(INDEX('Per Invoice'!$K$2:$K$801,$N171)="","",INDEX('Per Invoice'!$K$2:$K$801,$N171)))</f>
        <v/>
      </c>
      <c r="L171" s="5">
        <f>IF($N171="","",IF(INDEX('Per Invoice'!$L$2:$L$801,$N171)="","",INDEX('Per Invoice'!$L$2:$L$801,$N171)))</f>
        <v/>
      </c>
      <c r="M171" s="5">
        <f>IF($N171="","",IF(INDEX('Per Invoice'!$M$2:$M$801,$N171)="","",INDEX('Per Invoice'!$M$2:$M$801,$N171)))</f>
        <v/>
      </c>
      <c r="N171">
        <f>IF(ROWS($N$2:$N171)&lt;=COUNT('Per Invoice'!$O$2:$O$801),MATCH(ROWS($N$2:$N171),'Per Invoice'!$O$2:$O$801,0),"")</f>
        <v/>
      </c>
    </row>
    <row r="172">
      <c r="A172">
        <f>IF($N172="","",IF(INDEX('Per Invoice'!$A$2:$A$801,$N172)="","",INDEX('Per Invoice'!$A$2:$A$801,$N172)))</f>
        <v/>
      </c>
      <c r="B172">
        <f>IF($N172="","",IF(INDEX('Per Invoice'!$B$2:$B$801,$N172)="","",INDEX('Per Invoice'!$B$2:$B$801,$N172)))</f>
        <v/>
      </c>
      <c r="C172">
        <f>IF($N172="","",IF(INDEX('Per Invoice'!$C$2:$C$801,$N172)="","",INDEX('Per Invoice'!$C$2:$C$801,$N172)))</f>
        <v/>
      </c>
      <c r="D172">
        <f>IF($N172="","",IF(INDEX('Per Invoice'!$D$2:$D$801,$N172)="","",INDEX('Per Invoice'!$D$2:$D$801,$N172)))</f>
        <v/>
      </c>
      <c r="E172">
        <f>IF($N172="","",IF(INDEX('Per Invoice'!$E$2:$E$801,$N172)="","",INDEX('Per Invoice'!$E$2:$E$801,$N172)))</f>
        <v/>
      </c>
      <c r="F172">
        <f>IF($N172="","",IF(INDEX('Per Invoice'!$F$2:$F$801,$N172)="","",INDEX('Per Invoice'!$F$2:$F$801,$N172)))</f>
        <v/>
      </c>
      <c r="G172">
        <f>IF($N172="","",IF(INDEX('Per Invoice'!$G$2:$G$801,$N172)="","",INDEX('Per Invoice'!$G$2:$G$801,$N172)))</f>
        <v/>
      </c>
      <c r="H172">
        <f>IF($N172="","",IF(INDEX('Per Invoice'!$H$2:$H$801,$N172)="","",INDEX('Per Invoice'!$H$2:$H$801,$N172)))</f>
        <v/>
      </c>
      <c r="I172" s="5">
        <f>IF($N172="","",IF(INDEX('Per Invoice'!$I$2:$I$801,$N172)="","",INDEX('Per Invoice'!$I$2:$I$801,$N172)))</f>
        <v/>
      </c>
      <c r="J172" s="5">
        <f>IF($N172="","",IF(INDEX('Per Invoice'!$J$2:$J$801,$N172)="","",INDEX('Per Invoice'!$J$2:$J$801,$N172)))</f>
        <v/>
      </c>
      <c r="K172" s="5">
        <f>IF($N172="","",IF(INDEX('Per Invoice'!$K$2:$K$801,$N172)="","",INDEX('Per Invoice'!$K$2:$K$801,$N172)))</f>
        <v/>
      </c>
      <c r="L172" s="5">
        <f>IF($N172="","",IF(INDEX('Per Invoice'!$L$2:$L$801,$N172)="","",INDEX('Per Invoice'!$L$2:$L$801,$N172)))</f>
        <v/>
      </c>
      <c r="M172" s="5">
        <f>IF($N172="","",IF(INDEX('Per Invoice'!$M$2:$M$801,$N172)="","",INDEX('Per Invoice'!$M$2:$M$801,$N172)))</f>
        <v/>
      </c>
      <c r="N172">
        <f>IF(ROWS($N$2:$N172)&lt;=COUNT('Per Invoice'!$O$2:$O$801),MATCH(ROWS($N$2:$N172),'Per Invoice'!$O$2:$O$801,0),"")</f>
        <v/>
      </c>
    </row>
    <row r="173">
      <c r="A173">
        <f>IF($N173="","",IF(INDEX('Per Invoice'!$A$2:$A$801,$N173)="","",INDEX('Per Invoice'!$A$2:$A$801,$N173)))</f>
        <v/>
      </c>
      <c r="B173">
        <f>IF($N173="","",IF(INDEX('Per Invoice'!$B$2:$B$801,$N173)="","",INDEX('Per Invoice'!$B$2:$B$801,$N173)))</f>
        <v/>
      </c>
      <c r="C173">
        <f>IF($N173="","",IF(INDEX('Per Invoice'!$C$2:$C$801,$N173)="","",INDEX('Per Invoice'!$C$2:$C$801,$N173)))</f>
        <v/>
      </c>
      <c r="D173">
        <f>IF($N173="","",IF(INDEX('Per Invoice'!$D$2:$D$801,$N173)="","",INDEX('Per Invoice'!$D$2:$D$801,$N173)))</f>
        <v/>
      </c>
      <c r="E173">
        <f>IF($N173="","",IF(INDEX('Per Invoice'!$E$2:$E$801,$N173)="","",INDEX('Per Invoice'!$E$2:$E$801,$N173)))</f>
        <v/>
      </c>
      <c r="F173">
        <f>IF($N173="","",IF(INDEX('Per Invoice'!$F$2:$F$801,$N173)="","",INDEX('Per Invoice'!$F$2:$F$801,$N173)))</f>
        <v/>
      </c>
      <c r="G173">
        <f>IF($N173="","",IF(INDEX('Per Invoice'!$G$2:$G$801,$N173)="","",INDEX('Per Invoice'!$G$2:$G$801,$N173)))</f>
        <v/>
      </c>
      <c r="H173">
        <f>IF($N173="","",IF(INDEX('Per Invoice'!$H$2:$H$801,$N173)="","",INDEX('Per Invoice'!$H$2:$H$801,$N173)))</f>
        <v/>
      </c>
      <c r="I173" s="5">
        <f>IF($N173="","",IF(INDEX('Per Invoice'!$I$2:$I$801,$N173)="","",INDEX('Per Invoice'!$I$2:$I$801,$N173)))</f>
        <v/>
      </c>
      <c r="J173" s="5">
        <f>IF($N173="","",IF(INDEX('Per Invoice'!$J$2:$J$801,$N173)="","",INDEX('Per Invoice'!$J$2:$J$801,$N173)))</f>
        <v/>
      </c>
      <c r="K173" s="5">
        <f>IF($N173="","",IF(INDEX('Per Invoice'!$K$2:$K$801,$N173)="","",INDEX('Per Invoice'!$K$2:$K$801,$N173)))</f>
        <v/>
      </c>
      <c r="L173" s="5">
        <f>IF($N173="","",IF(INDEX('Per Invoice'!$L$2:$L$801,$N173)="","",INDEX('Per Invoice'!$L$2:$L$801,$N173)))</f>
        <v/>
      </c>
      <c r="M173" s="5">
        <f>IF($N173="","",IF(INDEX('Per Invoice'!$M$2:$M$801,$N173)="","",INDEX('Per Invoice'!$M$2:$M$801,$N173)))</f>
        <v/>
      </c>
      <c r="N173">
        <f>IF(ROWS($N$2:$N173)&lt;=COUNT('Per Invoice'!$O$2:$O$801),MATCH(ROWS($N$2:$N173),'Per Invoice'!$O$2:$O$801,0),"")</f>
        <v/>
      </c>
    </row>
    <row r="174">
      <c r="A174">
        <f>IF($N174="","",IF(INDEX('Per Invoice'!$A$2:$A$801,$N174)="","",INDEX('Per Invoice'!$A$2:$A$801,$N174)))</f>
        <v/>
      </c>
      <c r="B174">
        <f>IF($N174="","",IF(INDEX('Per Invoice'!$B$2:$B$801,$N174)="","",INDEX('Per Invoice'!$B$2:$B$801,$N174)))</f>
        <v/>
      </c>
      <c r="C174">
        <f>IF($N174="","",IF(INDEX('Per Invoice'!$C$2:$C$801,$N174)="","",INDEX('Per Invoice'!$C$2:$C$801,$N174)))</f>
        <v/>
      </c>
      <c r="D174">
        <f>IF($N174="","",IF(INDEX('Per Invoice'!$D$2:$D$801,$N174)="","",INDEX('Per Invoice'!$D$2:$D$801,$N174)))</f>
        <v/>
      </c>
      <c r="E174">
        <f>IF($N174="","",IF(INDEX('Per Invoice'!$E$2:$E$801,$N174)="","",INDEX('Per Invoice'!$E$2:$E$801,$N174)))</f>
        <v/>
      </c>
      <c r="F174">
        <f>IF($N174="","",IF(INDEX('Per Invoice'!$F$2:$F$801,$N174)="","",INDEX('Per Invoice'!$F$2:$F$801,$N174)))</f>
        <v/>
      </c>
      <c r="G174">
        <f>IF($N174="","",IF(INDEX('Per Invoice'!$G$2:$G$801,$N174)="","",INDEX('Per Invoice'!$G$2:$G$801,$N174)))</f>
        <v/>
      </c>
      <c r="H174">
        <f>IF($N174="","",IF(INDEX('Per Invoice'!$H$2:$H$801,$N174)="","",INDEX('Per Invoice'!$H$2:$H$801,$N174)))</f>
        <v/>
      </c>
      <c r="I174" s="5">
        <f>IF($N174="","",IF(INDEX('Per Invoice'!$I$2:$I$801,$N174)="","",INDEX('Per Invoice'!$I$2:$I$801,$N174)))</f>
        <v/>
      </c>
      <c r="J174" s="5">
        <f>IF($N174="","",IF(INDEX('Per Invoice'!$J$2:$J$801,$N174)="","",INDEX('Per Invoice'!$J$2:$J$801,$N174)))</f>
        <v/>
      </c>
      <c r="K174" s="5">
        <f>IF($N174="","",IF(INDEX('Per Invoice'!$K$2:$K$801,$N174)="","",INDEX('Per Invoice'!$K$2:$K$801,$N174)))</f>
        <v/>
      </c>
      <c r="L174" s="5">
        <f>IF($N174="","",IF(INDEX('Per Invoice'!$L$2:$L$801,$N174)="","",INDEX('Per Invoice'!$L$2:$L$801,$N174)))</f>
        <v/>
      </c>
      <c r="M174" s="5">
        <f>IF($N174="","",IF(INDEX('Per Invoice'!$M$2:$M$801,$N174)="","",INDEX('Per Invoice'!$M$2:$M$801,$N174)))</f>
        <v/>
      </c>
      <c r="N174">
        <f>IF(ROWS($N$2:$N174)&lt;=COUNT('Per Invoice'!$O$2:$O$801),MATCH(ROWS($N$2:$N174),'Per Invoice'!$O$2:$O$801,0),"")</f>
        <v/>
      </c>
    </row>
    <row r="175">
      <c r="A175">
        <f>IF($N175="","",IF(INDEX('Per Invoice'!$A$2:$A$801,$N175)="","",INDEX('Per Invoice'!$A$2:$A$801,$N175)))</f>
        <v/>
      </c>
      <c r="B175">
        <f>IF($N175="","",IF(INDEX('Per Invoice'!$B$2:$B$801,$N175)="","",INDEX('Per Invoice'!$B$2:$B$801,$N175)))</f>
        <v/>
      </c>
      <c r="C175">
        <f>IF($N175="","",IF(INDEX('Per Invoice'!$C$2:$C$801,$N175)="","",INDEX('Per Invoice'!$C$2:$C$801,$N175)))</f>
        <v/>
      </c>
      <c r="D175">
        <f>IF($N175="","",IF(INDEX('Per Invoice'!$D$2:$D$801,$N175)="","",INDEX('Per Invoice'!$D$2:$D$801,$N175)))</f>
        <v/>
      </c>
      <c r="E175">
        <f>IF($N175="","",IF(INDEX('Per Invoice'!$E$2:$E$801,$N175)="","",INDEX('Per Invoice'!$E$2:$E$801,$N175)))</f>
        <v/>
      </c>
      <c r="F175">
        <f>IF($N175="","",IF(INDEX('Per Invoice'!$F$2:$F$801,$N175)="","",INDEX('Per Invoice'!$F$2:$F$801,$N175)))</f>
        <v/>
      </c>
      <c r="G175">
        <f>IF($N175="","",IF(INDEX('Per Invoice'!$G$2:$G$801,$N175)="","",INDEX('Per Invoice'!$G$2:$G$801,$N175)))</f>
        <v/>
      </c>
      <c r="H175">
        <f>IF($N175="","",IF(INDEX('Per Invoice'!$H$2:$H$801,$N175)="","",INDEX('Per Invoice'!$H$2:$H$801,$N175)))</f>
        <v/>
      </c>
      <c r="I175" s="5">
        <f>IF($N175="","",IF(INDEX('Per Invoice'!$I$2:$I$801,$N175)="","",INDEX('Per Invoice'!$I$2:$I$801,$N175)))</f>
        <v/>
      </c>
      <c r="J175" s="5">
        <f>IF($N175="","",IF(INDEX('Per Invoice'!$J$2:$J$801,$N175)="","",INDEX('Per Invoice'!$J$2:$J$801,$N175)))</f>
        <v/>
      </c>
      <c r="K175" s="5">
        <f>IF($N175="","",IF(INDEX('Per Invoice'!$K$2:$K$801,$N175)="","",INDEX('Per Invoice'!$K$2:$K$801,$N175)))</f>
        <v/>
      </c>
      <c r="L175" s="5">
        <f>IF($N175="","",IF(INDEX('Per Invoice'!$L$2:$L$801,$N175)="","",INDEX('Per Invoice'!$L$2:$L$801,$N175)))</f>
        <v/>
      </c>
      <c r="M175" s="5">
        <f>IF($N175="","",IF(INDEX('Per Invoice'!$M$2:$M$801,$N175)="","",INDEX('Per Invoice'!$M$2:$M$801,$N175)))</f>
        <v/>
      </c>
      <c r="N175">
        <f>IF(ROWS($N$2:$N175)&lt;=COUNT('Per Invoice'!$O$2:$O$801),MATCH(ROWS($N$2:$N175),'Per Invoice'!$O$2:$O$801,0),"")</f>
        <v/>
      </c>
    </row>
    <row r="176">
      <c r="A176">
        <f>IF($N176="","",IF(INDEX('Per Invoice'!$A$2:$A$801,$N176)="","",INDEX('Per Invoice'!$A$2:$A$801,$N176)))</f>
        <v/>
      </c>
      <c r="B176">
        <f>IF($N176="","",IF(INDEX('Per Invoice'!$B$2:$B$801,$N176)="","",INDEX('Per Invoice'!$B$2:$B$801,$N176)))</f>
        <v/>
      </c>
      <c r="C176">
        <f>IF($N176="","",IF(INDEX('Per Invoice'!$C$2:$C$801,$N176)="","",INDEX('Per Invoice'!$C$2:$C$801,$N176)))</f>
        <v/>
      </c>
      <c r="D176">
        <f>IF($N176="","",IF(INDEX('Per Invoice'!$D$2:$D$801,$N176)="","",INDEX('Per Invoice'!$D$2:$D$801,$N176)))</f>
        <v/>
      </c>
      <c r="E176">
        <f>IF($N176="","",IF(INDEX('Per Invoice'!$E$2:$E$801,$N176)="","",INDEX('Per Invoice'!$E$2:$E$801,$N176)))</f>
        <v/>
      </c>
      <c r="F176">
        <f>IF($N176="","",IF(INDEX('Per Invoice'!$F$2:$F$801,$N176)="","",INDEX('Per Invoice'!$F$2:$F$801,$N176)))</f>
        <v/>
      </c>
      <c r="G176">
        <f>IF($N176="","",IF(INDEX('Per Invoice'!$G$2:$G$801,$N176)="","",INDEX('Per Invoice'!$G$2:$G$801,$N176)))</f>
        <v/>
      </c>
      <c r="H176">
        <f>IF($N176="","",IF(INDEX('Per Invoice'!$H$2:$H$801,$N176)="","",INDEX('Per Invoice'!$H$2:$H$801,$N176)))</f>
        <v/>
      </c>
      <c r="I176" s="5">
        <f>IF($N176="","",IF(INDEX('Per Invoice'!$I$2:$I$801,$N176)="","",INDEX('Per Invoice'!$I$2:$I$801,$N176)))</f>
        <v/>
      </c>
      <c r="J176" s="5">
        <f>IF($N176="","",IF(INDEX('Per Invoice'!$J$2:$J$801,$N176)="","",INDEX('Per Invoice'!$J$2:$J$801,$N176)))</f>
        <v/>
      </c>
      <c r="K176" s="5">
        <f>IF($N176="","",IF(INDEX('Per Invoice'!$K$2:$K$801,$N176)="","",INDEX('Per Invoice'!$K$2:$K$801,$N176)))</f>
        <v/>
      </c>
      <c r="L176" s="5">
        <f>IF($N176="","",IF(INDEX('Per Invoice'!$L$2:$L$801,$N176)="","",INDEX('Per Invoice'!$L$2:$L$801,$N176)))</f>
        <v/>
      </c>
      <c r="M176" s="5">
        <f>IF($N176="","",IF(INDEX('Per Invoice'!$M$2:$M$801,$N176)="","",INDEX('Per Invoice'!$M$2:$M$801,$N176)))</f>
        <v/>
      </c>
      <c r="N176">
        <f>IF(ROWS($N$2:$N176)&lt;=COUNT('Per Invoice'!$O$2:$O$801),MATCH(ROWS($N$2:$N176),'Per Invoice'!$O$2:$O$801,0),"")</f>
        <v/>
      </c>
    </row>
    <row r="177">
      <c r="A177">
        <f>IF($N177="","",IF(INDEX('Per Invoice'!$A$2:$A$801,$N177)="","",INDEX('Per Invoice'!$A$2:$A$801,$N177)))</f>
        <v/>
      </c>
      <c r="B177">
        <f>IF($N177="","",IF(INDEX('Per Invoice'!$B$2:$B$801,$N177)="","",INDEX('Per Invoice'!$B$2:$B$801,$N177)))</f>
        <v/>
      </c>
      <c r="C177">
        <f>IF($N177="","",IF(INDEX('Per Invoice'!$C$2:$C$801,$N177)="","",INDEX('Per Invoice'!$C$2:$C$801,$N177)))</f>
        <v/>
      </c>
      <c r="D177">
        <f>IF($N177="","",IF(INDEX('Per Invoice'!$D$2:$D$801,$N177)="","",INDEX('Per Invoice'!$D$2:$D$801,$N177)))</f>
        <v/>
      </c>
      <c r="E177">
        <f>IF($N177="","",IF(INDEX('Per Invoice'!$E$2:$E$801,$N177)="","",INDEX('Per Invoice'!$E$2:$E$801,$N177)))</f>
        <v/>
      </c>
      <c r="F177">
        <f>IF($N177="","",IF(INDEX('Per Invoice'!$F$2:$F$801,$N177)="","",INDEX('Per Invoice'!$F$2:$F$801,$N177)))</f>
        <v/>
      </c>
      <c r="G177">
        <f>IF($N177="","",IF(INDEX('Per Invoice'!$G$2:$G$801,$N177)="","",INDEX('Per Invoice'!$G$2:$G$801,$N177)))</f>
        <v/>
      </c>
      <c r="H177">
        <f>IF($N177="","",IF(INDEX('Per Invoice'!$H$2:$H$801,$N177)="","",INDEX('Per Invoice'!$H$2:$H$801,$N177)))</f>
        <v/>
      </c>
      <c r="I177" s="5">
        <f>IF($N177="","",IF(INDEX('Per Invoice'!$I$2:$I$801,$N177)="","",INDEX('Per Invoice'!$I$2:$I$801,$N177)))</f>
        <v/>
      </c>
      <c r="J177" s="5">
        <f>IF($N177="","",IF(INDEX('Per Invoice'!$J$2:$J$801,$N177)="","",INDEX('Per Invoice'!$J$2:$J$801,$N177)))</f>
        <v/>
      </c>
      <c r="K177" s="5">
        <f>IF($N177="","",IF(INDEX('Per Invoice'!$K$2:$K$801,$N177)="","",INDEX('Per Invoice'!$K$2:$K$801,$N177)))</f>
        <v/>
      </c>
      <c r="L177" s="5">
        <f>IF($N177="","",IF(INDEX('Per Invoice'!$L$2:$L$801,$N177)="","",INDEX('Per Invoice'!$L$2:$L$801,$N177)))</f>
        <v/>
      </c>
      <c r="M177" s="5">
        <f>IF($N177="","",IF(INDEX('Per Invoice'!$M$2:$M$801,$N177)="","",INDEX('Per Invoice'!$M$2:$M$801,$N177)))</f>
        <v/>
      </c>
      <c r="N177">
        <f>IF(ROWS($N$2:$N177)&lt;=COUNT('Per Invoice'!$O$2:$O$801),MATCH(ROWS($N$2:$N177),'Per Invoice'!$O$2:$O$801,0),"")</f>
        <v/>
      </c>
    </row>
    <row r="178">
      <c r="A178">
        <f>IF($N178="","",IF(INDEX('Per Invoice'!$A$2:$A$801,$N178)="","",INDEX('Per Invoice'!$A$2:$A$801,$N178)))</f>
        <v/>
      </c>
      <c r="B178">
        <f>IF($N178="","",IF(INDEX('Per Invoice'!$B$2:$B$801,$N178)="","",INDEX('Per Invoice'!$B$2:$B$801,$N178)))</f>
        <v/>
      </c>
      <c r="C178">
        <f>IF($N178="","",IF(INDEX('Per Invoice'!$C$2:$C$801,$N178)="","",INDEX('Per Invoice'!$C$2:$C$801,$N178)))</f>
        <v/>
      </c>
      <c r="D178">
        <f>IF($N178="","",IF(INDEX('Per Invoice'!$D$2:$D$801,$N178)="","",INDEX('Per Invoice'!$D$2:$D$801,$N178)))</f>
        <v/>
      </c>
      <c r="E178">
        <f>IF($N178="","",IF(INDEX('Per Invoice'!$E$2:$E$801,$N178)="","",INDEX('Per Invoice'!$E$2:$E$801,$N178)))</f>
        <v/>
      </c>
      <c r="F178">
        <f>IF($N178="","",IF(INDEX('Per Invoice'!$F$2:$F$801,$N178)="","",INDEX('Per Invoice'!$F$2:$F$801,$N178)))</f>
        <v/>
      </c>
      <c r="G178">
        <f>IF($N178="","",IF(INDEX('Per Invoice'!$G$2:$G$801,$N178)="","",INDEX('Per Invoice'!$G$2:$G$801,$N178)))</f>
        <v/>
      </c>
      <c r="H178">
        <f>IF($N178="","",IF(INDEX('Per Invoice'!$H$2:$H$801,$N178)="","",INDEX('Per Invoice'!$H$2:$H$801,$N178)))</f>
        <v/>
      </c>
      <c r="I178" s="5">
        <f>IF($N178="","",IF(INDEX('Per Invoice'!$I$2:$I$801,$N178)="","",INDEX('Per Invoice'!$I$2:$I$801,$N178)))</f>
        <v/>
      </c>
      <c r="J178" s="5">
        <f>IF($N178="","",IF(INDEX('Per Invoice'!$J$2:$J$801,$N178)="","",INDEX('Per Invoice'!$J$2:$J$801,$N178)))</f>
        <v/>
      </c>
      <c r="K178" s="5">
        <f>IF($N178="","",IF(INDEX('Per Invoice'!$K$2:$K$801,$N178)="","",INDEX('Per Invoice'!$K$2:$K$801,$N178)))</f>
        <v/>
      </c>
      <c r="L178" s="5">
        <f>IF($N178="","",IF(INDEX('Per Invoice'!$L$2:$L$801,$N178)="","",INDEX('Per Invoice'!$L$2:$L$801,$N178)))</f>
        <v/>
      </c>
      <c r="M178" s="5">
        <f>IF($N178="","",IF(INDEX('Per Invoice'!$M$2:$M$801,$N178)="","",INDEX('Per Invoice'!$M$2:$M$801,$N178)))</f>
        <v/>
      </c>
      <c r="N178">
        <f>IF(ROWS($N$2:$N178)&lt;=COUNT('Per Invoice'!$O$2:$O$801),MATCH(ROWS($N$2:$N178),'Per Invoice'!$O$2:$O$801,0),"")</f>
        <v/>
      </c>
    </row>
    <row r="179">
      <c r="A179">
        <f>IF($N179="","",IF(INDEX('Per Invoice'!$A$2:$A$801,$N179)="","",INDEX('Per Invoice'!$A$2:$A$801,$N179)))</f>
        <v/>
      </c>
      <c r="B179">
        <f>IF($N179="","",IF(INDEX('Per Invoice'!$B$2:$B$801,$N179)="","",INDEX('Per Invoice'!$B$2:$B$801,$N179)))</f>
        <v/>
      </c>
      <c r="C179">
        <f>IF($N179="","",IF(INDEX('Per Invoice'!$C$2:$C$801,$N179)="","",INDEX('Per Invoice'!$C$2:$C$801,$N179)))</f>
        <v/>
      </c>
      <c r="D179">
        <f>IF($N179="","",IF(INDEX('Per Invoice'!$D$2:$D$801,$N179)="","",INDEX('Per Invoice'!$D$2:$D$801,$N179)))</f>
        <v/>
      </c>
      <c r="E179">
        <f>IF($N179="","",IF(INDEX('Per Invoice'!$E$2:$E$801,$N179)="","",INDEX('Per Invoice'!$E$2:$E$801,$N179)))</f>
        <v/>
      </c>
      <c r="F179">
        <f>IF($N179="","",IF(INDEX('Per Invoice'!$F$2:$F$801,$N179)="","",INDEX('Per Invoice'!$F$2:$F$801,$N179)))</f>
        <v/>
      </c>
      <c r="G179">
        <f>IF($N179="","",IF(INDEX('Per Invoice'!$G$2:$G$801,$N179)="","",INDEX('Per Invoice'!$G$2:$G$801,$N179)))</f>
        <v/>
      </c>
      <c r="H179">
        <f>IF($N179="","",IF(INDEX('Per Invoice'!$H$2:$H$801,$N179)="","",INDEX('Per Invoice'!$H$2:$H$801,$N179)))</f>
        <v/>
      </c>
      <c r="I179" s="5">
        <f>IF($N179="","",IF(INDEX('Per Invoice'!$I$2:$I$801,$N179)="","",INDEX('Per Invoice'!$I$2:$I$801,$N179)))</f>
        <v/>
      </c>
      <c r="J179" s="5">
        <f>IF($N179="","",IF(INDEX('Per Invoice'!$J$2:$J$801,$N179)="","",INDEX('Per Invoice'!$J$2:$J$801,$N179)))</f>
        <v/>
      </c>
      <c r="K179" s="5">
        <f>IF($N179="","",IF(INDEX('Per Invoice'!$K$2:$K$801,$N179)="","",INDEX('Per Invoice'!$K$2:$K$801,$N179)))</f>
        <v/>
      </c>
      <c r="L179" s="5">
        <f>IF($N179="","",IF(INDEX('Per Invoice'!$L$2:$L$801,$N179)="","",INDEX('Per Invoice'!$L$2:$L$801,$N179)))</f>
        <v/>
      </c>
      <c r="M179" s="5">
        <f>IF($N179="","",IF(INDEX('Per Invoice'!$M$2:$M$801,$N179)="","",INDEX('Per Invoice'!$M$2:$M$801,$N179)))</f>
        <v/>
      </c>
      <c r="N179">
        <f>IF(ROWS($N$2:$N179)&lt;=COUNT('Per Invoice'!$O$2:$O$801),MATCH(ROWS($N$2:$N179),'Per Invoice'!$O$2:$O$801,0),"")</f>
        <v/>
      </c>
    </row>
    <row r="180">
      <c r="A180">
        <f>IF($N180="","",IF(INDEX('Per Invoice'!$A$2:$A$801,$N180)="","",INDEX('Per Invoice'!$A$2:$A$801,$N180)))</f>
        <v/>
      </c>
      <c r="B180">
        <f>IF($N180="","",IF(INDEX('Per Invoice'!$B$2:$B$801,$N180)="","",INDEX('Per Invoice'!$B$2:$B$801,$N180)))</f>
        <v/>
      </c>
      <c r="C180">
        <f>IF($N180="","",IF(INDEX('Per Invoice'!$C$2:$C$801,$N180)="","",INDEX('Per Invoice'!$C$2:$C$801,$N180)))</f>
        <v/>
      </c>
      <c r="D180">
        <f>IF($N180="","",IF(INDEX('Per Invoice'!$D$2:$D$801,$N180)="","",INDEX('Per Invoice'!$D$2:$D$801,$N180)))</f>
        <v/>
      </c>
      <c r="E180">
        <f>IF($N180="","",IF(INDEX('Per Invoice'!$E$2:$E$801,$N180)="","",INDEX('Per Invoice'!$E$2:$E$801,$N180)))</f>
        <v/>
      </c>
      <c r="F180">
        <f>IF($N180="","",IF(INDEX('Per Invoice'!$F$2:$F$801,$N180)="","",INDEX('Per Invoice'!$F$2:$F$801,$N180)))</f>
        <v/>
      </c>
      <c r="G180">
        <f>IF($N180="","",IF(INDEX('Per Invoice'!$G$2:$G$801,$N180)="","",INDEX('Per Invoice'!$G$2:$G$801,$N180)))</f>
        <v/>
      </c>
      <c r="H180">
        <f>IF($N180="","",IF(INDEX('Per Invoice'!$H$2:$H$801,$N180)="","",INDEX('Per Invoice'!$H$2:$H$801,$N180)))</f>
        <v/>
      </c>
      <c r="I180" s="5">
        <f>IF($N180="","",IF(INDEX('Per Invoice'!$I$2:$I$801,$N180)="","",INDEX('Per Invoice'!$I$2:$I$801,$N180)))</f>
        <v/>
      </c>
      <c r="J180" s="5">
        <f>IF($N180="","",IF(INDEX('Per Invoice'!$J$2:$J$801,$N180)="","",INDEX('Per Invoice'!$J$2:$J$801,$N180)))</f>
        <v/>
      </c>
      <c r="K180" s="5">
        <f>IF($N180="","",IF(INDEX('Per Invoice'!$K$2:$K$801,$N180)="","",INDEX('Per Invoice'!$K$2:$K$801,$N180)))</f>
        <v/>
      </c>
      <c r="L180" s="5">
        <f>IF($N180="","",IF(INDEX('Per Invoice'!$L$2:$L$801,$N180)="","",INDEX('Per Invoice'!$L$2:$L$801,$N180)))</f>
        <v/>
      </c>
      <c r="M180" s="5">
        <f>IF($N180="","",IF(INDEX('Per Invoice'!$M$2:$M$801,$N180)="","",INDEX('Per Invoice'!$M$2:$M$801,$N180)))</f>
        <v/>
      </c>
      <c r="N180">
        <f>IF(ROWS($N$2:$N180)&lt;=COUNT('Per Invoice'!$O$2:$O$801),MATCH(ROWS($N$2:$N180),'Per Invoice'!$O$2:$O$801,0),"")</f>
        <v/>
      </c>
    </row>
    <row r="181">
      <c r="A181">
        <f>IF($N181="","",IF(INDEX('Per Invoice'!$A$2:$A$801,$N181)="","",INDEX('Per Invoice'!$A$2:$A$801,$N181)))</f>
        <v/>
      </c>
      <c r="B181">
        <f>IF($N181="","",IF(INDEX('Per Invoice'!$B$2:$B$801,$N181)="","",INDEX('Per Invoice'!$B$2:$B$801,$N181)))</f>
        <v/>
      </c>
      <c r="C181">
        <f>IF($N181="","",IF(INDEX('Per Invoice'!$C$2:$C$801,$N181)="","",INDEX('Per Invoice'!$C$2:$C$801,$N181)))</f>
        <v/>
      </c>
      <c r="D181">
        <f>IF($N181="","",IF(INDEX('Per Invoice'!$D$2:$D$801,$N181)="","",INDEX('Per Invoice'!$D$2:$D$801,$N181)))</f>
        <v/>
      </c>
      <c r="E181">
        <f>IF($N181="","",IF(INDEX('Per Invoice'!$E$2:$E$801,$N181)="","",INDEX('Per Invoice'!$E$2:$E$801,$N181)))</f>
        <v/>
      </c>
      <c r="F181">
        <f>IF($N181="","",IF(INDEX('Per Invoice'!$F$2:$F$801,$N181)="","",INDEX('Per Invoice'!$F$2:$F$801,$N181)))</f>
        <v/>
      </c>
      <c r="G181">
        <f>IF($N181="","",IF(INDEX('Per Invoice'!$G$2:$G$801,$N181)="","",INDEX('Per Invoice'!$G$2:$G$801,$N181)))</f>
        <v/>
      </c>
      <c r="H181">
        <f>IF($N181="","",IF(INDEX('Per Invoice'!$H$2:$H$801,$N181)="","",INDEX('Per Invoice'!$H$2:$H$801,$N181)))</f>
        <v/>
      </c>
      <c r="I181" s="5">
        <f>IF($N181="","",IF(INDEX('Per Invoice'!$I$2:$I$801,$N181)="","",INDEX('Per Invoice'!$I$2:$I$801,$N181)))</f>
        <v/>
      </c>
      <c r="J181" s="5">
        <f>IF($N181="","",IF(INDEX('Per Invoice'!$J$2:$J$801,$N181)="","",INDEX('Per Invoice'!$J$2:$J$801,$N181)))</f>
        <v/>
      </c>
      <c r="K181" s="5">
        <f>IF($N181="","",IF(INDEX('Per Invoice'!$K$2:$K$801,$N181)="","",INDEX('Per Invoice'!$K$2:$K$801,$N181)))</f>
        <v/>
      </c>
      <c r="L181" s="5">
        <f>IF($N181="","",IF(INDEX('Per Invoice'!$L$2:$L$801,$N181)="","",INDEX('Per Invoice'!$L$2:$L$801,$N181)))</f>
        <v/>
      </c>
      <c r="M181" s="5">
        <f>IF($N181="","",IF(INDEX('Per Invoice'!$M$2:$M$801,$N181)="","",INDEX('Per Invoice'!$M$2:$M$801,$N181)))</f>
        <v/>
      </c>
      <c r="N181">
        <f>IF(ROWS($N$2:$N181)&lt;=COUNT('Per Invoice'!$O$2:$O$801),MATCH(ROWS($N$2:$N181),'Per Invoice'!$O$2:$O$801,0),"")</f>
        <v/>
      </c>
    </row>
    <row r="182">
      <c r="A182">
        <f>IF($N182="","",IF(INDEX('Per Invoice'!$A$2:$A$801,$N182)="","",INDEX('Per Invoice'!$A$2:$A$801,$N182)))</f>
        <v/>
      </c>
      <c r="B182">
        <f>IF($N182="","",IF(INDEX('Per Invoice'!$B$2:$B$801,$N182)="","",INDEX('Per Invoice'!$B$2:$B$801,$N182)))</f>
        <v/>
      </c>
      <c r="C182">
        <f>IF($N182="","",IF(INDEX('Per Invoice'!$C$2:$C$801,$N182)="","",INDEX('Per Invoice'!$C$2:$C$801,$N182)))</f>
        <v/>
      </c>
      <c r="D182">
        <f>IF($N182="","",IF(INDEX('Per Invoice'!$D$2:$D$801,$N182)="","",INDEX('Per Invoice'!$D$2:$D$801,$N182)))</f>
        <v/>
      </c>
      <c r="E182">
        <f>IF($N182="","",IF(INDEX('Per Invoice'!$E$2:$E$801,$N182)="","",INDEX('Per Invoice'!$E$2:$E$801,$N182)))</f>
        <v/>
      </c>
      <c r="F182">
        <f>IF($N182="","",IF(INDEX('Per Invoice'!$F$2:$F$801,$N182)="","",INDEX('Per Invoice'!$F$2:$F$801,$N182)))</f>
        <v/>
      </c>
      <c r="G182">
        <f>IF($N182="","",IF(INDEX('Per Invoice'!$G$2:$G$801,$N182)="","",INDEX('Per Invoice'!$G$2:$G$801,$N182)))</f>
        <v/>
      </c>
      <c r="H182">
        <f>IF($N182="","",IF(INDEX('Per Invoice'!$H$2:$H$801,$N182)="","",INDEX('Per Invoice'!$H$2:$H$801,$N182)))</f>
        <v/>
      </c>
      <c r="I182" s="5">
        <f>IF($N182="","",IF(INDEX('Per Invoice'!$I$2:$I$801,$N182)="","",INDEX('Per Invoice'!$I$2:$I$801,$N182)))</f>
        <v/>
      </c>
      <c r="J182" s="5">
        <f>IF($N182="","",IF(INDEX('Per Invoice'!$J$2:$J$801,$N182)="","",INDEX('Per Invoice'!$J$2:$J$801,$N182)))</f>
        <v/>
      </c>
      <c r="K182" s="5">
        <f>IF($N182="","",IF(INDEX('Per Invoice'!$K$2:$K$801,$N182)="","",INDEX('Per Invoice'!$K$2:$K$801,$N182)))</f>
        <v/>
      </c>
      <c r="L182" s="5">
        <f>IF($N182="","",IF(INDEX('Per Invoice'!$L$2:$L$801,$N182)="","",INDEX('Per Invoice'!$L$2:$L$801,$N182)))</f>
        <v/>
      </c>
      <c r="M182" s="5">
        <f>IF($N182="","",IF(INDEX('Per Invoice'!$M$2:$M$801,$N182)="","",INDEX('Per Invoice'!$M$2:$M$801,$N182)))</f>
        <v/>
      </c>
      <c r="N182">
        <f>IF(ROWS($N$2:$N182)&lt;=COUNT('Per Invoice'!$O$2:$O$801),MATCH(ROWS($N$2:$N182),'Per Invoice'!$O$2:$O$801,0),"")</f>
        <v/>
      </c>
    </row>
    <row r="183">
      <c r="A183">
        <f>IF($N183="","",IF(INDEX('Per Invoice'!$A$2:$A$801,$N183)="","",INDEX('Per Invoice'!$A$2:$A$801,$N183)))</f>
        <v/>
      </c>
      <c r="B183">
        <f>IF($N183="","",IF(INDEX('Per Invoice'!$B$2:$B$801,$N183)="","",INDEX('Per Invoice'!$B$2:$B$801,$N183)))</f>
        <v/>
      </c>
      <c r="C183">
        <f>IF($N183="","",IF(INDEX('Per Invoice'!$C$2:$C$801,$N183)="","",INDEX('Per Invoice'!$C$2:$C$801,$N183)))</f>
        <v/>
      </c>
      <c r="D183">
        <f>IF($N183="","",IF(INDEX('Per Invoice'!$D$2:$D$801,$N183)="","",INDEX('Per Invoice'!$D$2:$D$801,$N183)))</f>
        <v/>
      </c>
      <c r="E183">
        <f>IF($N183="","",IF(INDEX('Per Invoice'!$E$2:$E$801,$N183)="","",INDEX('Per Invoice'!$E$2:$E$801,$N183)))</f>
        <v/>
      </c>
      <c r="F183">
        <f>IF($N183="","",IF(INDEX('Per Invoice'!$F$2:$F$801,$N183)="","",INDEX('Per Invoice'!$F$2:$F$801,$N183)))</f>
        <v/>
      </c>
      <c r="G183">
        <f>IF($N183="","",IF(INDEX('Per Invoice'!$G$2:$G$801,$N183)="","",INDEX('Per Invoice'!$G$2:$G$801,$N183)))</f>
        <v/>
      </c>
      <c r="H183">
        <f>IF($N183="","",IF(INDEX('Per Invoice'!$H$2:$H$801,$N183)="","",INDEX('Per Invoice'!$H$2:$H$801,$N183)))</f>
        <v/>
      </c>
      <c r="I183" s="5">
        <f>IF($N183="","",IF(INDEX('Per Invoice'!$I$2:$I$801,$N183)="","",INDEX('Per Invoice'!$I$2:$I$801,$N183)))</f>
        <v/>
      </c>
      <c r="J183" s="5">
        <f>IF($N183="","",IF(INDEX('Per Invoice'!$J$2:$J$801,$N183)="","",INDEX('Per Invoice'!$J$2:$J$801,$N183)))</f>
        <v/>
      </c>
      <c r="K183" s="5">
        <f>IF($N183="","",IF(INDEX('Per Invoice'!$K$2:$K$801,$N183)="","",INDEX('Per Invoice'!$K$2:$K$801,$N183)))</f>
        <v/>
      </c>
      <c r="L183" s="5">
        <f>IF($N183="","",IF(INDEX('Per Invoice'!$L$2:$L$801,$N183)="","",INDEX('Per Invoice'!$L$2:$L$801,$N183)))</f>
        <v/>
      </c>
      <c r="M183" s="5">
        <f>IF($N183="","",IF(INDEX('Per Invoice'!$M$2:$M$801,$N183)="","",INDEX('Per Invoice'!$M$2:$M$801,$N183)))</f>
        <v/>
      </c>
      <c r="N183">
        <f>IF(ROWS($N$2:$N183)&lt;=COUNT('Per Invoice'!$O$2:$O$801),MATCH(ROWS($N$2:$N183),'Per Invoice'!$O$2:$O$801,0),"")</f>
        <v/>
      </c>
    </row>
    <row r="184">
      <c r="A184">
        <f>IF($N184="","",IF(INDEX('Per Invoice'!$A$2:$A$801,$N184)="","",INDEX('Per Invoice'!$A$2:$A$801,$N184)))</f>
        <v/>
      </c>
      <c r="B184">
        <f>IF($N184="","",IF(INDEX('Per Invoice'!$B$2:$B$801,$N184)="","",INDEX('Per Invoice'!$B$2:$B$801,$N184)))</f>
        <v/>
      </c>
      <c r="C184">
        <f>IF($N184="","",IF(INDEX('Per Invoice'!$C$2:$C$801,$N184)="","",INDEX('Per Invoice'!$C$2:$C$801,$N184)))</f>
        <v/>
      </c>
      <c r="D184">
        <f>IF($N184="","",IF(INDEX('Per Invoice'!$D$2:$D$801,$N184)="","",INDEX('Per Invoice'!$D$2:$D$801,$N184)))</f>
        <v/>
      </c>
      <c r="E184">
        <f>IF($N184="","",IF(INDEX('Per Invoice'!$E$2:$E$801,$N184)="","",INDEX('Per Invoice'!$E$2:$E$801,$N184)))</f>
        <v/>
      </c>
      <c r="F184">
        <f>IF($N184="","",IF(INDEX('Per Invoice'!$F$2:$F$801,$N184)="","",INDEX('Per Invoice'!$F$2:$F$801,$N184)))</f>
        <v/>
      </c>
      <c r="G184">
        <f>IF($N184="","",IF(INDEX('Per Invoice'!$G$2:$G$801,$N184)="","",INDEX('Per Invoice'!$G$2:$G$801,$N184)))</f>
        <v/>
      </c>
      <c r="H184">
        <f>IF($N184="","",IF(INDEX('Per Invoice'!$H$2:$H$801,$N184)="","",INDEX('Per Invoice'!$H$2:$H$801,$N184)))</f>
        <v/>
      </c>
      <c r="I184" s="5">
        <f>IF($N184="","",IF(INDEX('Per Invoice'!$I$2:$I$801,$N184)="","",INDEX('Per Invoice'!$I$2:$I$801,$N184)))</f>
        <v/>
      </c>
      <c r="J184" s="5">
        <f>IF($N184="","",IF(INDEX('Per Invoice'!$J$2:$J$801,$N184)="","",INDEX('Per Invoice'!$J$2:$J$801,$N184)))</f>
        <v/>
      </c>
      <c r="K184" s="5">
        <f>IF($N184="","",IF(INDEX('Per Invoice'!$K$2:$K$801,$N184)="","",INDEX('Per Invoice'!$K$2:$K$801,$N184)))</f>
        <v/>
      </c>
      <c r="L184" s="5">
        <f>IF($N184="","",IF(INDEX('Per Invoice'!$L$2:$L$801,$N184)="","",INDEX('Per Invoice'!$L$2:$L$801,$N184)))</f>
        <v/>
      </c>
      <c r="M184" s="5">
        <f>IF($N184="","",IF(INDEX('Per Invoice'!$M$2:$M$801,$N184)="","",INDEX('Per Invoice'!$M$2:$M$801,$N184)))</f>
        <v/>
      </c>
      <c r="N184">
        <f>IF(ROWS($N$2:$N184)&lt;=COUNT('Per Invoice'!$O$2:$O$801),MATCH(ROWS($N$2:$N184),'Per Invoice'!$O$2:$O$801,0),"")</f>
        <v/>
      </c>
    </row>
    <row r="185">
      <c r="A185">
        <f>IF($N185="","",IF(INDEX('Per Invoice'!$A$2:$A$801,$N185)="","",INDEX('Per Invoice'!$A$2:$A$801,$N185)))</f>
        <v/>
      </c>
      <c r="B185">
        <f>IF($N185="","",IF(INDEX('Per Invoice'!$B$2:$B$801,$N185)="","",INDEX('Per Invoice'!$B$2:$B$801,$N185)))</f>
        <v/>
      </c>
      <c r="C185">
        <f>IF($N185="","",IF(INDEX('Per Invoice'!$C$2:$C$801,$N185)="","",INDEX('Per Invoice'!$C$2:$C$801,$N185)))</f>
        <v/>
      </c>
      <c r="D185">
        <f>IF($N185="","",IF(INDEX('Per Invoice'!$D$2:$D$801,$N185)="","",INDEX('Per Invoice'!$D$2:$D$801,$N185)))</f>
        <v/>
      </c>
      <c r="E185">
        <f>IF($N185="","",IF(INDEX('Per Invoice'!$E$2:$E$801,$N185)="","",INDEX('Per Invoice'!$E$2:$E$801,$N185)))</f>
        <v/>
      </c>
      <c r="F185">
        <f>IF($N185="","",IF(INDEX('Per Invoice'!$F$2:$F$801,$N185)="","",INDEX('Per Invoice'!$F$2:$F$801,$N185)))</f>
        <v/>
      </c>
      <c r="G185">
        <f>IF($N185="","",IF(INDEX('Per Invoice'!$G$2:$G$801,$N185)="","",INDEX('Per Invoice'!$G$2:$G$801,$N185)))</f>
        <v/>
      </c>
      <c r="H185">
        <f>IF($N185="","",IF(INDEX('Per Invoice'!$H$2:$H$801,$N185)="","",INDEX('Per Invoice'!$H$2:$H$801,$N185)))</f>
        <v/>
      </c>
      <c r="I185" s="5">
        <f>IF($N185="","",IF(INDEX('Per Invoice'!$I$2:$I$801,$N185)="","",INDEX('Per Invoice'!$I$2:$I$801,$N185)))</f>
        <v/>
      </c>
      <c r="J185" s="5">
        <f>IF($N185="","",IF(INDEX('Per Invoice'!$J$2:$J$801,$N185)="","",INDEX('Per Invoice'!$J$2:$J$801,$N185)))</f>
        <v/>
      </c>
      <c r="K185" s="5">
        <f>IF($N185="","",IF(INDEX('Per Invoice'!$K$2:$K$801,$N185)="","",INDEX('Per Invoice'!$K$2:$K$801,$N185)))</f>
        <v/>
      </c>
      <c r="L185" s="5">
        <f>IF($N185="","",IF(INDEX('Per Invoice'!$L$2:$L$801,$N185)="","",INDEX('Per Invoice'!$L$2:$L$801,$N185)))</f>
        <v/>
      </c>
      <c r="M185" s="5">
        <f>IF($N185="","",IF(INDEX('Per Invoice'!$M$2:$M$801,$N185)="","",INDEX('Per Invoice'!$M$2:$M$801,$N185)))</f>
        <v/>
      </c>
      <c r="N185">
        <f>IF(ROWS($N$2:$N185)&lt;=COUNT('Per Invoice'!$O$2:$O$801),MATCH(ROWS($N$2:$N185),'Per Invoice'!$O$2:$O$801,0),"")</f>
        <v/>
      </c>
    </row>
    <row r="186">
      <c r="A186">
        <f>IF($N186="","",IF(INDEX('Per Invoice'!$A$2:$A$801,$N186)="","",INDEX('Per Invoice'!$A$2:$A$801,$N186)))</f>
        <v/>
      </c>
      <c r="B186">
        <f>IF($N186="","",IF(INDEX('Per Invoice'!$B$2:$B$801,$N186)="","",INDEX('Per Invoice'!$B$2:$B$801,$N186)))</f>
        <v/>
      </c>
      <c r="C186">
        <f>IF($N186="","",IF(INDEX('Per Invoice'!$C$2:$C$801,$N186)="","",INDEX('Per Invoice'!$C$2:$C$801,$N186)))</f>
        <v/>
      </c>
      <c r="D186">
        <f>IF($N186="","",IF(INDEX('Per Invoice'!$D$2:$D$801,$N186)="","",INDEX('Per Invoice'!$D$2:$D$801,$N186)))</f>
        <v/>
      </c>
      <c r="E186">
        <f>IF($N186="","",IF(INDEX('Per Invoice'!$E$2:$E$801,$N186)="","",INDEX('Per Invoice'!$E$2:$E$801,$N186)))</f>
        <v/>
      </c>
      <c r="F186">
        <f>IF($N186="","",IF(INDEX('Per Invoice'!$F$2:$F$801,$N186)="","",INDEX('Per Invoice'!$F$2:$F$801,$N186)))</f>
        <v/>
      </c>
      <c r="G186">
        <f>IF($N186="","",IF(INDEX('Per Invoice'!$G$2:$G$801,$N186)="","",INDEX('Per Invoice'!$G$2:$G$801,$N186)))</f>
        <v/>
      </c>
      <c r="H186">
        <f>IF($N186="","",IF(INDEX('Per Invoice'!$H$2:$H$801,$N186)="","",INDEX('Per Invoice'!$H$2:$H$801,$N186)))</f>
        <v/>
      </c>
      <c r="I186" s="5">
        <f>IF($N186="","",IF(INDEX('Per Invoice'!$I$2:$I$801,$N186)="","",INDEX('Per Invoice'!$I$2:$I$801,$N186)))</f>
        <v/>
      </c>
      <c r="J186" s="5">
        <f>IF($N186="","",IF(INDEX('Per Invoice'!$J$2:$J$801,$N186)="","",INDEX('Per Invoice'!$J$2:$J$801,$N186)))</f>
        <v/>
      </c>
      <c r="K186" s="5">
        <f>IF($N186="","",IF(INDEX('Per Invoice'!$K$2:$K$801,$N186)="","",INDEX('Per Invoice'!$K$2:$K$801,$N186)))</f>
        <v/>
      </c>
      <c r="L186" s="5">
        <f>IF($N186="","",IF(INDEX('Per Invoice'!$L$2:$L$801,$N186)="","",INDEX('Per Invoice'!$L$2:$L$801,$N186)))</f>
        <v/>
      </c>
      <c r="M186" s="5">
        <f>IF($N186="","",IF(INDEX('Per Invoice'!$M$2:$M$801,$N186)="","",INDEX('Per Invoice'!$M$2:$M$801,$N186)))</f>
        <v/>
      </c>
      <c r="N186">
        <f>IF(ROWS($N$2:$N186)&lt;=COUNT('Per Invoice'!$O$2:$O$801),MATCH(ROWS($N$2:$N186),'Per Invoice'!$O$2:$O$801,0),"")</f>
        <v/>
      </c>
    </row>
    <row r="187">
      <c r="A187">
        <f>IF($N187="","",IF(INDEX('Per Invoice'!$A$2:$A$801,$N187)="","",INDEX('Per Invoice'!$A$2:$A$801,$N187)))</f>
        <v/>
      </c>
      <c r="B187">
        <f>IF($N187="","",IF(INDEX('Per Invoice'!$B$2:$B$801,$N187)="","",INDEX('Per Invoice'!$B$2:$B$801,$N187)))</f>
        <v/>
      </c>
      <c r="C187">
        <f>IF($N187="","",IF(INDEX('Per Invoice'!$C$2:$C$801,$N187)="","",INDEX('Per Invoice'!$C$2:$C$801,$N187)))</f>
        <v/>
      </c>
      <c r="D187">
        <f>IF($N187="","",IF(INDEX('Per Invoice'!$D$2:$D$801,$N187)="","",INDEX('Per Invoice'!$D$2:$D$801,$N187)))</f>
        <v/>
      </c>
      <c r="E187">
        <f>IF($N187="","",IF(INDEX('Per Invoice'!$E$2:$E$801,$N187)="","",INDEX('Per Invoice'!$E$2:$E$801,$N187)))</f>
        <v/>
      </c>
      <c r="F187">
        <f>IF($N187="","",IF(INDEX('Per Invoice'!$F$2:$F$801,$N187)="","",INDEX('Per Invoice'!$F$2:$F$801,$N187)))</f>
        <v/>
      </c>
      <c r="G187">
        <f>IF($N187="","",IF(INDEX('Per Invoice'!$G$2:$G$801,$N187)="","",INDEX('Per Invoice'!$G$2:$G$801,$N187)))</f>
        <v/>
      </c>
      <c r="H187">
        <f>IF($N187="","",IF(INDEX('Per Invoice'!$H$2:$H$801,$N187)="","",INDEX('Per Invoice'!$H$2:$H$801,$N187)))</f>
        <v/>
      </c>
      <c r="I187" s="5">
        <f>IF($N187="","",IF(INDEX('Per Invoice'!$I$2:$I$801,$N187)="","",INDEX('Per Invoice'!$I$2:$I$801,$N187)))</f>
        <v/>
      </c>
      <c r="J187" s="5">
        <f>IF($N187="","",IF(INDEX('Per Invoice'!$J$2:$J$801,$N187)="","",INDEX('Per Invoice'!$J$2:$J$801,$N187)))</f>
        <v/>
      </c>
      <c r="K187" s="5">
        <f>IF($N187="","",IF(INDEX('Per Invoice'!$K$2:$K$801,$N187)="","",INDEX('Per Invoice'!$K$2:$K$801,$N187)))</f>
        <v/>
      </c>
      <c r="L187" s="5">
        <f>IF($N187="","",IF(INDEX('Per Invoice'!$L$2:$L$801,$N187)="","",INDEX('Per Invoice'!$L$2:$L$801,$N187)))</f>
        <v/>
      </c>
      <c r="M187" s="5">
        <f>IF($N187="","",IF(INDEX('Per Invoice'!$M$2:$M$801,$N187)="","",INDEX('Per Invoice'!$M$2:$M$801,$N187)))</f>
        <v/>
      </c>
      <c r="N187">
        <f>IF(ROWS($N$2:$N187)&lt;=COUNT('Per Invoice'!$O$2:$O$801),MATCH(ROWS($N$2:$N187),'Per Invoice'!$O$2:$O$801,0),"")</f>
        <v/>
      </c>
    </row>
    <row r="188">
      <c r="A188">
        <f>IF($N188="","",IF(INDEX('Per Invoice'!$A$2:$A$801,$N188)="","",INDEX('Per Invoice'!$A$2:$A$801,$N188)))</f>
        <v/>
      </c>
      <c r="B188">
        <f>IF($N188="","",IF(INDEX('Per Invoice'!$B$2:$B$801,$N188)="","",INDEX('Per Invoice'!$B$2:$B$801,$N188)))</f>
        <v/>
      </c>
      <c r="C188">
        <f>IF($N188="","",IF(INDEX('Per Invoice'!$C$2:$C$801,$N188)="","",INDEX('Per Invoice'!$C$2:$C$801,$N188)))</f>
        <v/>
      </c>
      <c r="D188">
        <f>IF($N188="","",IF(INDEX('Per Invoice'!$D$2:$D$801,$N188)="","",INDEX('Per Invoice'!$D$2:$D$801,$N188)))</f>
        <v/>
      </c>
      <c r="E188">
        <f>IF($N188="","",IF(INDEX('Per Invoice'!$E$2:$E$801,$N188)="","",INDEX('Per Invoice'!$E$2:$E$801,$N188)))</f>
        <v/>
      </c>
      <c r="F188">
        <f>IF($N188="","",IF(INDEX('Per Invoice'!$F$2:$F$801,$N188)="","",INDEX('Per Invoice'!$F$2:$F$801,$N188)))</f>
        <v/>
      </c>
      <c r="G188">
        <f>IF($N188="","",IF(INDEX('Per Invoice'!$G$2:$G$801,$N188)="","",INDEX('Per Invoice'!$G$2:$G$801,$N188)))</f>
        <v/>
      </c>
      <c r="H188">
        <f>IF($N188="","",IF(INDEX('Per Invoice'!$H$2:$H$801,$N188)="","",INDEX('Per Invoice'!$H$2:$H$801,$N188)))</f>
        <v/>
      </c>
      <c r="I188" s="5">
        <f>IF($N188="","",IF(INDEX('Per Invoice'!$I$2:$I$801,$N188)="","",INDEX('Per Invoice'!$I$2:$I$801,$N188)))</f>
        <v/>
      </c>
      <c r="J188" s="5">
        <f>IF($N188="","",IF(INDEX('Per Invoice'!$J$2:$J$801,$N188)="","",INDEX('Per Invoice'!$J$2:$J$801,$N188)))</f>
        <v/>
      </c>
      <c r="K188" s="5">
        <f>IF($N188="","",IF(INDEX('Per Invoice'!$K$2:$K$801,$N188)="","",INDEX('Per Invoice'!$K$2:$K$801,$N188)))</f>
        <v/>
      </c>
      <c r="L188" s="5">
        <f>IF($N188="","",IF(INDEX('Per Invoice'!$L$2:$L$801,$N188)="","",INDEX('Per Invoice'!$L$2:$L$801,$N188)))</f>
        <v/>
      </c>
      <c r="M188" s="5">
        <f>IF($N188="","",IF(INDEX('Per Invoice'!$M$2:$M$801,$N188)="","",INDEX('Per Invoice'!$M$2:$M$801,$N188)))</f>
        <v/>
      </c>
      <c r="N188">
        <f>IF(ROWS($N$2:$N188)&lt;=COUNT('Per Invoice'!$O$2:$O$801),MATCH(ROWS($N$2:$N188),'Per Invoice'!$O$2:$O$801,0),"")</f>
        <v/>
      </c>
    </row>
    <row r="189">
      <c r="A189">
        <f>IF($N189="","",IF(INDEX('Per Invoice'!$A$2:$A$801,$N189)="","",INDEX('Per Invoice'!$A$2:$A$801,$N189)))</f>
        <v/>
      </c>
      <c r="B189">
        <f>IF($N189="","",IF(INDEX('Per Invoice'!$B$2:$B$801,$N189)="","",INDEX('Per Invoice'!$B$2:$B$801,$N189)))</f>
        <v/>
      </c>
      <c r="C189">
        <f>IF($N189="","",IF(INDEX('Per Invoice'!$C$2:$C$801,$N189)="","",INDEX('Per Invoice'!$C$2:$C$801,$N189)))</f>
        <v/>
      </c>
      <c r="D189">
        <f>IF($N189="","",IF(INDEX('Per Invoice'!$D$2:$D$801,$N189)="","",INDEX('Per Invoice'!$D$2:$D$801,$N189)))</f>
        <v/>
      </c>
      <c r="E189">
        <f>IF($N189="","",IF(INDEX('Per Invoice'!$E$2:$E$801,$N189)="","",INDEX('Per Invoice'!$E$2:$E$801,$N189)))</f>
        <v/>
      </c>
      <c r="F189">
        <f>IF($N189="","",IF(INDEX('Per Invoice'!$F$2:$F$801,$N189)="","",INDEX('Per Invoice'!$F$2:$F$801,$N189)))</f>
        <v/>
      </c>
      <c r="G189">
        <f>IF($N189="","",IF(INDEX('Per Invoice'!$G$2:$G$801,$N189)="","",INDEX('Per Invoice'!$G$2:$G$801,$N189)))</f>
        <v/>
      </c>
      <c r="H189">
        <f>IF($N189="","",IF(INDEX('Per Invoice'!$H$2:$H$801,$N189)="","",INDEX('Per Invoice'!$H$2:$H$801,$N189)))</f>
        <v/>
      </c>
      <c r="I189" s="5">
        <f>IF($N189="","",IF(INDEX('Per Invoice'!$I$2:$I$801,$N189)="","",INDEX('Per Invoice'!$I$2:$I$801,$N189)))</f>
        <v/>
      </c>
      <c r="J189" s="5">
        <f>IF($N189="","",IF(INDEX('Per Invoice'!$J$2:$J$801,$N189)="","",INDEX('Per Invoice'!$J$2:$J$801,$N189)))</f>
        <v/>
      </c>
      <c r="K189" s="5">
        <f>IF($N189="","",IF(INDEX('Per Invoice'!$K$2:$K$801,$N189)="","",INDEX('Per Invoice'!$K$2:$K$801,$N189)))</f>
        <v/>
      </c>
      <c r="L189" s="5">
        <f>IF($N189="","",IF(INDEX('Per Invoice'!$L$2:$L$801,$N189)="","",INDEX('Per Invoice'!$L$2:$L$801,$N189)))</f>
        <v/>
      </c>
      <c r="M189" s="5">
        <f>IF($N189="","",IF(INDEX('Per Invoice'!$M$2:$M$801,$N189)="","",INDEX('Per Invoice'!$M$2:$M$801,$N189)))</f>
        <v/>
      </c>
      <c r="N189">
        <f>IF(ROWS($N$2:$N189)&lt;=COUNT('Per Invoice'!$O$2:$O$801),MATCH(ROWS($N$2:$N189),'Per Invoice'!$O$2:$O$801,0),"")</f>
        <v/>
      </c>
    </row>
    <row r="190">
      <c r="A190">
        <f>IF($N190="","",IF(INDEX('Per Invoice'!$A$2:$A$801,$N190)="","",INDEX('Per Invoice'!$A$2:$A$801,$N190)))</f>
        <v/>
      </c>
      <c r="B190">
        <f>IF($N190="","",IF(INDEX('Per Invoice'!$B$2:$B$801,$N190)="","",INDEX('Per Invoice'!$B$2:$B$801,$N190)))</f>
        <v/>
      </c>
      <c r="C190">
        <f>IF($N190="","",IF(INDEX('Per Invoice'!$C$2:$C$801,$N190)="","",INDEX('Per Invoice'!$C$2:$C$801,$N190)))</f>
        <v/>
      </c>
      <c r="D190">
        <f>IF($N190="","",IF(INDEX('Per Invoice'!$D$2:$D$801,$N190)="","",INDEX('Per Invoice'!$D$2:$D$801,$N190)))</f>
        <v/>
      </c>
      <c r="E190">
        <f>IF($N190="","",IF(INDEX('Per Invoice'!$E$2:$E$801,$N190)="","",INDEX('Per Invoice'!$E$2:$E$801,$N190)))</f>
        <v/>
      </c>
      <c r="F190">
        <f>IF($N190="","",IF(INDEX('Per Invoice'!$F$2:$F$801,$N190)="","",INDEX('Per Invoice'!$F$2:$F$801,$N190)))</f>
        <v/>
      </c>
      <c r="G190">
        <f>IF($N190="","",IF(INDEX('Per Invoice'!$G$2:$G$801,$N190)="","",INDEX('Per Invoice'!$G$2:$G$801,$N190)))</f>
        <v/>
      </c>
      <c r="H190">
        <f>IF($N190="","",IF(INDEX('Per Invoice'!$H$2:$H$801,$N190)="","",INDEX('Per Invoice'!$H$2:$H$801,$N190)))</f>
        <v/>
      </c>
      <c r="I190" s="5">
        <f>IF($N190="","",IF(INDEX('Per Invoice'!$I$2:$I$801,$N190)="","",INDEX('Per Invoice'!$I$2:$I$801,$N190)))</f>
        <v/>
      </c>
      <c r="J190" s="5">
        <f>IF($N190="","",IF(INDEX('Per Invoice'!$J$2:$J$801,$N190)="","",INDEX('Per Invoice'!$J$2:$J$801,$N190)))</f>
        <v/>
      </c>
      <c r="K190" s="5">
        <f>IF($N190="","",IF(INDEX('Per Invoice'!$K$2:$K$801,$N190)="","",INDEX('Per Invoice'!$K$2:$K$801,$N190)))</f>
        <v/>
      </c>
      <c r="L190" s="5">
        <f>IF($N190="","",IF(INDEX('Per Invoice'!$L$2:$L$801,$N190)="","",INDEX('Per Invoice'!$L$2:$L$801,$N190)))</f>
        <v/>
      </c>
      <c r="M190" s="5">
        <f>IF($N190="","",IF(INDEX('Per Invoice'!$M$2:$M$801,$N190)="","",INDEX('Per Invoice'!$M$2:$M$801,$N190)))</f>
        <v/>
      </c>
      <c r="N190">
        <f>IF(ROWS($N$2:$N190)&lt;=COUNT('Per Invoice'!$O$2:$O$801),MATCH(ROWS($N$2:$N190),'Per Invoice'!$O$2:$O$801,0),"")</f>
        <v/>
      </c>
    </row>
    <row r="191">
      <c r="A191">
        <f>IF($N191="","",IF(INDEX('Per Invoice'!$A$2:$A$801,$N191)="","",INDEX('Per Invoice'!$A$2:$A$801,$N191)))</f>
        <v/>
      </c>
      <c r="B191">
        <f>IF($N191="","",IF(INDEX('Per Invoice'!$B$2:$B$801,$N191)="","",INDEX('Per Invoice'!$B$2:$B$801,$N191)))</f>
        <v/>
      </c>
      <c r="C191">
        <f>IF($N191="","",IF(INDEX('Per Invoice'!$C$2:$C$801,$N191)="","",INDEX('Per Invoice'!$C$2:$C$801,$N191)))</f>
        <v/>
      </c>
      <c r="D191">
        <f>IF($N191="","",IF(INDEX('Per Invoice'!$D$2:$D$801,$N191)="","",INDEX('Per Invoice'!$D$2:$D$801,$N191)))</f>
        <v/>
      </c>
      <c r="E191">
        <f>IF($N191="","",IF(INDEX('Per Invoice'!$E$2:$E$801,$N191)="","",INDEX('Per Invoice'!$E$2:$E$801,$N191)))</f>
        <v/>
      </c>
      <c r="F191">
        <f>IF($N191="","",IF(INDEX('Per Invoice'!$F$2:$F$801,$N191)="","",INDEX('Per Invoice'!$F$2:$F$801,$N191)))</f>
        <v/>
      </c>
      <c r="G191">
        <f>IF($N191="","",IF(INDEX('Per Invoice'!$G$2:$G$801,$N191)="","",INDEX('Per Invoice'!$G$2:$G$801,$N191)))</f>
        <v/>
      </c>
      <c r="H191">
        <f>IF($N191="","",IF(INDEX('Per Invoice'!$H$2:$H$801,$N191)="","",INDEX('Per Invoice'!$H$2:$H$801,$N191)))</f>
        <v/>
      </c>
      <c r="I191" s="5">
        <f>IF($N191="","",IF(INDEX('Per Invoice'!$I$2:$I$801,$N191)="","",INDEX('Per Invoice'!$I$2:$I$801,$N191)))</f>
        <v/>
      </c>
      <c r="J191" s="5">
        <f>IF($N191="","",IF(INDEX('Per Invoice'!$J$2:$J$801,$N191)="","",INDEX('Per Invoice'!$J$2:$J$801,$N191)))</f>
        <v/>
      </c>
      <c r="K191" s="5">
        <f>IF($N191="","",IF(INDEX('Per Invoice'!$K$2:$K$801,$N191)="","",INDEX('Per Invoice'!$K$2:$K$801,$N191)))</f>
        <v/>
      </c>
      <c r="L191" s="5">
        <f>IF($N191="","",IF(INDEX('Per Invoice'!$L$2:$L$801,$N191)="","",INDEX('Per Invoice'!$L$2:$L$801,$N191)))</f>
        <v/>
      </c>
      <c r="M191" s="5">
        <f>IF($N191="","",IF(INDEX('Per Invoice'!$M$2:$M$801,$N191)="","",INDEX('Per Invoice'!$M$2:$M$801,$N191)))</f>
        <v/>
      </c>
      <c r="N191">
        <f>IF(ROWS($N$2:$N191)&lt;=COUNT('Per Invoice'!$O$2:$O$801),MATCH(ROWS($N$2:$N191),'Per Invoice'!$O$2:$O$801,0),"")</f>
        <v/>
      </c>
    </row>
    <row r="192">
      <c r="A192">
        <f>IF($N192="","",IF(INDEX('Per Invoice'!$A$2:$A$801,$N192)="","",INDEX('Per Invoice'!$A$2:$A$801,$N192)))</f>
        <v/>
      </c>
      <c r="B192">
        <f>IF($N192="","",IF(INDEX('Per Invoice'!$B$2:$B$801,$N192)="","",INDEX('Per Invoice'!$B$2:$B$801,$N192)))</f>
        <v/>
      </c>
      <c r="C192">
        <f>IF($N192="","",IF(INDEX('Per Invoice'!$C$2:$C$801,$N192)="","",INDEX('Per Invoice'!$C$2:$C$801,$N192)))</f>
        <v/>
      </c>
      <c r="D192">
        <f>IF($N192="","",IF(INDEX('Per Invoice'!$D$2:$D$801,$N192)="","",INDEX('Per Invoice'!$D$2:$D$801,$N192)))</f>
        <v/>
      </c>
      <c r="E192">
        <f>IF($N192="","",IF(INDEX('Per Invoice'!$E$2:$E$801,$N192)="","",INDEX('Per Invoice'!$E$2:$E$801,$N192)))</f>
        <v/>
      </c>
      <c r="F192">
        <f>IF($N192="","",IF(INDEX('Per Invoice'!$F$2:$F$801,$N192)="","",INDEX('Per Invoice'!$F$2:$F$801,$N192)))</f>
        <v/>
      </c>
      <c r="G192">
        <f>IF($N192="","",IF(INDEX('Per Invoice'!$G$2:$G$801,$N192)="","",INDEX('Per Invoice'!$G$2:$G$801,$N192)))</f>
        <v/>
      </c>
      <c r="H192">
        <f>IF($N192="","",IF(INDEX('Per Invoice'!$H$2:$H$801,$N192)="","",INDEX('Per Invoice'!$H$2:$H$801,$N192)))</f>
        <v/>
      </c>
      <c r="I192" s="5">
        <f>IF($N192="","",IF(INDEX('Per Invoice'!$I$2:$I$801,$N192)="","",INDEX('Per Invoice'!$I$2:$I$801,$N192)))</f>
        <v/>
      </c>
      <c r="J192" s="5">
        <f>IF($N192="","",IF(INDEX('Per Invoice'!$J$2:$J$801,$N192)="","",INDEX('Per Invoice'!$J$2:$J$801,$N192)))</f>
        <v/>
      </c>
      <c r="K192" s="5">
        <f>IF($N192="","",IF(INDEX('Per Invoice'!$K$2:$K$801,$N192)="","",INDEX('Per Invoice'!$K$2:$K$801,$N192)))</f>
        <v/>
      </c>
      <c r="L192" s="5">
        <f>IF($N192="","",IF(INDEX('Per Invoice'!$L$2:$L$801,$N192)="","",INDEX('Per Invoice'!$L$2:$L$801,$N192)))</f>
        <v/>
      </c>
      <c r="M192" s="5">
        <f>IF($N192="","",IF(INDEX('Per Invoice'!$M$2:$M$801,$N192)="","",INDEX('Per Invoice'!$M$2:$M$801,$N192)))</f>
        <v/>
      </c>
      <c r="N192">
        <f>IF(ROWS($N$2:$N192)&lt;=COUNT('Per Invoice'!$O$2:$O$801),MATCH(ROWS($N$2:$N192),'Per Invoice'!$O$2:$O$801,0),"")</f>
        <v/>
      </c>
    </row>
    <row r="193">
      <c r="A193">
        <f>IF($N193="","",IF(INDEX('Per Invoice'!$A$2:$A$801,$N193)="","",INDEX('Per Invoice'!$A$2:$A$801,$N193)))</f>
        <v/>
      </c>
      <c r="B193">
        <f>IF($N193="","",IF(INDEX('Per Invoice'!$B$2:$B$801,$N193)="","",INDEX('Per Invoice'!$B$2:$B$801,$N193)))</f>
        <v/>
      </c>
      <c r="C193">
        <f>IF($N193="","",IF(INDEX('Per Invoice'!$C$2:$C$801,$N193)="","",INDEX('Per Invoice'!$C$2:$C$801,$N193)))</f>
        <v/>
      </c>
      <c r="D193">
        <f>IF($N193="","",IF(INDEX('Per Invoice'!$D$2:$D$801,$N193)="","",INDEX('Per Invoice'!$D$2:$D$801,$N193)))</f>
        <v/>
      </c>
      <c r="E193">
        <f>IF($N193="","",IF(INDEX('Per Invoice'!$E$2:$E$801,$N193)="","",INDEX('Per Invoice'!$E$2:$E$801,$N193)))</f>
        <v/>
      </c>
      <c r="F193">
        <f>IF($N193="","",IF(INDEX('Per Invoice'!$F$2:$F$801,$N193)="","",INDEX('Per Invoice'!$F$2:$F$801,$N193)))</f>
        <v/>
      </c>
      <c r="G193">
        <f>IF($N193="","",IF(INDEX('Per Invoice'!$G$2:$G$801,$N193)="","",INDEX('Per Invoice'!$G$2:$G$801,$N193)))</f>
        <v/>
      </c>
      <c r="H193">
        <f>IF($N193="","",IF(INDEX('Per Invoice'!$H$2:$H$801,$N193)="","",INDEX('Per Invoice'!$H$2:$H$801,$N193)))</f>
        <v/>
      </c>
      <c r="I193" s="5">
        <f>IF($N193="","",IF(INDEX('Per Invoice'!$I$2:$I$801,$N193)="","",INDEX('Per Invoice'!$I$2:$I$801,$N193)))</f>
        <v/>
      </c>
      <c r="J193" s="5">
        <f>IF($N193="","",IF(INDEX('Per Invoice'!$J$2:$J$801,$N193)="","",INDEX('Per Invoice'!$J$2:$J$801,$N193)))</f>
        <v/>
      </c>
      <c r="K193" s="5">
        <f>IF($N193="","",IF(INDEX('Per Invoice'!$K$2:$K$801,$N193)="","",INDEX('Per Invoice'!$K$2:$K$801,$N193)))</f>
        <v/>
      </c>
      <c r="L193" s="5">
        <f>IF($N193="","",IF(INDEX('Per Invoice'!$L$2:$L$801,$N193)="","",INDEX('Per Invoice'!$L$2:$L$801,$N193)))</f>
        <v/>
      </c>
      <c r="M193" s="5">
        <f>IF($N193="","",IF(INDEX('Per Invoice'!$M$2:$M$801,$N193)="","",INDEX('Per Invoice'!$M$2:$M$801,$N193)))</f>
        <v/>
      </c>
      <c r="N193">
        <f>IF(ROWS($N$2:$N193)&lt;=COUNT('Per Invoice'!$O$2:$O$801),MATCH(ROWS($N$2:$N193),'Per Invoice'!$O$2:$O$801,0),"")</f>
        <v/>
      </c>
    </row>
    <row r="194">
      <c r="A194">
        <f>IF($N194="","",IF(INDEX('Per Invoice'!$A$2:$A$801,$N194)="","",INDEX('Per Invoice'!$A$2:$A$801,$N194)))</f>
        <v/>
      </c>
      <c r="B194">
        <f>IF($N194="","",IF(INDEX('Per Invoice'!$B$2:$B$801,$N194)="","",INDEX('Per Invoice'!$B$2:$B$801,$N194)))</f>
        <v/>
      </c>
      <c r="C194">
        <f>IF($N194="","",IF(INDEX('Per Invoice'!$C$2:$C$801,$N194)="","",INDEX('Per Invoice'!$C$2:$C$801,$N194)))</f>
        <v/>
      </c>
      <c r="D194">
        <f>IF($N194="","",IF(INDEX('Per Invoice'!$D$2:$D$801,$N194)="","",INDEX('Per Invoice'!$D$2:$D$801,$N194)))</f>
        <v/>
      </c>
      <c r="E194">
        <f>IF($N194="","",IF(INDEX('Per Invoice'!$E$2:$E$801,$N194)="","",INDEX('Per Invoice'!$E$2:$E$801,$N194)))</f>
        <v/>
      </c>
      <c r="F194">
        <f>IF($N194="","",IF(INDEX('Per Invoice'!$F$2:$F$801,$N194)="","",INDEX('Per Invoice'!$F$2:$F$801,$N194)))</f>
        <v/>
      </c>
      <c r="G194">
        <f>IF($N194="","",IF(INDEX('Per Invoice'!$G$2:$G$801,$N194)="","",INDEX('Per Invoice'!$G$2:$G$801,$N194)))</f>
        <v/>
      </c>
      <c r="H194">
        <f>IF($N194="","",IF(INDEX('Per Invoice'!$H$2:$H$801,$N194)="","",INDEX('Per Invoice'!$H$2:$H$801,$N194)))</f>
        <v/>
      </c>
      <c r="I194" s="5">
        <f>IF($N194="","",IF(INDEX('Per Invoice'!$I$2:$I$801,$N194)="","",INDEX('Per Invoice'!$I$2:$I$801,$N194)))</f>
        <v/>
      </c>
      <c r="J194" s="5">
        <f>IF($N194="","",IF(INDEX('Per Invoice'!$J$2:$J$801,$N194)="","",INDEX('Per Invoice'!$J$2:$J$801,$N194)))</f>
        <v/>
      </c>
      <c r="K194" s="5">
        <f>IF($N194="","",IF(INDEX('Per Invoice'!$K$2:$K$801,$N194)="","",INDEX('Per Invoice'!$K$2:$K$801,$N194)))</f>
        <v/>
      </c>
      <c r="L194" s="5">
        <f>IF($N194="","",IF(INDEX('Per Invoice'!$L$2:$L$801,$N194)="","",INDEX('Per Invoice'!$L$2:$L$801,$N194)))</f>
        <v/>
      </c>
      <c r="M194" s="5">
        <f>IF($N194="","",IF(INDEX('Per Invoice'!$M$2:$M$801,$N194)="","",INDEX('Per Invoice'!$M$2:$M$801,$N194)))</f>
        <v/>
      </c>
      <c r="N194">
        <f>IF(ROWS($N$2:$N194)&lt;=COUNT('Per Invoice'!$O$2:$O$801),MATCH(ROWS($N$2:$N194),'Per Invoice'!$O$2:$O$801,0),"")</f>
        <v/>
      </c>
    </row>
    <row r="195">
      <c r="A195">
        <f>IF($N195="","",IF(INDEX('Per Invoice'!$A$2:$A$801,$N195)="","",INDEX('Per Invoice'!$A$2:$A$801,$N195)))</f>
        <v/>
      </c>
      <c r="B195">
        <f>IF($N195="","",IF(INDEX('Per Invoice'!$B$2:$B$801,$N195)="","",INDEX('Per Invoice'!$B$2:$B$801,$N195)))</f>
        <v/>
      </c>
      <c r="C195">
        <f>IF($N195="","",IF(INDEX('Per Invoice'!$C$2:$C$801,$N195)="","",INDEX('Per Invoice'!$C$2:$C$801,$N195)))</f>
        <v/>
      </c>
      <c r="D195">
        <f>IF($N195="","",IF(INDEX('Per Invoice'!$D$2:$D$801,$N195)="","",INDEX('Per Invoice'!$D$2:$D$801,$N195)))</f>
        <v/>
      </c>
      <c r="E195">
        <f>IF($N195="","",IF(INDEX('Per Invoice'!$E$2:$E$801,$N195)="","",INDEX('Per Invoice'!$E$2:$E$801,$N195)))</f>
        <v/>
      </c>
      <c r="F195">
        <f>IF($N195="","",IF(INDEX('Per Invoice'!$F$2:$F$801,$N195)="","",INDEX('Per Invoice'!$F$2:$F$801,$N195)))</f>
        <v/>
      </c>
      <c r="G195">
        <f>IF($N195="","",IF(INDEX('Per Invoice'!$G$2:$G$801,$N195)="","",INDEX('Per Invoice'!$G$2:$G$801,$N195)))</f>
        <v/>
      </c>
      <c r="H195">
        <f>IF($N195="","",IF(INDEX('Per Invoice'!$H$2:$H$801,$N195)="","",INDEX('Per Invoice'!$H$2:$H$801,$N195)))</f>
        <v/>
      </c>
      <c r="I195" s="5">
        <f>IF($N195="","",IF(INDEX('Per Invoice'!$I$2:$I$801,$N195)="","",INDEX('Per Invoice'!$I$2:$I$801,$N195)))</f>
        <v/>
      </c>
      <c r="J195" s="5">
        <f>IF($N195="","",IF(INDEX('Per Invoice'!$J$2:$J$801,$N195)="","",INDEX('Per Invoice'!$J$2:$J$801,$N195)))</f>
        <v/>
      </c>
      <c r="K195" s="5">
        <f>IF($N195="","",IF(INDEX('Per Invoice'!$K$2:$K$801,$N195)="","",INDEX('Per Invoice'!$K$2:$K$801,$N195)))</f>
        <v/>
      </c>
      <c r="L195" s="5">
        <f>IF($N195="","",IF(INDEX('Per Invoice'!$L$2:$L$801,$N195)="","",INDEX('Per Invoice'!$L$2:$L$801,$N195)))</f>
        <v/>
      </c>
      <c r="M195" s="5">
        <f>IF($N195="","",IF(INDEX('Per Invoice'!$M$2:$M$801,$N195)="","",INDEX('Per Invoice'!$M$2:$M$801,$N195)))</f>
        <v/>
      </c>
      <c r="N195">
        <f>IF(ROWS($N$2:$N195)&lt;=COUNT('Per Invoice'!$O$2:$O$801),MATCH(ROWS($N$2:$N195),'Per Invoice'!$O$2:$O$801,0),"")</f>
        <v/>
      </c>
    </row>
    <row r="196">
      <c r="A196">
        <f>IF($N196="","",IF(INDEX('Per Invoice'!$A$2:$A$801,$N196)="","",INDEX('Per Invoice'!$A$2:$A$801,$N196)))</f>
        <v/>
      </c>
      <c r="B196">
        <f>IF($N196="","",IF(INDEX('Per Invoice'!$B$2:$B$801,$N196)="","",INDEX('Per Invoice'!$B$2:$B$801,$N196)))</f>
        <v/>
      </c>
      <c r="C196">
        <f>IF($N196="","",IF(INDEX('Per Invoice'!$C$2:$C$801,$N196)="","",INDEX('Per Invoice'!$C$2:$C$801,$N196)))</f>
        <v/>
      </c>
      <c r="D196">
        <f>IF($N196="","",IF(INDEX('Per Invoice'!$D$2:$D$801,$N196)="","",INDEX('Per Invoice'!$D$2:$D$801,$N196)))</f>
        <v/>
      </c>
      <c r="E196">
        <f>IF($N196="","",IF(INDEX('Per Invoice'!$E$2:$E$801,$N196)="","",INDEX('Per Invoice'!$E$2:$E$801,$N196)))</f>
        <v/>
      </c>
      <c r="F196">
        <f>IF($N196="","",IF(INDEX('Per Invoice'!$F$2:$F$801,$N196)="","",INDEX('Per Invoice'!$F$2:$F$801,$N196)))</f>
        <v/>
      </c>
      <c r="G196">
        <f>IF($N196="","",IF(INDEX('Per Invoice'!$G$2:$G$801,$N196)="","",INDEX('Per Invoice'!$G$2:$G$801,$N196)))</f>
        <v/>
      </c>
      <c r="H196">
        <f>IF($N196="","",IF(INDEX('Per Invoice'!$H$2:$H$801,$N196)="","",INDEX('Per Invoice'!$H$2:$H$801,$N196)))</f>
        <v/>
      </c>
      <c r="I196" s="5">
        <f>IF($N196="","",IF(INDEX('Per Invoice'!$I$2:$I$801,$N196)="","",INDEX('Per Invoice'!$I$2:$I$801,$N196)))</f>
        <v/>
      </c>
      <c r="J196" s="5">
        <f>IF($N196="","",IF(INDEX('Per Invoice'!$J$2:$J$801,$N196)="","",INDEX('Per Invoice'!$J$2:$J$801,$N196)))</f>
        <v/>
      </c>
      <c r="K196" s="5">
        <f>IF($N196="","",IF(INDEX('Per Invoice'!$K$2:$K$801,$N196)="","",INDEX('Per Invoice'!$K$2:$K$801,$N196)))</f>
        <v/>
      </c>
      <c r="L196" s="5">
        <f>IF($N196="","",IF(INDEX('Per Invoice'!$L$2:$L$801,$N196)="","",INDEX('Per Invoice'!$L$2:$L$801,$N196)))</f>
        <v/>
      </c>
      <c r="M196" s="5">
        <f>IF($N196="","",IF(INDEX('Per Invoice'!$M$2:$M$801,$N196)="","",INDEX('Per Invoice'!$M$2:$M$801,$N196)))</f>
        <v/>
      </c>
      <c r="N196">
        <f>IF(ROWS($N$2:$N196)&lt;=COUNT('Per Invoice'!$O$2:$O$801),MATCH(ROWS($N$2:$N196),'Per Invoice'!$O$2:$O$801,0),"")</f>
        <v/>
      </c>
    </row>
    <row r="197">
      <c r="A197">
        <f>IF($N197="","",IF(INDEX('Per Invoice'!$A$2:$A$801,$N197)="","",INDEX('Per Invoice'!$A$2:$A$801,$N197)))</f>
        <v/>
      </c>
      <c r="B197">
        <f>IF($N197="","",IF(INDEX('Per Invoice'!$B$2:$B$801,$N197)="","",INDEX('Per Invoice'!$B$2:$B$801,$N197)))</f>
        <v/>
      </c>
      <c r="C197">
        <f>IF($N197="","",IF(INDEX('Per Invoice'!$C$2:$C$801,$N197)="","",INDEX('Per Invoice'!$C$2:$C$801,$N197)))</f>
        <v/>
      </c>
      <c r="D197">
        <f>IF($N197="","",IF(INDEX('Per Invoice'!$D$2:$D$801,$N197)="","",INDEX('Per Invoice'!$D$2:$D$801,$N197)))</f>
        <v/>
      </c>
      <c r="E197">
        <f>IF($N197="","",IF(INDEX('Per Invoice'!$E$2:$E$801,$N197)="","",INDEX('Per Invoice'!$E$2:$E$801,$N197)))</f>
        <v/>
      </c>
      <c r="F197">
        <f>IF($N197="","",IF(INDEX('Per Invoice'!$F$2:$F$801,$N197)="","",INDEX('Per Invoice'!$F$2:$F$801,$N197)))</f>
        <v/>
      </c>
      <c r="G197">
        <f>IF($N197="","",IF(INDEX('Per Invoice'!$G$2:$G$801,$N197)="","",INDEX('Per Invoice'!$G$2:$G$801,$N197)))</f>
        <v/>
      </c>
      <c r="H197">
        <f>IF($N197="","",IF(INDEX('Per Invoice'!$H$2:$H$801,$N197)="","",INDEX('Per Invoice'!$H$2:$H$801,$N197)))</f>
        <v/>
      </c>
      <c r="I197" s="5">
        <f>IF($N197="","",IF(INDEX('Per Invoice'!$I$2:$I$801,$N197)="","",INDEX('Per Invoice'!$I$2:$I$801,$N197)))</f>
        <v/>
      </c>
      <c r="J197" s="5">
        <f>IF($N197="","",IF(INDEX('Per Invoice'!$J$2:$J$801,$N197)="","",INDEX('Per Invoice'!$J$2:$J$801,$N197)))</f>
        <v/>
      </c>
      <c r="K197" s="5">
        <f>IF($N197="","",IF(INDEX('Per Invoice'!$K$2:$K$801,$N197)="","",INDEX('Per Invoice'!$K$2:$K$801,$N197)))</f>
        <v/>
      </c>
      <c r="L197" s="5">
        <f>IF($N197="","",IF(INDEX('Per Invoice'!$L$2:$L$801,$N197)="","",INDEX('Per Invoice'!$L$2:$L$801,$N197)))</f>
        <v/>
      </c>
      <c r="M197" s="5">
        <f>IF($N197="","",IF(INDEX('Per Invoice'!$M$2:$M$801,$N197)="","",INDEX('Per Invoice'!$M$2:$M$801,$N197)))</f>
        <v/>
      </c>
      <c r="N197">
        <f>IF(ROWS($N$2:$N197)&lt;=COUNT('Per Invoice'!$O$2:$O$801),MATCH(ROWS($N$2:$N197),'Per Invoice'!$O$2:$O$801,0),"")</f>
        <v/>
      </c>
    </row>
    <row r="198">
      <c r="A198">
        <f>IF($N198="","",IF(INDEX('Per Invoice'!$A$2:$A$801,$N198)="","",INDEX('Per Invoice'!$A$2:$A$801,$N198)))</f>
        <v/>
      </c>
      <c r="B198">
        <f>IF($N198="","",IF(INDEX('Per Invoice'!$B$2:$B$801,$N198)="","",INDEX('Per Invoice'!$B$2:$B$801,$N198)))</f>
        <v/>
      </c>
      <c r="C198">
        <f>IF($N198="","",IF(INDEX('Per Invoice'!$C$2:$C$801,$N198)="","",INDEX('Per Invoice'!$C$2:$C$801,$N198)))</f>
        <v/>
      </c>
      <c r="D198">
        <f>IF($N198="","",IF(INDEX('Per Invoice'!$D$2:$D$801,$N198)="","",INDEX('Per Invoice'!$D$2:$D$801,$N198)))</f>
        <v/>
      </c>
      <c r="E198">
        <f>IF($N198="","",IF(INDEX('Per Invoice'!$E$2:$E$801,$N198)="","",INDEX('Per Invoice'!$E$2:$E$801,$N198)))</f>
        <v/>
      </c>
      <c r="F198">
        <f>IF($N198="","",IF(INDEX('Per Invoice'!$F$2:$F$801,$N198)="","",INDEX('Per Invoice'!$F$2:$F$801,$N198)))</f>
        <v/>
      </c>
      <c r="G198">
        <f>IF($N198="","",IF(INDEX('Per Invoice'!$G$2:$G$801,$N198)="","",INDEX('Per Invoice'!$G$2:$G$801,$N198)))</f>
        <v/>
      </c>
      <c r="H198">
        <f>IF($N198="","",IF(INDEX('Per Invoice'!$H$2:$H$801,$N198)="","",INDEX('Per Invoice'!$H$2:$H$801,$N198)))</f>
        <v/>
      </c>
      <c r="I198" s="5">
        <f>IF($N198="","",IF(INDEX('Per Invoice'!$I$2:$I$801,$N198)="","",INDEX('Per Invoice'!$I$2:$I$801,$N198)))</f>
        <v/>
      </c>
      <c r="J198" s="5">
        <f>IF($N198="","",IF(INDEX('Per Invoice'!$J$2:$J$801,$N198)="","",INDEX('Per Invoice'!$J$2:$J$801,$N198)))</f>
        <v/>
      </c>
      <c r="K198" s="5">
        <f>IF($N198="","",IF(INDEX('Per Invoice'!$K$2:$K$801,$N198)="","",INDEX('Per Invoice'!$K$2:$K$801,$N198)))</f>
        <v/>
      </c>
      <c r="L198" s="5">
        <f>IF($N198="","",IF(INDEX('Per Invoice'!$L$2:$L$801,$N198)="","",INDEX('Per Invoice'!$L$2:$L$801,$N198)))</f>
        <v/>
      </c>
      <c r="M198" s="5">
        <f>IF($N198="","",IF(INDEX('Per Invoice'!$M$2:$M$801,$N198)="","",INDEX('Per Invoice'!$M$2:$M$801,$N198)))</f>
        <v/>
      </c>
      <c r="N198">
        <f>IF(ROWS($N$2:$N198)&lt;=COUNT('Per Invoice'!$O$2:$O$801),MATCH(ROWS($N$2:$N198),'Per Invoice'!$O$2:$O$801,0),"")</f>
        <v/>
      </c>
    </row>
    <row r="199">
      <c r="A199">
        <f>IF($N199="","",IF(INDEX('Per Invoice'!$A$2:$A$801,$N199)="","",INDEX('Per Invoice'!$A$2:$A$801,$N199)))</f>
        <v/>
      </c>
      <c r="B199">
        <f>IF($N199="","",IF(INDEX('Per Invoice'!$B$2:$B$801,$N199)="","",INDEX('Per Invoice'!$B$2:$B$801,$N199)))</f>
        <v/>
      </c>
      <c r="C199">
        <f>IF($N199="","",IF(INDEX('Per Invoice'!$C$2:$C$801,$N199)="","",INDEX('Per Invoice'!$C$2:$C$801,$N199)))</f>
        <v/>
      </c>
      <c r="D199">
        <f>IF($N199="","",IF(INDEX('Per Invoice'!$D$2:$D$801,$N199)="","",INDEX('Per Invoice'!$D$2:$D$801,$N199)))</f>
        <v/>
      </c>
      <c r="E199">
        <f>IF($N199="","",IF(INDEX('Per Invoice'!$E$2:$E$801,$N199)="","",INDEX('Per Invoice'!$E$2:$E$801,$N199)))</f>
        <v/>
      </c>
      <c r="F199">
        <f>IF($N199="","",IF(INDEX('Per Invoice'!$F$2:$F$801,$N199)="","",INDEX('Per Invoice'!$F$2:$F$801,$N199)))</f>
        <v/>
      </c>
      <c r="G199">
        <f>IF($N199="","",IF(INDEX('Per Invoice'!$G$2:$G$801,$N199)="","",INDEX('Per Invoice'!$G$2:$G$801,$N199)))</f>
        <v/>
      </c>
      <c r="H199">
        <f>IF($N199="","",IF(INDEX('Per Invoice'!$H$2:$H$801,$N199)="","",INDEX('Per Invoice'!$H$2:$H$801,$N199)))</f>
        <v/>
      </c>
      <c r="I199" s="5">
        <f>IF($N199="","",IF(INDEX('Per Invoice'!$I$2:$I$801,$N199)="","",INDEX('Per Invoice'!$I$2:$I$801,$N199)))</f>
        <v/>
      </c>
      <c r="J199" s="5">
        <f>IF($N199="","",IF(INDEX('Per Invoice'!$J$2:$J$801,$N199)="","",INDEX('Per Invoice'!$J$2:$J$801,$N199)))</f>
        <v/>
      </c>
      <c r="K199" s="5">
        <f>IF($N199="","",IF(INDEX('Per Invoice'!$K$2:$K$801,$N199)="","",INDEX('Per Invoice'!$K$2:$K$801,$N199)))</f>
        <v/>
      </c>
      <c r="L199" s="5">
        <f>IF($N199="","",IF(INDEX('Per Invoice'!$L$2:$L$801,$N199)="","",INDEX('Per Invoice'!$L$2:$L$801,$N199)))</f>
        <v/>
      </c>
      <c r="M199" s="5">
        <f>IF($N199="","",IF(INDEX('Per Invoice'!$M$2:$M$801,$N199)="","",INDEX('Per Invoice'!$M$2:$M$801,$N199)))</f>
        <v/>
      </c>
      <c r="N199">
        <f>IF(ROWS($N$2:$N199)&lt;=COUNT('Per Invoice'!$O$2:$O$801),MATCH(ROWS($N$2:$N199),'Per Invoice'!$O$2:$O$801,0),"")</f>
        <v/>
      </c>
    </row>
    <row r="200">
      <c r="A200">
        <f>IF($N200="","",IF(INDEX('Per Invoice'!$A$2:$A$801,$N200)="","",INDEX('Per Invoice'!$A$2:$A$801,$N200)))</f>
        <v/>
      </c>
      <c r="B200">
        <f>IF($N200="","",IF(INDEX('Per Invoice'!$B$2:$B$801,$N200)="","",INDEX('Per Invoice'!$B$2:$B$801,$N200)))</f>
        <v/>
      </c>
      <c r="C200">
        <f>IF($N200="","",IF(INDEX('Per Invoice'!$C$2:$C$801,$N200)="","",INDEX('Per Invoice'!$C$2:$C$801,$N200)))</f>
        <v/>
      </c>
      <c r="D200">
        <f>IF($N200="","",IF(INDEX('Per Invoice'!$D$2:$D$801,$N200)="","",INDEX('Per Invoice'!$D$2:$D$801,$N200)))</f>
        <v/>
      </c>
      <c r="E200">
        <f>IF($N200="","",IF(INDEX('Per Invoice'!$E$2:$E$801,$N200)="","",INDEX('Per Invoice'!$E$2:$E$801,$N200)))</f>
        <v/>
      </c>
      <c r="F200">
        <f>IF($N200="","",IF(INDEX('Per Invoice'!$F$2:$F$801,$N200)="","",INDEX('Per Invoice'!$F$2:$F$801,$N200)))</f>
        <v/>
      </c>
      <c r="G200">
        <f>IF($N200="","",IF(INDEX('Per Invoice'!$G$2:$G$801,$N200)="","",INDEX('Per Invoice'!$G$2:$G$801,$N200)))</f>
        <v/>
      </c>
      <c r="H200">
        <f>IF($N200="","",IF(INDEX('Per Invoice'!$H$2:$H$801,$N200)="","",INDEX('Per Invoice'!$H$2:$H$801,$N200)))</f>
        <v/>
      </c>
      <c r="I200" s="5">
        <f>IF($N200="","",IF(INDEX('Per Invoice'!$I$2:$I$801,$N200)="","",INDEX('Per Invoice'!$I$2:$I$801,$N200)))</f>
        <v/>
      </c>
      <c r="J200" s="5">
        <f>IF($N200="","",IF(INDEX('Per Invoice'!$J$2:$J$801,$N200)="","",INDEX('Per Invoice'!$J$2:$J$801,$N200)))</f>
        <v/>
      </c>
      <c r="K200" s="5">
        <f>IF($N200="","",IF(INDEX('Per Invoice'!$K$2:$K$801,$N200)="","",INDEX('Per Invoice'!$K$2:$K$801,$N200)))</f>
        <v/>
      </c>
      <c r="L200" s="5">
        <f>IF($N200="","",IF(INDEX('Per Invoice'!$L$2:$L$801,$N200)="","",INDEX('Per Invoice'!$L$2:$L$801,$N200)))</f>
        <v/>
      </c>
      <c r="M200" s="5">
        <f>IF($N200="","",IF(INDEX('Per Invoice'!$M$2:$M$801,$N200)="","",INDEX('Per Invoice'!$M$2:$M$801,$N200)))</f>
        <v/>
      </c>
      <c r="N200">
        <f>IF(ROWS($N$2:$N200)&lt;=COUNT('Per Invoice'!$O$2:$O$801),MATCH(ROWS($N$2:$N200),'Per Invoice'!$O$2:$O$801,0),"")</f>
        <v/>
      </c>
    </row>
    <row r="201">
      <c r="A201">
        <f>IF($N201="","",IF(INDEX('Per Invoice'!$A$2:$A$801,$N201)="","",INDEX('Per Invoice'!$A$2:$A$801,$N201)))</f>
        <v/>
      </c>
      <c r="B201">
        <f>IF($N201="","",IF(INDEX('Per Invoice'!$B$2:$B$801,$N201)="","",INDEX('Per Invoice'!$B$2:$B$801,$N201)))</f>
        <v/>
      </c>
      <c r="C201">
        <f>IF($N201="","",IF(INDEX('Per Invoice'!$C$2:$C$801,$N201)="","",INDEX('Per Invoice'!$C$2:$C$801,$N201)))</f>
        <v/>
      </c>
      <c r="D201">
        <f>IF($N201="","",IF(INDEX('Per Invoice'!$D$2:$D$801,$N201)="","",INDEX('Per Invoice'!$D$2:$D$801,$N201)))</f>
        <v/>
      </c>
      <c r="E201">
        <f>IF($N201="","",IF(INDEX('Per Invoice'!$E$2:$E$801,$N201)="","",INDEX('Per Invoice'!$E$2:$E$801,$N201)))</f>
        <v/>
      </c>
      <c r="F201">
        <f>IF($N201="","",IF(INDEX('Per Invoice'!$F$2:$F$801,$N201)="","",INDEX('Per Invoice'!$F$2:$F$801,$N201)))</f>
        <v/>
      </c>
      <c r="G201">
        <f>IF($N201="","",IF(INDEX('Per Invoice'!$G$2:$G$801,$N201)="","",INDEX('Per Invoice'!$G$2:$G$801,$N201)))</f>
        <v/>
      </c>
      <c r="H201">
        <f>IF($N201="","",IF(INDEX('Per Invoice'!$H$2:$H$801,$N201)="","",INDEX('Per Invoice'!$H$2:$H$801,$N201)))</f>
        <v/>
      </c>
      <c r="I201" s="5">
        <f>IF($N201="","",IF(INDEX('Per Invoice'!$I$2:$I$801,$N201)="","",INDEX('Per Invoice'!$I$2:$I$801,$N201)))</f>
        <v/>
      </c>
      <c r="J201" s="5">
        <f>IF($N201="","",IF(INDEX('Per Invoice'!$J$2:$J$801,$N201)="","",INDEX('Per Invoice'!$J$2:$J$801,$N201)))</f>
        <v/>
      </c>
      <c r="K201" s="5">
        <f>IF($N201="","",IF(INDEX('Per Invoice'!$K$2:$K$801,$N201)="","",INDEX('Per Invoice'!$K$2:$K$801,$N201)))</f>
        <v/>
      </c>
      <c r="L201" s="5">
        <f>IF($N201="","",IF(INDEX('Per Invoice'!$L$2:$L$801,$N201)="","",INDEX('Per Invoice'!$L$2:$L$801,$N201)))</f>
        <v/>
      </c>
      <c r="M201" s="5">
        <f>IF($N201="","",IF(INDEX('Per Invoice'!$M$2:$M$801,$N201)="","",INDEX('Per Invoice'!$M$2:$M$801,$N201)))</f>
        <v/>
      </c>
      <c r="N201">
        <f>IF(ROWS($N$2:$N201)&lt;=COUNT('Per Invoice'!$O$2:$O$801),MATCH(ROWS($N$2:$N201),'Per Invoice'!$O$2:$O$801,0),"")</f>
        <v/>
      </c>
    </row>
    <row r="202">
      <c r="A202">
        <f>IF($N202="","",IF(INDEX('Per Invoice'!$A$2:$A$801,$N202)="","",INDEX('Per Invoice'!$A$2:$A$801,$N202)))</f>
        <v/>
      </c>
      <c r="B202">
        <f>IF($N202="","",IF(INDEX('Per Invoice'!$B$2:$B$801,$N202)="","",INDEX('Per Invoice'!$B$2:$B$801,$N202)))</f>
        <v/>
      </c>
      <c r="C202">
        <f>IF($N202="","",IF(INDEX('Per Invoice'!$C$2:$C$801,$N202)="","",INDEX('Per Invoice'!$C$2:$C$801,$N202)))</f>
        <v/>
      </c>
      <c r="D202">
        <f>IF($N202="","",IF(INDEX('Per Invoice'!$D$2:$D$801,$N202)="","",INDEX('Per Invoice'!$D$2:$D$801,$N202)))</f>
        <v/>
      </c>
      <c r="E202">
        <f>IF($N202="","",IF(INDEX('Per Invoice'!$E$2:$E$801,$N202)="","",INDEX('Per Invoice'!$E$2:$E$801,$N202)))</f>
        <v/>
      </c>
      <c r="F202">
        <f>IF($N202="","",IF(INDEX('Per Invoice'!$F$2:$F$801,$N202)="","",INDEX('Per Invoice'!$F$2:$F$801,$N202)))</f>
        <v/>
      </c>
      <c r="G202">
        <f>IF($N202="","",IF(INDEX('Per Invoice'!$G$2:$G$801,$N202)="","",INDEX('Per Invoice'!$G$2:$G$801,$N202)))</f>
        <v/>
      </c>
      <c r="H202">
        <f>IF($N202="","",IF(INDEX('Per Invoice'!$H$2:$H$801,$N202)="","",INDEX('Per Invoice'!$H$2:$H$801,$N202)))</f>
        <v/>
      </c>
      <c r="I202" s="5">
        <f>IF($N202="","",IF(INDEX('Per Invoice'!$I$2:$I$801,$N202)="","",INDEX('Per Invoice'!$I$2:$I$801,$N202)))</f>
        <v/>
      </c>
      <c r="J202" s="5">
        <f>IF($N202="","",IF(INDEX('Per Invoice'!$J$2:$J$801,$N202)="","",INDEX('Per Invoice'!$J$2:$J$801,$N202)))</f>
        <v/>
      </c>
      <c r="K202" s="5">
        <f>IF($N202="","",IF(INDEX('Per Invoice'!$K$2:$K$801,$N202)="","",INDEX('Per Invoice'!$K$2:$K$801,$N202)))</f>
        <v/>
      </c>
      <c r="L202" s="5">
        <f>IF($N202="","",IF(INDEX('Per Invoice'!$L$2:$L$801,$N202)="","",INDEX('Per Invoice'!$L$2:$L$801,$N202)))</f>
        <v/>
      </c>
      <c r="M202" s="5">
        <f>IF($N202="","",IF(INDEX('Per Invoice'!$M$2:$M$801,$N202)="","",INDEX('Per Invoice'!$M$2:$M$801,$N202)))</f>
        <v/>
      </c>
      <c r="N202">
        <f>IF(ROWS($N$2:$N202)&lt;=COUNT('Per Invoice'!$O$2:$O$801),MATCH(ROWS($N$2:$N202),'Per Invoice'!$O$2:$O$801,0),"")</f>
        <v/>
      </c>
    </row>
    <row r="203">
      <c r="A203">
        <f>IF($N203="","",IF(INDEX('Per Invoice'!$A$2:$A$801,$N203)="","",INDEX('Per Invoice'!$A$2:$A$801,$N203)))</f>
        <v/>
      </c>
      <c r="B203">
        <f>IF($N203="","",IF(INDEX('Per Invoice'!$B$2:$B$801,$N203)="","",INDEX('Per Invoice'!$B$2:$B$801,$N203)))</f>
        <v/>
      </c>
      <c r="C203">
        <f>IF($N203="","",IF(INDEX('Per Invoice'!$C$2:$C$801,$N203)="","",INDEX('Per Invoice'!$C$2:$C$801,$N203)))</f>
        <v/>
      </c>
      <c r="D203">
        <f>IF($N203="","",IF(INDEX('Per Invoice'!$D$2:$D$801,$N203)="","",INDEX('Per Invoice'!$D$2:$D$801,$N203)))</f>
        <v/>
      </c>
      <c r="E203">
        <f>IF($N203="","",IF(INDEX('Per Invoice'!$E$2:$E$801,$N203)="","",INDEX('Per Invoice'!$E$2:$E$801,$N203)))</f>
        <v/>
      </c>
      <c r="F203">
        <f>IF($N203="","",IF(INDEX('Per Invoice'!$F$2:$F$801,$N203)="","",INDEX('Per Invoice'!$F$2:$F$801,$N203)))</f>
        <v/>
      </c>
      <c r="G203">
        <f>IF($N203="","",IF(INDEX('Per Invoice'!$G$2:$G$801,$N203)="","",INDEX('Per Invoice'!$G$2:$G$801,$N203)))</f>
        <v/>
      </c>
      <c r="H203">
        <f>IF($N203="","",IF(INDEX('Per Invoice'!$H$2:$H$801,$N203)="","",INDEX('Per Invoice'!$H$2:$H$801,$N203)))</f>
        <v/>
      </c>
      <c r="I203" s="5">
        <f>IF($N203="","",IF(INDEX('Per Invoice'!$I$2:$I$801,$N203)="","",INDEX('Per Invoice'!$I$2:$I$801,$N203)))</f>
        <v/>
      </c>
      <c r="J203" s="5">
        <f>IF($N203="","",IF(INDEX('Per Invoice'!$J$2:$J$801,$N203)="","",INDEX('Per Invoice'!$J$2:$J$801,$N203)))</f>
        <v/>
      </c>
      <c r="K203" s="5">
        <f>IF($N203="","",IF(INDEX('Per Invoice'!$K$2:$K$801,$N203)="","",INDEX('Per Invoice'!$K$2:$K$801,$N203)))</f>
        <v/>
      </c>
      <c r="L203" s="5">
        <f>IF($N203="","",IF(INDEX('Per Invoice'!$L$2:$L$801,$N203)="","",INDEX('Per Invoice'!$L$2:$L$801,$N203)))</f>
        <v/>
      </c>
      <c r="M203" s="5">
        <f>IF($N203="","",IF(INDEX('Per Invoice'!$M$2:$M$801,$N203)="","",INDEX('Per Invoice'!$M$2:$M$801,$N203)))</f>
        <v/>
      </c>
      <c r="N203">
        <f>IF(ROWS($N$2:$N203)&lt;=COUNT('Per Invoice'!$O$2:$O$801),MATCH(ROWS($N$2:$N203),'Per Invoice'!$O$2:$O$801,0),"")</f>
        <v/>
      </c>
    </row>
    <row r="204">
      <c r="A204">
        <f>IF($N204="","",IF(INDEX('Per Invoice'!$A$2:$A$801,$N204)="","",INDEX('Per Invoice'!$A$2:$A$801,$N204)))</f>
        <v/>
      </c>
      <c r="B204">
        <f>IF($N204="","",IF(INDEX('Per Invoice'!$B$2:$B$801,$N204)="","",INDEX('Per Invoice'!$B$2:$B$801,$N204)))</f>
        <v/>
      </c>
      <c r="C204">
        <f>IF($N204="","",IF(INDEX('Per Invoice'!$C$2:$C$801,$N204)="","",INDEX('Per Invoice'!$C$2:$C$801,$N204)))</f>
        <v/>
      </c>
      <c r="D204">
        <f>IF($N204="","",IF(INDEX('Per Invoice'!$D$2:$D$801,$N204)="","",INDEX('Per Invoice'!$D$2:$D$801,$N204)))</f>
        <v/>
      </c>
      <c r="E204">
        <f>IF($N204="","",IF(INDEX('Per Invoice'!$E$2:$E$801,$N204)="","",INDEX('Per Invoice'!$E$2:$E$801,$N204)))</f>
        <v/>
      </c>
      <c r="F204">
        <f>IF($N204="","",IF(INDEX('Per Invoice'!$F$2:$F$801,$N204)="","",INDEX('Per Invoice'!$F$2:$F$801,$N204)))</f>
        <v/>
      </c>
      <c r="G204">
        <f>IF($N204="","",IF(INDEX('Per Invoice'!$G$2:$G$801,$N204)="","",INDEX('Per Invoice'!$G$2:$G$801,$N204)))</f>
        <v/>
      </c>
      <c r="H204">
        <f>IF($N204="","",IF(INDEX('Per Invoice'!$H$2:$H$801,$N204)="","",INDEX('Per Invoice'!$H$2:$H$801,$N204)))</f>
        <v/>
      </c>
      <c r="I204" s="5">
        <f>IF($N204="","",IF(INDEX('Per Invoice'!$I$2:$I$801,$N204)="","",INDEX('Per Invoice'!$I$2:$I$801,$N204)))</f>
        <v/>
      </c>
      <c r="J204" s="5">
        <f>IF($N204="","",IF(INDEX('Per Invoice'!$J$2:$J$801,$N204)="","",INDEX('Per Invoice'!$J$2:$J$801,$N204)))</f>
        <v/>
      </c>
      <c r="K204" s="5">
        <f>IF($N204="","",IF(INDEX('Per Invoice'!$K$2:$K$801,$N204)="","",INDEX('Per Invoice'!$K$2:$K$801,$N204)))</f>
        <v/>
      </c>
      <c r="L204" s="5">
        <f>IF($N204="","",IF(INDEX('Per Invoice'!$L$2:$L$801,$N204)="","",INDEX('Per Invoice'!$L$2:$L$801,$N204)))</f>
        <v/>
      </c>
      <c r="M204" s="5">
        <f>IF($N204="","",IF(INDEX('Per Invoice'!$M$2:$M$801,$N204)="","",INDEX('Per Invoice'!$M$2:$M$801,$N204)))</f>
        <v/>
      </c>
      <c r="N204">
        <f>IF(ROWS($N$2:$N204)&lt;=COUNT('Per Invoice'!$O$2:$O$801),MATCH(ROWS($N$2:$N204),'Per Invoice'!$O$2:$O$801,0),"")</f>
        <v/>
      </c>
    </row>
    <row r="205">
      <c r="A205">
        <f>IF($N205="","",IF(INDEX('Per Invoice'!$A$2:$A$801,$N205)="","",INDEX('Per Invoice'!$A$2:$A$801,$N205)))</f>
        <v/>
      </c>
      <c r="B205">
        <f>IF($N205="","",IF(INDEX('Per Invoice'!$B$2:$B$801,$N205)="","",INDEX('Per Invoice'!$B$2:$B$801,$N205)))</f>
        <v/>
      </c>
      <c r="C205">
        <f>IF($N205="","",IF(INDEX('Per Invoice'!$C$2:$C$801,$N205)="","",INDEX('Per Invoice'!$C$2:$C$801,$N205)))</f>
        <v/>
      </c>
      <c r="D205">
        <f>IF($N205="","",IF(INDEX('Per Invoice'!$D$2:$D$801,$N205)="","",INDEX('Per Invoice'!$D$2:$D$801,$N205)))</f>
        <v/>
      </c>
      <c r="E205">
        <f>IF($N205="","",IF(INDEX('Per Invoice'!$E$2:$E$801,$N205)="","",INDEX('Per Invoice'!$E$2:$E$801,$N205)))</f>
        <v/>
      </c>
      <c r="F205">
        <f>IF($N205="","",IF(INDEX('Per Invoice'!$F$2:$F$801,$N205)="","",INDEX('Per Invoice'!$F$2:$F$801,$N205)))</f>
        <v/>
      </c>
      <c r="G205">
        <f>IF($N205="","",IF(INDEX('Per Invoice'!$G$2:$G$801,$N205)="","",INDEX('Per Invoice'!$G$2:$G$801,$N205)))</f>
        <v/>
      </c>
      <c r="H205">
        <f>IF($N205="","",IF(INDEX('Per Invoice'!$H$2:$H$801,$N205)="","",INDEX('Per Invoice'!$H$2:$H$801,$N205)))</f>
        <v/>
      </c>
      <c r="I205" s="5">
        <f>IF($N205="","",IF(INDEX('Per Invoice'!$I$2:$I$801,$N205)="","",INDEX('Per Invoice'!$I$2:$I$801,$N205)))</f>
        <v/>
      </c>
      <c r="J205" s="5">
        <f>IF($N205="","",IF(INDEX('Per Invoice'!$J$2:$J$801,$N205)="","",INDEX('Per Invoice'!$J$2:$J$801,$N205)))</f>
        <v/>
      </c>
      <c r="K205" s="5">
        <f>IF($N205="","",IF(INDEX('Per Invoice'!$K$2:$K$801,$N205)="","",INDEX('Per Invoice'!$K$2:$K$801,$N205)))</f>
        <v/>
      </c>
      <c r="L205" s="5">
        <f>IF($N205="","",IF(INDEX('Per Invoice'!$L$2:$L$801,$N205)="","",INDEX('Per Invoice'!$L$2:$L$801,$N205)))</f>
        <v/>
      </c>
      <c r="M205" s="5">
        <f>IF($N205="","",IF(INDEX('Per Invoice'!$M$2:$M$801,$N205)="","",INDEX('Per Invoice'!$M$2:$M$801,$N205)))</f>
        <v/>
      </c>
      <c r="N205">
        <f>IF(ROWS($N$2:$N205)&lt;=COUNT('Per Invoice'!$O$2:$O$801),MATCH(ROWS($N$2:$N205),'Per Invoice'!$O$2:$O$801,0),"")</f>
        <v/>
      </c>
    </row>
    <row r="206">
      <c r="A206">
        <f>IF($N206="","",IF(INDEX('Per Invoice'!$A$2:$A$801,$N206)="","",INDEX('Per Invoice'!$A$2:$A$801,$N206)))</f>
        <v/>
      </c>
      <c r="B206">
        <f>IF($N206="","",IF(INDEX('Per Invoice'!$B$2:$B$801,$N206)="","",INDEX('Per Invoice'!$B$2:$B$801,$N206)))</f>
        <v/>
      </c>
      <c r="C206">
        <f>IF($N206="","",IF(INDEX('Per Invoice'!$C$2:$C$801,$N206)="","",INDEX('Per Invoice'!$C$2:$C$801,$N206)))</f>
        <v/>
      </c>
      <c r="D206">
        <f>IF($N206="","",IF(INDEX('Per Invoice'!$D$2:$D$801,$N206)="","",INDEX('Per Invoice'!$D$2:$D$801,$N206)))</f>
        <v/>
      </c>
      <c r="E206">
        <f>IF($N206="","",IF(INDEX('Per Invoice'!$E$2:$E$801,$N206)="","",INDEX('Per Invoice'!$E$2:$E$801,$N206)))</f>
        <v/>
      </c>
      <c r="F206">
        <f>IF($N206="","",IF(INDEX('Per Invoice'!$F$2:$F$801,$N206)="","",INDEX('Per Invoice'!$F$2:$F$801,$N206)))</f>
        <v/>
      </c>
      <c r="G206">
        <f>IF($N206="","",IF(INDEX('Per Invoice'!$G$2:$G$801,$N206)="","",INDEX('Per Invoice'!$G$2:$G$801,$N206)))</f>
        <v/>
      </c>
      <c r="H206">
        <f>IF($N206="","",IF(INDEX('Per Invoice'!$H$2:$H$801,$N206)="","",INDEX('Per Invoice'!$H$2:$H$801,$N206)))</f>
        <v/>
      </c>
      <c r="I206" s="5">
        <f>IF($N206="","",IF(INDEX('Per Invoice'!$I$2:$I$801,$N206)="","",INDEX('Per Invoice'!$I$2:$I$801,$N206)))</f>
        <v/>
      </c>
      <c r="J206" s="5">
        <f>IF($N206="","",IF(INDEX('Per Invoice'!$J$2:$J$801,$N206)="","",INDEX('Per Invoice'!$J$2:$J$801,$N206)))</f>
        <v/>
      </c>
      <c r="K206" s="5">
        <f>IF($N206="","",IF(INDEX('Per Invoice'!$K$2:$K$801,$N206)="","",INDEX('Per Invoice'!$K$2:$K$801,$N206)))</f>
        <v/>
      </c>
      <c r="L206" s="5">
        <f>IF($N206="","",IF(INDEX('Per Invoice'!$L$2:$L$801,$N206)="","",INDEX('Per Invoice'!$L$2:$L$801,$N206)))</f>
        <v/>
      </c>
      <c r="M206" s="5">
        <f>IF($N206="","",IF(INDEX('Per Invoice'!$M$2:$M$801,$N206)="","",INDEX('Per Invoice'!$M$2:$M$801,$N206)))</f>
        <v/>
      </c>
      <c r="N206">
        <f>IF(ROWS($N$2:$N206)&lt;=COUNT('Per Invoice'!$O$2:$O$801),MATCH(ROWS($N$2:$N206),'Per Invoice'!$O$2:$O$801,0),"")</f>
        <v/>
      </c>
    </row>
    <row r="207">
      <c r="A207">
        <f>IF($N207="","",IF(INDEX('Per Invoice'!$A$2:$A$801,$N207)="","",INDEX('Per Invoice'!$A$2:$A$801,$N207)))</f>
        <v/>
      </c>
      <c r="B207">
        <f>IF($N207="","",IF(INDEX('Per Invoice'!$B$2:$B$801,$N207)="","",INDEX('Per Invoice'!$B$2:$B$801,$N207)))</f>
        <v/>
      </c>
      <c r="C207">
        <f>IF($N207="","",IF(INDEX('Per Invoice'!$C$2:$C$801,$N207)="","",INDEX('Per Invoice'!$C$2:$C$801,$N207)))</f>
        <v/>
      </c>
      <c r="D207">
        <f>IF($N207="","",IF(INDEX('Per Invoice'!$D$2:$D$801,$N207)="","",INDEX('Per Invoice'!$D$2:$D$801,$N207)))</f>
        <v/>
      </c>
      <c r="E207">
        <f>IF($N207="","",IF(INDEX('Per Invoice'!$E$2:$E$801,$N207)="","",INDEX('Per Invoice'!$E$2:$E$801,$N207)))</f>
        <v/>
      </c>
      <c r="F207">
        <f>IF($N207="","",IF(INDEX('Per Invoice'!$F$2:$F$801,$N207)="","",INDEX('Per Invoice'!$F$2:$F$801,$N207)))</f>
        <v/>
      </c>
      <c r="G207">
        <f>IF($N207="","",IF(INDEX('Per Invoice'!$G$2:$G$801,$N207)="","",INDEX('Per Invoice'!$G$2:$G$801,$N207)))</f>
        <v/>
      </c>
      <c r="H207">
        <f>IF($N207="","",IF(INDEX('Per Invoice'!$H$2:$H$801,$N207)="","",INDEX('Per Invoice'!$H$2:$H$801,$N207)))</f>
        <v/>
      </c>
      <c r="I207" s="5">
        <f>IF($N207="","",IF(INDEX('Per Invoice'!$I$2:$I$801,$N207)="","",INDEX('Per Invoice'!$I$2:$I$801,$N207)))</f>
        <v/>
      </c>
      <c r="J207" s="5">
        <f>IF($N207="","",IF(INDEX('Per Invoice'!$J$2:$J$801,$N207)="","",INDEX('Per Invoice'!$J$2:$J$801,$N207)))</f>
        <v/>
      </c>
      <c r="K207" s="5">
        <f>IF($N207="","",IF(INDEX('Per Invoice'!$K$2:$K$801,$N207)="","",INDEX('Per Invoice'!$K$2:$K$801,$N207)))</f>
        <v/>
      </c>
      <c r="L207" s="5">
        <f>IF($N207="","",IF(INDEX('Per Invoice'!$L$2:$L$801,$N207)="","",INDEX('Per Invoice'!$L$2:$L$801,$N207)))</f>
        <v/>
      </c>
      <c r="M207" s="5">
        <f>IF($N207="","",IF(INDEX('Per Invoice'!$M$2:$M$801,$N207)="","",INDEX('Per Invoice'!$M$2:$M$801,$N207)))</f>
        <v/>
      </c>
      <c r="N207">
        <f>IF(ROWS($N$2:$N207)&lt;=COUNT('Per Invoice'!$O$2:$O$801),MATCH(ROWS($N$2:$N207),'Per Invoice'!$O$2:$O$801,0),"")</f>
        <v/>
      </c>
    </row>
    <row r="208">
      <c r="A208">
        <f>IF($N208="","",IF(INDEX('Per Invoice'!$A$2:$A$801,$N208)="","",INDEX('Per Invoice'!$A$2:$A$801,$N208)))</f>
        <v/>
      </c>
      <c r="B208">
        <f>IF($N208="","",IF(INDEX('Per Invoice'!$B$2:$B$801,$N208)="","",INDEX('Per Invoice'!$B$2:$B$801,$N208)))</f>
        <v/>
      </c>
      <c r="C208">
        <f>IF($N208="","",IF(INDEX('Per Invoice'!$C$2:$C$801,$N208)="","",INDEX('Per Invoice'!$C$2:$C$801,$N208)))</f>
        <v/>
      </c>
      <c r="D208">
        <f>IF($N208="","",IF(INDEX('Per Invoice'!$D$2:$D$801,$N208)="","",INDEX('Per Invoice'!$D$2:$D$801,$N208)))</f>
        <v/>
      </c>
      <c r="E208">
        <f>IF($N208="","",IF(INDEX('Per Invoice'!$E$2:$E$801,$N208)="","",INDEX('Per Invoice'!$E$2:$E$801,$N208)))</f>
        <v/>
      </c>
      <c r="F208">
        <f>IF($N208="","",IF(INDEX('Per Invoice'!$F$2:$F$801,$N208)="","",INDEX('Per Invoice'!$F$2:$F$801,$N208)))</f>
        <v/>
      </c>
      <c r="G208">
        <f>IF($N208="","",IF(INDEX('Per Invoice'!$G$2:$G$801,$N208)="","",INDEX('Per Invoice'!$G$2:$G$801,$N208)))</f>
        <v/>
      </c>
      <c r="H208">
        <f>IF($N208="","",IF(INDEX('Per Invoice'!$H$2:$H$801,$N208)="","",INDEX('Per Invoice'!$H$2:$H$801,$N208)))</f>
        <v/>
      </c>
      <c r="I208" s="5">
        <f>IF($N208="","",IF(INDEX('Per Invoice'!$I$2:$I$801,$N208)="","",INDEX('Per Invoice'!$I$2:$I$801,$N208)))</f>
        <v/>
      </c>
      <c r="J208" s="5">
        <f>IF($N208="","",IF(INDEX('Per Invoice'!$J$2:$J$801,$N208)="","",INDEX('Per Invoice'!$J$2:$J$801,$N208)))</f>
        <v/>
      </c>
      <c r="K208" s="5">
        <f>IF($N208="","",IF(INDEX('Per Invoice'!$K$2:$K$801,$N208)="","",INDEX('Per Invoice'!$K$2:$K$801,$N208)))</f>
        <v/>
      </c>
      <c r="L208" s="5">
        <f>IF($N208="","",IF(INDEX('Per Invoice'!$L$2:$L$801,$N208)="","",INDEX('Per Invoice'!$L$2:$L$801,$N208)))</f>
        <v/>
      </c>
      <c r="M208" s="5">
        <f>IF($N208="","",IF(INDEX('Per Invoice'!$M$2:$M$801,$N208)="","",INDEX('Per Invoice'!$M$2:$M$801,$N208)))</f>
        <v/>
      </c>
      <c r="N208">
        <f>IF(ROWS($N$2:$N208)&lt;=COUNT('Per Invoice'!$O$2:$O$801),MATCH(ROWS($N$2:$N208),'Per Invoice'!$O$2:$O$801,0),"")</f>
        <v/>
      </c>
    </row>
    <row r="209">
      <c r="A209">
        <f>IF($N209="","",IF(INDEX('Per Invoice'!$A$2:$A$801,$N209)="","",INDEX('Per Invoice'!$A$2:$A$801,$N209)))</f>
        <v/>
      </c>
      <c r="B209">
        <f>IF($N209="","",IF(INDEX('Per Invoice'!$B$2:$B$801,$N209)="","",INDEX('Per Invoice'!$B$2:$B$801,$N209)))</f>
        <v/>
      </c>
      <c r="C209">
        <f>IF($N209="","",IF(INDEX('Per Invoice'!$C$2:$C$801,$N209)="","",INDEX('Per Invoice'!$C$2:$C$801,$N209)))</f>
        <v/>
      </c>
      <c r="D209">
        <f>IF($N209="","",IF(INDEX('Per Invoice'!$D$2:$D$801,$N209)="","",INDEX('Per Invoice'!$D$2:$D$801,$N209)))</f>
        <v/>
      </c>
      <c r="E209">
        <f>IF($N209="","",IF(INDEX('Per Invoice'!$E$2:$E$801,$N209)="","",INDEX('Per Invoice'!$E$2:$E$801,$N209)))</f>
        <v/>
      </c>
      <c r="F209">
        <f>IF($N209="","",IF(INDEX('Per Invoice'!$F$2:$F$801,$N209)="","",INDEX('Per Invoice'!$F$2:$F$801,$N209)))</f>
        <v/>
      </c>
      <c r="G209">
        <f>IF($N209="","",IF(INDEX('Per Invoice'!$G$2:$G$801,$N209)="","",INDEX('Per Invoice'!$G$2:$G$801,$N209)))</f>
        <v/>
      </c>
      <c r="H209">
        <f>IF($N209="","",IF(INDEX('Per Invoice'!$H$2:$H$801,$N209)="","",INDEX('Per Invoice'!$H$2:$H$801,$N209)))</f>
        <v/>
      </c>
      <c r="I209" s="5">
        <f>IF($N209="","",IF(INDEX('Per Invoice'!$I$2:$I$801,$N209)="","",INDEX('Per Invoice'!$I$2:$I$801,$N209)))</f>
        <v/>
      </c>
      <c r="J209" s="5">
        <f>IF($N209="","",IF(INDEX('Per Invoice'!$J$2:$J$801,$N209)="","",INDEX('Per Invoice'!$J$2:$J$801,$N209)))</f>
        <v/>
      </c>
      <c r="K209" s="5">
        <f>IF($N209="","",IF(INDEX('Per Invoice'!$K$2:$K$801,$N209)="","",INDEX('Per Invoice'!$K$2:$K$801,$N209)))</f>
        <v/>
      </c>
      <c r="L209" s="5">
        <f>IF($N209="","",IF(INDEX('Per Invoice'!$L$2:$L$801,$N209)="","",INDEX('Per Invoice'!$L$2:$L$801,$N209)))</f>
        <v/>
      </c>
      <c r="M209" s="5">
        <f>IF($N209="","",IF(INDEX('Per Invoice'!$M$2:$M$801,$N209)="","",INDEX('Per Invoice'!$M$2:$M$801,$N209)))</f>
        <v/>
      </c>
      <c r="N209">
        <f>IF(ROWS($N$2:$N209)&lt;=COUNT('Per Invoice'!$O$2:$O$801),MATCH(ROWS($N$2:$N209),'Per Invoice'!$O$2:$O$801,0),"")</f>
        <v/>
      </c>
    </row>
    <row r="210">
      <c r="A210">
        <f>IF($N210="","",IF(INDEX('Per Invoice'!$A$2:$A$801,$N210)="","",INDEX('Per Invoice'!$A$2:$A$801,$N210)))</f>
        <v/>
      </c>
      <c r="B210">
        <f>IF($N210="","",IF(INDEX('Per Invoice'!$B$2:$B$801,$N210)="","",INDEX('Per Invoice'!$B$2:$B$801,$N210)))</f>
        <v/>
      </c>
      <c r="C210">
        <f>IF($N210="","",IF(INDEX('Per Invoice'!$C$2:$C$801,$N210)="","",INDEX('Per Invoice'!$C$2:$C$801,$N210)))</f>
        <v/>
      </c>
      <c r="D210">
        <f>IF($N210="","",IF(INDEX('Per Invoice'!$D$2:$D$801,$N210)="","",INDEX('Per Invoice'!$D$2:$D$801,$N210)))</f>
        <v/>
      </c>
      <c r="E210">
        <f>IF($N210="","",IF(INDEX('Per Invoice'!$E$2:$E$801,$N210)="","",INDEX('Per Invoice'!$E$2:$E$801,$N210)))</f>
        <v/>
      </c>
      <c r="F210">
        <f>IF($N210="","",IF(INDEX('Per Invoice'!$F$2:$F$801,$N210)="","",INDEX('Per Invoice'!$F$2:$F$801,$N210)))</f>
        <v/>
      </c>
      <c r="G210">
        <f>IF($N210="","",IF(INDEX('Per Invoice'!$G$2:$G$801,$N210)="","",INDEX('Per Invoice'!$G$2:$G$801,$N210)))</f>
        <v/>
      </c>
      <c r="H210">
        <f>IF($N210="","",IF(INDEX('Per Invoice'!$H$2:$H$801,$N210)="","",INDEX('Per Invoice'!$H$2:$H$801,$N210)))</f>
        <v/>
      </c>
      <c r="I210" s="5">
        <f>IF($N210="","",IF(INDEX('Per Invoice'!$I$2:$I$801,$N210)="","",INDEX('Per Invoice'!$I$2:$I$801,$N210)))</f>
        <v/>
      </c>
      <c r="J210" s="5">
        <f>IF($N210="","",IF(INDEX('Per Invoice'!$J$2:$J$801,$N210)="","",INDEX('Per Invoice'!$J$2:$J$801,$N210)))</f>
        <v/>
      </c>
      <c r="K210" s="5">
        <f>IF($N210="","",IF(INDEX('Per Invoice'!$K$2:$K$801,$N210)="","",INDEX('Per Invoice'!$K$2:$K$801,$N210)))</f>
        <v/>
      </c>
      <c r="L210" s="5">
        <f>IF($N210="","",IF(INDEX('Per Invoice'!$L$2:$L$801,$N210)="","",INDEX('Per Invoice'!$L$2:$L$801,$N210)))</f>
        <v/>
      </c>
      <c r="M210" s="5">
        <f>IF($N210="","",IF(INDEX('Per Invoice'!$M$2:$M$801,$N210)="","",INDEX('Per Invoice'!$M$2:$M$801,$N210)))</f>
        <v/>
      </c>
      <c r="N210">
        <f>IF(ROWS($N$2:$N210)&lt;=COUNT('Per Invoice'!$O$2:$O$801),MATCH(ROWS($N$2:$N210),'Per Invoice'!$O$2:$O$801,0),"")</f>
        <v/>
      </c>
    </row>
    <row r="211">
      <c r="A211">
        <f>IF($N211="","",IF(INDEX('Per Invoice'!$A$2:$A$801,$N211)="","",INDEX('Per Invoice'!$A$2:$A$801,$N211)))</f>
        <v/>
      </c>
      <c r="B211">
        <f>IF($N211="","",IF(INDEX('Per Invoice'!$B$2:$B$801,$N211)="","",INDEX('Per Invoice'!$B$2:$B$801,$N211)))</f>
        <v/>
      </c>
      <c r="C211">
        <f>IF($N211="","",IF(INDEX('Per Invoice'!$C$2:$C$801,$N211)="","",INDEX('Per Invoice'!$C$2:$C$801,$N211)))</f>
        <v/>
      </c>
      <c r="D211">
        <f>IF($N211="","",IF(INDEX('Per Invoice'!$D$2:$D$801,$N211)="","",INDEX('Per Invoice'!$D$2:$D$801,$N211)))</f>
        <v/>
      </c>
      <c r="E211">
        <f>IF($N211="","",IF(INDEX('Per Invoice'!$E$2:$E$801,$N211)="","",INDEX('Per Invoice'!$E$2:$E$801,$N211)))</f>
        <v/>
      </c>
      <c r="F211">
        <f>IF($N211="","",IF(INDEX('Per Invoice'!$F$2:$F$801,$N211)="","",INDEX('Per Invoice'!$F$2:$F$801,$N211)))</f>
        <v/>
      </c>
      <c r="G211">
        <f>IF($N211="","",IF(INDEX('Per Invoice'!$G$2:$G$801,$N211)="","",INDEX('Per Invoice'!$G$2:$G$801,$N211)))</f>
        <v/>
      </c>
      <c r="H211">
        <f>IF($N211="","",IF(INDEX('Per Invoice'!$H$2:$H$801,$N211)="","",INDEX('Per Invoice'!$H$2:$H$801,$N211)))</f>
        <v/>
      </c>
      <c r="I211" s="5">
        <f>IF($N211="","",IF(INDEX('Per Invoice'!$I$2:$I$801,$N211)="","",INDEX('Per Invoice'!$I$2:$I$801,$N211)))</f>
        <v/>
      </c>
      <c r="J211" s="5">
        <f>IF($N211="","",IF(INDEX('Per Invoice'!$J$2:$J$801,$N211)="","",INDEX('Per Invoice'!$J$2:$J$801,$N211)))</f>
        <v/>
      </c>
      <c r="K211" s="5">
        <f>IF($N211="","",IF(INDEX('Per Invoice'!$K$2:$K$801,$N211)="","",INDEX('Per Invoice'!$K$2:$K$801,$N211)))</f>
        <v/>
      </c>
      <c r="L211" s="5">
        <f>IF($N211="","",IF(INDEX('Per Invoice'!$L$2:$L$801,$N211)="","",INDEX('Per Invoice'!$L$2:$L$801,$N211)))</f>
        <v/>
      </c>
      <c r="M211" s="5">
        <f>IF($N211="","",IF(INDEX('Per Invoice'!$M$2:$M$801,$N211)="","",INDEX('Per Invoice'!$M$2:$M$801,$N211)))</f>
        <v/>
      </c>
      <c r="N211">
        <f>IF(ROWS($N$2:$N211)&lt;=COUNT('Per Invoice'!$O$2:$O$801),MATCH(ROWS($N$2:$N211),'Per Invoice'!$O$2:$O$801,0),"")</f>
        <v/>
      </c>
    </row>
    <row r="212">
      <c r="A212">
        <f>IF($N212="","",IF(INDEX('Per Invoice'!$A$2:$A$801,$N212)="","",INDEX('Per Invoice'!$A$2:$A$801,$N212)))</f>
        <v/>
      </c>
      <c r="B212">
        <f>IF($N212="","",IF(INDEX('Per Invoice'!$B$2:$B$801,$N212)="","",INDEX('Per Invoice'!$B$2:$B$801,$N212)))</f>
        <v/>
      </c>
      <c r="C212">
        <f>IF($N212="","",IF(INDEX('Per Invoice'!$C$2:$C$801,$N212)="","",INDEX('Per Invoice'!$C$2:$C$801,$N212)))</f>
        <v/>
      </c>
      <c r="D212">
        <f>IF($N212="","",IF(INDEX('Per Invoice'!$D$2:$D$801,$N212)="","",INDEX('Per Invoice'!$D$2:$D$801,$N212)))</f>
        <v/>
      </c>
      <c r="E212">
        <f>IF($N212="","",IF(INDEX('Per Invoice'!$E$2:$E$801,$N212)="","",INDEX('Per Invoice'!$E$2:$E$801,$N212)))</f>
        <v/>
      </c>
      <c r="F212">
        <f>IF($N212="","",IF(INDEX('Per Invoice'!$F$2:$F$801,$N212)="","",INDEX('Per Invoice'!$F$2:$F$801,$N212)))</f>
        <v/>
      </c>
      <c r="G212">
        <f>IF($N212="","",IF(INDEX('Per Invoice'!$G$2:$G$801,$N212)="","",INDEX('Per Invoice'!$G$2:$G$801,$N212)))</f>
        <v/>
      </c>
      <c r="H212">
        <f>IF($N212="","",IF(INDEX('Per Invoice'!$H$2:$H$801,$N212)="","",INDEX('Per Invoice'!$H$2:$H$801,$N212)))</f>
        <v/>
      </c>
      <c r="I212" s="5">
        <f>IF($N212="","",IF(INDEX('Per Invoice'!$I$2:$I$801,$N212)="","",INDEX('Per Invoice'!$I$2:$I$801,$N212)))</f>
        <v/>
      </c>
      <c r="J212" s="5">
        <f>IF($N212="","",IF(INDEX('Per Invoice'!$J$2:$J$801,$N212)="","",INDEX('Per Invoice'!$J$2:$J$801,$N212)))</f>
        <v/>
      </c>
      <c r="K212" s="5">
        <f>IF($N212="","",IF(INDEX('Per Invoice'!$K$2:$K$801,$N212)="","",INDEX('Per Invoice'!$K$2:$K$801,$N212)))</f>
        <v/>
      </c>
      <c r="L212" s="5">
        <f>IF($N212="","",IF(INDEX('Per Invoice'!$L$2:$L$801,$N212)="","",INDEX('Per Invoice'!$L$2:$L$801,$N212)))</f>
        <v/>
      </c>
      <c r="M212" s="5">
        <f>IF($N212="","",IF(INDEX('Per Invoice'!$M$2:$M$801,$N212)="","",INDEX('Per Invoice'!$M$2:$M$801,$N212)))</f>
        <v/>
      </c>
      <c r="N212">
        <f>IF(ROWS($N$2:$N212)&lt;=COUNT('Per Invoice'!$O$2:$O$801),MATCH(ROWS($N$2:$N212),'Per Invoice'!$O$2:$O$801,0),"")</f>
        <v/>
      </c>
    </row>
    <row r="213">
      <c r="A213">
        <f>IF($N213="","",IF(INDEX('Per Invoice'!$A$2:$A$801,$N213)="","",INDEX('Per Invoice'!$A$2:$A$801,$N213)))</f>
        <v/>
      </c>
      <c r="B213">
        <f>IF($N213="","",IF(INDEX('Per Invoice'!$B$2:$B$801,$N213)="","",INDEX('Per Invoice'!$B$2:$B$801,$N213)))</f>
        <v/>
      </c>
      <c r="C213">
        <f>IF($N213="","",IF(INDEX('Per Invoice'!$C$2:$C$801,$N213)="","",INDEX('Per Invoice'!$C$2:$C$801,$N213)))</f>
        <v/>
      </c>
      <c r="D213">
        <f>IF($N213="","",IF(INDEX('Per Invoice'!$D$2:$D$801,$N213)="","",INDEX('Per Invoice'!$D$2:$D$801,$N213)))</f>
        <v/>
      </c>
      <c r="E213">
        <f>IF($N213="","",IF(INDEX('Per Invoice'!$E$2:$E$801,$N213)="","",INDEX('Per Invoice'!$E$2:$E$801,$N213)))</f>
        <v/>
      </c>
      <c r="F213">
        <f>IF($N213="","",IF(INDEX('Per Invoice'!$F$2:$F$801,$N213)="","",INDEX('Per Invoice'!$F$2:$F$801,$N213)))</f>
        <v/>
      </c>
      <c r="G213">
        <f>IF($N213="","",IF(INDEX('Per Invoice'!$G$2:$G$801,$N213)="","",INDEX('Per Invoice'!$G$2:$G$801,$N213)))</f>
        <v/>
      </c>
      <c r="H213">
        <f>IF($N213="","",IF(INDEX('Per Invoice'!$H$2:$H$801,$N213)="","",INDEX('Per Invoice'!$H$2:$H$801,$N213)))</f>
        <v/>
      </c>
      <c r="I213" s="5">
        <f>IF($N213="","",IF(INDEX('Per Invoice'!$I$2:$I$801,$N213)="","",INDEX('Per Invoice'!$I$2:$I$801,$N213)))</f>
        <v/>
      </c>
      <c r="J213" s="5">
        <f>IF($N213="","",IF(INDEX('Per Invoice'!$J$2:$J$801,$N213)="","",INDEX('Per Invoice'!$J$2:$J$801,$N213)))</f>
        <v/>
      </c>
      <c r="K213" s="5">
        <f>IF($N213="","",IF(INDEX('Per Invoice'!$K$2:$K$801,$N213)="","",INDEX('Per Invoice'!$K$2:$K$801,$N213)))</f>
        <v/>
      </c>
      <c r="L213" s="5">
        <f>IF($N213="","",IF(INDEX('Per Invoice'!$L$2:$L$801,$N213)="","",INDEX('Per Invoice'!$L$2:$L$801,$N213)))</f>
        <v/>
      </c>
      <c r="M213" s="5">
        <f>IF($N213="","",IF(INDEX('Per Invoice'!$M$2:$M$801,$N213)="","",INDEX('Per Invoice'!$M$2:$M$801,$N213)))</f>
        <v/>
      </c>
      <c r="N213">
        <f>IF(ROWS($N$2:$N213)&lt;=COUNT('Per Invoice'!$O$2:$O$801),MATCH(ROWS($N$2:$N213),'Per Invoice'!$O$2:$O$801,0),"")</f>
        <v/>
      </c>
    </row>
    <row r="214">
      <c r="A214">
        <f>IF($N214="","",IF(INDEX('Per Invoice'!$A$2:$A$801,$N214)="","",INDEX('Per Invoice'!$A$2:$A$801,$N214)))</f>
        <v/>
      </c>
      <c r="B214">
        <f>IF($N214="","",IF(INDEX('Per Invoice'!$B$2:$B$801,$N214)="","",INDEX('Per Invoice'!$B$2:$B$801,$N214)))</f>
        <v/>
      </c>
      <c r="C214">
        <f>IF($N214="","",IF(INDEX('Per Invoice'!$C$2:$C$801,$N214)="","",INDEX('Per Invoice'!$C$2:$C$801,$N214)))</f>
        <v/>
      </c>
      <c r="D214">
        <f>IF($N214="","",IF(INDEX('Per Invoice'!$D$2:$D$801,$N214)="","",INDEX('Per Invoice'!$D$2:$D$801,$N214)))</f>
        <v/>
      </c>
      <c r="E214">
        <f>IF($N214="","",IF(INDEX('Per Invoice'!$E$2:$E$801,$N214)="","",INDEX('Per Invoice'!$E$2:$E$801,$N214)))</f>
        <v/>
      </c>
      <c r="F214">
        <f>IF($N214="","",IF(INDEX('Per Invoice'!$F$2:$F$801,$N214)="","",INDEX('Per Invoice'!$F$2:$F$801,$N214)))</f>
        <v/>
      </c>
      <c r="G214">
        <f>IF($N214="","",IF(INDEX('Per Invoice'!$G$2:$G$801,$N214)="","",INDEX('Per Invoice'!$G$2:$G$801,$N214)))</f>
        <v/>
      </c>
      <c r="H214">
        <f>IF($N214="","",IF(INDEX('Per Invoice'!$H$2:$H$801,$N214)="","",INDEX('Per Invoice'!$H$2:$H$801,$N214)))</f>
        <v/>
      </c>
      <c r="I214" s="5">
        <f>IF($N214="","",IF(INDEX('Per Invoice'!$I$2:$I$801,$N214)="","",INDEX('Per Invoice'!$I$2:$I$801,$N214)))</f>
        <v/>
      </c>
      <c r="J214" s="5">
        <f>IF($N214="","",IF(INDEX('Per Invoice'!$J$2:$J$801,$N214)="","",INDEX('Per Invoice'!$J$2:$J$801,$N214)))</f>
        <v/>
      </c>
      <c r="K214" s="5">
        <f>IF($N214="","",IF(INDEX('Per Invoice'!$K$2:$K$801,$N214)="","",INDEX('Per Invoice'!$K$2:$K$801,$N214)))</f>
        <v/>
      </c>
      <c r="L214" s="5">
        <f>IF($N214="","",IF(INDEX('Per Invoice'!$L$2:$L$801,$N214)="","",INDEX('Per Invoice'!$L$2:$L$801,$N214)))</f>
        <v/>
      </c>
      <c r="M214" s="5">
        <f>IF($N214="","",IF(INDEX('Per Invoice'!$M$2:$M$801,$N214)="","",INDEX('Per Invoice'!$M$2:$M$801,$N214)))</f>
        <v/>
      </c>
      <c r="N214">
        <f>IF(ROWS($N$2:$N214)&lt;=COUNT('Per Invoice'!$O$2:$O$801),MATCH(ROWS($N$2:$N214),'Per Invoice'!$O$2:$O$801,0),"")</f>
        <v/>
      </c>
    </row>
    <row r="215">
      <c r="A215">
        <f>IF($N215="","",IF(INDEX('Per Invoice'!$A$2:$A$801,$N215)="","",INDEX('Per Invoice'!$A$2:$A$801,$N215)))</f>
        <v/>
      </c>
      <c r="B215">
        <f>IF($N215="","",IF(INDEX('Per Invoice'!$B$2:$B$801,$N215)="","",INDEX('Per Invoice'!$B$2:$B$801,$N215)))</f>
        <v/>
      </c>
      <c r="C215">
        <f>IF($N215="","",IF(INDEX('Per Invoice'!$C$2:$C$801,$N215)="","",INDEX('Per Invoice'!$C$2:$C$801,$N215)))</f>
        <v/>
      </c>
      <c r="D215">
        <f>IF($N215="","",IF(INDEX('Per Invoice'!$D$2:$D$801,$N215)="","",INDEX('Per Invoice'!$D$2:$D$801,$N215)))</f>
        <v/>
      </c>
      <c r="E215">
        <f>IF($N215="","",IF(INDEX('Per Invoice'!$E$2:$E$801,$N215)="","",INDEX('Per Invoice'!$E$2:$E$801,$N215)))</f>
        <v/>
      </c>
      <c r="F215">
        <f>IF($N215="","",IF(INDEX('Per Invoice'!$F$2:$F$801,$N215)="","",INDEX('Per Invoice'!$F$2:$F$801,$N215)))</f>
        <v/>
      </c>
      <c r="G215">
        <f>IF($N215="","",IF(INDEX('Per Invoice'!$G$2:$G$801,$N215)="","",INDEX('Per Invoice'!$G$2:$G$801,$N215)))</f>
        <v/>
      </c>
      <c r="H215">
        <f>IF($N215="","",IF(INDEX('Per Invoice'!$H$2:$H$801,$N215)="","",INDEX('Per Invoice'!$H$2:$H$801,$N215)))</f>
        <v/>
      </c>
      <c r="I215" s="5">
        <f>IF($N215="","",IF(INDEX('Per Invoice'!$I$2:$I$801,$N215)="","",INDEX('Per Invoice'!$I$2:$I$801,$N215)))</f>
        <v/>
      </c>
      <c r="J215" s="5">
        <f>IF($N215="","",IF(INDEX('Per Invoice'!$J$2:$J$801,$N215)="","",INDEX('Per Invoice'!$J$2:$J$801,$N215)))</f>
        <v/>
      </c>
      <c r="K215" s="5">
        <f>IF($N215="","",IF(INDEX('Per Invoice'!$K$2:$K$801,$N215)="","",INDEX('Per Invoice'!$K$2:$K$801,$N215)))</f>
        <v/>
      </c>
      <c r="L215" s="5">
        <f>IF($N215="","",IF(INDEX('Per Invoice'!$L$2:$L$801,$N215)="","",INDEX('Per Invoice'!$L$2:$L$801,$N215)))</f>
        <v/>
      </c>
      <c r="M215" s="5">
        <f>IF($N215="","",IF(INDEX('Per Invoice'!$M$2:$M$801,$N215)="","",INDEX('Per Invoice'!$M$2:$M$801,$N215)))</f>
        <v/>
      </c>
      <c r="N215">
        <f>IF(ROWS($N$2:$N215)&lt;=COUNT('Per Invoice'!$O$2:$O$801),MATCH(ROWS($N$2:$N215),'Per Invoice'!$O$2:$O$801,0),"")</f>
        <v/>
      </c>
    </row>
    <row r="216">
      <c r="A216">
        <f>IF($N216="","",IF(INDEX('Per Invoice'!$A$2:$A$801,$N216)="","",INDEX('Per Invoice'!$A$2:$A$801,$N216)))</f>
        <v/>
      </c>
      <c r="B216">
        <f>IF($N216="","",IF(INDEX('Per Invoice'!$B$2:$B$801,$N216)="","",INDEX('Per Invoice'!$B$2:$B$801,$N216)))</f>
        <v/>
      </c>
      <c r="C216">
        <f>IF($N216="","",IF(INDEX('Per Invoice'!$C$2:$C$801,$N216)="","",INDEX('Per Invoice'!$C$2:$C$801,$N216)))</f>
        <v/>
      </c>
      <c r="D216">
        <f>IF($N216="","",IF(INDEX('Per Invoice'!$D$2:$D$801,$N216)="","",INDEX('Per Invoice'!$D$2:$D$801,$N216)))</f>
        <v/>
      </c>
      <c r="E216">
        <f>IF($N216="","",IF(INDEX('Per Invoice'!$E$2:$E$801,$N216)="","",INDEX('Per Invoice'!$E$2:$E$801,$N216)))</f>
        <v/>
      </c>
      <c r="F216">
        <f>IF($N216="","",IF(INDEX('Per Invoice'!$F$2:$F$801,$N216)="","",INDEX('Per Invoice'!$F$2:$F$801,$N216)))</f>
        <v/>
      </c>
      <c r="G216">
        <f>IF($N216="","",IF(INDEX('Per Invoice'!$G$2:$G$801,$N216)="","",INDEX('Per Invoice'!$G$2:$G$801,$N216)))</f>
        <v/>
      </c>
      <c r="H216">
        <f>IF($N216="","",IF(INDEX('Per Invoice'!$H$2:$H$801,$N216)="","",INDEX('Per Invoice'!$H$2:$H$801,$N216)))</f>
        <v/>
      </c>
      <c r="I216" s="5">
        <f>IF($N216="","",IF(INDEX('Per Invoice'!$I$2:$I$801,$N216)="","",INDEX('Per Invoice'!$I$2:$I$801,$N216)))</f>
        <v/>
      </c>
      <c r="J216" s="5">
        <f>IF($N216="","",IF(INDEX('Per Invoice'!$J$2:$J$801,$N216)="","",INDEX('Per Invoice'!$J$2:$J$801,$N216)))</f>
        <v/>
      </c>
      <c r="K216" s="5">
        <f>IF($N216="","",IF(INDEX('Per Invoice'!$K$2:$K$801,$N216)="","",INDEX('Per Invoice'!$K$2:$K$801,$N216)))</f>
        <v/>
      </c>
      <c r="L216" s="5">
        <f>IF($N216="","",IF(INDEX('Per Invoice'!$L$2:$L$801,$N216)="","",INDEX('Per Invoice'!$L$2:$L$801,$N216)))</f>
        <v/>
      </c>
      <c r="M216" s="5">
        <f>IF($N216="","",IF(INDEX('Per Invoice'!$M$2:$M$801,$N216)="","",INDEX('Per Invoice'!$M$2:$M$801,$N216)))</f>
        <v/>
      </c>
      <c r="N216">
        <f>IF(ROWS($N$2:$N216)&lt;=COUNT('Per Invoice'!$O$2:$O$801),MATCH(ROWS($N$2:$N216),'Per Invoice'!$O$2:$O$801,0),"")</f>
        <v/>
      </c>
    </row>
    <row r="217">
      <c r="A217">
        <f>IF($N217="","",IF(INDEX('Per Invoice'!$A$2:$A$801,$N217)="","",INDEX('Per Invoice'!$A$2:$A$801,$N217)))</f>
        <v/>
      </c>
      <c r="B217">
        <f>IF($N217="","",IF(INDEX('Per Invoice'!$B$2:$B$801,$N217)="","",INDEX('Per Invoice'!$B$2:$B$801,$N217)))</f>
        <v/>
      </c>
      <c r="C217">
        <f>IF($N217="","",IF(INDEX('Per Invoice'!$C$2:$C$801,$N217)="","",INDEX('Per Invoice'!$C$2:$C$801,$N217)))</f>
        <v/>
      </c>
      <c r="D217">
        <f>IF($N217="","",IF(INDEX('Per Invoice'!$D$2:$D$801,$N217)="","",INDEX('Per Invoice'!$D$2:$D$801,$N217)))</f>
        <v/>
      </c>
      <c r="E217">
        <f>IF($N217="","",IF(INDEX('Per Invoice'!$E$2:$E$801,$N217)="","",INDEX('Per Invoice'!$E$2:$E$801,$N217)))</f>
        <v/>
      </c>
      <c r="F217">
        <f>IF($N217="","",IF(INDEX('Per Invoice'!$F$2:$F$801,$N217)="","",INDEX('Per Invoice'!$F$2:$F$801,$N217)))</f>
        <v/>
      </c>
      <c r="G217">
        <f>IF($N217="","",IF(INDEX('Per Invoice'!$G$2:$G$801,$N217)="","",INDEX('Per Invoice'!$G$2:$G$801,$N217)))</f>
        <v/>
      </c>
      <c r="H217">
        <f>IF($N217="","",IF(INDEX('Per Invoice'!$H$2:$H$801,$N217)="","",INDEX('Per Invoice'!$H$2:$H$801,$N217)))</f>
        <v/>
      </c>
      <c r="I217" s="5">
        <f>IF($N217="","",IF(INDEX('Per Invoice'!$I$2:$I$801,$N217)="","",INDEX('Per Invoice'!$I$2:$I$801,$N217)))</f>
        <v/>
      </c>
      <c r="J217" s="5">
        <f>IF($N217="","",IF(INDEX('Per Invoice'!$J$2:$J$801,$N217)="","",INDEX('Per Invoice'!$J$2:$J$801,$N217)))</f>
        <v/>
      </c>
      <c r="K217" s="5">
        <f>IF($N217="","",IF(INDEX('Per Invoice'!$K$2:$K$801,$N217)="","",INDEX('Per Invoice'!$K$2:$K$801,$N217)))</f>
        <v/>
      </c>
      <c r="L217" s="5">
        <f>IF($N217="","",IF(INDEX('Per Invoice'!$L$2:$L$801,$N217)="","",INDEX('Per Invoice'!$L$2:$L$801,$N217)))</f>
        <v/>
      </c>
      <c r="M217" s="5">
        <f>IF($N217="","",IF(INDEX('Per Invoice'!$M$2:$M$801,$N217)="","",INDEX('Per Invoice'!$M$2:$M$801,$N217)))</f>
        <v/>
      </c>
      <c r="N217">
        <f>IF(ROWS($N$2:$N217)&lt;=COUNT('Per Invoice'!$O$2:$O$801),MATCH(ROWS($N$2:$N217),'Per Invoice'!$O$2:$O$801,0),"")</f>
        <v/>
      </c>
    </row>
    <row r="218">
      <c r="A218">
        <f>IF($N218="","",IF(INDEX('Per Invoice'!$A$2:$A$801,$N218)="","",INDEX('Per Invoice'!$A$2:$A$801,$N218)))</f>
        <v/>
      </c>
      <c r="B218">
        <f>IF($N218="","",IF(INDEX('Per Invoice'!$B$2:$B$801,$N218)="","",INDEX('Per Invoice'!$B$2:$B$801,$N218)))</f>
        <v/>
      </c>
      <c r="C218">
        <f>IF($N218="","",IF(INDEX('Per Invoice'!$C$2:$C$801,$N218)="","",INDEX('Per Invoice'!$C$2:$C$801,$N218)))</f>
        <v/>
      </c>
      <c r="D218">
        <f>IF($N218="","",IF(INDEX('Per Invoice'!$D$2:$D$801,$N218)="","",INDEX('Per Invoice'!$D$2:$D$801,$N218)))</f>
        <v/>
      </c>
      <c r="E218">
        <f>IF($N218="","",IF(INDEX('Per Invoice'!$E$2:$E$801,$N218)="","",INDEX('Per Invoice'!$E$2:$E$801,$N218)))</f>
        <v/>
      </c>
      <c r="F218">
        <f>IF($N218="","",IF(INDEX('Per Invoice'!$F$2:$F$801,$N218)="","",INDEX('Per Invoice'!$F$2:$F$801,$N218)))</f>
        <v/>
      </c>
      <c r="G218">
        <f>IF($N218="","",IF(INDEX('Per Invoice'!$G$2:$G$801,$N218)="","",INDEX('Per Invoice'!$G$2:$G$801,$N218)))</f>
        <v/>
      </c>
      <c r="H218">
        <f>IF($N218="","",IF(INDEX('Per Invoice'!$H$2:$H$801,$N218)="","",INDEX('Per Invoice'!$H$2:$H$801,$N218)))</f>
        <v/>
      </c>
      <c r="I218" s="5">
        <f>IF($N218="","",IF(INDEX('Per Invoice'!$I$2:$I$801,$N218)="","",INDEX('Per Invoice'!$I$2:$I$801,$N218)))</f>
        <v/>
      </c>
      <c r="J218" s="5">
        <f>IF($N218="","",IF(INDEX('Per Invoice'!$J$2:$J$801,$N218)="","",INDEX('Per Invoice'!$J$2:$J$801,$N218)))</f>
        <v/>
      </c>
      <c r="K218" s="5">
        <f>IF($N218="","",IF(INDEX('Per Invoice'!$K$2:$K$801,$N218)="","",INDEX('Per Invoice'!$K$2:$K$801,$N218)))</f>
        <v/>
      </c>
      <c r="L218" s="5">
        <f>IF($N218="","",IF(INDEX('Per Invoice'!$L$2:$L$801,$N218)="","",INDEX('Per Invoice'!$L$2:$L$801,$N218)))</f>
        <v/>
      </c>
      <c r="M218" s="5">
        <f>IF($N218="","",IF(INDEX('Per Invoice'!$M$2:$M$801,$N218)="","",INDEX('Per Invoice'!$M$2:$M$801,$N218)))</f>
        <v/>
      </c>
      <c r="N218">
        <f>IF(ROWS($N$2:$N218)&lt;=COUNT('Per Invoice'!$O$2:$O$801),MATCH(ROWS($N$2:$N218),'Per Invoice'!$O$2:$O$801,0),"")</f>
        <v/>
      </c>
    </row>
    <row r="219">
      <c r="A219">
        <f>IF($N219="","",IF(INDEX('Per Invoice'!$A$2:$A$801,$N219)="","",INDEX('Per Invoice'!$A$2:$A$801,$N219)))</f>
        <v/>
      </c>
      <c r="B219">
        <f>IF($N219="","",IF(INDEX('Per Invoice'!$B$2:$B$801,$N219)="","",INDEX('Per Invoice'!$B$2:$B$801,$N219)))</f>
        <v/>
      </c>
      <c r="C219">
        <f>IF($N219="","",IF(INDEX('Per Invoice'!$C$2:$C$801,$N219)="","",INDEX('Per Invoice'!$C$2:$C$801,$N219)))</f>
        <v/>
      </c>
      <c r="D219">
        <f>IF($N219="","",IF(INDEX('Per Invoice'!$D$2:$D$801,$N219)="","",INDEX('Per Invoice'!$D$2:$D$801,$N219)))</f>
        <v/>
      </c>
      <c r="E219">
        <f>IF($N219="","",IF(INDEX('Per Invoice'!$E$2:$E$801,$N219)="","",INDEX('Per Invoice'!$E$2:$E$801,$N219)))</f>
        <v/>
      </c>
      <c r="F219">
        <f>IF($N219="","",IF(INDEX('Per Invoice'!$F$2:$F$801,$N219)="","",INDEX('Per Invoice'!$F$2:$F$801,$N219)))</f>
        <v/>
      </c>
      <c r="G219">
        <f>IF($N219="","",IF(INDEX('Per Invoice'!$G$2:$G$801,$N219)="","",INDEX('Per Invoice'!$G$2:$G$801,$N219)))</f>
        <v/>
      </c>
      <c r="H219">
        <f>IF($N219="","",IF(INDEX('Per Invoice'!$H$2:$H$801,$N219)="","",INDEX('Per Invoice'!$H$2:$H$801,$N219)))</f>
        <v/>
      </c>
      <c r="I219" s="5">
        <f>IF($N219="","",IF(INDEX('Per Invoice'!$I$2:$I$801,$N219)="","",INDEX('Per Invoice'!$I$2:$I$801,$N219)))</f>
        <v/>
      </c>
      <c r="J219" s="5">
        <f>IF($N219="","",IF(INDEX('Per Invoice'!$J$2:$J$801,$N219)="","",INDEX('Per Invoice'!$J$2:$J$801,$N219)))</f>
        <v/>
      </c>
      <c r="K219" s="5">
        <f>IF($N219="","",IF(INDEX('Per Invoice'!$K$2:$K$801,$N219)="","",INDEX('Per Invoice'!$K$2:$K$801,$N219)))</f>
        <v/>
      </c>
      <c r="L219" s="5">
        <f>IF($N219="","",IF(INDEX('Per Invoice'!$L$2:$L$801,$N219)="","",INDEX('Per Invoice'!$L$2:$L$801,$N219)))</f>
        <v/>
      </c>
      <c r="M219" s="5">
        <f>IF($N219="","",IF(INDEX('Per Invoice'!$M$2:$M$801,$N219)="","",INDEX('Per Invoice'!$M$2:$M$801,$N219)))</f>
        <v/>
      </c>
      <c r="N219">
        <f>IF(ROWS($N$2:$N219)&lt;=COUNT('Per Invoice'!$O$2:$O$801),MATCH(ROWS($N$2:$N219),'Per Invoice'!$O$2:$O$801,0),"")</f>
        <v/>
      </c>
    </row>
    <row r="220">
      <c r="A220">
        <f>IF($N220="","",IF(INDEX('Per Invoice'!$A$2:$A$801,$N220)="","",INDEX('Per Invoice'!$A$2:$A$801,$N220)))</f>
        <v/>
      </c>
      <c r="B220">
        <f>IF($N220="","",IF(INDEX('Per Invoice'!$B$2:$B$801,$N220)="","",INDEX('Per Invoice'!$B$2:$B$801,$N220)))</f>
        <v/>
      </c>
      <c r="C220">
        <f>IF($N220="","",IF(INDEX('Per Invoice'!$C$2:$C$801,$N220)="","",INDEX('Per Invoice'!$C$2:$C$801,$N220)))</f>
        <v/>
      </c>
      <c r="D220">
        <f>IF($N220="","",IF(INDEX('Per Invoice'!$D$2:$D$801,$N220)="","",INDEX('Per Invoice'!$D$2:$D$801,$N220)))</f>
        <v/>
      </c>
      <c r="E220">
        <f>IF($N220="","",IF(INDEX('Per Invoice'!$E$2:$E$801,$N220)="","",INDEX('Per Invoice'!$E$2:$E$801,$N220)))</f>
        <v/>
      </c>
      <c r="F220">
        <f>IF($N220="","",IF(INDEX('Per Invoice'!$F$2:$F$801,$N220)="","",INDEX('Per Invoice'!$F$2:$F$801,$N220)))</f>
        <v/>
      </c>
      <c r="G220">
        <f>IF($N220="","",IF(INDEX('Per Invoice'!$G$2:$G$801,$N220)="","",INDEX('Per Invoice'!$G$2:$G$801,$N220)))</f>
        <v/>
      </c>
      <c r="H220">
        <f>IF($N220="","",IF(INDEX('Per Invoice'!$H$2:$H$801,$N220)="","",INDEX('Per Invoice'!$H$2:$H$801,$N220)))</f>
        <v/>
      </c>
      <c r="I220" s="5">
        <f>IF($N220="","",IF(INDEX('Per Invoice'!$I$2:$I$801,$N220)="","",INDEX('Per Invoice'!$I$2:$I$801,$N220)))</f>
        <v/>
      </c>
      <c r="J220" s="5">
        <f>IF($N220="","",IF(INDEX('Per Invoice'!$J$2:$J$801,$N220)="","",INDEX('Per Invoice'!$J$2:$J$801,$N220)))</f>
        <v/>
      </c>
      <c r="K220" s="5">
        <f>IF($N220="","",IF(INDEX('Per Invoice'!$K$2:$K$801,$N220)="","",INDEX('Per Invoice'!$K$2:$K$801,$N220)))</f>
        <v/>
      </c>
      <c r="L220" s="5">
        <f>IF($N220="","",IF(INDEX('Per Invoice'!$L$2:$L$801,$N220)="","",INDEX('Per Invoice'!$L$2:$L$801,$N220)))</f>
        <v/>
      </c>
      <c r="M220" s="5">
        <f>IF($N220="","",IF(INDEX('Per Invoice'!$M$2:$M$801,$N220)="","",INDEX('Per Invoice'!$M$2:$M$801,$N220)))</f>
        <v/>
      </c>
      <c r="N220">
        <f>IF(ROWS($N$2:$N220)&lt;=COUNT('Per Invoice'!$O$2:$O$801),MATCH(ROWS($N$2:$N220),'Per Invoice'!$O$2:$O$801,0),"")</f>
        <v/>
      </c>
    </row>
    <row r="221">
      <c r="A221">
        <f>IF($N221="","",IF(INDEX('Per Invoice'!$A$2:$A$801,$N221)="","",INDEX('Per Invoice'!$A$2:$A$801,$N221)))</f>
        <v/>
      </c>
      <c r="B221">
        <f>IF($N221="","",IF(INDEX('Per Invoice'!$B$2:$B$801,$N221)="","",INDEX('Per Invoice'!$B$2:$B$801,$N221)))</f>
        <v/>
      </c>
      <c r="C221">
        <f>IF($N221="","",IF(INDEX('Per Invoice'!$C$2:$C$801,$N221)="","",INDEX('Per Invoice'!$C$2:$C$801,$N221)))</f>
        <v/>
      </c>
      <c r="D221">
        <f>IF($N221="","",IF(INDEX('Per Invoice'!$D$2:$D$801,$N221)="","",INDEX('Per Invoice'!$D$2:$D$801,$N221)))</f>
        <v/>
      </c>
      <c r="E221">
        <f>IF($N221="","",IF(INDEX('Per Invoice'!$E$2:$E$801,$N221)="","",INDEX('Per Invoice'!$E$2:$E$801,$N221)))</f>
        <v/>
      </c>
      <c r="F221">
        <f>IF($N221="","",IF(INDEX('Per Invoice'!$F$2:$F$801,$N221)="","",INDEX('Per Invoice'!$F$2:$F$801,$N221)))</f>
        <v/>
      </c>
      <c r="G221">
        <f>IF($N221="","",IF(INDEX('Per Invoice'!$G$2:$G$801,$N221)="","",INDEX('Per Invoice'!$G$2:$G$801,$N221)))</f>
        <v/>
      </c>
      <c r="H221">
        <f>IF($N221="","",IF(INDEX('Per Invoice'!$H$2:$H$801,$N221)="","",INDEX('Per Invoice'!$H$2:$H$801,$N221)))</f>
        <v/>
      </c>
      <c r="I221" s="5">
        <f>IF($N221="","",IF(INDEX('Per Invoice'!$I$2:$I$801,$N221)="","",INDEX('Per Invoice'!$I$2:$I$801,$N221)))</f>
        <v/>
      </c>
      <c r="J221" s="5">
        <f>IF($N221="","",IF(INDEX('Per Invoice'!$J$2:$J$801,$N221)="","",INDEX('Per Invoice'!$J$2:$J$801,$N221)))</f>
        <v/>
      </c>
      <c r="K221" s="5">
        <f>IF($N221="","",IF(INDEX('Per Invoice'!$K$2:$K$801,$N221)="","",INDEX('Per Invoice'!$K$2:$K$801,$N221)))</f>
        <v/>
      </c>
      <c r="L221" s="5">
        <f>IF($N221="","",IF(INDEX('Per Invoice'!$L$2:$L$801,$N221)="","",INDEX('Per Invoice'!$L$2:$L$801,$N221)))</f>
        <v/>
      </c>
      <c r="M221" s="5">
        <f>IF($N221="","",IF(INDEX('Per Invoice'!$M$2:$M$801,$N221)="","",INDEX('Per Invoice'!$M$2:$M$801,$N221)))</f>
        <v/>
      </c>
      <c r="N221">
        <f>IF(ROWS($N$2:$N221)&lt;=COUNT('Per Invoice'!$O$2:$O$801),MATCH(ROWS($N$2:$N221),'Per Invoice'!$O$2:$O$801,0),"")</f>
        <v/>
      </c>
    </row>
    <row r="222">
      <c r="A222">
        <f>IF($N222="","",IF(INDEX('Per Invoice'!$A$2:$A$801,$N222)="","",INDEX('Per Invoice'!$A$2:$A$801,$N222)))</f>
        <v/>
      </c>
      <c r="B222">
        <f>IF($N222="","",IF(INDEX('Per Invoice'!$B$2:$B$801,$N222)="","",INDEX('Per Invoice'!$B$2:$B$801,$N222)))</f>
        <v/>
      </c>
      <c r="C222">
        <f>IF($N222="","",IF(INDEX('Per Invoice'!$C$2:$C$801,$N222)="","",INDEX('Per Invoice'!$C$2:$C$801,$N222)))</f>
        <v/>
      </c>
      <c r="D222">
        <f>IF($N222="","",IF(INDEX('Per Invoice'!$D$2:$D$801,$N222)="","",INDEX('Per Invoice'!$D$2:$D$801,$N222)))</f>
        <v/>
      </c>
      <c r="E222">
        <f>IF($N222="","",IF(INDEX('Per Invoice'!$E$2:$E$801,$N222)="","",INDEX('Per Invoice'!$E$2:$E$801,$N222)))</f>
        <v/>
      </c>
      <c r="F222">
        <f>IF($N222="","",IF(INDEX('Per Invoice'!$F$2:$F$801,$N222)="","",INDEX('Per Invoice'!$F$2:$F$801,$N222)))</f>
        <v/>
      </c>
      <c r="G222">
        <f>IF($N222="","",IF(INDEX('Per Invoice'!$G$2:$G$801,$N222)="","",INDEX('Per Invoice'!$G$2:$G$801,$N222)))</f>
        <v/>
      </c>
      <c r="H222">
        <f>IF($N222="","",IF(INDEX('Per Invoice'!$H$2:$H$801,$N222)="","",INDEX('Per Invoice'!$H$2:$H$801,$N222)))</f>
        <v/>
      </c>
      <c r="I222" s="5">
        <f>IF($N222="","",IF(INDEX('Per Invoice'!$I$2:$I$801,$N222)="","",INDEX('Per Invoice'!$I$2:$I$801,$N222)))</f>
        <v/>
      </c>
      <c r="J222" s="5">
        <f>IF($N222="","",IF(INDEX('Per Invoice'!$J$2:$J$801,$N222)="","",INDEX('Per Invoice'!$J$2:$J$801,$N222)))</f>
        <v/>
      </c>
      <c r="K222" s="5">
        <f>IF($N222="","",IF(INDEX('Per Invoice'!$K$2:$K$801,$N222)="","",INDEX('Per Invoice'!$K$2:$K$801,$N222)))</f>
        <v/>
      </c>
      <c r="L222" s="5">
        <f>IF($N222="","",IF(INDEX('Per Invoice'!$L$2:$L$801,$N222)="","",INDEX('Per Invoice'!$L$2:$L$801,$N222)))</f>
        <v/>
      </c>
      <c r="M222" s="5">
        <f>IF($N222="","",IF(INDEX('Per Invoice'!$M$2:$M$801,$N222)="","",INDEX('Per Invoice'!$M$2:$M$801,$N222)))</f>
        <v/>
      </c>
      <c r="N222">
        <f>IF(ROWS($N$2:$N222)&lt;=COUNT('Per Invoice'!$O$2:$O$801),MATCH(ROWS($N$2:$N222),'Per Invoice'!$O$2:$O$801,0),"")</f>
        <v/>
      </c>
    </row>
    <row r="223">
      <c r="A223">
        <f>IF($N223="","",IF(INDEX('Per Invoice'!$A$2:$A$801,$N223)="","",INDEX('Per Invoice'!$A$2:$A$801,$N223)))</f>
        <v/>
      </c>
      <c r="B223">
        <f>IF($N223="","",IF(INDEX('Per Invoice'!$B$2:$B$801,$N223)="","",INDEX('Per Invoice'!$B$2:$B$801,$N223)))</f>
        <v/>
      </c>
      <c r="C223">
        <f>IF($N223="","",IF(INDEX('Per Invoice'!$C$2:$C$801,$N223)="","",INDEX('Per Invoice'!$C$2:$C$801,$N223)))</f>
        <v/>
      </c>
      <c r="D223">
        <f>IF($N223="","",IF(INDEX('Per Invoice'!$D$2:$D$801,$N223)="","",INDEX('Per Invoice'!$D$2:$D$801,$N223)))</f>
        <v/>
      </c>
      <c r="E223">
        <f>IF($N223="","",IF(INDEX('Per Invoice'!$E$2:$E$801,$N223)="","",INDEX('Per Invoice'!$E$2:$E$801,$N223)))</f>
        <v/>
      </c>
      <c r="F223">
        <f>IF($N223="","",IF(INDEX('Per Invoice'!$F$2:$F$801,$N223)="","",INDEX('Per Invoice'!$F$2:$F$801,$N223)))</f>
        <v/>
      </c>
      <c r="G223">
        <f>IF($N223="","",IF(INDEX('Per Invoice'!$G$2:$G$801,$N223)="","",INDEX('Per Invoice'!$G$2:$G$801,$N223)))</f>
        <v/>
      </c>
      <c r="H223">
        <f>IF($N223="","",IF(INDEX('Per Invoice'!$H$2:$H$801,$N223)="","",INDEX('Per Invoice'!$H$2:$H$801,$N223)))</f>
        <v/>
      </c>
      <c r="I223" s="5">
        <f>IF($N223="","",IF(INDEX('Per Invoice'!$I$2:$I$801,$N223)="","",INDEX('Per Invoice'!$I$2:$I$801,$N223)))</f>
        <v/>
      </c>
      <c r="J223" s="5">
        <f>IF($N223="","",IF(INDEX('Per Invoice'!$J$2:$J$801,$N223)="","",INDEX('Per Invoice'!$J$2:$J$801,$N223)))</f>
        <v/>
      </c>
      <c r="K223" s="5">
        <f>IF($N223="","",IF(INDEX('Per Invoice'!$K$2:$K$801,$N223)="","",INDEX('Per Invoice'!$K$2:$K$801,$N223)))</f>
        <v/>
      </c>
      <c r="L223" s="5">
        <f>IF($N223="","",IF(INDEX('Per Invoice'!$L$2:$L$801,$N223)="","",INDEX('Per Invoice'!$L$2:$L$801,$N223)))</f>
        <v/>
      </c>
      <c r="M223" s="5">
        <f>IF($N223="","",IF(INDEX('Per Invoice'!$M$2:$M$801,$N223)="","",INDEX('Per Invoice'!$M$2:$M$801,$N223)))</f>
        <v/>
      </c>
      <c r="N223">
        <f>IF(ROWS($N$2:$N223)&lt;=COUNT('Per Invoice'!$O$2:$O$801),MATCH(ROWS($N$2:$N223),'Per Invoice'!$O$2:$O$801,0),"")</f>
        <v/>
      </c>
    </row>
    <row r="224">
      <c r="A224">
        <f>IF($N224="","",IF(INDEX('Per Invoice'!$A$2:$A$801,$N224)="","",INDEX('Per Invoice'!$A$2:$A$801,$N224)))</f>
        <v/>
      </c>
      <c r="B224">
        <f>IF($N224="","",IF(INDEX('Per Invoice'!$B$2:$B$801,$N224)="","",INDEX('Per Invoice'!$B$2:$B$801,$N224)))</f>
        <v/>
      </c>
      <c r="C224">
        <f>IF($N224="","",IF(INDEX('Per Invoice'!$C$2:$C$801,$N224)="","",INDEX('Per Invoice'!$C$2:$C$801,$N224)))</f>
        <v/>
      </c>
      <c r="D224">
        <f>IF($N224="","",IF(INDEX('Per Invoice'!$D$2:$D$801,$N224)="","",INDEX('Per Invoice'!$D$2:$D$801,$N224)))</f>
        <v/>
      </c>
      <c r="E224">
        <f>IF($N224="","",IF(INDEX('Per Invoice'!$E$2:$E$801,$N224)="","",INDEX('Per Invoice'!$E$2:$E$801,$N224)))</f>
        <v/>
      </c>
      <c r="F224">
        <f>IF($N224="","",IF(INDEX('Per Invoice'!$F$2:$F$801,$N224)="","",INDEX('Per Invoice'!$F$2:$F$801,$N224)))</f>
        <v/>
      </c>
      <c r="G224">
        <f>IF($N224="","",IF(INDEX('Per Invoice'!$G$2:$G$801,$N224)="","",INDEX('Per Invoice'!$G$2:$G$801,$N224)))</f>
        <v/>
      </c>
      <c r="H224">
        <f>IF($N224="","",IF(INDEX('Per Invoice'!$H$2:$H$801,$N224)="","",INDEX('Per Invoice'!$H$2:$H$801,$N224)))</f>
        <v/>
      </c>
      <c r="I224" s="5">
        <f>IF($N224="","",IF(INDEX('Per Invoice'!$I$2:$I$801,$N224)="","",INDEX('Per Invoice'!$I$2:$I$801,$N224)))</f>
        <v/>
      </c>
      <c r="J224" s="5">
        <f>IF($N224="","",IF(INDEX('Per Invoice'!$J$2:$J$801,$N224)="","",INDEX('Per Invoice'!$J$2:$J$801,$N224)))</f>
        <v/>
      </c>
      <c r="K224" s="5">
        <f>IF($N224="","",IF(INDEX('Per Invoice'!$K$2:$K$801,$N224)="","",INDEX('Per Invoice'!$K$2:$K$801,$N224)))</f>
        <v/>
      </c>
      <c r="L224" s="5">
        <f>IF($N224="","",IF(INDEX('Per Invoice'!$L$2:$L$801,$N224)="","",INDEX('Per Invoice'!$L$2:$L$801,$N224)))</f>
        <v/>
      </c>
      <c r="M224" s="5">
        <f>IF($N224="","",IF(INDEX('Per Invoice'!$M$2:$M$801,$N224)="","",INDEX('Per Invoice'!$M$2:$M$801,$N224)))</f>
        <v/>
      </c>
      <c r="N224">
        <f>IF(ROWS($N$2:$N224)&lt;=COUNT('Per Invoice'!$O$2:$O$801),MATCH(ROWS($N$2:$N224),'Per Invoice'!$O$2:$O$801,0),"")</f>
        <v/>
      </c>
    </row>
    <row r="225">
      <c r="A225">
        <f>IF($N225="","",IF(INDEX('Per Invoice'!$A$2:$A$801,$N225)="","",INDEX('Per Invoice'!$A$2:$A$801,$N225)))</f>
        <v/>
      </c>
      <c r="B225">
        <f>IF($N225="","",IF(INDEX('Per Invoice'!$B$2:$B$801,$N225)="","",INDEX('Per Invoice'!$B$2:$B$801,$N225)))</f>
        <v/>
      </c>
      <c r="C225">
        <f>IF($N225="","",IF(INDEX('Per Invoice'!$C$2:$C$801,$N225)="","",INDEX('Per Invoice'!$C$2:$C$801,$N225)))</f>
        <v/>
      </c>
      <c r="D225">
        <f>IF($N225="","",IF(INDEX('Per Invoice'!$D$2:$D$801,$N225)="","",INDEX('Per Invoice'!$D$2:$D$801,$N225)))</f>
        <v/>
      </c>
      <c r="E225">
        <f>IF($N225="","",IF(INDEX('Per Invoice'!$E$2:$E$801,$N225)="","",INDEX('Per Invoice'!$E$2:$E$801,$N225)))</f>
        <v/>
      </c>
      <c r="F225">
        <f>IF($N225="","",IF(INDEX('Per Invoice'!$F$2:$F$801,$N225)="","",INDEX('Per Invoice'!$F$2:$F$801,$N225)))</f>
        <v/>
      </c>
      <c r="G225">
        <f>IF($N225="","",IF(INDEX('Per Invoice'!$G$2:$G$801,$N225)="","",INDEX('Per Invoice'!$G$2:$G$801,$N225)))</f>
        <v/>
      </c>
      <c r="H225">
        <f>IF($N225="","",IF(INDEX('Per Invoice'!$H$2:$H$801,$N225)="","",INDEX('Per Invoice'!$H$2:$H$801,$N225)))</f>
        <v/>
      </c>
      <c r="I225" s="5">
        <f>IF($N225="","",IF(INDEX('Per Invoice'!$I$2:$I$801,$N225)="","",INDEX('Per Invoice'!$I$2:$I$801,$N225)))</f>
        <v/>
      </c>
      <c r="J225" s="5">
        <f>IF($N225="","",IF(INDEX('Per Invoice'!$J$2:$J$801,$N225)="","",INDEX('Per Invoice'!$J$2:$J$801,$N225)))</f>
        <v/>
      </c>
      <c r="K225" s="5">
        <f>IF($N225="","",IF(INDEX('Per Invoice'!$K$2:$K$801,$N225)="","",INDEX('Per Invoice'!$K$2:$K$801,$N225)))</f>
        <v/>
      </c>
      <c r="L225" s="5">
        <f>IF($N225="","",IF(INDEX('Per Invoice'!$L$2:$L$801,$N225)="","",INDEX('Per Invoice'!$L$2:$L$801,$N225)))</f>
        <v/>
      </c>
      <c r="M225" s="5">
        <f>IF($N225="","",IF(INDEX('Per Invoice'!$M$2:$M$801,$N225)="","",INDEX('Per Invoice'!$M$2:$M$801,$N225)))</f>
        <v/>
      </c>
      <c r="N225">
        <f>IF(ROWS($N$2:$N225)&lt;=COUNT('Per Invoice'!$O$2:$O$801),MATCH(ROWS($N$2:$N225),'Per Invoice'!$O$2:$O$801,0),"")</f>
        <v/>
      </c>
    </row>
    <row r="226">
      <c r="A226">
        <f>IF($N226="","",IF(INDEX('Per Invoice'!$A$2:$A$801,$N226)="","",INDEX('Per Invoice'!$A$2:$A$801,$N226)))</f>
        <v/>
      </c>
      <c r="B226">
        <f>IF($N226="","",IF(INDEX('Per Invoice'!$B$2:$B$801,$N226)="","",INDEX('Per Invoice'!$B$2:$B$801,$N226)))</f>
        <v/>
      </c>
      <c r="C226">
        <f>IF($N226="","",IF(INDEX('Per Invoice'!$C$2:$C$801,$N226)="","",INDEX('Per Invoice'!$C$2:$C$801,$N226)))</f>
        <v/>
      </c>
      <c r="D226">
        <f>IF($N226="","",IF(INDEX('Per Invoice'!$D$2:$D$801,$N226)="","",INDEX('Per Invoice'!$D$2:$D$801,$N226)))</f>
        <v/>
      </c>
      <c r="E226">
        <f>IF($N226="","",IF(INDEX('Per Invoice'!$E$2:$E$801,$N226)="","",INDEX('Per Invoice'!$E$2:$E$801,$N226)))</f>
        <v/>
      </c>
      <c r="F226">
        <f>IF($N226="","",IF(INDEX('Per Invoice'!$F$2:$F$801,$N226)="","",INDEX('Per Invoice'!$F$2:$F$801,$N226)))</f>
        <v/>
      </c>
      <c r="G226">
        <f>IF($N226="","",IF(INDEX('Per Invoice'!$G$2:$G$801,$N226)="","",INDEX('Per Invoice'!$G$2:$G$801,$N226)))</f>
        <v/>
      </c>
      <c r="H226">
        <f>IF($N226="","",IF(INDEX('Per Invoice'!$H$2:$H$801,$N226)="","",INDEX('Per Invoice'!$H$2:$H$801,$N226)))</f>
        <v/>
      </c>
      <c r="I226" s="5">
        <f>IF($N226="","",IF(INDEX('Per Invoice'!$I$2:$I$801,$N226)="","",INDEX('Per Invoice'!$I$2:$I$801,$N226)))</f>
        <v/>
      </c>
      <c r="J226" s="5">
        <f>IF($N226="","",IF(INDEX('Per Invoice'!$J$2:$J$801,$N226)="","",INDEX('Per Invoice'!$J$2:$J$801,$N226)))</f>
        <v/>
      </c>
      <c r="K226" s="5">
        <f>IF($N226="","",IF(INDEX('Per Invoice'!$K$2:$K$801,$N226)="","",INDEX('Per Invoice'!$K$2:$K$801,$N226)))</f>
        <v/>
      </c>
      <c r="L226" s="5">
        <f>IF($N226="","",IF(INDEX('Per Invoice'!$L$2:$L$801,$N226)="","",INDEX('Per Invoice'!$L$2:$L$801,$N226)))</f>
        <v/>
      </c>
      <c r="M226" s="5">
        <f>IF($N226="","",IF(INDEX('Per Invoice'!$M$2:$M$801,$N226)="","",INDEX('Per Invoice'!$M$2:$M$801,$N226)))</f>
        <v/>
      </c>
      <c r="N226">
        <f>IF(ROWS($N$2:$N226)&lt;=COUNT('Per Invoice'!$O$2:$O$801),MATCH(ROWS($N$2:$N226),'Per Invoice'!$O$2:$O$801,0),"")</f>
        <v/>
      </c>
    </row>
    <row r="227">
      <c r="A227">
        <f>IF($N227="","",IF(INDEX('Per Invoice'!$A$2:$A$801,$N227)="","",INDEX('Per Invoice'!$A$2:$A$801,$N227)))</f>
        <v/>
      </c>
      <c r="B227">
        <f>IF($N227="","",IF(INDEX('Per Invoice'!$B$2:$B$801,$N227)="","",INDEX('Per Invoice'!$B$2:$B$801,$N227)))</f>
        <v/>
      </c>
      <c r="C227">
        <f>IF($N227="","",IF(INDEX('Per Invoice'!$C$2:$C$801,$N227)="","",INDEX('Per Invoice'!$C$2:$C$801,$N227)))</f>
        <v/>
      </c>
      <c r="D227">
        <f>IF($N227="","",IF(INDEX('Per Invoice'!$D$2:$D$801,$N227)="","",INDEX('Per Invoice'!$D$2:$D$801,$N227)))</f>
        <v/>
      </c>
      <c r="E227">
        <f>IF($N227="","",IF(INDEX('Per Invoice'!$E$2:$E$801,$N227)="","",INDEX('Per Invoice'!$E$2:$E$801,$N227)))</f>
        <v/>
      </c>
      <c r="F227">
        <f>IF($N227="","",IF(INDEX('Per Invoice'!$F$2:$F$801,$N227)="","",INDEX('Per Invoice'!$F$2:$F$801,$N227)))</f>
        <v/>
      </c>
      <c r="G227">
        <f>IF($N227="","",IF(INDEX('Per Invoice'!$G$2:$G$801,$N227)="","",INDEX('Per Invoice'!$G$2:$G$801,$N227)))</f>
        <v/>
      </c>
      <c r="H227">
        <f>IF($N227="","",IF(INDEX('Per Invoice'!$H$2:$H$801,$N227)="","",INDEX('Per Invoice'!$H$2:$H$801,$N227)))</f>
        <v/>
      </c>
      <c r="I227" s="5">
        <f>IF($N227="","",IF(INDEX('Per Invoice'!$I$2:$I$801,$N227)="","",INDEX('Per Invoice'!$I$2:$I$801,$N227)))</f>
        <v/>
      </c>
      <c r="J227" s="5">
        <f>IF($N227="","",IF(INDEX('Per Invoice'!$J$2:$J$801,$N227)="","",INDEX('Per Invoice'!$J$2:$J$801,$N227)))</f>
        <v/>
      </c>
      <c r="K227" s="5">
        <f>IF($N227="","",IF(INDEX('Per Invoice'!$K$2:$K$801,$N227)="","",INDEX('Per Invoice'!$K$2:$K$801,$N227)))</f>
        <v/>
      </c>
      <c r="L227" s="5">
        <f>IF($N227="","",IF(INDEX('Per Invoice'!$L$2:$L$801,$N227)="","",INDEX('Per Invoice'!$L$2:$L$801,$N227)))</f>
        <v/>
      </c>
      <c r="M227" s="5">
        <f>IF($N227="","",IF(INDEX('Per Invoice'!$M$2:$M$801,$N227)="","",INDEX('Per Invoice'!$M$2:$M$801,$N227)))</f>
        <v/>
      </c>
      <c r="N227">
        <f>IF(ROWS($N$2:$N227)&lt;=COUNT('Per Invoice'!$O$2:$O$801),MATCH(ROWS($N$2:$N227),'Per Invoice'!$O$2:$O$801,0),"")</f>
        <v/>
      </c>
    </row>
    <row r="228">
      <c r="A228">
        <f>IF($N228="","",IF(INDEX('Per Invoice'!$A$2:$A$801,$N228)="","",INDEX('Per Invoice'!$A$2:$A$801,$N228)))</f>
        <v/>
      </c>
      <c r="B228">
        <f>IF($N228="","",IF(INDEX('Per Invoice'!$B$2:$B$801,$N228)="","",INDEX('Per Invoice'!$B$2:$B$801,$N228)))</f>
        <v/>
      </c>
      <c r="C228">
        <f>IF($N228="","",IF(INDEX('Per Invoice'!$C$2:$C$801,$N228)="","",INDEX('Per Invoice'!$C$2:$C$801,$N228)))</f>
        <v/>
      </c>
      <c r="D228">
        <f>IF($N228="","",IF(INDEX('Per Invoice'!$D$2:$D$801,$N228)="","",INDEX('Per Invoice'!$D$2:$D$801,$N228)))</f>
        <v/>
      </c>
      <c r="E228">
        <f>IF($N228="","",IF(INDEX('Per Invoice'!$E$2:$E$801,$N228)="","",INDEX('Per Invoice'!$E$2:$E$801,$N228)))</f>
        <v/>
      </c>
      <c r="F228">
        <f>IF($N228="","",IF(INDEX('Per Invoice'!$F$2:$F$801,$N228)="","",INDEX('Per Invoice'!$F$2:$F$801,$N228)))</f>
        <v/>
      </c>
      <c r="G228">
        <f>IF($N228="","",IF(INDEX('Per Invoice'!$G$2:$G$801,$N228)="","",INDEX('Per Invoice'!$G$2:$G$801,$N228)))</f>
        <v/>
      </c>
      <c r="H228">
        <f>IF($N228="","",IF(INDEX('Per Invoice'!$H$2:$H$801,$N228)="","",INDEX('Per Invoice'!$H$2:$H$801,$N228)))</f>
        <v/>
      </c>
      <c r="I228" s="5">
        <f>IF($N228="","",IF(INDEX('Per Invoice'!$I$2:$I$801,$N228)="","",INDEX('Per Invoice'!$I$2:$I$801,$N228)))</f>
        <v/>
      </c>
      <c r="J228" s="5">
        <f>IF($N228="","",IF(INDEX('Per Invoice'!$J$2:$J$801,$N228)="","",INDEX('Per Invoice'!$J$2:$J$801,$N228)))</f>
        <v/>
      </c>
      <c r="K228" s="5">
        <f>IF($N228="","",IF(INDEX('Per Invoice'!$K$2:$K$801,$N228)="","",INDEX('Per Invoice'!$K$2:$K$801,$N228)))</f>
        <v/>
      </c>
      <c r="L228" s="5">
        <f>IF($N228="","",IF(INDEX('Per Invoice'!$L$2:$L$801,$N228)="","",INDEX('Per Invoice'!$L$2:$L$801,$N228)))</f>
        <v/>
      </c>
      <c r="M228" s="5">
        <f>IF($N228="","",IF(INDEX('Per Invoice'!$M$2:$M$801,$N228)="","",INDEX('Per Invoice'!$M$2:$M$801,$N228)))</f>
        <v/>
      </c>
      <c r="N228">
        <f>IF(ROWS($N$2:$N228)&lt;=COUNT('Per Invoice'!$O$2:$O$801),MATCH(ROWS($N$2:$N228),'Per Invoice'!$O$2:$O$801,0),"")</f>
        <v/>
      </c>
    </row>
    <row r="229">
      <c r="A229">
        <f>IF($N229="","",IF(INDEX('Per Invoice'!$A$2:$A$801,$N229)="","",INDEX('Per Invoice'!$A$2:$A$801,$N229)))</f>
        <v/>
      </c>
      <c r="B229">
        <f>IF($N229="","",IF(INDEX('Per Invoice'!$B$2:$B$801,$N229)="","",INDEX('Per Invoice'!$B$2:$B$801,$N229)))</f>
        <v/>
      </c>
      <c r="C229">
        <f>IF($N229="","",IF(INDEX('Per Invoice'!$C$2:$C$801,$N229)="","",INDEX('Per Invoice'!$C$2:$C$801,$N229)))</f>
        <v/>
      </c>
      <c r="D229">
        <f>IF($N229="","",IF(INDEX('Per Invoice'!$D$2:$D$801,$N229)="","",INDEX('Per Invoice'!$D$2:$D$801,$N229)))</f>
        <v/>
      </c>
      <c r="E229">
        <f>IF($N229="","",IF(INDEX('Per Invoice'!$E$2:$E$801,$N229)="","",INDEX('Per Invoice'!$E$2:$E$801,$N229)))</f>
        <v/>
      </c>
      <c r="F229">
        <f>IF($N229="","",IF(INDEX('Per Invoice'!$F$2:$F$801,$N229)="","",INDEX('Per Invoice'!$F$2:$F$801,$N229)))</f>
        <v/>
      </c>
      <c r="G229">
        <f>IF($N229="","",IF(INDEX('Per Invoice'!$G$2:$G$801,$N229)="","",INDEX('Per Invoice'!$G$2:$G$801,$N229)))</f>
        <v/>
      </c>
      <c r="H229">
        <f>IF($N229="","",IF(INDEX('Per Invoice'!$H$2:$H$801,$N229)="","",INDEX('Per Invoice'!$H$2:$H$801,$N229)))</f>
        <v/>
      </c>
      <c r="I229" s="5">
        <f>IF($N229="","",IF(INDEX('Per Invoice'!$I$2:$I$801,$N229)="","",INDEX('Per Invoice'!$I$2:$I$801,$N229)))</f>
        <v/>
      </c>
      <c r="J229" s="5">
        <f>IF($N229="","",IF(INDEX('Per Invoice'!$J$2:$J$801,$N229)="","",INDEX('Per Invoice'!$J$2:$J$801,$N229)))</f>
        <v/>
      </c>
      <c r="K229" s="5">
        <f>IF($N229="","",IF(INDEX('Per Invoice'!$K$2:$K$801,$N229)="","",INDEX('Per Invoice'!$K$2:$K$801,$N229)))</f>
        <v/>
      </c>
      <c r="L229" s="5">
        <f>IF($N229="","",IF(INDEX('Per Invoice'!$L$2:$L$801,$N229)="","",INDEX('Per Invoice'!$L$2:$L$801,$N229)))</f>
        <v/>
      </c>
      <c r="M229" s="5">
        <f>IF($N229="","",IF(INDEX('Per Invoice'!$M$2:$M$801,$N229)="","",INDEX('Per Invoice'!$M$2:$M$801,$N229)))</f>
        <v/>
      </c>
      <c r="N229">
        <f>IF(ROWS($N$2:$N229)&lt;=COUNT('Per Invoice'!$O$2:$O$801),MATCH(ROWS($N$2:$N229),'Per Invoice'!$O$2:$O$801,0),"")</f>
        <v/>
      </c>
    </row>
    <row r="230">
      <c r="A230">
        <f>IF($N230="","",IF(INDEX('Per Invoice'!$A$2:$A$801,$N230)="","",INDEX('Per Invoice'!$A$2:$A$801,$N230)))</f>
        <v/>
      </c>
      <c r="B230">
        <f>IF($N230="","",IF(INDEX('Per Invoice'!$B$2:$B$801,$N230)="","",INDEX('Per Invoice'!$B$2:$B$801,$N230)))</f>
        <v/>
      </c>
      <c r="C230">
        <f>IF($N230="","",IF(INDEX('Per Invoice'!$C$2:$C$801,$N230)="","",INDEX('Per Invoice'!$C$2:$C$801,$N230)))</f>
        <v/>
      </c>
      <c r="D230">
        <f>IF($N230="","",IF(INDEX('Per Invoice'!$D$2:$D$801,$N230)="","",INDEX('Per Invoice'!$D$2:$D$801,$N230)))</f>
        <v/>
      </c>
      <c r="E230">
        <f>IF($N230="","",IF(INDEX('Per Invoice'!$E$2:$E$801,$N230)="","",INDEX('Per Invoice'!$E$2:$E$801,$N230)))</f>
        <v/>
      </c>
      <c r="F230">
        <f>IF($N230="","",IF(INDEX('Per Invoice'!$F$2:$F$801,$N230)="","",INDEX('Per Invoice'!$F$2:$F$801,$N230)))</f>
        <v/>
      </c>
      <c r="G230">
        <f>IF($N230="","",IF(INDEX('Per Invoice'!$G$2:$G$801,$N230)="","",INDEX('Per Invoice'!$G$2:$G$801,$N230)))</f>
        <v/>
      </c>
      <c r="H230">
        <f>IF($N230="","",IF(INDEX('Per Invoice'!$H$2:$H$801,$N230)="","",INDEX('Per Invoice'!$H$2:$H$801,$N230)))</f>
        <v/>
      </c>
      <c r="I230" s="5">
        <f>IF($N230="","",IF(INDEX('Per Invoice'!$I$2:$I$801,$N230)="","",INDEX('Per Invoice'!$I$2:$I$801,$N230)))</f>
        <v/>
      </c>
      <c r="J230" s="5">
        <f>IF($N230="","",IF(INDEX('Per Invoice'!$J$2:$J$801,$N230)="","",INDEX('Per Invoice'!$J$2:$J$801,$N230)))</f>
        <v/>
      </c>
      <c r="K230" s="5">
        <f>IF($N230="","",IF(INDEX('Per Invoice'!$K$2:$K$801,$N230)="","",INDEX('Per Invoice'!$K$2:$K$801,$N230)))</f>
        <v/>
      </c>
      <c r="L230" s="5">
        <f>IF($N230="","",IF(INDEX('Per Invoice'!$L$2:$L$801,$N230)="","",INDEX('Per Invoice'!$L$2:$L$801,$N230)))</f>
        <v/>
      </c>
      <c r="M230" s="5">
        <f>IF($N230="","",IF(INDEX('Per Invoice'!$M$2:$M$801,$N230)="","",INDEX('Per Invoice'!$M$2:$M$801,$N230)))</f>
        <v/>
      </c>
      <c r="N230">
        <f>IF(ROWS($N$2:$N230)&lt;=COUNT('Per Invoice'!$O$2:$O$801),MATCH(ROWS($N$2:$N230),'Per Invoice'!$O$2:$O$801,0),"")</f>
        <v/>
      </c>
    </row>
    <row r="231">
      <c r="A231">
        <f>IF($N231="","",IF(INDEX('Per Invoice'!$A$2:$A$801,$N231)="","",INDEX('Per Invoice'!$A$2:$A$801,$N231)))</f>
        <v/>
      </c>
      <c r="B231">
        <f>IF($N231="","",IF(INDEX('Per Invoice'!$B$2:$B$801,$N231)="","",INDEX('Per Invoice'!$B$2:$B$801,$N231)))</f>
        <v/>
      </c>
      <c r="C231">
        <f>IF($N231="","",IF(INDEX('Per Invoice'!$C$2:$C$801,$N231)="","",INDEX('Per Invoice'!$C$2:$C$801,$N231)))</f>
        <v/>
      </c>
      <c r="D231">
        <f>IF($N231="","",IF(INDEX('Per Invoice'!$D$2:$D$801,$N231)="","",INDEX('Per Invoice'!$D$2:$D$801,$N231)))</f>
        <v/>
      </c>
      <c r="E231">
        <f>IF($N231="","",IF(INDEX('Per Invoice'!$E$2:$E$801,$N231)="","",INDEX('Per Invoice'!$E$2:$E$801,$N231)))</f>
        <v/>
      </c>
      <c r="F231">
        <f>IF($N231="","",IF(INDEX('Per Invoice'!$F$2:$F$801,$N231)="","",INDEX('Per Invoice'!$F$2:$F$801,$N231)))</f>
        <v/>
      </c>
      <c r="G231">
        <f>IF($N231="","",IF(INDEX('Per Invoice'!$G$2:$G$801,$N231)="","",INDEX('Per Invoice'!$G$2:$G$801,$N231)))</f>
        <v/>
      </c>
      <c r="H231">
        <f>IF($N231="","",IF(INDEX('Per Invoice'!$H$2:$H$801,$N231)="","",INDEX('Per Invoice'!$H$2:$H$801,$N231)))</f>
        <v/>
      </c>
      <c r="I231" s="5">
        <f>IF($N231="","",IF(INDEX('Per Invoice'!$I$2:$I$801,$N231)="","",INDEX('Per Invoice'!$I$2:$I$801,$N231)))</f>
        <v/>
      </c>
      <c r="J231" s="5">
        <f>IF($N231="","",IF(INDEX('Per Invoice'!$J$2:$J$801,$N231)="","",INDEX('Per Invoice'!$J$2:$J$801,$N231)))</f>
        <v/>
      </c>
      <c r="K231" s="5">
        <f>IF($N231="","",IF(INDEX('Per Invoice'!$K$2:$K$801,$N231)="","",INDEX('Per Invoice'!$K$2:$K$801,$N231)))</f>
        <v/>
      </c>
      <c r="L231" s="5">
        <f>IF($N231="","",IF(INDEX('Per Invoice'!$L$2:$L$801,$N231)="","",INDEX('Per Invoice'!$L$2:$L$801,$N231)))</f>
        <v/>
      </c>
      <c r="M231" s="5">
        <f>IF($N231="","",IF(INDEX('Per Invoice'!$M$2:$M$801,$N231)="","",INDEX('Per Invoice'!$M$2:$M$801,$N231)))</f>
        <v/>
      </c>
      <c r="N231">
        <f>IF(ROWS($N$2:$N231)&lt;=COUNT('Per Invoice'!$O$2:$O$801),MATCH(ROWS($N$2:$N231),'Per Invoice'!$O$2:$O$801,0),"")</f>
        <v/>
      </c>
    </row>
    <row r="232">
      <c r="A232">
        <f>IF($N232="","",IF(INDEX('Per Invoice'!$A$2:$A$801,$N232)="","",INDEX('Per Invoice'!$A$2:$A$801,$N232)))</f>
        <v/>
      </c>
      <c r="B232">
        <f>IF($N232="","",IF(INDEX('Per Invoice'!$B$2:$B$801,$N232)="","",INDEX('Per Invoice'!$B$2:$B$801,$N232)))</f>
        <v/>
      </c>
      <c r="C232">
        <f>IF($N232="","",IF(INDEX('Per Invoice'!$C$2:$C$801,$N232)="","",INDEX('Per Invoice'!$C$2:$C$801,$N232)))</f>
        <v/>
      </c>
      <c r="D232">
        <f>IF($N232="","",IF(INDEX('Per Invoice'!$D$2:$D$801,$N232)="","",INDEX('Per Invoice'!$D$2:$D$801,$N232)))</f>
        <v/>
      </c>
      <c r="E232">
        <f>IF($N232="","",IF(INDEX('Per Invoice'!$E$2:$E$801,$N232)="","",INDEX('Per Invoice'!$E$2:$E$801,$N232)))</f>
        <v/>
      </c>
      <c r="F232">
        <f>IF($N232="","",IF(INDEX('Per Invoice'!$F$2:$F$801,$N232)="","",INDEX('Per Invoice'!$F$2:$F$801,$N232)))</f>
        <v/>
      </c>
      <c r="G232">
        <f>IF($N232="","",IF(INDEX('Per Invoice'!$G$2:$G$801,$N232)="","",INDEX('Per Invoice'!$G$2:$G$801,$N232)))</f>
        <v/>
      </c>
      <c r="H232">
        <f>IF($N232="","",IF(INDEX('Per Invoice'!$H$2:$H$801,$N232)="","",INDEX('Per Invoice'!$H$2:$H$801,$N232)))</f>
        <v/>
      </c>
      <c r="I232" s="5">
        <f>IF($N232="","",IF(INDEX('Per Invoice'!$I$2:$I$801,$N232)="","",INDEX('Per Invoice'!$I$2:$I$801,$N232)))</f>
        <v/>
      </c>
      <c r="J232" s="5">
        <f>IF($N232="","",IF(INDEX('Per Invoice'!$J$2:$J$801,$N232)="","",INDEX('Per Invoice'!$J$2:$J$801,$N232)))</f>
        <v/>
      </c>
      <c r="K232" s="5">
        <f>IF($N232="","",IF(INDEX('Per Invoice'!$K$2:$K$801,$N232)="","",INDEX('Per Invoice'!$K$2:$K$801,$N232)))</f>
        <v/>
      </c>
      <c r="L232" s="5">
        <f>IF($N232="","",IF(INDEX('Per Invoice'!$L$2:$L$801,$N232)="","",INDEX('Per Invoice'!$L$2:$L$801,$N232)))</f>
        <v/>
      </c>
      <c r="M232" s="5">
        <f>IF($N232="","",IF(INDEX('Per Invoice'!$M$2:$M$801,$N232)="","",INDEX('Per Invoice'!$M$2:$M$801,$N232)))</f>
        <v/>
      </c>
      <c r="N232">
        <f>IF(ROWS($N$2:$N232)&lt;=COUNT('Per Invoice'!$O$2:$O$801),MATCH(ROWS($N$2:$N232),'Per Invoice'!$O$2:$O$801,0),"")</f>
        <v/>
      </c>
    </row>
    <row r="233">
      <c r="A233">
        <f>IF($N233="","",IF(INDEX('Per Invoice'!$A$2:$A$801,$N233)="","",INDEX('Per Invoice'!$A$2:$A$801,$N233)))</f>
        <v/>
      </c>
      <c r="B233">
        <f>IF($N233="","",IF(INDEX('Per Invoice'!$B$2:$B$801,$N233)="","",INDEX('Per Invoice'!$B$2:$B$801,$N233)))</f>
        <v/>
      </c>
      <c r="C233">
        <f>IF($N233="","",IF(INDEX('Per Invoice'!$C$2:$C$801,$N233)="","",INDEX('Per Invoice'!$C$2:$C$801,$N233)))</f>
        <v/>
      </c>
      <c r="D233">
        <f>IF($N233="","",IF(INDEX('Per Invoice'!$D$2:$D$801,$N233)="","",INDEX('Per Invoice'!$D$2:$D$801,$N233)))</f>
        <v/>
      </c>
      <c r="E233">
        <f>IF($N233="","",IF(INDEX('Per Invoice'!$E$2:$E$801,$N233)="","",INDEX('Per Invoice'!$E$2:$E$801,$N233)))</f>
        <v/>
      </c>
      <c r="F233">
        <f>IF($N233="","",IF(INDEX('Per Invoice'!$F$2:$F$801,$N233)="","",INDEX('Per Invoice'!$F$2:$F$801,$N233)))</f>
        <v/>
      </c>
      <c r="G233">
        <f>IF($N233="","",IF(INDEX('Per Invoice'!$G$2:$G$801,$N233)="","",INDEX('Per Invoice'!$G$2:$G$801,$N233)))</f>
        <v/>
      </c>
      <c r="H233">
        <f>IF($N233="","",IF(INDEX('Per Invoice'!$H$2:$H$801,$N233)="","",INDEX('Per Invoice'!$H$2:$H$801,$N233)))</f>
        <v/>
      </c>
      <c r="I233" s="5">
        <f>IF($N233="","",IF(INDEX('Per Invoice'!$I$2:$I$801,$N233)="","",INDEX('Per Invoice'!$I$2:$I$801,$N233)))</f>
        <v/>
      </c>
      <c r="J233" s="5">
        <f>IF($N233="","",IF(INDEX('Per Invoice'!$J$2:$J$801,$N233)="","",INDEX('Per Invoice'!$J$2:$J$801,$N233)))</f>
        <v/>
      </c>
      <c r="K233" s="5">
        <f>IF($N233="","",IF(INDEX('Per Invoice'!$K$2:$K$801,$N233)="","",INDEX('Per Invoice'!$K$2:$K$801,$N233)))</f>
        <v/>
      </c>
      <c r="L233" s="5">
        <f>IF($N233="","",IF(INDEX('Per Invoice'!$L$2:$L$801,$N233)="","",INDEX('Per Invoice'!$L$2:$L$801,$N233)))</f>
        <v/>
      </c>
      <c r="M233" s="5">
        <f>IF($N233="","",IF(INDEX('Per Invoice'!$M$2:$M$801,$N233)="","",INDEX('Per Invoice'!$M$2:$M$801,$N233)))</f>
        <v/>
      </c>
      <c r="N233">
        <f>IF(ROWS($N$2:$N233)&lt;=COUNT('Per Invoice'!$O$2:$O$801),MATCH(ROWS($N$2:$N233),'Per Invoice'!$O$2:$O$801,0),"")</f>
        <v/>
      </c>
    </row>
    <row r="234">
      <c r="A234">
        <f>IF($N234="","",IF(INDEX('Per Invoice'!$A$2:$A$801,$N234)="","",INDEX('Per Invoice'!$A$2:$A$801,$N234)))</f>
        <v/>
      </c>
      <c r="B234">
        <f>IF($N234="","",IF(INDEX('Per Invoice'!$B$2:$B$801,$N234)="","",INDEX('Per Invoice'!$B$2:$B$801,$N234)))</f>
        <v/>
      </c>
      <c r="C234">
        <f>IF($N234="","",IF(INDEX('Per Invoice'!$C$2:$C$801,$N234)="","",INDEX('Per Invoice'!$C$2:$C$801,$N234)))</f>
        <v/>
      </c>
      <c r="D234">
        <f>IF($N234="","",IF(INDEX('Per Invoice'!$D$2:$D$801,$N234)="","",INDEX('Per Invoice'!$D$2:$D$801,$N234)))</f>
        <v/>
      </c>
      <c r="E234">
        <f>IF($N234="","",IF(INDEX('Per Invoice'!$E$2:$E$801,$N234)="","",INDEX('Per Invoice'!$E$2:$E$801,$N234)))</f>
        <v/>
      </c>
      <c r="F234">
        <f>IF($N234="","",IF(INDEX('Per Invoice'!$F$2:$F$801,$N234)="","",INDEX('Per Invoice'!$F$2:$F$801,$N234)))</f>
        <v/>
      </c>
      <c r="G234">
        <f>IF($N234="","",IF(INDEX('Per Invoice'!$G$2:$G$801,$N234)="","",INDEX('Per Invoice'!$G$2:$G$801,$N234)))</f>
        <v/>
      </c>
      <c r="H234">
        <f>IF($N234="","",IF(INDEX('Per Invoice'!$H$2:$H$801,$N234)="","",INDEX('Per Invoice'!$H$2:$H$801,$N234)))</f>
        <v/>
      </c>
      <c r="I234" s="5">
        <f>IF($N234="","",IF(INDEX('Per Invoice'!$I$2:$I$801,$N234)="","",INDEX('Per Invoice'!$I$2:$I$801,$N234)))</f>
        <v/>
      </c>
      <c r="J234" s="5">
        <f>IF($N234="","",IF(INDEX('Per Invoice'!$J$2:$J$801,$N234)="","",INDEX('Per Invoice'!$J$2:$J$801,$N234)))</f>
        <v/>
      </c>
      <c r="K234" s="5">
        <f>IF($N234="","",IF(INDEX('Per Invoice'!$K$2:$K$801,$N234)="","",INDEX('Per Invoice'!$K$2:$K$801,$N234)))</f>
        <v/>
      </c>
      <c r="L234" s="5">
        <f>IF($N234="","",IF(INDEX('Per Invoice'!$L$2:$L$801,$N234)="","",INDEX('Per Invoice'!$L$2:$L$801,$N234)))</f>
        <v/>
      </c>
      <c r="M234" s="5">
        <f>IF($N234="","",IF(INDEX('Per Invoice'!$M$2:$M$801,$N234)="","",INDEX('Per Invoice'!$M$2:$M$801,$N234)))</f>
        <v/>
      </c>
      <c r="N234">
        <f>IF(ROWS($N$2:$N234)&lt;=COUNT('Per Invoice'!$O$2:$O$801),MATCH(ROWS($N$2:$N234),'Per Invoice'!$O$2:$O$801,0),"")</f>
        <v/>
      </c>
    </row>
    <row r="235">
      <c r="A235">
        <f>IF($N235="","",IF(INDEX('Per Invoice'!$A$2:$A$801,$N235)="","",INDEX('Per Invoice'!$A$2:$A$801,$N235)))</f>
        <v/>
      </c>
      <c r="B235">
        <f>IF($N235="","",IF(INDEX('Per Invoice'!$B$2:$B$801,$N235)="","",INDEX('Per Invoice'!$B$2:$B$801,$N235)))</f>
        <v/>
      </c>
      <c r="C235">
        <f>IF($N235="","",IF(INDEX('Per Invoice'!$C$2:$C$801,$N235)="","",INDEX('Per Invoice'!$C$2:$C$801,$N235)))</f>
        <v/>
      </c>
      <c r="D235">
        <f>IF($N235="","",IF(INDEX('Per Invoice'!$D$2:$D$801,$N235)="","",INDEX('Per Invoice'!$D$2:$D$801,$N235)))</f>
        <v/>
      </c>
      <c r="E235">
        <f>IF($N235="","",IF(INDEX('Per Invoice'!$E$2:$E$801,$N235)="","",INDEX('Per Invoice'!$E$2:$E$801,$N235)))</f>
        <v/>
      </c>
      <c r="F235">
        <f>IF($N235="","",IF(INDEX('Per Invoice'!$F$2:$F$801,$N235)="","",INDEX('Per Invoice'!$F$2:$F$801,$N235)))</f>
        <v/>
      </c>
      <c r="G235">
        <f>IF($N235="","",IF(INDEX('Per Invoice'!$G$2:$G$801,$N235)="","",INDEX('Per Invoice'!$G$2:$G$801,$N235)))</f>
        <v/>
      </c>
      <c r="H235">
        <f>IF($N235="","",IF(INDEX('Per Invoice'!$H$2:$H$801,$N235)="","",INDEX('Per Invoice'!$H$2:$H$801,$N235)))</f>
        <v/>
      </c>
      <c r="I235" s="5">
        <f>IF($N235="","",IF(INDEX('Per Invoice'!$I$2:$I$801,$N235)="","",INDEX('Per Invoice'!$I$2:$I$801,$N235)))</f>
        <v/>
      </c>
      <c r="J235" s="5">
        <f>IF($N235="","",IF(INDEX('Per Invoice'!$J$2:$J$801,$N235)="","",INDEX('Per Invoice'!$J$2:$J$801,$N235)))</f>
        <v/>
      </c>
      <c r="K235" s="5">
        <f>IF($N235="","",IF(INDEX('Per Invoice'!$K$2:$K$801,$N235)="","",INDEX('Per Invoice'!$K$2:$K$801,$N235)))</f>
        <v/>
      </c>
      <c r="L235" s="5">
        <f>IF($N235="","",IF(INDEX('Per Invoice'!$L$2:$L$801,$N235)="","",INDEX('Per Invoice'!$L$2:$L$801,$N235)))</f>
        <v/>
      </c>
      <c r="M235" s="5">
        <f>IF($N235="","",IF(INDEX('Per Invoice'!$M$2:$M$801,$N235)="","",INDEX('Per Invoice'!$M$2:$M$801,$N235)))</f>
        <v/>
      </c>
      <c r="N235">
        <f>IF(ROWS($N$2:$N235)&lt;=COUNT('Per Invoice'!$O$2:$O$801),MATCH(ROWS($N$2:$N235),'Per Invoice'!$O$2:$O$801,0),"")</f>
        <v/>
      </c>
    </row>
    <row r="236">
      <c r="A236">
        <f>IF($N236="","",IF(INDEX('Per Invoice'!$A$2:$A$801,$N236)="","",INDEX('Per Invoice'!$A$2:$A$801,$N236)))</f>
        <v/>
      </c>
      <c r="B236">
        <f>IF($N236="","",IF(INDEX('Per Invoice'!$B$2:$B$801,$N236)="","",INDEX('Per Invoice'!$B$2:$B$801,$N236)))</f>
        <v/>
      </c>
      <c r="C236">
        <f>IF($N236="","",IF(INDEX('Per Invoice'!$C$2:$C$801,$N236)="","",INDEX('Per Invoice'!$C$2:$C$801,$N236)))</f>
        <v/>
      </c>
      <c r="D236">
        <f>IF($N236="","",IF(INDEX('Per Invoice'!$D$2:$D$801,$N236)="","",INDEX('Per Invoice'!$D$2:$D$801,$N236)))</f>
        <v/>
      </c>
      <c r="E236">
        <f>IF($N236="","",IF(INDEX('Per Invoice'!$E$2:$E$801,$N236)="","",INDEX('Per Invoice'!$E$2:$E$801,$N236)))</f>
        <v/>
      </c>
      <c r="F236">
        <f>IF($N236="","",IF(INDEX('Per Invoice'!$F$2:$F$801,$N236)="","",INDEX('Per Invoice'!$F$2:$F$801,$N236)))</f>
        <v/>
      </c>
      <c r="G236">
        <f>IF($N236="","",IF(INDEX('Per Invoice'!$G$2:$G$801,$N236)="","",INDEX('Per Invoice'!$G$2:$G$801,$N236)))</f>
        <v/>
      </c>
      <c r="H236">
        <f>IF($N236="","",IF(INDEX('Per Invoice'!$H$2:$H$801,$N236)="","",INDEX('Per Invoice'!$H$2:$H$801,$N236)))</f>
        <v/>
      </c>
      <c r="I236" s="5">
        <f>IF($N236="","",IF(INDEX('Per Invoice'!$I$2:$I$801,$N236)="","",INDEX('Per Invoice'!$I$2:$I$801,$N236)))</f>
        <v/>
      </c>
      <c r="J236" s="5">
        <f>IF($N236="","",IF(INDEX('Per Invoice'!$J$2:$J$801,$N236)="","",INDEX('Per Invoice'!$J$2:$J$801,$N236)))</f>
        <v/>
      </c>
      <c r="K236" s="5">
        <f>IF($N236="","",IF(INDEX('Per Invoice'!$K$2:$K$801,$N236)="","",INDEX('Per Invoice'!$K$2:$K$801,$N236)))</f>
        <v/>
      </c>
      <c r="L236" s="5">
        <f>IF($N236="","",IF(INDEX('Per Invoice'!$L$2:$L$801,$N236)="","",INDEX('Per Invoice'!$L$2:$L$801,$N236)))</f>
        <v/>
      </c>
      <c r="M236" s="5">
        <f>IF($N236="","",IF(INDEX('Per Invoice'!$M$2:$M$801,$N236)="","",INDEX('Per Invoice'!$M$2:$M$801,$N236)))</f>
        <v/>
      </c>
      <c r="N236">
        <f>IF(ROWS($N$2:$N236)&lt;=COUNT('Per Invoice'!$O$2:$O$801),MATCH(ROWS($N$2:$N236),'Per Invoice'!$O$2:$O$801,0),"")</f>
        <v/>
      </c>
    </row>
    <row r="237">
      <c r="A237">
        <f>IF($N237="","",IF(INDEX('Per Invoice'!$A$2:$A$801,$N237)="","",INDEX('Per Invoice'!$A$2:$A$801,$N237)))</f>
        <v/>
      </c>
      <c r="B237">
        <f>IF($N237="","",IF(INDEX('Per Invoice'!$B$2:$B$801,$N237)="","",INDEX('Per Invoice'!$B$2:$B$801,$N237)))</f>
        <v/>
      </c>
      <c r="C237">
        <f>IF($N237="","",IF(INDEX('Per Invoice'!$C$2:$C$801,$N237)="","",INDEX('Per Invoice'!$C$2:$C$801,$N237)))</f>
        <v/>
      </c>
      <c r="D237">
        <f>IF($N237="","",IF(INDEX('Per Invoice'!$D$2:$D$801,$N237)="","",INDEX('Per Invoice'!$D$2:$D$801,$N237)))</f>
        <v/>
      </c>
      <c r="E237">
        <f>IF($N237="","",IF(INDEX('Per Invoice'!$E$2:$E$801,$N237)="","",INDEX('Per Invoice'!$E$2:$E$801,$N237)))</f>
        <v/>
      </c>
      <c r="F237">
        <f>IF($N237="","",IF(INDEX('Per Invoice'!$F$2:$F$801,$N237)="","",INDEX('Per Invoice'!$F$2:$F$801,$N237)))</f>
        <v/>
      </c>
      <c r="G237">
        <f>IF($N237="","",IF(INDEX('Per Invoice'!$G$2:$G$801,$N237)="","",INDEX('Per Invoice'!$G$2:$G$801,$N237)))</f>
        <v/>
      </c>
      <c r="H237">
        <f>IF($N237="","",IF(INDEX('Per Invoice'!$H$2:$H$801,$N237)="","",INDEX('Per Invoice'!$H$2:$H$801,$N237)))</f>
        <v/>
      </c>
      <c r="I237" s="5">
        <f>IF($N237="","",IF(INDEX('Per Invoice'!$I$2:$I$801,$N237)="","",INDEX('Per Invoice'!$I$2:$I$801,$N237)))</f>
        <v/>
      </c>
      <c r="J237" s="5">
        <f>IF($N237="","",IF(INDEX('Per Invoice'!$J$2:$J$801,$N237)="","",INDEX('Per Invoice'!$J$2:$J$801,$N237)))</f>
        <v/>
      </c>
      <c r="K237" s="5">
        <f>IF($N237="","",IF(INDEX('Per Invoice'!$K$2:$K$801,$N237)="","",INDEX('Per Invoice'!$K$2:$K$801,$N237)))</f>
        <v/>
      </c>
      <c r="L237" s="5">
        <f>IF($N237="","",IF(INDEX('Per Invoice'!$L$2:$L$801,$N237)="","",INDEX('Per Invoice'!$L$2:$L$801,$N237)))</f>
        <v/>
      </c>
      <c r="M237" s="5">
        <f>IF($N237="","",IF(INDEX('Per Invoice'!$M$2:$M$801,$N237)="","",INDEX('Per Invoice'!$M$2:$M$801,$N237)))</f>
        <v/>
      </c>
      <c r="N237">
        <f>IF(ROWS($N$2:$N237)&lt;=COUNT('Per Invoice'!$O$2:$O$801),MATCH(ROWS($N$2:$N237),'Per Invoice'!$O$2:$O$801,0),"")</f>
        <v/>
      </c>
    </row>
    <row r="238">
      <c r="A238">
        <f>IF($N238="","",IF(INDEX('Per Invoice'!$A$2:$A$801,$N238)="","",INDEX('Per Invoice'!$A$2:$A$801,$N238)))</f>
        <v/>
      </c>
      <c r="B238">
        <f>IF($N238="","",IF(INDEX('Per Invoice'!$B$2:$B$801,$N238)="","",INDEX('Per Invoice'!$B$2:$B$801,$N238)))</f>
        <v/>
      </c>
      <c r="C238">
        <f>IF($N238="","",IF(INDEX('Per Invoice'!$C$2:$C$801,$N238)="","",INDEX('Per Invoice'!$C$2:$C$801,$N238)))</f>
        <v/>
      </c>
      <c r="D238">
        <f>IF($N238="","",IF(INDEX('Per Invoice'!$D$2:$D$801,$N238)="","",INDEX('Per Invoice'!$D$2:$D$801,$N238)))</f>
        <v/>
      </c>
      <c r="E238">
        <f>IF($N238="","",IF(INDEX('Per Invoice'!$E$2:$E$801,$N238)="","",INDEX('Per Invoice'!$E$2:$E$801,$N238)))</f>
        <v/>
      </c>
      <c r="F238">
        <f>IF($N238="","",IF(INDEX('Per Invoice'!$F$2:$F$801,$N238)="","",INDEX('Per Invoice'!$F$2:$F$801,$N238)))</f>
        <v/>
      </c>
      <c r="G238">
        <f>IF($N238="","",IF(INDEX('Per Invoice'!$G$2:$G$801,$N238)="","",INDEX('Per Invoice'!$G$2:$G$801,$N238)))</f>
        <v/>
      </c>
      <c r="H238">
        <f>IF($N238="","",IF(INDEX('Per Invoice'!$H$2:$H$801,$N238)="","",INDEX('Per Invoice'!$H$2:$H$801,$N238)))</f>
        <v/>
      </c>
      <c r="I238" s="5">
        <f>IF($N238="","",IF(INDEX('Per Invoice'!$I$2:$I$801,$N238)="","",INDEX('Per Invoice'!$I$2:$I$801,$N238)))</f>
        <v/>
      </c>
      <c r="J238" s="5">
        <f>IF($N238="","",IF(INDEX('Per Invoice'!$J$2:$J$801,$N238)="","",INDEX('Per Invoice'!$J$2:$J$801,$N238)))</f>
        <v/>
      </c>
      <c r="K238" s="5">
        <f>IF($N238="","",IF(INDEX('Per Invoice'!$K$2:$K$801,$N238)="","",INDEX('Per Invoice'!$K$2:$K$801,$N238)))</f>
        <v/>
      </c>
      <c r="L238" s="5">
        <f>IF($N238="","",IF(INDEX('Per Invoice'!$L$2:$L$801,$N238)="","",INDEX('Per Invoice'!$L$2:$L$801,$N238)))</f>
        <v/>
      </c>
      <c r="M238" s="5">
        <f>IF($N238="","",IF(INDEX('Per Invoice'!$M$2:$M$801,$N238)="","",INDEX('Per Invoice'!$M$2:$M$801,$N238)))</f>
        <v/>
      </c>
      <c r="N238">
        <f>IF(ROWS($N$2:$N238)&lt;=COUNT('Per Invoice'!$O$2:$O$801),MATCH(ROWS($N$2:$N238),'Per Invoice'!$O$2:$O$801,0),"")</f>
        <v/>
      </c>
    </row>
    <row r="239">
      <c r="A239">
        <f>IF($N239="","",IF(INDEX('Per Invoice'!$A$2:$A$801,$N239)="","",INDEX('Per Invoice'!$A$2:$A$801,$N239)))</f>
        <v/>
      </c>
      <c r="B239">
        <f>IF($N239="","",IF(INDEX('Per Invoice'!$B$2:$B$801,$N239)="","",INDEX('Per Invoice'!$B$2:$B$801,$N239)))</f>
        <v/>
      </c>
      <c r="C239">
        <f>IF($N239="","",IF(INDEX('Per Invoice'!$C$2:$C$801,$N239)="","",INDEX('Per Invoice'!$C$2:$C$801,$N239)))</f>
        <v/>
      </c>
      <c r="D239">
        <f>IF($N239="","",IF(INDEX('Per Invoice'!$D$2:$D$801,$N239)="","",INDEX('Per Invoice'!$D$2:$D$801,$N239)))</f>
        <v/>
      </c>
      <c r="E239">
        <f>IF($N239="","",IF(INDEX('Per Invoice'!$E$2:$E$801,$N239)="","",INDEX('Per Invoice'!$E$2:$E$801,$N239)))</f>
        <v/>
      </c>
      <c r="F239">
        <f>IF($N239="","",IF(INDEX('Per Invoice'!$F$2:$F$801,$N239)="","",INDEX('Per Invoice'!$F$2:$F$801,$N239)))</f>
        <v/>
      </c>
      <c r="G239">
        <f>IF($N239="","",IF(INDEX('Per Invoice'!$G$2:$G$801,$N239)="","",INDEX('Per Invoice'!$G$2:$G$801,$N239)))</f>
        <v/>
      </c>
      <c r="H239">
        <f>IF($N239="","",IF(INDEX('Per Invoice'!$H$2:$H$801,$N239)="","",INDEX('Per Invoice'!$H$2:$H$801,$N239)))</f>
        <v/>
      </c>
      <c r="I239" s="5">
        <f>IF($N239="","",IF(INDEX('Per Invoice'!$I$2:$I$801,$N239)="","",INDEX('Per Invoice'!$I$2:$I$801,$N239)))</f>
        <v/>
      </c>
      <c r="J239" s="5">
        <f>IF($N239="","",IF(INDEX('Per Invoice'!$J$2:$J$801,$N239)="","",INDEX('Per Invoice'!$J$2:$J$801,$N239)))</f>
        <v/>
      </c>
      <c r="K239" s="5">
        <f>IF($N239="","",IF(INDEX('Per Invoice'!$K$2:$K$801,$N239)="","",INDEX('Per Invoice'!$K$2:$K$801,$N239)))</f>
        <v/>
      </c>
      <c r="L239" s="5">
        <f>IF($N239="","",IF(INDEX('Per Invoice'!$L$2:$L$801,$N239)="","",INDEX('Per Invoice'!$L$2:$L$801,$N239)))</f>
        <v/>
      </c>
      <c r="M239" s="5">
        <f>IF($N239="","",IF(INDEX('Per Invoice'!$M$2:$M$801,$N239)="","",INDEX('Per Invoice'!$M$2:$M$801,$N239)))</f>
        <v/>
      </c>
      <c r="N239">
        <f>IF(ROWS($N$2:$N239)&lt;=COUNT('Per Invoice'!$O$2:$O$801),MATCH(ROWS($N$2:$N239),'Per Invoice'!$O$2:$O$801,0),"")</f>
        <v/>
      </c>
    </row>
    <row r="240">
      <c r="A240">
        <f>IF($N240="","",IF(INDEX('Per Invoice'!$A$2:$A$801,$N240)="","",INDEX('Per Invoice'!$A$2:$A$801,$N240)))</f>
        <v/>
      </c>
      <c r="B240">
        <f>IF($N240="","",IF(INDEX('Per Invoice'!$B$2:$B$801,$N240)="","",INDEX('Per Invoice'!$B$2:$B$801,$N240)))</f>
        <v/>
      </c>
      <c r="C240">
        <f>IF($N240="","",IF(INDEX('Per Invoice'!$C$2:$C$801,$N240)="","",INDEX('Per Invoice'!$C$2:$C$801,$N240)))</f>
        <v/>
      </c>
      <c r="D240">
        <f>IF($N240="","",IF(INDEX('Per Invoice'!$D$2:$D$801,$N240)="","",INDEX('Per Invoice'!$D$2:$D$801,$N240)))</f>
        <v/>
      </c>
      <c r="E240">
        <f>IF($N240="","",IF(INDEX('Per Invoice'!$E$2:$E$801,$N240)="","",INDEX('Per Invoice'!$E$2:$E$801,$N240)))</f>
        <v/>
      </c>
      <c r="F240">
        <f>IF($N240="","",IF(INDEX('Per Invoice'!$F$2:$F$801,$N240)="","",INDEX('Per Invoice'!$F$2:$F$801,$N240)))</f>
        <v/>
      </c>
      <c r="G240">
        <f>IF($N240="","",IF(INDEX('Per Invoice'!$G$2:$G$801,$N240)="","",INDEX('Per Invoice'!$G$2:$G$801,$N240)))</f>
        <v/>
      </c>
      <c r="H240">
        <f>IF($N240="","",IF(INDEX('Per Invoice'!$H$2:$H$801,$N240)="","",INDEX('Per Invoice'!$H$2:$H$801,$N240)))</f>
        <v/>
      </c>
      <c r="I240" s="5">
        <f>IF($N240="","",IF(INDEX('Per Invoice'!$I$2:$I$801,$N240)="","",INDEX('Per Invoice'!$I$2:$I$801,$N240)))</f>
        <v/>
      </c>
      <c r="J240" s="5">
        <f>IF($N240="","",IF(INDEX('Per Invoice'!$J$2:$J$801,$N240)="","",INDEX('Per Invoice'!$J$2:$J$801,$N240)))</f>
        <v/>
      </c>
      <c r="K240" s="5">
        <f>IF($N240="","",IF(INDEX('Per Invoice'!$K$2:$K$801,$N240)="","",INDEX('Per Invoice'!$K$2:$K$801,$N240)))</f>
        <v/>
      </c>
      <c r="L240" s="5">
        <f>IF($N240="","",IF(INDEX('Per Invoice'!$L$2:$L$801,$N240)="","",INDEX('Per Invoice'!$L$2:$L$801,$N240)))</f>
        <v/>
      </c>
      <c r="M240" s="5">
        <f>IF($N240="","",IF(INDEX('Per Invoice'!$M$2:$M$801,$N240)="","",INDEX('Per Invoice'!$M$2:$M$801,$N240)))</f>
        <v/>
      </c>
      <c r="N240">
        <f>IF(ROWS($N$2:$N240)&lt;=COUNT('Per Invoice'!$O$2:$O$801),MATCH(ROWS($N$2:$N240),'Per Invoice'!$O$2:$O$801,0),"")</f>
        <v/>
      </c>
    </row>
    <row r="241">
      <c r="A241">
        <f>IF($N241="","",IF(INDEX('Per Invoice'!$A$2:$A$801,$N241)="","",INDEX('Per Invoice'!$A$2:$A$801,$N241)))</f>
        <v/>
      </c>
      <c r="B241">
        <f>IF($N241="","",IF(INDEX('Per Invoice'!$B$2:$B$801,$N241)="","",INDEX('Per Invoice'!$B$2:$B$801,$N241)))</f>
        <v/>
      </c>
      <c r="C241">
        <f>IF($N241="","",IF(INDEX('Per Invoice'!$C$2:$C$801,$N241)="","",INDEX('Per Invoice'!$C$2:$C$801,$N241)))</f>
        <v/>
      </c>
      <c r="D241">
        <f>IF($N241="","",IF(INDEX('Per Invoice'!$D$2:$D$801,$N241)="","",INDEX('Per Invoice'!$D$2:$D$801,$N241)))</f>
        <v/>
      </c>
      <c r="E241">
        <f>IF($N241="","",IF(INDEX('Per Invoice'!$E$2:$E$801,$N241)="","",INDEX('Per Invoice'!$E$2:$E$801,$N241)))</f>
        <v/>
      </c>
      <c r="F241">
        <f>IF($N241="","",IF(INDEX('Per Invoice'!$F$2:$F$801,$N241)="","",INDEX('Per Invoice'!$F$2:$F$801,$N241)))</f>
        <v/>
      </c>
      <c r="G241">
        <f>IF($N241="","",IF(INDEX('Per Invoice'!$G$2:$G$801,$N241)="","",INDEX('Per Invoice'!$G$2:$G$801,$N241)))</f>
        <v/>
      </c>
      <c r="H241">
        <f>IF($N241="","",IF(INDEX('Per Invoice'!$H$2:$H$801,$N241)="","",INDEX('Per Invoice'!$H$2:$H$801,$N241)))</f>
        <v/>
      </c>
      <c r="I241" s="5">
        <f>IF($N241="","",IF(INDEX('Per Invoice'!$I$2:$I$801,$N241)="","",INDEX('Per Invoice'!$I$2:$I$801,$N241)))</f>
        <v/>
      </c>
      <c r="J241" s="5">
        <f>IF($N241="","",IF(INDEX('Per Invoice'!$J$2:$J$801,$N241)="","",INDEX('Per Invoice'!$J$2:$J$801,$N241)))</f>
        <v/>
      </c>
      <c r="K241" s="5">
        <f>IF($N241="","",IF(INDEX('Per Invoice'!$K$2:$K$801,$N241)="","",INDEX('Per Invoice'!$K$2:$K$801,$N241)))</f>
        <v/>
      </c>
      <c r="L241" s="5">
        <f>IF($N241="","",IF(INDEX('Per Invoice'!$L$2:$L$801,$N241)="","",INDEX('Per Invoice'!$L$2:$L$801,$N241)))</f>
        <v/>
      </c>
      <c r="M241" s="5">
        <f>IF($N241="","",IF(INDEX('Per Invoice'!$M$2:$M$801,$N241)="","",INDEX('Per Invoice'!$M$2:$M$801,$N241)))</f>
        <v/>
      </c>
      <c r="N241">
        <f>IF(ROWS($N$2:$N241)&lt;=COUNT('Per Invoice'!$O$2:$O$801),MATCH(ROWS($N$2:$N241),'Per Invoice'!$O$2:$O$801,0),"")</f>
        <v/>
      </c>
    </row>
    <row r="242">
      <c r="A242">
        <f>IF($N242="","",IF(INDEX('Per Invoice'!$A$2:$A$801,$N242)="","",INDEX('Per Invoice'!$A$2:$A$801,$N242)))</f>
        <v/>
      </c>
      <c r="B242">
        <f>IF($N242="","",IF(INDEX('Per Invoice'!$B$2:$B$801,$N242)="","",INDEX('Per Invoice'!$B$2:$B$801,$N242)))</f>
        <v/>
      </c>
      <c r="C242">
        <f>IF($N242="","",IF(INDEX('Per Invoice'!$C$2:$C$801,$N242)="","",INDEX('Per Invoice'!$C$2:$C$801,$N242)))</f>
        <v/>
      </c>
      <c r="D242">
        <f>IF($N242="","",IF(INDEX('Per Invoice'!$D$2:$D$801,$N242)="","",INDEX('Per Invoice'!$D$2:$D$801,$N242)))</f>
        <v/>
      </c>
      <c r="E242">
        <f>IF($N242="","",IF(INDEX('Per Invoice'!$E$2:$E$801,$N242)="","",INDEX('Per Invoice'!$E$2:$E$801,$N242)))</f>
        <v/>
      </c>
      <c r="F242">
        <f>IF($N242="","",IF(INDEX('Per Invoice'!$F$2:$F$801,$N242)="","",INDEX('Per Invoice'!$F$2:$F$801,$N242)))</f>
        <v/>
      </c>
      <c r="G242">
        <f>IF($N242="","",IF(INDEX('Per Invoice'!$G$2:$G$801,$N242)="","",INDEX('Per Invoice'!$G$2:$G$801,$N242)))</f>
        <v/>
      </c>
      <c r="H242">
        <f>IF($N242="","",IF(INDEX('Per Invoice'!$H$2:$H$801,$N242)="","",INDEX('Per Invoice'!$H$2:$H$801,$N242)))</f>
        <v/>
      </c>
      <c r="I242" s="5">
        <f>IF($N242="","",IF(INDEX('Per Invoice'!$I$2:$I$801,$N242)="","",INDEX('Per Invoice'!$I$2:$I$801,$N242)))</f>
        <v/>
      </c>
      <c r="J242" s="5">
        <f>IF($N242="","",IF(INDEX('Per Invoice'!$J$2:$J$801,$N242)="","",INDEX('Per Invoice'!$J$2:$J$801,$N242)))</f>
        <v/>
      </c>
      <c r="K242" s="5">
        <f>IF($N242="","",IF(INDEX('Per Invoice'!$K$2:$K$801,$N242)="","",INDEX('Per Invoice'!$K$2:$K$801,$N242)))</f>
        <v/>
      </c>
      <c r="L242" s="5">
        <f>IF($N242="","",IF(INDEX('Per Invoice'!$L$2:$L$801,$N242)="","",INDEX('Per Invoice'!$L$2:$L$801,$N242)))</f>
        <v/>
      </c>
      <c r="M242" s="5">
        <f>IF($N242="","",IF(INDEX('Per Invoice'!$M$2:$M$801,$N242)="","",INDEX('Per Invoice'!$M$2:$M$801,$N242)))</f>
        <v/>
      </c>
      <c r="N242">
        <f>IF(ROWS($N$2:$N242)&lt;=COUNT('Per Invoice'!$O$2:$O$801),MATCH(ROWS($N$2:$N242),'Per Invoice'!$O$2:$O$801,0),"")</f>
        <v/>
      </c>
    </row>
    <row r="243">
      <c r="A243">
        <f>IF($N243="","",IF(INDEX('Per Invoice'!$A$2:$A$801,$N243)="","",INDEX('Per Invoice'!$A$2:$A$801,$N243)))</f>
        <v/>
      </c>
      <c r="B243">
        <f>IF($N243="","",IF(INDEX('Per Invoice'!$B$2:$B$801,$N243)="","",INDEX('Per Invoice'!$B$2:$B$801,$N243)))</f>
        <v/>
      </c>
      <c r="C243">
        <f>IF($N243="","",IF(INDEX('Per Invoice'!$C$2:$C$801,$N243)="","",INDEX('Per Invoice'!$C$2:$C$801,$N243)))</f>
        <v/>
      </c>
      <c r="D243">
        <f>IF($N243="","",IF(INDEX('Per Invoice'!$D$2:$D$801,$N243)="","",INDEX('Per Invoice'!$D$2:$D$801,$N243)))</f>
        <v/>
      </c>
      <c r="E243">
        <f>IF($N243="","",IF(INDEX('Per Invoice'!$E$2:$E$801,$N243)="","",INDEX('Per Invoice'!$E$2:$E$801,$N243)))</f>
        <v/>
      </c>
      <c r="F243">
        <f>IF($N243="","",IF(INDEX('Per Invoice'!$F$2:$F$801,$N243)="","",INDEX('Per Invoice'!$F$2:$F$801,$N243)))</f>
        <v/>
      </c>
      <c r="G243">
        <f>IF($N243="","",IF(INDEX('Per Invoice'!$G$2:$G$801,$N243)="","",INDEX('Per Invoice'!$G$2:$G$801,$N243)))</f>
        <v/>
      </c>
      <c r="H243">
        <f>IF($N243="","",IF(INDEX('Per Invoice'!$H$2:$H$801,$N243)="","",INDEX('Per Invoice'!$H$2:$H$801,$N243)))</f>
        <v/>
      </c>
      <c r="I243" s="5">
        <f>IF($N243="","",IF(INDEX('Per Invoice'!$I$2:$I$801,$N243)="","",INDEX('Per Invoice'!$I$2:$I$801,$N243)))</f>
        <v/>
      </c>
      <c r="J243" s="5">
        <f>IF($N243="","",IF(INDEX('Per Invoice'!$J$2:$J$801,$N243)="","",INDEX('Per Invoice'!$J$2:$J$801,$N243)))</f>
        <v/>
      </c>
      <c r="K243" s="5">
        <f>IF($N243="","",IF(INDEX('Per Invoice'!$K$2:$K$801,$N243)="","",INDEX('Per Invoice'!$K$2:$K$801,$N243)))</f>
        <v/>
      </c>
      <c r="L243" s="5">
        <f>IF($N243="","",IF(INDEX('Per Invoice'!$L$2:$L$801,$N243)="","",INDEX('Per Invoice'!$L$2:$L$801,$N243)))</f>
        <v/>
      </c>
      <c r="M243" s="5">
        <f>IF($N243="","",IF(INDEX('Per Invoice'!$M$2:$M$801,$N243)="","",INDEX('Per Invoice'!$M$2:$M$801,$N243)))</f>
        <v/>
      </c>
      <c r="N243">
        <f>IF(ROWS($N$2:$N243)&lt;=COUNT('Per Invoice'!$O$2:$O$801),MATCH(ROWS($N$2:$N243),'Per Invoice'!$O$2:$O$801,0),"")</f>
        <v/>
      </c>
    </row>
    <row r="244">
      <c r="A244">
        <f>IF($N244="","",IF(INDEX('Per Invoice'!$A$2:$A$801,$N244)="","",INDEX('Per Invoice'!$A$2:$A$801,$N244)))</f>
        <v/>
      </c>
      <c r="B244">
        <f>IF($N244="","",IF(INDEX('Per Invoice'!$B$2:$B$801,$N244)="","",INDEX('Per Invoice'!$B$2:$B$801,$N244)))</f>
        <v/>
      </c>
      <c r="C244">
        <f>IF($N244="","",IF(INDEX('Per Invoice'!$C$2:$C$801,$N244)="","",INDEX('Per Invoice'!$C$2:$C$801,$N244)))</f>
        <v/>
      </c>
      <c r="D244">
        <f>IF($N244="","",IF(INDEX('Per Invoice'!$D$2:$D$801,$N244)="","",INDEX('Per Invoice'!$D$2:$D$801,$N244)))</f>
        <v/>
      </c>
      <c r="E244">
        <f>IF($N244="","",IF(INDEX('Per Invoice'!$E$2:$E$801,$N244)="","",INDEX('Per Invoice'!$E$2:$E$801,$N244)))</f>
        <v/>
      </c>
      <c r="F244">
        <f>IF($N244="","",IF(INDEX('Per Invoice'!$F$2:$F$801,$N244)="","",INDEX('Per Invoice'!$F$2:$F$801,$N244)))</f>
        <v/>
      </c>
      <c r="G244">
        <f>IF($N244="","",IF(INDEX('Per Invoice'!$G$2:$G$801,$N244)="","",INDEX('Per Invoice'!$G$2:$G$801,$N244)))</f>
        <v/>
      </c>
      <c r="H244">
        <f>IF($N244="","",IF(INDEX('Per Invoice'!$H$2:$H$801,$N244)="","",INDEX('Per Invoice'!$H$2:$H$801,$N244)))</f>
        <v/>
      </c>
      <c r="I244" s="5">
        <f>IF($N244="","",IF(INDEX('Per Invoice'!$I$2:$I$801,$N244)="","",INDEX('Per Invoice'!$I$2:$I$801,$N244)))</f>
        <v/>
      </c>
      <c r="J244" s="5">
        <f>IF($N244="","",IF(INDEX('Per Invoice'!$J$2:$J$801,$N244)="","",INDEX('Per Invoice'!$J$2:$J$801,$N244)))</f>
        <v/>
      </c>
      <c r="K244" s="5">
        <f>IF($N244="","",IF(INDEX('Per Invoice'!$K$2:$K$801,$N244)="","",INDEX('Per Invoice'!$K$2:$K$801,$N244)))</f>
        <v/>
      </c>
      <c r="L244" s="5">
        <f>IF($N244="","",IF(INDEX('Per Invoice'!$L$2:$L$801,$N244)="","",INDEX('Per Invoice'!$L$2:$L$801,$N244)))</f>
        <v/>
      </c>
      <c r="M244" s="5">
        <f>IF($N244="","",IF(INDEX('Per Invoice'!$M$2:$M$801,$N244)="","",INDEX('Per Invoice'!$M$2:$M$801,$N244)))</f>
        <v/>
      </c>
      <c r="N244">
        <f>IF(ROWS($N$2:$N244)&lt;=COUNT('Per Invoice'!$O$2:$O$801),MATCH(ROWS($N$2:$N244),'Per Invoice'!$O$2:$O$801,0),"")</f>
        <v/>
      </c>
    </row>
    <row r="245">
      <c r="A245">
        <f>IF($N245="","",IF(INDEX('Per Invoice'!$A$2:$A$801,$N245)="","",INDEX('Per Invoice'!$A$2:$A$801,$N245)))</f>
        <v/>
      </c>
      <c r="B245">
        <f>IF($N245="","",IF(INDEX('Per Invoice'!$B$2:$B$801,$N245)="","",INDEX('Per Invoice'!$B$2:$B$801,$N245)))</f>
        <v/>
      </c>
      <c r="C245">
        <f>IF($N245="","",IF(INDEX('Per Invoice'!$C$2:$C$801,$N245)="","",INDEX('Per Invoice'!$C$2:$C$801,$N245)))</f>
        <v/>
      </c>
      <c r="D245">
        <f>IF($N245="","",IF(INDEX('Per Invoice'!$D$2:$D$801,$N245)="","",INDEX('Per Invoice'!$D$2:$D$801,$N245)))</f>
        <v/>
      </c>
      <c r="E245">
        <f>IF($N245="","",IF(INDEX('Per Invoice'!$E$2:$E$801,$N245)="","",INDEX('Per Invoice'!$E$2:$E$801,$N245)))</f>
        <v/>
      </c>
      <c r="F245">
        <f>IF($N245="","",IF(INDEX('Per Invoice'!$F$2:$F$801,$N245)="","",INDEX('Per Invoice'!$F$2:$F$801,$N245)))</f>
        <v/>
      </c>
      <c r="G245">
        <f>IF($N245="","",IF(INDEX('Per Invoice'!$G$2:$G$801,$N245)="","",INDEX('Per Invoice'!$G$2:$G$801,$N245)))</f>
        <v/>
      </c>
      <c r="H245">
        <f>IF($N245="","",IF(INDEX('Per Invoice'!$H$2:$H$801,$N245)="","",INDEX('Per Invoice'!$H$2:$H$801,$N245)))</f>
        <v/>
      </c>
      <c r="I245" s="5">
        <f>IF($N245="","",IF(INDEX('Per Invoice'!$I$2:$I$801,$N245)="","",INDEX('Per Invoice'!$I$2:$I$801,$N245)))</f>
        <v/>
      </c>
      <c r="J245" s="5">
        <f>IF($N245="","",IF(INDEX('Per Invoice'!$J$2:$J$801,$N245)="","",INDEX('Per Invoice'!$J$2:$J$801,$N245)))</f>
        <v/>
      </c>
      <c r="K245" s="5">
        <f>IF($N245="","",IF(INDEX('Per Invoice'!$K$2:$K$801,$N245)="","",INDEX('Per Invoice'!$K$2:$K$801,$N245)))</f>
        <v/>
      </c>
      <c r="L245" s="5">
        <f>IF($N245="","",IF(INDEX('Per Invoice'!$L$2:$L$801,$N245)="","",INDEX('Per Invoice'!$L$2:$L$801,$N245)))</f>
        <v/>
      </c>
      <c r="M245" s="5">
        <f>IF($N245="","",IF(INDEX('Per Invoice'!$M$2:$M$801,$N245)="","",INDEX('Per Invoice'!$M$2:$M$801,$N245)))</f>
        <v/>
      </c>
      <c r="N245">
        <f>IF(ROWS($N$2:$N245)&lt;=COUNT('Per Invoice'!$O$2:$O$801),MATCH(ROWS($N$2:$N245),'Per Invoice'!$O$2:$O$801,0),"")</f>
        <v/>
      </c>
    </row>
    <row r="246">
      <c r="A246">
        <f>IF($N246="","",IF(INDEX('Per Invoice'!$A$2:$A$801,$N246)="","",INDEX('Per Invoice'!$A$2:$A$801,$N246)))</f>
        <v/>
      </c>
      <c r="B246">
        <f>IF($N246="","",IF(INDEX('Per Invoice'!$B$2:$B$801,$N246)="","",INDEX('Per Invoice'!$B$2:$B$801,$N246)))</f>
        <v/>
      </c>
      <c r="C246">
        <f>IF($N246="","",IF(INDEX('Per Invoice'!$C$2:$C$801,$N246)="","",INDEX('Per Invoice'!$C$2:$C$801,$N246)))</f>
        <v/>
      </c>
      <c r="D246">
        <f>IF($N246="","",IF(INDEX('Per Invoice'!$D$2:$D$801,$N246)="","",INDEX('Per Invoice'!$D$2:$D$801,$N246)))</f>
        <v/>
      </c>
      <c r="E246">
        <f>IF($N246="","",IF(INDEX('Per Invoice'!$E$2:$E$801,$N246)="","",INDEX('Per Invoice'!$E$2:$E$801,$N246)))</f>
        <v/>
      </c>
      <c r="F246">
        <f>IF($N246="","",IF(INDEX('Per Invoice'!$F$2:$F$801,$N246)="","",INDEX('Per Invoice'!$F$2:$F$801,$N246)))</f>
        <v/>
      </c>
      <c r="G246">
        <f>IF($N246="","",IF(INDEX('Per Invoice'!$G$2:$G$801,$N246)="","",INDEX('Per Invoice'!$G$2:$G$801,$N246)))</f>
        <v/>
      </c>
      <c r="H246">
        <f>IF($N246="","",IF(INDEX('Per Invoice'!$H$2:$H$801,$N246)="","",INDEX('Per Invoice'!$H$2:$H$801,$N246)))</f>
        <v/>
      </c>
      <c r="I246" s="5">
        <f>IF($N246="","",IF(INDEX('Per Invoice'!$I$2:$I$801,$N246)="","",INDEX('Per Invoice'!$I$2:$I$801,$N246)))</f>
        <v/>
      </c>
      <c r="J246" s="5">
        <f>IF($N246="","",IF(INDEX('Per Invoice'!$J$2:$J$801,$N246)="","",INDEX('Per Invoice'!$J$2:$J$801,$N246)))</f>
        <v/>
      </c>
      <c r="K246" s="5">
        <f>IF($N246="","",IF(INDEX('Per Invoice'!$K$2:$K$801,$N246)="","",INDEX('Per Invoice'!$K$2:$K$801,$N246)))</f>
        <v/>
      </c>
      <c r="L246" s="5">
        <f>IF($N246="","",IF(INDEX('Per Invoice'!$L$2:$L$801,$N246)="","",INDEX('Per Invoice'!$L$2:$L$801,$N246)))</f>
        <v/>
      </c>
      <c r="M246" s="5">
        <f>IF($N246="","",IF(INDEX('Per Invoice'!$M$2:$M$801,$N246)="","",INDEX('Per Invoice'!$M$2:$M$801,$N246)))</f>
        <v/>
      </c>
      <c r="N246">
        <f>IF(ROWS($N$2:$N246)&lt;=COUNT('Per Invoice'!$O$2:$O$801),MATCH(ROWS($N$2:$N246),'Per Invoice'!$O$2:$O$801,0),"")</f>
        <v/>
      </c>
    </row>
    <row r="247">
      <c r="A247">
        <f>IF($N247="","",IF(INDEX('Per Invoice'!$A$2:$A$801,$N247)="","",INDEX('Per Invoice'!$A$2:$A$801,$N247)))</f>
        <v/>
      </c>
      <c r="B247">
        <f>IF($N247="","",IF(INDEX('Per Invoice'!$B$2:$B$801,$N247)="","",INDEX('Per Invoice'!$B$2:$B$801,$N247)))</f>
        <v/>
      </c>
      <c r="C247">
        <f>IF($N247="","",IF(INDEX('Per Invoice'!$C$2:$C$801,$N247)="","",INDEX('Per Invoice'!$C$2:$C$801,$N247)))</f>
        <v/>
      </c>
      <c r="D247">
        <f>IF($N247="","",IF(INDEX('Per Invoice'!$D$2:$D$801,$N247)="","",INDEX('Per Invoice'!$D$2:$D$801,$N247)))</f>
        <v/>
      </c>
      <c r="E247">
        <f>IF($N247="","",IF(INDEX('Per Invoice'!$E$2:$E$801,$N247)="","",INDEX('Per Invoice'!$E$2:$E$801,$N247)))</f>
        <v/>
      </c>
      <c r="F247">
        <f>IF($N247="","",IF(INDEX('Per Invoice'!$F$2:$F$801,$N247)="","",INDEX('Per Invoice'!$F$2:$F$801,$N247)))</f>
        <v/>
      </c>
      <c r="G247">
        <f>IF($N247="","",IF(INDEX('Per Invoice'!$G$2:$G$801,$N247)="","",INDEX('Per Invoice'!$G$2:$G$801,$N247)))</f>
        <v/>
      </c>
      <c r="H247">
        <f>IF($N247="","",IF(INDEX('Per Invoice'!$H$2:$H$801,$N247)="","",INDEX('Per Invoice'!$H$2:$H$801,$N247)))</f>
        <v/>
      </c>
      <c r="I247" s="5">
        <f>IF($N247="","",IF(INDEX('Per Invoice'!$I$2:$I$801,$N247)="","",INDEX('Per Invoice'!$I$2:$I$801,$N247)))</f>
        <v/>
      </c>
      <c r="J247" s="5">
        <f>IF($N247="","",IF(INDEX('Per Invoice'!$J$2:$J$801,$N247)="","",INDEX('Per Invoice'!$J$2:$J$801,$N247)))</f>
        <v/>
      </c>
      <c r="K247" s="5">
        <f>IF($N247="","",IF(INDEX('Per Invoice'!$K$2:$K$801,$N247)="","",INDEX('Per Invoice'!$K$2:$K$801,$N247)))</f>
        <v/>
      </c>
      <c r="L247" s="5">
        <f>IF($N247="","",IF(INDEX('Per Invoice'!$L$2:$L$801,$N247)="","",INDEX('Per Invoice'!$L$2:$L$801,$N247)))</f>
        <v/>
      </c>
      <c r="M247" s="5">
        <f>IF($N247="","",IF(INDEX('Per Invoice'!$M$2:$M$801,$N247)="","",INDEX('Per Invoice'!$M$2:$M$801,$N247)))</f>
        <v/>
      </c>
      <c r="N247">
        <f>IF(ROWS($N$2:$N247)&lt;=COUNT('Per Invoice'!$O$2:$O$801),MATCH(ROWS($N$2:$N247),'Per Invoice'!$O$2:$O$801,0),"")</f>
        <v/>
      </c>
    </row>
    <row r="248">
      <c r="A248">
        <f>IF($N248="","",IF(INDEX('Per Invoice'!$A$2:$A$801,$N248)="","",INDEX('Per Invoice'!$A$2:$A$801,$N248)))</f>
        <v/>
      </c>
      <c r="B248">
        <f>IF($N248="","",IF(INDEX('Per Invoice'!$B$2:$B$801,$N248)="","",INDEX('Per Invoice'!$B$2:$B$801,$N248)))</f>
        <v/>
      </c>
      <c r="C248">
        <f>IF($N248="","",IF(INDEX('Per Invoice'!$C$2:$C$801,$N248)="","",INDEX('Per Invoice'!$C$2:$C$801,$N248)))</f>
        <v/>
      </c>
      <c r="D248">
        <f>IF($N248="","",IF(INDEX('Per Invoice'!$D$2:$D$801,$N248)="","",INDEX('Per Invoice'!$D$2:$D$801,$N248)))</f>
        <v/>
      </c>
      <c r="E248">
        <f>IF($N248="","",IF(INDEX('Per Invoice'!$E$2:$E$801,$N248)="","",INDEX('Per Invoice'!$E$2:$E$801,$N248)))</f>
        <v/>
      </c>
      <c r="F248">
        <f>IF($N248="","",IF(INDEX('Per Invoice'!$F$2:$F$801,$N248)="","",INDEX('Per Invoice'!$F$2:$F$801,$N248)))</f>
        <v/>
      </c>
      <c r="G248">
        <f>IF($N248="","",IF(INDEX('Per Invoice'!$G$2:$G$801,$N248)="","",INDEX('Per Invoice'!$G$2:$G$801,$N248)))</f>
        <v/>
      </c>
      <c r="H248">
        <f>IF($N248="","",IF(INDEX('Per Invoice'!$H$2:$H$801,$N248)="","",INDEX('Per Invoice'!$H$2:$H$801,$N248)))</f>
        <v/>
      </c>
      <c r="I248" s="5">
        <f>IF($N248="","",IF(INDEX('Per Invoice'!$I$2:$I$801,$N248)="","",INDEX('Per Invoice'!$I$2:$I$801,$N248)))</f>
        <v/>
      </c>
      <c r="J248" s="5">
        <f>IF($N248="","",IF(INDEX('Per Invoice'!$J$2:$J$801,$N248)="","",INDEX('Per Invoice'!$J$2:$J$801,$N248)))</f>
        <v/>
      </c>
      <c r="K248" s="5">
        <f>IF($N248="","",IF(INDEX('Per Invoice'!$K$2:$K$801,$N248)="","",INDEX('Per Invoice'!$K$2:$K$801,$N248)))</f>
        <v/>
      </c>
      <c r="L248" s="5">
        <f>IF($N248="","",IF(INDEX('Per Invoice'!$L$2:$L$801,$N248)="","",INDEX('Per Invoice'!$L$2:$L$801,$N248)))</f>
        <v/>
      </c>
      <c r="M248" s="5">
        <f>IF($N248="","",IF(INDEX('Per Invoice'!$M$2:$M$801,$N248)="","",INDEX('Per Invoice'!$M$2:$M$801,$N248)))</f>
        <v/>
      </c>
      <c r="N248">
        <f>IF(ROWS($N$2:$N248)&lt;=COUNT('Per Invoice'!$O$2:$O$801),MATCH(ROWS($N$2:$N248),'Per Invoice'!$O$2:$O$801,0),"")</f>
        <v/>
      </c>
    </row>
    <row r="249">
      <c r="A249">
        <f>IF($N249="","",IF(INDEX('Per Invoice'!$A$2:$A$801,$N249)="","",INDEX('Per Invoice'!$A$2:$A$801,$N249)))</f>
        <v/>
      </c>
      <c r="B249">
        <f>IF($N249="","",IF(INDEX('Per Invoice'!$B$2:$B$801,$N249)="","",INDEX('Per Invoice'!$B$2:$B$801,$N249)))</f>
        <v/>
      </c>
      <c r="C249">
        <f>IF($N249="","",IF(INDEX('Per Invoice'!$C$2:$C$801,$N249)="","",INDEX('Per Invoice'!$C$2:$C$801,$N249)))</f>
        <v/>
      </c>
      <c r="D249">
        <f>IF($N249="","",IF(INDEX('Per Invoice'!$D$2:$D$801,$N249)="","",INDEX('Per Invoice'!$D$2:$D$801,$N249)))</f>
        <v/>
      </c>
      <c r="E249">
        <f>IF($N249="","",IF(INDEX('Per Invoice'!$E$2:$E$801,$N249)="","",INDEX('Per Invoice'!$E$2:$E$801,$N249)))</f>
        <v/>
      </c>
      <c r="F249">
        <f>IF($N249="","",IF(INDEX('Per Invoice'!$F$2:$F$801,$N249)="","",INDEX('Per Invoice'!$F$2:$F$801,$N249)))</f>
        <v/>
      </c>
      <c r="G249">
        <f>IF($N249="","",IF(INDEX('Per Invoice'!$G$2:$G$801,$N249)="","",INDEX('Per Invoice'!$G$2:$G$801,$N249)))</f>
        <v/>
      </c>
      <c r="H249">
        <f>IF($N249="","",IF(INDEX('Per Invoice'!$H$2:$H$801,$N249)="","",INDEX('Per Invoice'!$H$2:$H$801,$N249)))</f>
        <v/>
      </c>
      <c r="I249" s="5">
        <f>IF($N249="","",IF(INDEX('Per Invoice'!$I$2:$I$801,$N249)="","",INDEX('Per Invoice'!$I$2:$I$801,$N249)))</f>
        <v/>
      </c>
      <c r="J249" s="5">
        <f>IF($N249="","",IF(INDEX('Per Invoice'!$J$2:$J$801,$N249)="","",INDEX('Per Invoice'!$J$2:$J$801,$N249)))</f>
        <v/>
      </c>
      <c r="K249" s="5">
        <f>IF($N249="","",IF(INDEX('Per Invoice'!$K$2:$K$801,$N249)="","",INDEX('Per Invoice'!$K$2:$K$801,$N249)))</f>
        <v/>
      </c>
      <c r="L249" s="5">
        <f>IF($N249="","",IF(INDEX('Per Invoice'!$L$2:$L$801,$N249)="","",INDEX('Per Invoice'!$L$2:$L$801,$N249)))</f>
        <v/>
      </c>
      <c r="M249" s="5">
        <f>IF($N249="","",IF(INDEX('Per Invoice'!$M$2:$M$801,$N249)="","",INDEX('Per Invoice'!$M$2:$M$801,$N249)))</f>
        <v/>
      </c>
      <c r="N249">
        <f>IF(ROWS($N$2:$N249)&lt;=COUNT('Per Invoice'!$O$2:$O$801),MATCH(ROWS($N$2:$N249),'Per Invoice'!$O$2:$O$801,0),"")</f>
        <v/>
      </c>
    </row>
    <row r="250">
      <c r="A250">
        <f>IF($N250="","",IF(INDEX('Per Invoice'!$A$2:$A$801,$N250)="","",INDEX('Per Invoice'!$A$2:$A$801,$N250)))</f>
        <v/>
      </c>
      <c r="B250">
        <f>IF($N250="","",IF(INDEX('Per Invoice'!$B$2:$B$801,$N250)="","",INDEX('Per Invoice'!$B$2:$B$801,$N250)))</f>
        <v/>
      </c>
      <c r="C250">
        <f>IF($N250="","",IF(INDEX('Per Invoice'!$C$2:$C$801,$N250)="","",INDEX('Per Invoice'!$C$2:$C$801,$N250)))</f>
        <v/>
      </c>
      <c r="D250">
        <f>IF($N250="","",IF(INDEX('Per Invoice'!$D$2:$D$801,$N250)="","",INDEX('Per Invoice'!$D$2:$D$801,$N250)))</f>
        <v/>
      </c>
      <c r="E250">
        <f>IF($N250="","",IF(INDEX('Per Invoice'!$E$2:$E$801,$N250)="","",INDEX('Per Invoice'!$E$2:$E$801,$N250)))</f>
        <v/>
      </c>
      <c r="F250">
        <f>IF($N250="","",IF(INDEX('Per Invoice'!$F$2:$F$801,$N250)="","",INDEX('Per Invoice'!$F$2:$F$801,$N250)))</f>
        <v/>
      </c>
      <c r="G250">
        <f>IF($N250="","",IF(INDEX('Per Invoice'!$G$2:$G$801,$N250)="","",INDEX('Per Invoice'!$G$2:$G$801,$N250)))</f>
        <v/>
      </c>
      <c r="H250">
        <f>IF($N250="","",IF(INDEX('Per Invoice'!$H$2:$H$801,$N250)="","",INDEX('Per Invoice'!$H$2:$H$801,$N250)))</f>
        <v/>
      </c>
      <c r="I250" s="5">
        <f>IF($N250="","",IF(INDEX('Per Invoice'!$I$2:$I$801,$N250)="","",INDEX('Per Invoice'!$I$2:$I$801,$N250)))</f>
        <v/>
      </c>
      <c r="J250" s="5">
        <f>IF($N250="","",IF(INDEX('Per Invoice'!$J$2:$J$801,$N250)="","",INDEX('Per Invoice'!$J$2:$J$801,$N250)))</f>
        <v/>
      </c>
      <c r="K250" s="5">
        <f>IF($N250="","",IF(INDEX('Per Invoice'!$K$2:$K$801,$N250)="","",INDEX('Per Invoice'!$K$2:$K$801,$N250)))</f>
        <v/>
      </c>
      <c r="L250" s="5">
        <f>IF($N250="","",IF(INDEX('Per Invoice'!$L$2:$L$801,$N250)="","",INDEX('Per Invoice'!$L$2:$L$801,$N250)))</f>
        <v/>
      </c>
      <c r="M250" s="5">
        <f>IF($N250="","",IF(INDEX('Per Invoice'!$M$2:$M$801,$N250)="","",INDEX('Per Invoice'!$M$2:$M$801,$N250)))</f>
        <v/>
      </c>
      <c r="N250">
        <f>IF(ROWS($N$2:$N250)&lt;=COUNT('Per Invoice'!$O$2:$O$801),MATCH(ROWS($N$2:$N250),'Per Invoice'!$O$2:$O$801,0),"")</f>
        <v/>
      </c>
    </row>
    <row r="251">
      <c r="A251">
        <f>IF($N251="","",IF(INDEX('Per Invoice'!$A$2:$A$801,$N251)="","",INDEX('Per Invoice'!$A$2:$A$801,$N251)))</f>
        <v/>
      </c>
      <c r="B251">
        <f>IF($N251="","",IF(INDEX('Per Invoice'!$B$2:$B$801,$N251)="","",INDEX('Per Invoice'!$B$2:$B$801,$N251)))</f>
        <v/>
      </c>
      <c r="C251">
        <f>IF($N251="","",IF(INDEX('Per Invoice'!$C$2:$C$801,$N251)="","",INDEX('Per Invoice'!$C$2:$C$801,$N251)))</f>
        <v/>
      </c>
      <c r="D251">
        <f>IF($N251="","",IF(INDEX('Per Invoice'!$D$2:$D$801,$N251)="","",INDEX('Per Invoice'!$D$2:$D$801,$N251)))</f>
        <v/>
      </c>
      <c r="E251">
        <f>IF($N251="","",IF(INDEX('Per Invoice'!$E$2:$E$801,$N251)="","",INDEX('Per Invoice'!$E$2:$E$801,$N251)))</f>
        <v/>
      </c>
      <c r="F251">
        <f>IF($N251="","",IF(INDEX('Per Invoice'!$F$2:$F$801,$N251)="","",INDEX('Per Invoice'!$F$2:$F$801,$N251)))</f>
        <v/>
      </c>
      <c r="G251">
        <f>IF($N251="","",IF(INDEX('Per Invoice'!$G$2:$G$801,$N251)="","",INDEX('Per Invoice'!$G$2:$G$801,$N251)))</f>
        <v/>
      </c>
      <c r="H251">
        <f>IF($N251="","",IF(INDEX('Per Invoice'!$H$2:$H$801,$N251)="","",INDEX('Per Invoice'!$H$2:$H$801,$N251)))</f>
        <v/>
      </c>
      <c r="I251" s="5">
        <f>IF($N251="","",IF(INDEX('Per Invoice'!$I$2:$I$801,$N251)="","",INDEX('Per Invoice'!$I$2:$I$801,$N251)))</f>
        <v/>
      </c>
      <c r="J251" s="5">
        <f>IF($N251="","",IF(INDEX('Per Invoice'!$J$2:$J$801,$N251)="","",INDEX('Per Invoice'!$J$2:$J$801,$N251)))</f>
        <v/>
      </c>
      <c r="K251" s="5">
        <f>IF($N251="","",IF(INDEX('Per Invoice'!$K$2:$K$801,$N251)="","",INDEX('Per Invoice'!$K$2:$K$801,$N251)))</f>
        <v/>
      </c>
      <c r="L251" s="5">
        <f>IF($N251="","",IF(INDEX('Per Invoice'!$L$2:$L$801,$N251)="","",INDEX('Per Invoice'!$L$2:$L$801,$N251)))</f>
        <v/>
      </c>
      <c r="M251" s="5">
        <f>IF($N251="","",IF(INDEX('Per Invoice'!$M$2:$M$801,$N251)="","",INDEX('Per Invoice'!$M$2:$M$801,$N251)))</f>
        <v/>
      </c>
      <c r="N251">
        <f>IF(ROWS($N$2:$N251)&lt;=COUNT('Per Invoice'!$O$2:$O$801),MATCH(ROWS($N$2:$N251),'Per Invoice'!$O$2:$O$801,0),"")</f>
        <v/>
      </c>
    </row>
    <row r="252">
      <c r="A252">
        <f>IF($N252="","",IF(INDEX('Per Invoice'!$A$2:$A$801,$N252)="","",INDEX('Per Invoice'!$A$2:$A$801,$N252)))</f>
        <v/>
      </c>
      <c r="B252">
        <f>IF($N252="","",IF(INDEX('Per Invoice'!$B$2:$B$801,$N252)="","",INDEX('Per Invoice'!$B$2:$B$801,$N252)))</f>
        <v/>
      </c>
      <c r="C252">
        <f>IF($N252="","",IF(INDEX('Per Invoice'!$C$2:$C$801,$N252)="","",INDEX('Per Invoice'!$C$2:$C$801,$N252)))</f>
        <v/>
      </c>
      <c r="D252">
        <f>IF($N252="","",IF(INDEX('Per Invoice'!$D$2:$D$801,$N252)="","",INDEX('Per Invoice'!$D$2:$D$801,$N252)))</f>
        <v/>
      </c>
      <c r="E252">
        <f>IF($N252="","",IF(INDEX('Per Invoice'!$E$2:$E$801,$N252)="","",INDEX('Per Invoice'!$E$2:$E$801,$N252)))</f>
        <v/>
      </c>
      <c r="F252">
        <f>IF($N252="","",IF(INDEX('Per Invoice'!$F$2:$F$801,$N252)="","",INDEX('Per Invoice'!$F$2:$F$801,$N252)))</f>
        <v/>
      </c>
      <c r="G252">
        <f>IF($N252="","",IF(INDEX('Per Invoice'!$G$2:$G$801,$N252)="","",INDEX('Per Invoice'!$G$2:$G$801,$N252)))</f>
        <v/>
      </c>
      <c r="H252">
        <f>IF($N252="","",IF(INDEX('Per Invoice'!$H$2:$H$801,$N252)="","",INDEX('Per Invoice'!$H$2:$H$801,$N252)))</f>
        <v/>
      </c>
      <c r="I252" s="5">
        <f>IF($N252="","",IF(INDEX('Per Invoice'!$I$2:$I$801,$N252)="","",INDEX('Per Invoice'!$I$2:$I$801,$N252)))</f>
        <v/>
      </c>
      <c r="J252" s="5">
        <f>IF($N252="","",IF(INDEX('Per Invoice'!$J$2:$J$801,$N252)="","",INDEX('Per Invoice'!$J$2:$J$801,$N252)))</f>
        <v/>
      </c>
      <c r="K252" s="5">
        <f>IF($N252="","",IF(INDEX('Per Invoice'!$K$2:$K$801,$N252)="","",INDEX('Per Invoice'!$K$2:$K$801,$N252)))</f>
        <v/>
      </c>
      <c r="L252" s="5">
        <f>IF($N252="","",IF(INDEX('Per Invoice'!$L$2:$L$801,$N252)="","",INDEX('Per Invoice'!$L$2:$L$801,$N252)))</f>
        <v/>
      </c>
      <c r="M252" s="5">
        <f>IF($N252="","",IF(INDEX('Per Invoice'!$M$2:$M$801,$N252)="","",INDEX('Per Invoice'!$M$2:$M$801,$N252)))</f>
        <v/>
      </c>
      <c r="N252">
        <f>IF(ROWS($N$2:$N252)&lt;=COUNT('Per Invoice'!$O$2:$O$801),MATCH(ROWS($N$2:$N252),'Per Invoice'!$O$2:$O$801,0),"")</f>
        <v/>
      </c>
    </row>
    <row r="253">
      <c r="A253">
        <f>IF($N253="","",IF(INDEX('Per Invoice'!$A$2:$A$801,$N253)="","",INDEX('Per Invoice'!$A$2:$A$801,$N253)))</f>
        <v/>
      </c>
      <c r="B253">
        <f>IF($N253="","",IF(INDEX('Per Invoice'!$B$2:$B$801,$N253)="","",INDEX('Per Invoice'!$B$2:$B$801,$N253)))</f>
        <v/>
      </c>
      <c r="C253">
        <f>IF($N253="","",IF(INDEX('Per Invoice'!$C$2:$C$801,$N253)="","",INDEX('Per Invoice'!$C$2:$C$801,$N253)))</f>
        <v/>
      </c>
      <c r="D253">
        <f>IF($N253="","",IF(INDEX('Per Invoice'!$D$2:$D$801,$N253)="","",INDEX('Per Invoice'!$D$2:$D$801,$N253)))</f>
        <v/>
      </c>
      <c r="E253">
        <f>IF($N253="","",IF(INDEX('Per Invoice'!$E$2:$E$801,$N253)="","",INDEX('Per Invoice'!$E$2:$E$801,$N253)))</f>
        <v/>
      </c>
      <c r="F253">
        <f>IF($N253="","",IF(INDEX('Per Invoice'!$F$2:$F$801,$N253)="","",INDEX('Per Invoice'!$F$2:$F$801,$N253)))</f>
        <v/>
      </c>
      <c r="G253">
        <f>IF($N253="","",IF(INDEX('Per Invoice'!$G$2:$G$801,$N253)="","",INDEX('Per Invoice'!$G$2:$G$801,$N253)))</f>
        <v/>
      </c>
      <c r="H253">
        <f>IF($N253="","",IF(INDEX('Per Invoice'!$H$2:$H$801,$N253)="","",INDEX('Per Invoice'!$H$2:$H$801,$N253)))</f>
        <v/>
      </c>
      <c r="I253" s="5">
        <f>IF($N253="","",IF(INDEX('Per Invoice'!$I$2:$I$801,$N253)="","",INDEX('Per Invoice'!$I$2:$I$801,$N253)))</f>
        <v/>
      </c>
      <c r="J253" s="5">
        <f>IF($N253="","",IF(INDEX('Per Invoice'!$J$2:$J$801,$N253)="","",INDEX('Per Invoice'!$J$2:$J$801,$N253)))</f>
        <v/>
      </c>
      <c r="K253" s="5">
        <f>IF($N253="","",IF(INDEX('Per Invoice'!$K$2:$K$801,$N253)="","",INDEX('Per Invoice'!$K$2:$K$801,$N253)))</f>
        <v/>
      </c>
      <c r="L253" s="5">
        <f>IF($N253="","",IF(INDEX('Per Invoice'!$L$2:$L$801,$N253)="","",INDEX('Per Invoice'!$L$2:$L$801,$N253)))</f>
        <v/>
      </c>
      <c r="M253" s="5">
        <f>IF($N253="","",IF(INDEX('Per Invoice'!$M$2:$M$801,$N253)="","",INDEX('Per Invoice'!$M$2:$M$801,$N253)))</f>
        <v/>
      </c>
      <c r="N253">
        <f>IF(ROWS($N$2:$N253)&lt;=COUNT('Per Invoice'!$O$2:$O$801),MATCH(ROWS($N$2:$N253),'Per Invoice'!$O$2:$O$801,0),"")</f>
        <v/>
      </c>
    </row>
    <row r="254">
      <c r="A254">
        <f>IF($N254="","",IF(INDEX('Per Invoice'!$A$2:$A$801,$N254)="","",INDEX('Per Invoice'!$A$2:$A$801,$N254)))</f>
        <v/>
      </c>
      <c r="B254">
        <f>IF($N254="","",IF(INDEX('Per Invoice'!$B$2:$B$801,$N254)="","",INDEX('Per Invoice'!$B$2:$B$801,$N254)))</f>
        <v/>
      </c>
      <c r="C254">
        <f>IF($N254="","",IF(INDEX('Per Invoice'!$C$2:$C$801,$N254)="","",INDEX('Per Invoice'!$C$2:$C$801,$N254)))</f>
        <v/>
      </c>
      <c r="D254">
        <f>IF($N254="","",IF(INDEX('Per Invoice'!$D$2:$D$801,$N254)="","",INDEX('Per Invoice'!$D$2:$D$801,$N254)))</f>
        <v/>
      </c>
      <c r="E254">
        <f>IF($N254="","",IF(INDEX('Per Invoice'!$E$2:$E$801,$N254)="","",INDEX('Per Invoice'!$E$2:$E$801,$N254)))</f>
        <v/>
      </c>
      <c r="F254">
        <f>IF($N254="","",IF(INDEX('Per Invoice'!$F$2:$F$801,$N254)="","",INDEX('Per Invoice'!$F$2:$F$801,$N254)))</f>
        <v/>
      </c>
      <c r="G254">
        <f>IF($N254="","",IF(INDEX('Per Invoice'!$G$2:$G$801,$N254)="","",INDEX('Per Invoice'!$G$2:$G$801,$N254)))</f>
        <v/>
      </c>
      <c r="H254">
        <f>IF($N254="","",IF(INDEX('Per Invoice'!$H$2:$H$801,$N254)="","",INDEX('Per Invoice'!$H$2:$H$801,$N254)))</f>
        <v/>
      </c>
      <c r="I254" s="5">
        <f>IF($N254="","",IF(INDEX('Per Invoice'!$I$2:$I$801,$N254)="","",INDEX('Per Invoice'!$I$2:$I$801,$N254)))</f>
        <v/>
      </c>
      <c r="J254" s="5">
        <f>IF($N254="","",IF(INDEX('Per Invoice'!$J$2:$J$801,$N254)="","",INDEX('Per Invoice'!$J$2:$J$801,$N254)))</f>
        <v/>
      </c>
      <c r="K254" s="5">
        <f>IF($N254="","",IF(INDEX('Per Invoice'!$K$2:$K$801,$N254)="","",INDEX('Per Invoice'!$K$2:$K$801,$N254)))</f>
        <v/>
      </c>
      <c r="L254" s="5">
        <f>IF($N254="","",IF(INDEX('Per Invoice'!$L$2:$L$801,$N254)="","",INDEX('Per Invoice'!$L$2:$L$801,$N254)))</f>
        <v/>
      </c>
      <c r="M254" s="5">
        <f>IF($N254="","",IF(INDEX('Per Invoice'!$M$2:$M$801,$N254)="","",INDEX('Per Invoice'!$M$2:$M$801,$N254)))</f>
        <v/>
      </c>
      <c r="N254">
        <f>IF(ROWS($N$2:$N254)&lt;=COUNT('Per Invoice'!$O$2:$O$801),MATCH(ROWS($N$2:$N254),'Per Invoice'!$O$2:$O$801,0),"")</f>
        <v/>
      </c>
    </row>
    <row r="255">
      <c r="A255">
        <f>IF($N255="","",IF(INDEX('Per Invoice'!$A$2:$A$801,$N255)="","",INDEX('Per Invoice'!$A$2:$A$801,$N255)))</f>
        <v/>
      </c>
      <c r="B255">
        <f>IF($N255="","",IF(INDEX('Per Invoice'!$B$2:$B$801,$N255)="","",INDEX('Per Invoice'!$B$2:$B$801,$N255)))</f>
        <v/>
      </c>
      <c r="C255">
        <f>IF($N255="","",IF(INDEX('Per Invoice'!$C$2:$C$801,$N255)="","",INDEX('Per Invoice'!$C$2:$C$801,$N255)))</f>
        <v/>
      </c>
      <c r="D255">
        <f>IF($N255="","",IF(INDEX('Per Invoice'!$D$2:$D$801,$N255)="","",INDEX('Per Invoice'!$D$2:$D$801,$N255)))</f>
        <v/>
      </c>
      <c r="E255">
        <f>IF($N255="","",IF(INDEX('Per Invoice'!$E$2:$E$801,$N255)="","",INDEX('Per Invoice'!$E$2:$E$801,$N255)))</f>
        <v/>
      </c>
      <c r="F255">
        <f>IF($N255="","",IF(INDEX('Per Invoice'!$F$2:$F$801,$N255)="","",INDEX('Per Invoice'!$F$2:$F$801,$N255)))</f>
        <v/>
      </c>
      <c r="G255">
        <f>IF($N255="","",IF(INDEX('Per Invoice'!$G$2:$G$801,$N255)="","",INDEX('Per Invoice'!$G$2:$G$801,$N255)))</f>
        <v/>
      </c>
      <c r="H255">
        <f>IF($N255="","",IF(INDEX('Per Invoice'!$H$2:$H$801,$N255)="","",INDEX('Per Invoice'!$H$2:$H$801,$N255)))</f>
        <v/>
      </c>
      <c r="I255" s="5">
        <f>IF($N255="","",IF(INDEX('Per Invoice'!$I$2:$I$801,$N255)="","",INDEX('Per Invoice'!$I$2:$I$801,$N255)))</f>
        <v/>
      </c>
      <c r="J255" s="5">
        <f>IF($N255="","",IF(INDEX('Per Invoice'!$J$2:$J$801,$N255)="","",INDEX('Per Invoice'!$J$2:$J$801,$N255)))</f>
        <v/>
      </c>
      <c r="K255" s="5">
        <f>IF($N255="","",IF(INDEX('Per Invoice'!$K$2:$K$801,$N255)="","",INDEX('Per Invoice'!$K$2:$K$801,$N255)))</f>
        <v/>
      </c>
      <c r="L255" s="5">
        <f>IF($N255="","",IF(INDEX('Per Invoice'!$L$2:$L$801,$N255)="","",INDEX('Per Invoice'!$L$2:$L$801,$N255)))</f>
        <v/>
      </c>
      <c r="M255" s="5">
        <f>IF($N255="","",IF(INDEX('Per Invoice'!$M$2:$M$801,$N255)="","",INDEX('Per Invoice'!$M$2:$M$801,$N255)))</f>
        <v/>
      </c>
      <c r="N255">
        <f>IF(ROWS($N$2:$N255)&lt;=COUNT('Per Invoice'!$O$2:$O$801),MATCH(ROWS($N$2:$N255),'Per Invoice'!$O$2:$O$801,0),"")</f>
        <v/>
      </c>
    </row>
    <row r="256">
      <c r="A256">
        <f>IF($N256="","",IF(INDEX('Per Invoice'!$A$2:$A$801,$N256)="","",INDEX('Per Invoice'!$A$2:$A$801,$N256)))</f>
        <v/>
      </c>
      <c r="B256">
        <f>IF($N256="","",IF(INDEX('Per Invoice'!$B$2:$B$801,$N256)="","",INDEX('Per Invoice'!$B$2:$B$801,$N256)))</f>
        <v/>
      </c>
      <c r="C256">
        <f>IF($N256="","",IF(INDEX('Per Invoice'!$C$2:$C$801,$N256)="","",INDEX('Per Invoice'!$C$2:$C$801,$N256)))</f>
        <v/>
      </c>
      <c r="D256">
        <f>IF($N256="","",IF(INDEX('Per Invoice'!$D$2:$D$801,$N256)="","",INDEX('Per Invoice'!$D$2:$D$801,$N256)))</f>
        <v/>
      </c>
      <c r="E256">
        <f>IF($N256="","",IF(INDEX('Per Invoice'!$E$2:$E$801,$N256)="","",INDEX('Per Invoice'!$E$2:$E$801,$N256)))</f>
        <v/>
      </c>
      <c r="F256">
        <f>IF($N256="","",IF(INDEX('Per Invoice'!$F$2:$F$801,$N256)="","",INDEX('Per Invoice'!$F$2:$F$801,$N256)))</f>
        <v/>
      </c>
      <c r="G256">
        <f>IF($N256="","",IF(INDEX('Per Invoice'!$G$2:$G$801,$N256)="","",INDEX('Per Invoice'!$G$2:$G$801,$N256)))</f>
        <v/>
      </c>
      <c r="H256">
        <f>IF($N256="","",IF(INDEX('Per Invoice'!$H$2:$H$801,$N256)="","",INDEX('Per Invoice'!$H$2:$H$801,$N256)))</f>
        <v/>
      </c>
      <c r="I256" s="5">
        <f>IF($N256="","",IF(INDEX('Per Invoice'!$I$2:$I$801,$N256)="","",INDEX('Per Invoice'!$I$2:$I$801,$N256)))</f>
        <v/>
      </c>
      <c r="J256" s="5">
        <f>IF($N256="","",IF(INDEX('Per Invoice'!$J$2:$J$801,$N256)="","",INDEX('Per Invoice'!$J$2:$J$801,$N256)))</f>
        <v/>
      </c>
      <c r="K256" s="5">
        <f>IF($N256="","",IF(INDEX('Per Invoice'!$K$2:$K$801,$N256)="","",INDEX('Per Invoice'!$K$2:$K$801,$N256)))</f>
        <v/>
      </c>
      <c r="L256" s="5">
        <f>IF($N256="","",IF(INDEX('Per Invoice'!$L$2:$L$801,$N256)="","",INDEX('Per Invoice'!$L$2:$L$801,$N256)))</f>
        <v/>
      </c>
      <c r="M256" s="5">
        <f>IF($N256="","",IF(INDEX('Per Invoice'!$M$2:$M$801,$N256)="","",INDEX('Per Invoice'!$M$2:$M$801,$N256)))</f>
        <v/>
      </c>
      <c r="N256">
        <f>IF(ROWS($N$2:$N256)&lt;=COUNT('Per Invoice'!$O$2:$O$801),MATCH(ROWS($N$2:$N256),'Per Invoice'!$O$2:$O$801,0),"")</f>
        <v/>
      </c>
    </row>
    <row r="257">
      <c r="A257">
        <f>IF($N257="","",IF(INDEX('Per Invoice'!$A$2:$A$801,$N257)="","",INDEX('Per Invoice'!$A$2:$A$801,$N257)))</f>
        <v/>
      </c>
      <c r="B257">
        <f>IF($N257="","",IF(INDEX('Per Invoice'!$B$2:$B$801,$N257)="","",INDEX('Per Invoice'!$B$2:$B$801,$N257)))</f>
        <v/>
      </c>
      <c r="C257">
        <f>IF($N257="","",IF(INDEX('Per Invoice'!$C$2:$C$801,$N257)="","",INDEX('Per Invoice'!$C$2:$C$801,$N257)))</f>
        <v/>
      </c>
      <c r="D257">
        <f>IF($N257="","",IF(INDEX('Per Invoice'!$D$2:$D$801,$N257)="","",INDEX('Per Invoice'!$D$2:$D$801,$N257)))</f>
        <v/>
      </c>
      <c r="E257">
        <f>IF($N257="","",IF(INDEX('Per Invoice'!$E$2:$E$801,$N257)="","",INDEX('Per Invoice'!$E$2:$E$801,$N257)))</f>
        <v/>
      </c>
      <c r="F257">
        <f>IF($N257="","",IF(INDEX('Per Invoice'!$F$2:$F$801,$N257)="","",INDEX('Per Invoice'!$F$2:$F$801,$N257)))</f>
        <v/>
      </c>
      <c r="G257">
        <f>IF($N257="","",IF(INDEX('Per Invoice'!$G$2:$G$801,$N257)="","",INDEX('Per Invoice'!$G$2:$G$801,$N257)))</f>
        <v/>
      </c>
      <c r="H257">
        <f>IF($N257="","",IF(INDEX('Per Invoice'!$H$2:$H$801,$N257)="","",INDEX('Per Invoice'!$H$2:$H$801,$N257)))</f>
        <v/>
      </c>
      <c r="I257" s="5">
        <f>IF($N257="","",IF(INDEX('Per Invoice'!$I$2:$I$801,$N257)="","",INDEX('Per Invoice'!$I$2:$I$801,$N257)))</f>
        <v/>
      </c>
      <c r="J257" s="5">
        <f>IF($N257="","",IF(INDEX('Per Invoice'!$J$2:$J$801,$N257)="","",INDEX('Per Invoice'!$J$2:$J$801,$N257)))</f>
        <v/>
      </c>
      <c r="K257" s="5">
        <f>IF($N257="","",IF(INDEX('Per Invoice'!$K$2:$K$801,$N257)="","",INDEX('Per Invoice'!$K$2:$K$801,$N257)))</f>
        <v/>
      </c>
      <c r="L257" s="5">
        <f>IF($N257="","",IF(INDEX('Per Invoice'!$L$2:$L$801,$N257)="","",INDEX('Per Invoice'!$L$2:$L$801,$N257)))</f>
        <v/>
      </c>
      <c r="M257" s="5">
        <f>IF($N257="","",IF(INDEX('Per Invoice'!$M$2:$M$801,$N257)="","",INDEX('Per Invoice'!$M$2:$M$801,$N257)))</f>
        <v/>
      </c>
      <c r="N257">
        <f>IF(ROWS($N$2:$N257)&lt;=COUNT('Per Invoice'!$O$2:$O$801),MATCH(ROWS($N$2:$N257),'Per Invoice'!$O$2:$O$801,0),"")</f>
        <v/>
      </c>
    </row>
    <row r="258">
      <c r="A258">
        <f>IF($N258="","",IF(INDEX('Per Invoice'!$A$2:$A$801,$N258)="","",INDEX('Per Invoice'!$A$2:$A$801,$N258)))</f>
        <v/>
      </c>
      <c r="B258">
        <f>IF($N258="","",IF(INDEX('Per Invoice'!$B$2:$B$801,$N258)="","",INDEX('Per Invoice'!$B$2:$B$801,$N258)))</f>
        <v/>
      </c>
      <c r="C258">
        <f>IF($N258="","",IF(INDEX('Per Invoice'!$C$2:$C$801,$N258)="","",INDEX('Per Invoice'!$C$2:$C$801,$N258)))</f>
        <v/>
      </c>
      <c r="D258">
        <f>IF($N258="","",IF(INDEX('Per Invoice'!$D$2:$D$801,$N258)="","",INDEX('Per Invoice'!$D$2:$D$801,$N258)))</f>
        <v/>
      </c>
      <c r="E258">
        <f>IF($N258="","",IF(INDEX('Per Invoice'!$E$2:$E$801,$N258)="","",INDEX('Per Invoice'!$E$2:$E$801,$N258)))</f>
        <v/>
      </c>
      <c r="F258">
        <f>IF($N258="","",IF(INDEX('Per Invoice'!$F$2:$F$801,$N258)="","",INDEX('Per Invoice'!$F$2:$F$801,$N258)))</f>
        <v/>
      </c>
      <c r="G258">
        <f>IF($N258="","",IF(INDEX('Per Invoice'!$G$2:$G$801,$N258)="","",INDEX('Per Invoice'!$G$2:$G$801,$N258)))</f>
        <v/>
      </c>
      <c r="H258">
        <f>IF($N258="","",IF(INDEX('Per Invoice'!$H$2:$H$801,$N258)="","",INDEX('Per Invoice'!$H$2:$H$801,$N258)))</f>
        <v/>
      </c>
      <c r="I258" s="5">
        <f>IF($N258="","",IF(INDEX('Per Invoice'!$I$2:$I$801,$N258)="","",INDEX('Per Invoice'!$I$2:$I$801,$N258)))</f>
        <v/>
      </c>
      <c r="J258" s="5">
        <f>IF($N258="","",IF(INDEX('Per Invoice'!$J$2:$J$801,$N258)="","",INDEX('Per Invoice'!$J$2:$J$801,$N258)))</f>
        <v/>
      </c>
      <c r="K258" s="5">
        <f>IF($N258="","",IF(INDEX('Per Invoice'!$K$2:$K$801,$N258)="","",INDEX('Per Invoice'!$K$2:$K$801,$N258)))</f>
        <v/>
      </c>
      <c r="L258" s="5">
        <f>IF($N258="","",IF(INDEX('Per Invoice'!$L$2:$L$801,$N258)="","",INDEX('Per Invoice'!$L$2:$L$801,$N258)))</f>
        <v/>
      </c>
      <c r="M258" s="5">
        <f>IF($N258="","",IF(INDEX('Per Invoice'!$M$2:$M$801,$N258)="","",INDEX('Per Invoice'!$M$2:$M$801,$N258)))</f>
        <v/>
      </c>
      <c r="N258">
        <f>IF(ROWS($N$2:$N258)&lt;=COUNT('Per Invoice'!$O$2:$O$801),MATCH(ROWS($N$2:$N258),'Per Invoice'!$O$2:$O$801,0),"")</f>
        <v/>
      </c>
    </row>
    <row r="259">
      <c r="A259">
        <f>IF($N259="","",IF(INDEX('Per Invoice'!$A$2:$A$801,$N259)="","",INDEX('Per Invoice'!$A$2:$A$801,$N259)))</f>
        <v/>
      </c>
      <c r="B259">
        <f>IF($N259="","",IF(INDEX('Per Invoice'!$B$2:$B$801,$N259)="","",INDEX('Per Invoice'!$B$2:$B$801,$N259)))</f>
        <v/>
      </c>
      <c r="C259">
        <f>IF($N259="","",IF(INDEX('Per Invoice'!$C$2:$C$801,$N259)="","",INDEX('Per Invoice'!$C$2:$C$801,$N259)))</f>
        <v/>
      </c>
      <c r="D259">
        <f>IF($N259="","",IF(INDEX('Per Invoice'!$D$2:$D$801,$N259)="","",INDEX('Per Invoice'!$D$2:$D$801,$N259)))</f>
        <v/>
      </c>
      <c r="E259">
        <f>IF($N259="","",IF(INDEX('Per Invoice'!$E$2:$E$801,$N259)="","",INDEX('Per Invoice'!$E$2:$E$801,$N259)))</f>
        <v/>
      </c>
      <c r="F259">
        <f>IF($N259="","",IF(INDEX('Per Invoice'!$F$2:$F$801,$N259)="","",INDEX('Per Invoice'!$F$2:$F$801,$N259)))</f>
        <v/>
      </c>
      <c r="G259">
        <f>IF($N259="","",IF(INDEX('Per Invoice'!$G$2:$G$801,$N259)="","",INDEX('Per Invoice'!$G$2:$G$801,$N259)))</f>
        <v/>
      </c>
      <c r="H259">
        <f>IF($N259="","",IF(INDEX('Per Invoice'!$H$2:$H$801,$N259)="","",INDEX('Per Invoice'!$H$2:$H$801,$N259)))</f>
        <v/>
      </c>
      <c r="I259" s="5">
        <f>IF($N259="","",IF(INDEX('Per Invoice'!$I$2:$I$801,$N259)="","",INDEX('Per Invoice'!$I$2:$I$801,$N259)))</f>
        <v/>
      </c>
      <c r="J259" s="5">
        <f>IF($N259="","",IF(INDEX('Per Invoice'!$J$2:$J$801,$N259)="","",INDEX('Per Invoice'!$J$2:$J$801,$N259)))</f>
        <v/>
      </c>
      <c r="K259" s="5">
        <f>IF($N259="","",IF(INDEX('Per Invoice'!$K$2:$K$801,$N259)="","",INDEX('Per Invoice'!$K$2:$K$801,$N259)))</f>
        <v/>
      </c>
      <c r="L259" s="5">
        <f>IF($N259="","",IF(INDEX('Per Invoice'!$L$2:$L$801,$N259)="","",INDEX('Per Invoice'!$L$2:$L$801,$N259)))</f>
        <v/>
      </c>
      <c r="M259" s="5">
        <f>IF($N259="","",IF(INDEX('Per Invoice'!$M$2:$M$801,$N259)="","",INDEX('Per Invoice'!$M$2:$M$801,$N259)))</f>
        <v/>
      </c>
      <c r="N259">
        <f>IF(ROWS($N$2:$N259)&lt;=COUNT('Per Invoice'!$O$2:$O$801),MATCH(ROWS($N$2:$N259),'Per Invoice'!$O$2:$O$801,0),"")</f>
        <v/>
      </c>
    </row>
    <row r="260">
      <c r="A260">
        <f>IF($N260="","",IF(INDEX('Per Invoice'!$A$2:$A$801,$N260)="","",INDEX('Per Invoice'!$A$2:$A$801,$N260)))</f>
        <v/>
      </c>
      <c r="B260">
        <f>IF($N260="","",IF(INDEX('Per Invoice'!$B$2:$B$801,$N260)="","",INDEX('Per Invoice'!$B$2:$B$801,$N260)))</f>
        <v/>
      </c>
      <c r="C260">
        <f>IF($N260="","",IF(INDEX('Per Invoice'!$C$2:$C$801,$N260)="","",INDEX('Per Invoice'!$C$2:$C$801,$N260)))</f>
        <v/>
      </c>
      <c r="D260">
        <f>IF($N260="","",IF(INDEX('Per Invoice'!$D$2:$D$801,$N260)="","",INDEX('Per Invoice'!$D$2:$D$801,$N260)))</f>
        <v/>
      </c>
      <c r="E260">
        <f>IF($N260="","",IF(INDEX('Per Invoice'!$E$2:$E$801,$N260)="","",INDEX('Per Invoice'!$E$2:$E$801,$N260)))</f>
        <v/>
      </c>
      <c r="F260">
        <f>IF($N260="","",IF(INDEX('Per Invoice'!$F$2:$F$801,$N260)="","",INDEX('Per Invoice'!$F$2:$F$801,$N260)))</f>
        <v/>
      </c>
      <c r="G260">
        <f>IF($N260="","",IF(INDEX('Per Invoice'!$G$2:$G$801,$N260)="","",INDEX('Per Invoice'!$G$2:$G$801,$N260)))</f>
        <v/>
      </c>
      <c r="H260">
        <f>IF($N260="","",IF(INDEX('Per Invoice'!$H$2:$H$801,$N260)="","",INDEX('Per Invoice'!$H$2:$H$801,$N260)))</f>
        <v/>
      </c>
      <c r="I260" s="5">
        <f>IF($N260="","",IF(INDEX('Per Invoice'!$I$2:$I$801,$N260)="","",INDEX('Per Invoice'!$I$2:$I$801,$N260)))</f>
        <v/>
      </c>
      <c r="J260" s="5">
        <f>IF($N260="","",IF(INDEX('Per Invoice'!$J$2:$J$801,$N260)="","",INDEX('Per Invoice'!$J$2:$J$801,$N260)))</f>
        <v/>
      </c>
      <c r="K260" s="5">
        <f>IF($N260="","",IF(INDEX('Per Invoice'!$K$2:$K$801,$N260)="","",INDEX('Per Invoice'!$K$2:$K$801,$N260)))</f>
        <v/>
      </c>
      <c r="L260" s="5">
        <f>IF($N260="","",IF(INDEX('Per Invoice'!$L$2:$L$801,$N260)="","",INDEX('Per Invoice'!$L$2:$L$801,$N260)))</f>
        <v/>
      </c>
      <c r="M260" s="5">
        <f>IF($N260="","",IF(INDEX('Per Invoice'!$M$2:$M$801,$N260)="","",INDEX('Per Invoice'!$M$2:$M$801,$N260)))</f>
        <v/>
      </c>
      <c r="N260">
        <f>IF(ROWS($N$2:$N260)&lt;=COUNT('Per Invoice'!$O$2:$O$801),MATCH(ROWS($N$2:$N260),'Per Invoice'!$O$2:$O$801,0),"")</f>
        <v/>
      </c>
    </row>
    <row r="261">
      <c r="A261">
        <f>IF($N261="","",IF(INDEX('Per Invoice'!$A$2:$A$801,$N261)="","",INDEX('Per Invoice'!$A$2:$A$801,$N261)))</f>
        <v/>
      </c>
      <c r="B261">
        <f>IF($N261="","",IF(INDEX('Per Invoice'!$B$2:$B$801,$N261)="","",INDEX('Per Invoice'!$B$2:$B$801,$N261)))</f>
        <v/>
      </c>
      <c r="C261">
        <f>IF($N261="","",IF(INDEX('Per Invoice'!$C$2:$C$801,$N261)="","",INDEX('Per Invoice'!$C$2:$C$801,$N261)))</f>
        <v/>
      </c>
      <c r="D261">
        <f>IF($N261="","",IF(INDEX('Per Invoice'!$D$2:$D$801,$N261)="","",INDEX('Per Invoice'!$D$2:$D$801,$N261)))</f>
        <v/>
      </c>
      <c r="E261">
        <f>IF($N261="","",IF(INDEX('Per Invoice'!$E$2:$E$801,$N261)="","",INDEX('Per Invoice'!$E$2:$E$801,$N261)))</f>
        <v/>
      </c>
      <c r="F261">
        <f>IF($N261="","",IF(INDEX('Per Invoice'!$F$2:$F$801,$N261)="","",INDEX('Per Invoice'!$F$2:$F$801,$N261)))</f>
        <v/>
      </c>
      <c r="G261">
        <f>IF($N261="","",IF(INDEX('Per Invoice'!$G$2:$G$801,$N261)="","",INDEX('Per Invoice'!$G$2:$G$801,$N261)))</f>
        <v/>
      </c>
      <c r="H261">
        <f>IF($N261="","",IF(INDEX('Per Invoice'!$H$2:$H$801,$N261)="","",INDEX('Per Invoice'!$H$2:$H$801,$N261)))</f>
        <v/>
      </c>
      <c r="I261" s="5">
        <f>IF($N261="","",IF(INDEX('Per Invoice'!$I$2:$I$801,$N261)="","",INDEX('Per Invoice'!$I$2:$I$801,$N261)))</f>
        <v/>
      </c>
      <c r="J261" s="5">
        <f>IF($N261="","",IF(INDEX('Per Invoice'!$J$2:$J$801,$N261)="","",INDEX('Per Invoice'!$J$2:$J$801,$N261)))</f>
        <v/>
      </c>
      <c r="K261" s="5">
        <f>IF($N261="","",IF(INDEX('Per Invoice'!$K$2:$K$801,$N261)="","",INDEX('Per Invoice'!$K$2:$K$801,$N261)))</f>
        <v/>
      </c>
      <c r="L261" s="5">
        <f>IF($N261="","",IF(INDEX('Per Invoice'!$L$2:$L$801,$N261)="","",INDEX('Per Invoice'!$L$2:$L$801,$N261)))</f>
        <v/>
      </c>
      <c r="M261" s="5">
        <f>IF($N261="","",IF(INDEX('Per Invoice'!$M$2:$M$801,$N261)="","",INDEX('Per Invoice'!$M$2:$M$801,$N261)))</f>
        <v/>
      </c>
      <c r="N261">
        <f>IF(ROWS($N$2:$N261)&lt;=COUNT('Per Invoice'!$O$2:$O$801),MATCH(ROWS($N$2:$N261),'Per Invoice'!$O$2:$O$801,0),"")</f>
        <v/>
      </c>
    </row>
    <row r="262">
      <c r="A262">
        <f>IF($N262="","",IF(INDEX('Per Invoice'!$A$2:$A$801,$N262)="","",INDEX('Per Invoice'!$A$2:$A$801,$N262)))</f>
        <v/>
      </c>
      <c r="B262">
        <f>IF($N262="","",IF(INDEX('Per Invoice'!$B$2:$B$801,$N262)="","",INDEX('Per Invoice'!$B$2:$B$801,$N262)))</f>
        <v/>
      </c>
      <c r="C262">
        <f>IF($N262="","",IF(INDEX('Per Invoice'!$C$2:$C$801,$N262)="","",INDEX('Per Invoice'!$C$2:$C$801,$N262)))</f>
        <v/>
      </c>
      <c r="D262">
        <f>IF($N262="","",IF(INDEX('Per Invoice'!$D$2:$D$801,$N262)="","",INDEX('Per Invoice'!$D$2:$D$801,$N262)))</f>
        <v/>
      </c>
      <c r="E262">
        <f>IF($N262="","",IF(INDEX('Per Invoice'!$E$2:$E$801,$N262)="","",INDEX('Per Invoice'!$E$2:$E$801,$N262)))</f>
        <v/>
      </c>
      <c r="F262">
        <f>IF($N262="","",IF(INDEX('Per Invoice'!$F$2:$F$801,$N262)="","",INDEX('Per Invoice'!$F$2:$F$801,$N262)))</f>
        <v/>
      </c>
      <c r="G262">
        <f>IF($N262="","",IF(INDEX('Per Invoice'!$G$2:$G$801,$N262)="","",INDEX('Per Invoice'!$G$2:$G$801,$N262)))</f>
        <v/>
      </c>
      <c r="H262">
        <f>IF($N262="","",IF(INDEX('Per Invoice'!$H$2:$H$801,$N262)="","",INDEX('Per Invoice'!$H$2:$H$801,$N262)))</f>
        <v/>
      </c>
      <c r="I262" s="5">
        <f>IF($N262="","",IF(INDEX('Per Invoice'!$I$2:$I$801,$N262)="","",INDEX('Per Invoice'!$I$2:$I$801,$N262)))</f>
        <v/>
      </c>
      <c r="J262" s="5">
        <f>IF($N262="","",IF(INDEX('Per Invoice'!$J$2:$J$801,$N262)="","",INDEX('Per Invoice'!$J$2:$J$801,$N262)))</f>
        <v/>
      </c>
      <c r="K262" s="5">
        <f>IF($N262="","",IF(INDEX('Per Invoice'!$K$2:$K$801,$N262)="","",INDEX('Per Invoice'!$K$2:$K$801,$N262)))</f>
        <v/>
      </c>
      <c r="L262" s="5">
        <f>IF($N262="","",IF(INDEX('Per Invoice'!$L$2:$L$801,$N262)="","",INDEX('Per Invoice'!$L$2:$L$801,$N262)))</f>
        <v/>
      </c>
      <c r="M262" s="5">
        <f>IF($N262="","",IF(INDEX('Per Invoice'!$M$2:$M$801,$N262)="","",INDEX('Per Invoice'!$M$2:$M$801,$N262)))</f>
        <v/>
      </c>
      <c r="N262">
        <f>IF(ROWS($N$2:$N262)&lt;=COUNT('Per Invoice'!$O$2:$O$801),MATCH(ROWS($N$2:$N262),'Per Invoice'!$O$2:$O$801,0),"")</f>
        <v/>
      </c>
    </row>
    <row r="263">
      <c r="A263">
        <f>IF($N263="","",IF(INDEX('Per Invoice'!$A$2:$A$801,$N263)="","",INDEX('Per Invoice'!$A$2:$A$801,$N263)))</f>
        <v/>
      </c>
      <c r="B263">
        <f>IF($N263="","",IF(INDEX('Per Invoice'!$B$2:$B$801,$N263)="","",INDEX('Per Invoice'!$B$2:$B$801,$N263)))</f>
        <v/>
      </c>
      <c r="C263">
        <f>IF($N263="","",IF(INDEX('Per Invoice'!$C$2:$C$801,$N263)="","",INDEX('Per Invoice'!$C$2:$C$801,$N263)))</f>
        <v/>
      </c>
      <c r="D263">
        <f>IF($N263="","",IF(INDEX('Per Invoice'!$D$2:$D$801,$N263)="","",INDEX('Per Invoice'!$D$2:$D$801,$N263)))</f>
        <v/>
      </c>
      <c r="E263">
        <f>IF($N263="","",IF(INDEX('Per Invoice'!$E$2:$E$801,$N263)="","",INDEX('Per Invoice'!$E$2:$E$801,$N263)))</f>
        <v/>
      </c>
      <c r="F263">
        <f>IF($N263="","",IF(INDEX('Per Invoice'!$F$2:$F$801,$N263)="","",INDEX('Per Invoice'!$F$2:$F$801,$N263)))</f>
        <v/>
      </c>
      <c r="G263">
        <f>IF($N263="","",IF(INDEX('Per Invoice'!$G$2:$G$801,$N263)="","",INDEX('Per Invoice'!$G$2:$G$801,$N263)))</f>
        <v/>
      </c>
      <c r="H263">
        <f>IF($N263="","",IF(INDEX('Per Invoice'!$H$2:$H$801,$N263)="","",INDEX('Per Invoice'!$H$2:$H$801,$N263)))</f>
        <v/>
      </c>
      <c r="I263" s="5">
        <f>IF($N263="","",IF(INDEX('Per Invoice'!$I$2:$I$801,$N263)="","",INDEX('Per Invoice'!$I$2:$I$801,$N263)))</f>
        <v/>
      </c>
      <c r="J263" s="5">
        <f>IF($N263="","",IF(INDEX('Per Invoice'!$J$2:$J$801,$N263)="","",INDEX('Per Invoice'!$J$2:$J$801,$N263)))</f>
        <v/>
      </c>
      <c r="K263" s="5">
        <f>IF($N263="","",IF(INDEX('Per Invoice'!$K$2:$K$801,$N263)="","",INDEX('Per Invoice'!$K$2:$K$801,$N263)))</f>
        <v/>
      </c>
      <c r="L263" s="5">
        <f>IF($N263="","",IF(INDEX('Per Invoice'!$L$2:$L$801,$N263)="","",INDEX('Per Invoice'!$L$2:$L$801,$N263)))</f>
        <v/>
      </c>
      <c r="M263" s="5">
        <f>IF($N263="","",IF(INDEX('Per Invoice'!$M$2:$M$801,$N263)="","",INDEX('Per Invoice'!$M$2:$M$801,$N263)))</f>
        <v/>
      </c>
      <c r="N263">
        <f>IF(ROWS($N$2:$N263)&lt;=COUNT('Per Invoice'!$O$2:$O$801),MATCH(ROWS($N$2:$N263),'Per Invoice'!$O$2:$O$801,0),"")</f>
        <v/>
      </c>
    </row>
    <row r="264">
      <c r="A264">
        <f>IF($N264="","",IF(INDEX('Per Invoice'!$A$2:$A$801,$N264)="","",INDEX('Per Invoice'!$A$2:$A$801,$N264)))</f>
        <v/>
      </c>
      <c r="B264">
        <f>IF($N264="","",IF(INDEX('Per Invoice'!$B$2:$B$801,$N264)="","",INDEX('Per Invoice'!$B$2:$B$801,$N264)))</f>
        <v/>
      </c>
      <c r="C264">
        <f>IF($N264="","",IF(INDEX('Per Invoice'!$C$2:$C$801,$N264)="","",INDEX('Per Invoice'!$C$2:$C$801,$N264)))</f>
        <v/>
      </c>
      <c r="D264">
        <f>IF($N264="","",IF(INDEX('Per Invoice'!$D$2:$D$801,$N264)="","",INDEX('Per Invoice'!$D$2:$D$801,$N264)))</f>
        <v/>
      </c>
      <c r="E264">
        <f>IF($N264="","",IF(INDEX('Per Invoice'!$E$2:$E$801,$N264)="","",INDEX('Per Invoice'!$E$2:$E$801,$N264)))</f>
        <v/>
      </c>
      <c r="F264">
        <f>IF($N264="","",IF(INDEX('Per Invoice'!$F$2:$F$801,$N264)="","",INDEX('Per Invoice'!$F$2:$F$801,$N264)))</f>
        <v/>
      </c>
      <c r="G264">
        <f>IF($N264="","",IF(INDEX('Per Invoice'!$G$2:$G$801,$N264)="","",INDEX('Per Invoice'!$G$2:$G$801,$N264)))</f>
        <v/>
      </c>
      <c r="H264">
        <f>IF($N264="","",IF(INDEX('Per Invoice'!$H$2:$H$801,$N264)="","",INDEX('Per Invoice'!$H$2:$H$801,$N264)))</f>
        <v/>
      </c>
      <c r="I264" s="5">
        <f>IF($N264="","",IF(INDEX('Per Invoice'!$I$2:$I$801,$N264)="","",INDEX('Per Invoice'!$I$2:$I$801,$N264)))</f>
        <v/>
      </c>
      <c r="J264" s="5">
        <f>IF($N264="","",IF(INDEX('Per Invoice'!$J$2:$J$801,$N264)="","",INDEX('Per Invoice'!$J$2:$J$801,$N264)))</f>
        <v/>
      </c>
      <c r="K264" s="5">
        <f>IF($N264="","",IF(INDEX('Per Invoice'!$K$2:$K$801,$N264)="","",INDEX('Per Invoice'!$K$2:$K$801,$N264)))</f>
        <v/>
      </c>
      <c r="L264" s="5">
        <f>IF($N264="","",IF(INDEX('Per Invoice'!$L$2:$L$801,$N264)="","",INDEX('Per Invoice'!$L$2:$L$801,$N264)))</f>
        <v/>
      </c>
      <c r="M264" s="5">
        <f>IF($N264="","",IF(INDEX('Per Invoice'!$M$2:$M$801,$N264)="","",INDEX('Per Invoice'!$M$2:$M$801,$N264)))</f>
        <v/>
      </c>
      <c r="N264">
        <f>IF(ROWS($N$2:$N264)&lt;=COUNT('Per Invoice'!$O$2:$O$801),MATCH(ROWS($N$2:$N264),'Per Invoice'!$O$2:$O$801,0),"")</f>
        <v/>
      </c>
    </row>
    <row r="265">
      <c r="A265">
        <f>IF($N265="","",IF(INDEX('Per Invoice'!$A$2:$A$801,$N265)="","",INDEX('Per Invoice'!$A$2:$A$801,$N265)))</f>
        <v/>
      </c>
      <c r="B265">
        <f>IF($N265="","",IF(INDEX('Per Invoice'!$B$2:$B$801,$N265)="","",INDEX('Per Invoice'!$B$2:$B$801,$N265)))</f>
        <v/>
      </c>
      <c r="C265">
        <f>IF($N265="","",IF(INDEX('Per Invoice'!$C$2:$C$801,$N265)="","",INDEX('Per Invoice'!$C$2:$C$801,$N265)))</f>
        <v/>
      </c>
      <c r="D265">
        <f>IF($N265="","",IF(INDEX('Per Invoice'!$D$2:$D$801,$N265)="","",INDEX('Per Invoice'!$D$2:$D$801,$N265)))</f>
        <v/>
      </c>
      <c r="E265">
        <f>IF($N265="","",IF(INDEX('Per Invoice'!$E$2:$E$801,$N265)="","",INDEX('Per Invoice'!$E$2:$E$801,$N265)))</f>
        <v/>
      </c>
      <c r="F265">
        <f>IF($N265="","",IF(INDEX('Per Invoice'!$F$2:$F$801,$N265)="","",INDEX('Per Invoice'!$F$2:$F$801,$N265)))</f>
        <v/>
      </c>
      <c r="G265">
        <f>IF($N265="","",IF(INDEX('Per Invoice'!$G$2:$G$801,$N265)="","",INDEX('Per Invoice'!$G$2:$G$801,$N265)))</f>
        <v/>
      </c>
      <c r="H265">
        <f>IF($N265="","",IF(INDEX('Per Invoice'!$H$2:$H$801,$N265)="","",INDEX('Per Invoice'!$H$2:$H$801,$N265)))</f>
        <v/>
      </c>
      <c r="I265" s="5">
        <f>IF($N265="","",IF(INDEX('Per Invoice'!$I$2:$I$801,$N265)="","",INDEX('Per Invoice'!$I$2:$I$801,$N265)))</f>
        <v/>
      </c>
      <c r="J265" s="5">
        <f>IF($N265="","",IF(INDEX('Per Invoice'!$J$2:$J$801,$N265)="","",INDEX('Per Invoice'!$J$2:$J$801,$N265)))</f>
        <v/>
      </c>
      <c r="K265" s="5">
        <f>IF($N265="","",IF(INDEX('Per Invoice'!$K$2:$K$801,$N265)="","",INDEX('Per Invoice'!$K$2:$K$801,$N265)))</f>
        <v/>
      </c>
      <c r="L265" s="5">
        <f>IF($N265="","",IF(INDEX('Per Invoice'!$L$2:$L$801,$N265)="","",INDEX('Per Invoice'!$L$2:$L$801,$N265)))</f>
        <v/>
      </c>
      <c r="M265" s="5">
        <f>IF($N265="","",IF(INDEX('Per Invoice'!$M$2:$M$801,$N265)="","",INDEX('Per Invoice'!$M$2:$M$801,$N265)))</f>
        <v/>
      </c>
      <c r="N265">
        <f>IF(ROWS($N$2:$N265)&lt;=COUNT('Per Invoice'!$O$2:$O$801),MATCH(ROWS($N$2:$N265),'Per Invoice'!$O$2:$O$801,0),"")</f>
        <v/>
      </c>
    </row>
    <row r="266">
      <c r="A266">
        <f>IF($N266="","",IF(INDEX('Per Invoice'!$A$2:$A$801,$N266)="","",INDEX('Per Invoice'!$A$2:$A$801,$N266)))</f>
        <v/>
      </c>
      <c r="B266">
        <f>IF($N266="","",IF(INDEX('Per Invoice'!$B$2:$B$801,$N266)="","",INDEX('Per Invoice'!$B$2:$B$801,$N266)))</f>
        <v/>
      </c>
      <c r="C266">
        <f>IF($N266="","",IF(INDEX('Per Invoice'!$C$2:$C$801,$N266)="","",INDEX('Per Invoice'!$C$2:$C$801,$N266)))</f>
        <v/>
      </c>
      <c r="D266">
        <f>IF($N266="","",IF(INDEX('Per Invoice'!$D$2:$D$801,$N266)="","",INDEX('Per Invoice'!$D$2:$D$801,$N266)))</f>
        <v/>
      </c>
      <c r="E266">
        <f>IF($N266="","",IF(INDEX('Per Invoice'!$E$2:$E$801,$N266)="","",INDEX('Per Invoice'!$E$2:$E$801,$N266)))</f>
        <v/>
      </c>
      <c r="F266">
        <f>IF($N266="","",IF(INDEX('Per Invoice'!$F$2:$F$801,$N266)="","",INDEX('Per Invoice'!$F$2:$F$801,$N266)))</f>
        <v/>
      </c>
      <c r="G266">
        <f>IF($N266="","",IF(INDEX('Per Invoice'!$G$2:$G$801,$N266)="","",INDEX('Per Invoice'!$G$2:$G$801,$N266)))</f>
        <v/>
      </c>
      <c r="H266">
        <f>IF($N266="","",IF(INDEX('Per Invoice'!$H$2:$H$801,$N266)="","",INDEX('Per Invoice'!$H$2:$H$801,$N266)))</f>
        <v/>
      </c>
      <c r="I266" s="5">
        <f>IF($N266="","",IF(INDEX('Per Invoice'!$I$2:$I$801,$N266)="","",INDEX('Per Invoice'!$I$2:$I$801,$N266)))</f>
        <v/>
      </c>
      <c r="J266" s="5">
        <f>IF($N266="","",IF(INDEX('Per Invoice'!$J$2:$J$801,$N266)="","",INDEX('Per Invoice'!$J$2:$J$801,$N266)))</f>
        <v/>
      </c>
      <c r="K266" s="5">
        <f>IF($N266="","",IF(INDEX('Per Invoice'!$K$2:$K$801,$N266)="","",INDEX('Per Invoice'!$K$2:$K$801,$N266)))</f>
        <v/>
      </c>
      <c r="L266" s="5">
        <f>IF($N266="","",IF(INDEX('Per Invoice'!$L$2:$L$801,$N266)="","",INDEX('Per Invoice'!$L$2:$L$801,$N266)))</f>
        <v/>
      </c>
      <c r="M266" s="5">
        <f>IF($N266="","",IF(INDEX('Per Invoice'!$M$2:$M$801,$N266)="","",INDEX('Per Invoice'!$M$2:$M$801,$N266)))</f>
        <v/>
      </c>
      <c r="N266">
        <f>IF(ROWS($N$2:$N266)&lt;=COUNT('Per Invoice'!$O$2:$O$801),MATCH(ROWS($N$2:$N266),'Per Invoice'!$O$2:$O$801,0),"")</f>
        <v/>
      </c>
    </row>
    <row r="267">
      <c r="A267">
        <f>IF($N267="","",IF(INDEX('Per Invoice'!$A$2:$A$801,$N267)="","",INDEX('Per Invoice'!$A$2:$A$801,$N267)))</f>
        <v/>
      </c>
      <c r="B267">
        <f>IF($N267="","",IF(INDEX('Per Invoice'!$B$2:$B$801,$N267)="","",INDEX('Per Invoice'!$B$2:$B$801,$N267)))</f>
        <v/>
      </c>
      <c r="C267">
        <f>IF($N267="","",IF(INDEX('Per Invoice'!$C$2:$C$801,$N267)="","",INDEX('Per Invoice'!$C$2:$C$801,$N267)))</f>
        <v/>
      </c>
      <c r="D267">
        <f>IF($N267="","",IF(INDEX('Per Invoice'!$D$2:$D$801,$N267)="","",INDEX('Per Invoice'!$D$2:$D$801,$N267)))</f>
        <v/>
      </c>
      <c r="E267">
        <f>IF($N267="","",IF(INDEX('Per Invoice'!$E$2:$E$801,$N267)="","",INDEX('Per Invoice'!$E$2:$E$801,$N267)))</f>
        <v/>
      </c>
      <c r="F267">
        <f>IF($N267="","",IF(INDEX('Per Invoice'!$F$2:$F$801,$N267)="","",INDEX('Per Invoice'!$F$2:$F$801,$N267)))</f>
        <v/>
      </c>
      <c r="G267">
        <f>IF($N267="","",IF(INDEX('Per Invoice'!$G$2:$G$801,$N267)="","",INDEX('Per Invoice'!$G$2:$G$801,$N267)))</f>
        <v/>
      </c>
      <c r="H267">
        <f>IF($N267="","",IF(INDEX('Per Invoice'!$H$2:$H$801,$N267)="","",INDEX('Per Invoice'!$H$2:$H$801,$N267)))</f>
        <v/>
      </c>
      <c r="I267" s="5">
        <f>IF($N267="","",IF(INDEX('Per Invoice'!$I$2:$I$801,$N267)="","",INDEX('Per Invoice'!$I$2:$I$801,$N267)))</f>
        <v/>
      </c>
      <c r="J267" s="5">
        <f>IF($N267="","",IF(INDEX('Per Invoice'!$J$2:$J$801,$N267)="","",INDEX('Per Invoice'!$J$2:$J$801,$N267)))</f>
        <v/>
      </c>
      <c r="K267" s="5">
        <f>IF($N267="","",IF(INDEX('Per Invoice'!$K$2:$K$801,$N267)="","",INDEX('Per Invoice'!$K$2:$K$801,$N267)))</f>
        <v/>
      </c>
      <c r="L267" s="5">
        <f>IF($N267="","",IF(INDEX('Per Invoice'!$L$2:$L$801,$N267)="","",INDEX('Per Invoice'!$L$2:$L$801,$N267)))</f>
        <v/>
      </c>
      <c r="M267" s="5">
        <f>IF($N267="","",IF(INDEX('Per Invoice'!$M$2:$M$801,$N267)="","",INDEX('Per Invoice'!$M$2:$M$801,$N267)))</f>
        <v/>
      </c>
      <c r="N267">
        <f>IF(ROWS($N$2:$N267)&lt;=COUNT('Per Invoice'!$O$2:$O$801),MATCH(ROWS($N$2:$N267),'Per Invoice'!$O$2:$O$801,0),"")</f>
        <v/>
      </c>
    </row>
    <row r="268">
      <c r="A268">
        <f>IF($N268="","",IF(INDEX('Per Invoice'!$A$2:$A$801,$N268)="","",INDEX('Per Invoice'!$A$2:$A$801,$N268)))</f>
        <v/>
      </c>
      <c r="B268">
        <f>IF($N268="","",IF(INDEX('Per Invoice'!$B$2:$B$801,$N268)="","",INDEX('Per Invoice'!$B$2:$B$801,$N268)))</f>
        <v/>
      </c>
      <c r="C268">
        <f>IF($N268="","",IF(INDEX('Per Invoice'!$C$2:$C$801,$N268)="","",INDEX('Per Invoice'!$C$2:$C$801,$N268)))</f>
        <v/>
      </c>
      <c r="D268">
        <f>IF($N268="","",IF(INDEX('Per Invoice'!$D$2:$D$801,$N268)="","",INDEX('Per Invoice'!$D$2:$D$801,$N268)))</f>
        <v/>
      </c>
      <c r="E268">
        <f>IF($N268="","",IF(INDEX('Per Invoice'!$E$2:$E$801,$N268)="","",INDEX('Per Invoice'!$E$2:$E$801,$N268)))</f>
        <v/>
      </c>
      <c r="F268">
        <f>IF($N268="","",IF(INDEX('Per Invoice'!$F$2:$F$801,$N268)="","",INDEX('Per Invoice'!$F$2:$F$801,$N268)))</f>
        <v/>
      </c>
      <c r="G268">
        <f>IF($N268="","",IF(INDEX('Per Invoice'!$G$2:$G$801,$N268)="","",INDEX('Per Invoice'!$G$2:$G$801,$N268)))</f>
        <v/>
      </c>
      <c r="H268">
        <f>IF($N268="","",IF(INDEX('Per Invoice'!$H$2:$H$801,$N268)="","",INDEX('Per Invoice'!$H$2:$H$801,$N268)))</f>
        <v/>
      </c>
      <c r="I268" s="5">
        <f>IF($N268="","",IF(INDEX('Per Invoice'!$I$2:$I$801,$N268)="","",INDEX('Per Invoice'!$I$2:$I$801,$N268)))</f>
        <v/>
      </c>
      <c r="J268" s="5">
        <f>IF($N268="","",IF(INDEX('Per Invoice'!$J$2:$J$801,$N268)="","",INDEX('Per Invoice'!$J$2:$J$801,$N268)))</f>
        <v/>
      </c>
      <c r="K268" s="5">
        <f>IF($N268="","",IF(INDEX('Per Invoice'!$K$2:$K$801,$N268)="","",INDEX('Per Invoice'!$K$2:$K$801,$N268)))</f>
        <v/>
      </c>
      <c r="L268" s="5">
        <f>IF($N268="","",IF(INDEX('Per Invoice'!$L$2:$L$801,$N268)="","",INDEX('Per Invoice'!$L$2:$L$801,$N268)))</f>
        <v/>
      </c>
      <c r="M268" s="5">
        <f>IF($N268="","",IF(INDEX('Per Invoice'!$M$2:$M$801,$N268)="","",INDEX('Per Invoice'!$M$2:$M$801,$N268)))</f>
        <v/>
      </c>
      <c r="N268">
        <f>IF(ROWS($N$2:$N268)&lt;=COUNT('Per Invoice'!$O$2:$O$801),MATCH(ROWS($N$2:$N268),'Per Invoice'!$O$2:$O$801,0),"")</f>
        <v/>
      </c>
    </row>
    <row r="269">
      <c r="A269">
        <f>IF($N269="","",IF(INDEX('Per Invoice'!$A$2:$A$801,$N269)="","",INDEX('Per Invoice'!$A$2:$A$801,$N269)))</f>
        <v/>
      </c>
      <c r="B269">
        <f>IF($N269="","",IF(INDEX('Per Invoice'!$B$2:$B$801,$N269)="","",INDEX('Per Invoice'!$B$2:$B$801,$N269)))</f>
        <v/>
      </c>
      <c r="C269">
        <f>IF($N269="","",IF(INDEX('Per Invoice'!$C$2:$C$801,$N269)="","",INDEX('Per Invoice'!$C$2:$C$801,$N269)))</f>
        <v/>
      </c>
      <c r="D269">
        <f>IF($N269="","",IF(INDEX('Per Invoice'!$D$2:$D$801,$N269)="","",INDEX('Per Invoice'!$D$2:$D$801,$N269)))</f>
        <v/>
      </c>
      <c r="E269">
        <f>IF($N269="","",IF(INDEX('Per Invoice'!$E$2:$E$801,$N269)="","",INDEX('Per Invoice'!$E$2:$E$801,$N269)))</f>
        <v/>
      </c>
      <c r="F269">
        <f>IF($N269="","",IF(INDEX('Per Invoice'!$F$2:$F$801,$N269)="","",INDEX('Per Invoice'!$F$2:$F$801,$N269)))</f>
        <v/>
      </c>
      <c r="G269">
        <f>IF($N269="","",IF(INDEX('Per Invoice'!$G$2:$G$801,$N269)="","",INDEX('Per Invoice'!$G$2:$G$801,$N269)))</f>
        <v/>
      </c>
      <c r="H269">
        <f>IF($N269="","",IF(INDEX('Per Invoice'!$H$2:$H$801,$N269)="","",INDEX('Per Invoice'!$H$2:$H$801,$N269)))</f>
        <v/>
      </c>
      <c r="I269" s="5">
        <f>IF($N269="","",IF(INDEX('Per Invoice'!$I$2:$I$801,$N269)="","",INDEX('Per Invoice'!$I$2:$I$801,$N269)))</f>
        <v/>
      </c>
      <c r="J269" s="5">
        <f>IF($N269="","",IF(INDEX('Per Invoice'!$J$2:$J$801,$N269)="","",INDEX('Per Invoice'!$J$2:$J$801,$N269)))</f>
        <v/>
      </c>
      <c r="K269" s="5">
        <f>IF($N269="","",IF(INDEX('Per Invoice'!$K$2:$K$801,$N269)="","",INDEX('Per Invoice'!$K$2:$K$801,$N269)))</f>
        <v/>
      </c>
      <c r="L269" s="5">
        <f>IF($N269="","",IF(INDEX('Per Invoice'!$L$2:$L$801,$N269)="","",INDEX('Per Invoice'!$L$2:$L$801,$N269)))</f>
        <v/>
      </c>
      <c r="M269" s="5">
        <f>IF($N269="","",IF(INDEX('Per Invoice'!$M$2:$M$801,$N269)="","",INDEX('Per Invoice'!$M$2:$M$801,$N269)))</f>
        <v/>
      </c>
      <c r="N269">
        <f>IF(ROWS($N$2:$N269)&lt;=COUNT('Per Invoice'!$O$2:$O$801),MATCH(ROWS($N$2:$N269),'Per Invoice'!$O$2:$O$801,0),"")</f>
        <v/>
      </c>
    </row>
    <row r="270">
      <c r="A270">
        <f>IF($N270="","",IF(INDEX('Per Invoice'!$A$2:$A$801,$N270)="","",INDEX('Per Invoice'!$A$2:$A$801,$N270)))</f>
        <v/>
      </c>
      <c r="B270">
        <f>IF($N270="","",IF(INDEX('Per Invoice'!$B$2:$B$801,$N270)="","",INDEX('Per Invoice'!$B$2:$B$801,$N270)))</f>
        <v/>
      </c>
      <c r="C270">
        <f>IF($N270="","",IF(INDEX('Per Invoice'!$C$2:$C$801,$N270)="","",INDEX('Per Invoice'!$C$2:$C$801,$N270)))</f>
        <v/>
      </c>
      <c r="D270">
        <f>IF($N270="","",IF(INDEX('Per Invoice'!$D$2:$D$801,$N270)="","",INDEX('Per Invoice'!$D$2:$D$801,$N270)))</f>
        <v/>
      </c>
      <c r="E270">
        <f>IF($N270="","",IF(INDEX('Per Invoice'!$E$2:$E$801,$N270)="","",INDEX('Per Invoice'!$E$2:$E$801,$N270)))</f>
        <v/>
      </c>
      <c r="F270">
        <f>IF($N270="","",IF(INDEX('Per Invoice'!$F$2:$F$801,$N270)="","",INDEX('Per Invoice'!$F$2:$F$801,$N270)))</f>
        <v/>
      </c>
      <c r="G270">
        <f>IF($N270="","",IF(INDEX('Per Invoice'!$G$2:$G$801,$N270)="","",INDEX('Per Invoice'!$G$2:$G$801,$N270)))</f>
        <v/>
      </c>
      <c r="H270">
        <f>IF($N270="","",IF(INDEX('Per Invoice'!$H$2:$H$801,$N270)="","",INDEX('Per Invoice'!$H$2:$H$801,$N270)))</f>
        <v/>
      </c>
      <c r="I270" s="5">
        <f>IF($N270="","",IF(INDEX('Per Invoice'!$I$2:$I$801,$N270)="","",INDEX('Per Invoice'!$I$2:$I$801,$N270)))</f>
        <v/>
      </c>
      <c r="J270" s="5">
        <f>IF($N270="","",IF(INDEX('Per Invoice'!$J$2:$J$801,$N270)="","",INDEX('Per Invoice'!$J$2:$J$801,$N270)))</f>
        <v/>
      </c>
      <c r="K270" s="5">
        <f>IF($N270="","",IF(INDEX('Per Invoice'!$K$2:$K$801,$N270)="","",INDEX('Per Invoice'!$K$2:$K$801,$N270)))</f>
        <v/>
      </c>
      <c r="L270" s="5">
        <f>IF($N270="","",IF(INDEX('Per Invoice'!$L$2:$L$801,$N270)="","",INDEX('Per Invoice'!$L$2:$L$801,$N270)))</f>
        <v/>
      </c>
      <c r="M270" s="5">
        <f>IF($N270="","",IF(INDEX('Per Invoice'!$M$2:$M$801,$N270)="","",INDEX('Per Invoice'!$M$2:$M$801,$N270)))</f>
        <v/>
      </c>
      <c r="N270">
        <f>IF(ROWS($N$2:$N270)&lt;=COUNT('Per Invoice'!$O$2:$O$801),MATCH(ROWS($N$2:$N270),'Per Invoice'!$O$2:$O$801,0),"")</f>
        <v/>
      </c>
    </row>
    <row r="271">
      <c r="A271">
        <f>IF($N271="","",IF(INDEX('Per Invoice'!$A$2:$A$801,$N271)="","",INDEX('Per Invoice'!$A$2:$A$801,$N271)))</f>
        <v/>
      </c>
      <c r="B271">
        <f>IF($N271="","",IF(INDEX('Per Invoice'!$B$2:$B$801,$N271)="","",INDEX('Per Invoice'!$B$2:$B$801,$N271)))</f>
        <v/>
      </c>
      <c r="C271">
        <f>IF($N271="","",IF(INDEX('Per Invoice'!$C$2:$C$801,$N271)="","",INDEX('Per Invoice'!$C$2:$C$801,$N271)))</f>
        <v/>
      </c>
      <c r="D271">
        <f>IF($N271="","",IF(INDEX('Per Invoice'!$D$2:$D$801,$N271)="","",INDEX('Per Invoice'!$D$2:$D$801,$N271)))</f>
        <v/>
      </c>
      <c r="E271">
        <f>IF($N271="","",IF(INDEX('Per Invoice'!$E$2:$E$801,$N271)="","",INDEX('Per Invoice'!$E$2:$E$801,$N271)))</f>
        <v/>
      </c>
      <c r="F271">
        <f>IF($N271="","",IF(INDEX('Per Invoice'!$F$2:$F$801,$N271)="","",INDEX('Per Invoice'!$F$2:$F$801,$N271)))</f>
        <v/>
      </c>
      <c r="G271">
        <f>IF($N271="","",IF(INDEX('Per Invoice'!$G$2:$G$801,$N271)="","",INDEX('Per Invoice'!$G$2:$G$801,$N271)))</f>
        <v/>
      </c>
      <c r="H271">
        <f>IF($N271="","",IF(INDEX('Per Invoice'!$H$2:$H$801,$N271)="","",INDEX('Per Invoice'!$H$2:$H$801,$N271)))</f>
        <v/>
      </c>
      <c r="I271" s="5">
        <f>IF($N271="","",IF(INDEX('Per Invoice'!$I$2:$I$801,$N271)="","",INDEX('Per Invoice'!$I$2:$I$801,$N271)))</f>
        <v/>
      </c>
      <c r="J271" s="5">
        <f>IF($N271="","",IF(INDEX('Per Invoice'!$J$2:$J$801,$N271)="","",INDEX('Per Invoice'!$J$2:$J$801,$N271)))</f>
        <v/>
      </c>
      <c r="K271" s="5">
        <f>IF($N271="","",IF(INDEX('Per Invoice'!$K$2:$K$801,$N271)="","",INDEX('Per Invoice'!$K$2:$K$801,$N271)))</f>
        <v/>
      </c>
      <c r="L271" s="5">
        <f>IF($N271="","",IF(INDEX('Per Invoice'!$L$2:$L$801,$N271)="","",INDEX('Per Invoice'!$L$2:$L$801,$N271)))</f>
        <v/>
      </c>
      <c r="M271" s="5">
        <f>IF($N271="","",IF(INDEX('Per Invoice'!$M$2:$M$801,$N271)="","",INDEX('Per Invoice'!$M$2:$M$801,$N271)))</f>
        <v/>
      </c>
      <c r="N271">
        <f>IF(ROWS($N$2:$N271)&lt;=COUNT('Per Invoice'!$O$2:$O$801),MATCH(ROWS($N$2:$N271),'Per Invoice'!$O$2:$O$801,0),"")</f>
        <v/>
      </c>
    </row>
    <row r="272">
      <c r="A272">
        <f>IF($N272="","",IF(INDEX('Per Invoice'!$A$2:$A$801,$N272)="","",INDEX('Per Invoice'!$A$2:$A$801,$N272)))</f>
        <v/>
      </c>
      <c r="B272">
        <f>IF($N272="","",IF(INDEX('Per Invoice'!$B$2:$B$801,$N272)="","",INDEX('Per Invoice'!$B$2:$B$801,$N272)))</f>
        <v/>
      </c>
      <c r="C272">
        <f>IF($N272="","",IF(INDEX('Per Invoice'!$C$2:$C$801,$N272)="","",INDEX('Per Invoice'!$C$2:$C$801,$N272)))</f>
        <v/>
      </c>
      <c r="D272">
        <f>IF($N272="","",IF(INDEX('Per Invoice'!$D$2:$D$801,$N272)="","",INDEX('Per Invoice'!$D$2:$D$801,$N272)))</f>
        <v/>
      </c>
      <c r="E272">
        <f>IF($N272="","",IF(INDEX('Per Invoice'!$E$2:$E$801,$N272)="","",INDEX('Per Invoice'!$E$2:$E$801,$N272)))</f>
        <v/>
      </c>
      <c r="F272">
        <f>IF($N272="","",IF(INDEX('Per Invoice'!$F$2:$F$801,$N272)="","",INDEX('Per Invoice'!$F$2:$F$801,$N272)))</f>
        <v/>
      </c>
      <c r="G272">
        <f>IF($N272="","",IF(INDEX('Per Invoice'!$G$2:$G$801,$N272)="","",INDEX('Per Invoice'!$G$2:$G$801,$N272)))</f>
        <v/>
      </c>
      <c r="H272">
        <f>IF($N272="","",IF(INDEX('Per Invoice'!$H$2:$H$801,$N272)="","",INDEX('Per Invoice'!$H$2:$H$801,$N272)))</f>
        <v/>
      </c>
      <c r="I272" s="5">
        <f>IF($N272="","",IF(INDEX('Per Invoice'!$I$2:$I$801,$N272)="","",INDEX('Per Invoice'!$I$2:$I$801,$N272)))</f>
        <v/>
      </c>
      <c r="J272" s="5">
        <f>IF($N272="","",IF(INDEX('Per Invoice'!$J$2:$J$801,$N272)="","",INDEX('Per Invoice'!$J$2:$J$801,$N272)))</f>
        <v/>
      </c>
      <c r="K272" s="5">
        <f>IF($N272="","",IF(INDEX('Per Invoice'!$K$2:$K$801,$N272)="","",INDEX('Per Invoice'!$K$2:$K$801,$N272)))</f>
        <v/>
      </c>
      <c r="L272" s="5">
        <f>IF($N272="","",IF(INDEX('Per Invoice'!$L$2:$L$801,$N272)="","",INDEX('Per Invoice'!$L$2:$L$801,$N272)))</f>
        <v/>
      </c>
      <c r="M272" s="5">
        <f>IF($N272="","",IF(INDEX('Per Invoice'!$M$2:$M$801,$N272)="","",INDEX('Per Invoice'!$M$2:$M$801,$N272)))</f>
        <v/>
      </c>
      <c r="N272">
        <f>IF(ROWS($N$2:$N272)&lt;=COUNT('Per Invoice'!$O$2:$O$801),MATCH(ROWS($N$2:$N272),'Per Invoice'!$O$2:$O$801,0),"")</f>
        <v/>
      </c>
    </row>
    <row r="273">
      <c r="A273">
        <f>IF($N273="","",IF(INDEX('Per Invoice'!$A$2:$A$801,$N273)="","",INDEX('Per Invoice'!$A$2:$A$801,$N273)))</f>
        <v/>
      </c>
      <c r="B273">
        <f>IF($N273="","",IF(INDEX('Per Invoice'!$B$2:$B$801,$N273)="","",INDEX('Per Invoice'!$B$2:$B$801,$N273)))</f>
        <v/>
      </c>
      <c r="C273">
        <f>IF($N273="","",IF(INDEX('Per Invoice'!$C$2:$C$801,$N273)="","",INDEX('Per Invoice'!$C$2:$C$801,$N273)))</f>
        <v/>
      </c>
      <c r="D273">
        <f>IF($N273="","",IF(INDEX('Per Invoice'!$D$2:$D$801,$N273)="","",INDEX('Per Invoice'!$D$2:$D$801,$N273)))</f>
        <v/>
      </c>
      <c r="E273">
        <f>IF($N273="","",IF(INDEX('Per Invoice'!$E$2:$E$801,$N273)="","",INDEX('Per Invoice'!$E$2:$E$801,$N273)))</f>
        <v/>
      </c>
      <c r="F273">
        <f>IF($N273="","",IF(INDEX('Per Invoice'!$F$2:$F$801,$N273)="","",INDEX('Per Invoice'!$F$2:$F$801,$N273)))</f>
        <v/>
      </c>
      <c r="G273">
        <f>IF($N273="","",IF(INDEX('Per Invoice'!$G$2:$G$801,$N273)="","",INDEX('Per Invoice'!$G$2:$G$801,$N273)))</f>
        <v/>
      </c>
      <c r="H273">
        <f>IF($N273="","",IF(INDEX('Per Invoice'!$H$2:$H$801,$N273)="","",INDEX('Per Invoice'!$H$2:$H$801,$N273)))</f>
        <v/>
      </c>
      <c r="I273" s="5">
        <f>IF($N273="","",IF(INDEX('Per Invoice'!$I$2:$I$801,$N273)="","",INDEX('Per Invoice'!$I$2:$I$801,$N273)))</f>
        <v/>
      </c>
      <c r="J273" s="5">
        <f>IF($N273="","",IF(INDEX('Per Invoice'!$J$2:$J$801,$N273)="","",INDEX('Per Invoice'!$J$2:$J$801,$N273)))</f>
        <v/>
      </c>
      <c r="K273" s="5">
        <f>IF($N273="","",IF(INDEX('Per Invoice'!$K$2:$K$801,$N273)="","",INDEX('Per Invoice'!$K$2:$K$801,$N273)))</f>
        <v/>
      </c>
      <c r="L273" s="5">
        <f>IF($N273="","",IF(INDEX('Per Invoice'!$L$2:$L$801,$N273)="","",INDEX('Per Invoice'!$L$2:$L$801,$N273)))</f>
        <v/>
      </c>
      <c r="M273" s="5">
        <f>IF($N273="","",IF(INDEX('Per Invoice'!$M$2:$M$801,$N273)="","",INDEX('Per Invoice'!$M$2:$M$801,$N273)))</f>
        <v/>
      </c>
      <c r="N273">
        <f>IF(ROWS($N$2:$N273)&lt;=COUNT('Per Invoice'!$O$2:$O$801),MATCH(ROWS($N$2:$N273),'Per Invoice'!$O$2:$O$801,0),"")</f>
        <v/>
      </c>
    </row>
    <row r="274">
      <c r="A274">
        <f>IF($N274="","",IF(INDEX('Per Invoice'!$A$2:$A$801,$N274)="","",INDEX('Per Invoice'!$A$2:$A$801,$N274)))</f>
        <v/>
      </c>
      <c r="B274">
        <f>IF($N274="","",IF(INDEX('Per Invoice'!$B$2:$B$801,$N274)="","",INDEX('Per Invoice'!$B$2:$B$801,$N274)))</f>
        <v/>
      </c>
      <c r="C274">
        <f>IF($N274="","",IF(INDEX('Per Invoice'!$C$2:$C$801,$N274)="","",INDEX('Per Invoice'!$C$2:$C$801,$N274)))</f>
        <v/>
      </c>
      <c r="D274">
        <f>IF($N274="","",IF(INDEX('Per Invoice'!$D$2:$D$801,$N274)="","",INDEX('Per Invoice'!$D$2:$D$801,$N274)))</f>
        <v/>
      </c>
      <c r="E274">
        <f>IF($N274="","",IF(INDEX('Per Invoice'!$E$2:$E$801,$N274)="","",INDEX('Per Invoice'!$E$2:$E$801,$N274)))</f>
        <v/>
      </c>
      <c r="F274">
        <f>IF($N274="","",IF(INDEX('Per Invoice'!$F$2:$F$801,$N274)="","",INDEX('Per Invoice'!$F$2:$F$801,$N274)))</f>
        <v/>
      </c>
      <c r="G274">
        <f>IF($N274="","",IF(INDEX('Per Invoice'!$G$2:$G$801,$N274)="","",INDEX('Per Invoice'!$G$2:$G$801,$N274)))</f>
        <v/>
      </c>
      <c r="H274">
        <f>IF($N274="","",IF(INDEX('Per Invoice'!$H$2:$H$801,$N274)="","",INDEX('Per Invoice'!$H$2:$H$801,$N274)))</f>
        <v/>
      </c>
      <c r="I274" s="5">
        <f>IF($N274="","",IF(INDEX('Per Invoice'!$I$2:$I$801,$N274)="","",INDEX('Per Invoice'!$I$2:$I$801,$N274)))</f>
        <v/>
      </c>
      <c r="J274" s="5">
        <f>IF($N274="","",IF(INDEX('Per Invoice'!$J$2:$J$801,$N274)="","",INDEX('Per Invoice'!$J$2:$J$801,$N274)))</f>
        <v/>
      </c>
      <c r="K274" s="5">
        <f>IF($N274="","",IF(INDEX('Per Invoice'!$K$2:$K$801,$N274)="","",INDEX('Per Invoice'!$K$2:$K$801,$N274)))</f>
        <v/>
      </c>
      <c r="L274" s="5">
        <f>IF($N274="","",IF(INDEX('Per Invoice'!$L$2:$L$801,$N274)="","",INDEX('Per Invoice'!$L$2:$L$801,$N274)))</f>
        <v/>
      </c>
      <c r="M274" s="5">
        <f>IF($N274="","",IF(INDEX('Per Invoice'!$M$2:$M$801,$N274)="","",INDEX('Per Invoice'!$M$2:$M$801,$N274)))</f>
        <v/>
      </c>
      <c r="N274">
        <f>IF(ROWS($N$2:$N274)&lt;=COUNT('Per Invoice'!$O$2:$O$801),MATCH(ROWS($N$2:$N274),'Per Invoice'!$O$2:$O$801,0),"")</f>
        <v/>
      </c>
    </row>
    <row r="275">
      <c r="A275">
        <f>IF($N275="","",IF(INDEX('Per Invoice'!$A$2:$A$801,$N275)="","",INDEX('Per Invoice'!$A$2:$A$801,$N275)))</f>
        <v/>
      </c>
      <c r="B275">
        <f>IF($N275="","",IF(INDEX('Per Invoice'!$B$2:$B$801,$N275)="","",INDEX('Per Invoice'!$B$2:$B$801,$N275)))</f>
        <v/>
      </c>
      <c r="C275">
        <f>IF($N275="","",IF(INDEX('Per Invoice'!$C$2:$C$801,$N275)="","",INDEX('Per Invoice'!$C$2:$C$801,$N275)))</f>
        <v/>
      </c>
      <c r="D275">
        <f>IF($N275="","",IF(INDEX('Per Invoice'!$D$2:$D$801,$N275)="","",INDEX('Per Invoice'!$D$2:$D$801,$N275)))</f>
        <v/>
      </c>
      <c r="E275">
        <f>IF($N275="","",IF(INDEX('Per Invoice'!$E$2:$E$801,$N275)="","",INDEX('Per Invoice'!$E$2:$E$801,$N275)))</f>
        <v/>
      </c>
      <c r="F275">
        <f>IF($N275="","",IF(INDEX('Per Invoice'!$F$2:$F$801,$N275)="","",INDEX('Per Invoice'!$F$2:$F$801,$N275)))</f>
        <v/>
      </c>
      <c r="G275">
        <f>IF($N275="","",IF(INDEX('Per Invoice'!$G$2:$G$801,$N275)="","",INDEX('Per Invoice'!$G$2:$G$801,$N275)))</f>
        <v/>
      </c>
      <c r="H275">
        <f>IF($N275="","",IF(INDEX('Per Invoice'!$H$2:$H$801,$N275)="","",INDEX('Per Invoice'!$H$2:$H$801,$N275)))</f>
        <v/>
      </c>
      <c r="I275" s="5">
        <f>IF($N275="","",IF(INDEX('Per Invoice'!$I$2:$I$801,$N275)="","",INDEX('Per Invoice'!$I$2:$I$801,$N275)))</f>
        <v/>
      </c>
      <c r="J275" s="5">
        <f>IF($N275="","",IF(INDEX('Per Invoice'!$J$2:$J$801,$N275)="","",INDEX('Per Invoice'!$J$2:$J$801,$N275)))</f>
        <v/>
      </c>
      <c r="K275" s="5">
        <f>IF($N275="","",IF(INDEX('Per Invoice'!$K$2:$K$801,$N275)="","",INDEX('Per Invoice'!$K$2:$K$801,$N275)))</f>
        <v/>
      </c>
      <c r="L275" s="5">
        <f>IF($N275="","",IF(INDEX('Per Invoice'!$L$2:$L$801,$N275)="","",INDEX('Per Invoice'!$L$2:$L$801,$N275)))</f>
        <v/>
      </c>
      <c r="M275" s="5">
        <f>IF($N275="","",IF(INDEX('Per Invoice'!$M$2:$M$801,$N275)="","",INDEX('Per Invoice'!$M$2:$M$801,$N275)))</f>
        <v/>
      </c>
      <c r="N275">
        <f>IF(ROWS($N$2:$N275)&lt;=COUNT('Per Invoice'!$O$2:$O$801),MATCH(ROWS($N$2:$N275),'Per Invoice'!$O$2:$O$801,0),"")</f>
        <v/>
      </c>
    </row>
    <row r="276">
      <c r="A276">
        <f>IF($N276="","",IF(INDEX('Per Invoice'!$A$2:$A$801,$N276)="","",INDEX('Per Invoice'!$A$2:$A$801,$N276)))</f>
        <v/>
      </c>
      <c r="B276">
        <f>IF($N276="","",IF(INDEX('Per Invoice'!$B$2:$B$801,$N276)="","",INDEX('Per Invoice'!$B$2:$B$801,$N276)))</f>
        <v/>
      </c>
      <c r="C276">
        <f>IF($N276="","",IF(INDEX('Per Invoice'!$C$2:$C$801,$N276)="","",INDEX('Per Invoice'!$C$2:$C$801,$N276)))</f>
        <v/>
      </c>
      <c r="D276">
        <f>IF($N276="","",IF(INDEX('Per Invoice'!$D$2:$D$801,$N276)="","",INDEX('Per Invoice'!$D$2:$D$801,$N276)))</f>
        <v/>
      </c>
      <c r="E276">
        <f>IF($N276="","",IF(INDEX('Per Invoice'!$E$2:$E$801,$N276)="","",INDEX('Per Invoice'!$E$2:$E$801,$N276)))</f>
        <v/>
      </c>
      <c r="F276">
        <f>IF($N276="","",IF(INDEX('Per Invoice'!$F$2:$F$801,$N276)="","",INDEX('Per Invoice'!$F$2:$F$801,$N276)))</f>
        <v/>
      </c>
      <c r="G276">
        <f>IF($N276="","",IF(INDEX('Per Invoice'!$G$2:$G$801,$N276)="","",INDEX('Per Invoice'!$G$2:$G$801,$N276)))</f>
        <v/>
      </c>
      <c r="H276">
        <f>IF($N276="","",IF(INDEX('Per Invoice'!$H$2:$H$801,$N276)="","",INDEX('Per Invoice'!$H$2:$H$801,$N276)))</f>
        <v/>
      </c>
      <c r="I276" s="5">
        <f>IF($N276="","",IF(INDEX('Per Invoice'!$I$2:$I$801,$N276)="","",INDEX('Per Invoice'!$I$2:$I$801,$N276)))</f>
        <v/>
      </c>
      <c r="J276" s="5">
        <f>IF($N276="","",IF(INDEX('Per Invoice'!$J$2:$J$801,$N276)="","",INDEX('Per Invoice'!$J$2:$J$801,$N276)))</f>
        <v/>
      </c>
      <c r="K276" s="5">
        <f>IF($N276="","",IF(INDEX('Per Invoice'!$K$2:$K$801,$N276)="","",INDEX('Per Invoice'!$K$2:$K$801,$N276)))</f>
        <v/>
      </c>
      <c r="L276" s="5">
        <f>IF($N276="","",IF(INDEX('Per Invoice'!$L$2:$L$801,$N276)="","",INDEX('Per Invoice'!$L$2:$L$801,$N276)))</f>
        <v/>
      </c>
      <c r="M276" s="5">
        <f>IF($N276="","",IF(INDEX('Per Invoice'!$M$2:$M$801,$N276)="","",INDEX('Per Invoice'!$M$2:$M$801,$N276)))</f>
        <v/>
      </c>
      <c r="N276">
        <f>IF(ROWS($N$2:$N276)&lt;=COUNT('Per Invoice'!$O$2:$O$801),MATCH(ROWS($N$2:$N276),'Per Invoice'!$O$2:$O$801,0),"")</f>
        <v/>
      </c>
    </row>
    <row r="277">
      <c r="A277">
        <f>IF($N277="","",IF(INDEX('Per Invoice'!$A$2:$A$801,$N277)="","",INDEX('Per Invoice'!$A$2:$A$801,$N277)))</f>
        <v/>
      </c>
      <c r="B277">
        <f>IF($N277="","",IF(INDEX('Per Invoice'!$B$2:$B$801,$N277)="","",INDEX('Per Invoice'!$B$2:$B$801,$N277)))</f>
        <v/>
      </c>
      <c r="C277">
        <f>IF($N277="","",IF(INDEX('Per Invoice'!$C$2:$C$801,$N277)="","",INDEX('Per Invoice'!$C$2:$C$801,$N277)))</f>
        <v/>
      </c>
      <c r="D277">
        <f>IF($N277="","",IF(INDEX('Per Invoice'!$D$2:$D$801,$N277)="","",INDEX('Per Invoice'!$D$2:$D$801,$N277)))</f>
        <v/>
      </c>
      <c r="E277">
        <f>IF($N277="","",IF(INDEX('Per Invoice'!$E$2:$E$801,$N277)="","",INDEX('Per Invoice'!$E$2:$E$801,$N277)))</f>
        <v/>
      </c>
      <c r="F277">
        <f>IF($N277="","",IF(INDEX('Per Invoice'!$F$2:$F$801,$N277)="","",INDEX('Per Invoice'!$F$2:$F$801,$N277)))</f>
        <v/>
      </c>
      <c r="G277">
        <f>IF($N277="","",IF(INDEX('Per Invoice'!$G$2:$G$801,$N277)="","",INDEX('Per Invoice'!$G$2:$G$801,$N277)))</f>
        <v/>
      </c>
      <c r="H277">
        <f>IF($N277="","",IF(INDEX('Per Invoice'!$H$2:$H$801,$N277)="","",INDEX('Per Invoice'!$H$2:$H$801,$N277)))</f>
        <v/>
      </c>
      <c r="I277" s="5">
        <f>IF($N277="","",IF(INDEX('Per Invoice'!$I$2:$I$801,$N277)="","",INDEX('Per Invoice'!$I$2:$I$801,$N277)))</f>
        <v/>
      </c>
      <c r="J277" s="5">
        <f>IF($N277="","",IF(INDEX('Per Invoice'!$J$2:$J$801,$N277)="","",INDEX('Per Invoice'!$J$2:$J$801,$N277)))</f>
        <v/>
      </c>
      <c r="K277" s="5">
        <f>IF($N277="","",IF(INDEX('Per Invoice'!$K$2:$K$801,$N277)="","",INDEX('Per Invoice'!$K$2:$K$801,$N277)))</f>
        <v/>
      </c>
      <c r="L277" s="5">
        <f>IF($N277="","",IF(INDEX('Per Invoice'!$L$2:$L$801,$N277)="","",INDEX('Per Invoice'!$L$2:$L$801,$N277)))</f>
        <v/>
      </c>
      <c r="M277" s="5">
        <f>IF($N277="","",IF(INDEX('Per Invoice'!$M$2:$M$801,$N277)="","",INDEX('Per Invoice'!$M$2:$M$801,$N277)))</f>
        <v/>
      </c>
      <c r="N277">
        <f>IF(ROWS($N$2:$N277)&lt;=COUNT('Per Invoice'!$O$2:$O$801),MATCH(ROWS($N$2:$N277),'Per Invoice'!$O$2:$O$801,0),"")</f>
        <v/>
      </c>
    </row>
    <row r="278">
      <c r="A278">
        <f>IF($N278="","",IF(INDEX('Per Invoice'!$A$2:$A$801,$N278)="","",INDEX('Per Invoice'!$A$2:$A$801,$N278)))</f>
        <v/>
      </c>
      <c r="B278">
        <f>IF($N278="","",IF(INDEX('Per Invoice'!$B$2:$B$801,$N278)="","",INDEX('Per Invoice'!$B$2:$B$801,$N278)))</f>
        <v/>
      </c>
      <c r="C278">
        <f>IF($N278="","",IF(INDEX('Per Invoice'!$C$2:$C$801,$N278)="","",INDEX('Per Invoice'!$C$2:$C$801,$N278)))</f>
        <v/>
      </c>
      <c r="D278">
        <f>IF($N278="","",IF(INDEX('Per Invoice'!$D$2:$D$801,$N278)="","",INDEX('Per Invoice'!$D$2:$D$801,$N278)))</f>
        <v/>
      </c>
      <c r="E278">
        <f>IF($N278="","",IF(INDEX('Per Invoice'!$E$2:$E$801,$N278)="","",INDEX('Per Invoice'!$E$2:$E$801,$N278)))</f>
        <v/>
      </c>
      <c r="F278">
        <f>IF($N278="","",IF(INDEX('Per Invoice'!$F$2:$F$801,$N278)="","",INDEX('Per Invoice'!$F$2:$F$801,$N278)))</f>
        <v/>
      </c>
      <c r="G278">
        <f>IF($N278="","",IF(INDEX('Per Invoice'!$G$2:$G$801,$N278)="","",INDEX('Per Invoice'!$G$2:$G$801,$N278)))</f>
        <v/>
      </c>
      <c r="H278">
        <f>IF($N278="","",IF(INDEX('Per Invoice'!$H$2:$H$801,$N278)="","",INDEX('Per Invoice'!$H$2:$H$801,$N278)))</f>
        <v/>
      </c>
      <c r="I278" s="5">
        <f>IF($N278="","",IF(INDEX('Per Invoice'!$I$2:$I$801,$N278)="","",INDEX('Per Invoice'!$I$2:$I$801,$N278)))</f>
        <v/>
      </c>
      <c r="J278" s="5">
        <f>IF($N278="","",IF(INDEX('Per Invoice'!$J$2:$J$801,$N278)="","",INDEX('Per Invoice'!$J$2:$J$801,$N278)))</f>
        <v/>
      </c>
      <c r="K278" s="5">
        <f>IF($N278="","",IF(INDEX('Per Invoice'!$K$2:$K$801,$N278)="","",INDEX('Per Invoice'!$K$2:$K$801,$N278)))</f>
        <v/>
      </c>
      <c r="L278" s="5">
        <f>IF($N278="","",IF(INDEX('Per Invoice'!$L$2:$L$801,$N278)="","",INDEX('Per Invoice'!$L$2:$L$801,$N278)))</f>
        <v/>
      </c>
      <c r="M278" s="5">
        <f>IF($N278="","",IF(INDEX('Per Invoice'!$M$2:$M$801,$N278)="","",INDEX('Per Invoice'!$M$2:$M$801,$N278)))</f>
        <v/>
      </c>
      <c r="N278">
        <f>IF(ROWS($N$2:$N278)&lt;=COUNT('Per Invoice'!$O$2:$O$801),MATCH(ROWS($N$2:$N278),'Per Invoice'!$O$2:$O$801,0),"")</f>
        <v/>
      </c>
    </row>
    <row r="279">
      <c r="A279">
        <f>IF($N279="","",IF(INDEX('Per Invoice'!$A$2:$A$801,$N279)="","",INDEX('Per Invoice'!$A$2:$A$801,$N279)))</f>
        <v/>
      </c>
      <c r="B279">
        <f>IF($N279="","",IF(INDEX('Per Invoice'!$B$2:$B$801,$N279)="","",INDEX('Per Invoice'!$B$2:$B$801,$N279)))</f>
        <v/>
      </c>
      <c r="C279">
        <f>IF($N279="","",IF(INDEX('Per Invoice'!$C$2:$C$801,$N279)="","",INDEX('Per Invoice'!$C$2:$C$801,$N279)))</f>
        <v/>
      </c>
      <c r="D279">
        <f>IF($N279="","",IF(INDEX('Per Invoice'!$D$2:$D$801,$N279)="","",INDEX('Per Invoice'!$D$2:$D$801,$N279)))</f>
        <v/>
      </c>
      <c r="E279">
        <f>IF($N279="","",IF(INDEX('Per Invoice'!$E$2:$E$801,$N279)="","",INDEX('Per Invoice'!$E$2:$E$801,$N279)))</f>
        <v/>
      </c>
      <c r="F279">
        <f>IF($N279="","",IF(INDEX('Per Invoice'!$F$2:$F$801,$N279)="","",INDEX('Per Invoice'!$F$2:$F$801,$N279)))</f>
        <v/>
      </c>
      <c r="G279">
        <f>IF($N279="","",IF(INDEX('Per Invoice'!$G$2:$G$801,$N279)="","",INDEX('Per Invoice'!$G$2:$G$801,$N279)))</f>
        <v/>
      </c>
      <c r="H279">
        <f>IF($N279="","",IF(INDEX('Per Invoice'!$H$2:$H$801,$N279)="","",INDEX('Per Invoice'!$H$2:$H$801,$N279)))</f>
        <v/>
      </c>
      <c r="I279" s="5">
        <f>IF($N279="","",IF(INDEX('Per Invoice'!$I$2:$I$801,$N279)="","",INDEX('Per Invoice'!$I$2:$I$801,$N279)))</f>
        <v/>
      </c>
      <c r="J279" s="5">
        <f>IF($N279="","",IF(INDEX('Per Invoice'!$J$2:$J$801,$N279)="","",INDEX('Per Invoice'!$J$2:$J$801,$N279)))</f>
        <v/>
      </c>
      <c r="K279" s="5">
        <f>IF($N279="","",IF(INDEX('Per Invoice'!$K$2:$K$801,$N279)="","",INDEX('Per Invoice'!$K$2:$K$801,$N279)))</f>
        <v/>
      </c>
      <c r="L279" s="5">
        <f>IF($N279="","",IF(INDEX('Per Invoice'!$L$2:$L$801,$N279)="","",INDEX('Per Invoice'!$L$2:$L$801,$N279)))</f>
        <v/>
      </c>
      <c r="M279" s="5">
        <f>IF($N279="","",IF(INDEX('Per Invoice'!$M$2:$M$801,$N279)="","",INDEX('Per Invoice'!$M$2:$M$801,$N279)))</f>
        <v/>
      </c>
      <c r="N279">
        <f>IF(ROWS($N$2:$N279)&lt;=COUNT('Per Invoice'!$O$2:$O$801),MATCH(ROWS($N$2:$N279),'Per Invoice'!$O$2:$O$801,0),"")</f>
        <v/>
      </c>
    </row>
    <row r="280">
      <c r="A280">
        <f>IF($N280="","",IF(INDEX('Per Invoice'!$A$2:$A$801,$N280)="","",INDEX('Per Invoice'!$A$2:$A$801,$N280)))</f>
        <v/>
      </c>
      <c r="B280">
        <f>IF($N280="","",IF(INDEX('Per Invoice'!$B$2:$B$801,$N280)="","",INDEX('Per Invoice'!$B$2:$B$801,$N280)))</f>
        <v/>
      </c>
      <c r="C280">
        <f>IF($N280="","",IF(INDEX('Per Invoice'!$C$2:$C$801,$N280)="","",INDEX('Per Invoice'!$C$2:$C$801,$N280)))</f>
        <v/>
      </c>
      <c r="D280">
        <f>IF($N280="","",IF(INDEX('Per Invoice'!$D$2:$D$801,$N280)="","",INDEX('Per Invoice'!$D$2:$D$801,$N280)))</f>
        <v/>
      </c>
      <c r="E280">
        <f>IF($N280="","",IF(INDEX('Per Invoice'!$E$2:$E$801,$N280)="","",INDEX('Per Invoice'!$E$2:$E$801,$N280)))</f>
        <v/>
      </c>
      <c r="F280">
        <f>IF($N280="","",IF(INDEX('Per Invoice'!$F$2:$F$801,$N280)="","",INDEX('Per Invoice'!$F$2:$F$801,$N280)))</f>
        <v/>
      </c>
      <c r="G280">
        <f>IF($N280="","",IF(INDEX('Per Invoice'!$G$2:$G$801,$N280)="","",INDEX('Per Invoice'!$G$2:$G$801,$N280)))</f>
        <v/>
      </c>
      <c r="H280">
        <f>IF($N280="","",IF(INDEX('Per Invoice'!$H$2:$H$801,$N280)="","",INDEX('Per Invoice'!$H$2:$H$801,$N280)))</f>
        <v/>
      </c>
      <c r="I280" s="5">
        <f>IF($N280="","",IF(INDEX('Per Invoice'!$I$2:$I$801,$N280)="","",INDEX('Per Invoice'!$I$2:$I$801,$N280)))</f>
        <v/>
      </c>
      <c r="J280" s="5">
        <f>IF($N280="","",IF(INDEX('Per Invoice'!$J$2:$J$801,$N280)="","",INDEX('Per Invoice'!$J$2:$J$801,$N280)))</f>
        <v/>
      </c>
      <c r="K280" s="5">
        <f>IF($N280="","",IF(INDEX('Per Invoice'!$K$2:$K$801,$N280)="","",INDEX('Per Invoice'!$K$2:$K$801,$N280)))</f>
        <v/>
      </c>
      <c r="L280" s="5">
        <f>IF($N280="","",IF(INDEX('Per Invoice'!$L$2:$L$801,$N280)="","",INDEX('Per Invoice'!$L$2:$L$801,$N280)))</f>
        <v/>
      </c>
      <c r="M280" s="5">
        <f>IF($N280="","",IF(INDEX('Per Invoice'!$M$2:$M$801,$N280)="","",INDEX('Per Invoice'!$M$2:$M$801,$N280)))</f>
        <v/>
      </c>
      <c r="N280">
        <f>IF(ROWS($N$2:$N280)&lt;=COUNT('Per Invoice'!$O$2:$O$801),MATCH(ROWS($N$2:$N280),'Per Invoice'!$O$2:$O$801,0),"")</f>
        <v/>
      </c>
    </row>
    <row r="281">
      <c r="A281">
        <f>IF($N281="","",IF(INDEX('Per Invoice'!$A$2:$A$801,$N281)="","",INDEX('Per Invoice'!$A$2:$A$801,$N281)))</f>
        <v/>
      </c>
      <c r="B281">
        <f>IF($N281="","",IF(INDEX('Per Invoice'!$B$2:$B$801,$N281)="","",INDEX('Per Invoice'!$B$2:$B$801,$N281)))</f>
        <v/>
      </c>
      <c r="C281">
        <f>IF($N281="","",IF(INDEX('Per Invoice'!$C$2:$C$801,$N281)="","",INDEX('Per Invoice'!$C$2:$C$801,$N281)))</f>
        <v/>
      </c>
      <c r="D281">
        <f>IF($N281="","",IF(INDEX('Per Invoice'!$D$2:$D$801,$N281)="","",INDEX('Per Invoice'!$D$2:$D$801,$N281)))</f>
        <v/>
      </c>
      <c r="E281">
        <f>IF($N281="","",IF(INDEX('Per Invoice'!$E$2:$E$801,$N281)="","",INDEX('Per Invoice'!$E$2:$E$801,$N281)))</f>
        <v/>
      </c>
      <c r="F281">
        <f>IF($N281="","",IF(INDEX('Per Invoice'!$F$2:$F$801,$N281)="","",INDEX('Per Invoice'!$F$2:$F$801,$N281)))</f>
        <v/>
      </c>
      <c r="G281">
        <f>IF($N281="","",IF(INDEX('Per Invoice'!$G$2:$G$801,$N281)="","",INDEX('Per Invoice'!$G$2:$G$801,$N281)))</f>
        <v/>
      </c>
      <c r="H281">
        <f>IF($N281="","",IF(INDEX('Per Invoice'!$H$2:$H$801,$N281)="","",INDEX('Per Invoice'!$H$2:$H$801,$N281)))</f>
        <v/>
      </c>
      <c r="I281" s="5">
        <f>IF($N281="","",IF(INDEX('Per Invoice'!$I$2:$I$801,$N281)="","",INDEX('Per Invoice'!$I$2:$I$801,$N281)))</f>
        <v/>
      </c>
      <c r="J281" s="5">
        <f>IF($N281="","",IF(INDEX('Per Invoice'!$J$2:$J$801,$N281)="","",INDEX('Per Invoice'!$J$2:$J$801,$N281)))</f>
        <v/>
      </c>
      <c r="K281" s="5">
        <f>IF($N281="","",IF(INDEX('Per Invoice'!$K$2:$K$801,$N281)="","",INDEX('Per Invoice'!$K$2:$K$801,$N281)))</f>
        <v/>
      </c>
      <c r="L281" s="5">
        <f>IF($N281="","",IF(INDEX('Per Invoice'!$L$2:$L$801,$N281)="","",INDEX('Per Invoice'!$L$2:$L$801,$N281)))</f>
        <v/>
      </c>
      <c r="M281" s="5">
        <f>IF($N281="","",IF(INDEX('Per Invoice'!$M$2:$M$801,$N281)="","",INDEX('Per Invoice'!$M$2:$M$801,$N281)))</f>
        <v/>
      </c>
      <c r="N281">
        <f>IF(ROWS($N$2:$N281)&lt;=COUNT('Per Invoice'!$O$2:$O$801),MATCH(ROWS($N$2:$N281),'Per Invoice'!$O$2:$O$801,0),"")</f>
        <v/>
      </c>
    </row>
    <row r="282">
      <c r="A282">
        <f>IF($N282="","",IF(INDEX('Per Invoice'!$A$2:$A$801,$N282)="","",INDEX('Per Invoice'!$A$2:$A$801,$N282)))</f>
        <v/>
      </c>
      <c r="B282">
        <f>IF($N282="","",IF(INDEX('Per Invoice'!$B$2:$B$801,$N282)="","",INDEX('Per Invoice'!$B$2:$B$801,$N282)))</f>
        <v/>
      </c>
      <c r="C282">
        <f>IF($N282="","",IF(INDEX('Per Invoice'!$C$2:$C$801,$N282)="","",INDEX('Per Invoice'!$C$2:$C$801,$N282)))</f>
        <v/>
      </c>
      <c r="D282">
        <f>IF($N282="","",IF(INDEX('Per Invoice'!$D$2:$D$801,$N282)="","",INDEX('Per Invoice'!$D$2:$D$801,$N282)))</f>
        <v/>
      </c>
      <c r="E282">
        <f>IF($N282="","",IF(INDEX('Per Invoice'!$E$2:$E$801,$N282)="","",INDEX('Per Invoice'!$E$2:$E$801,$N282)))</f>
        <v/>
      </c>
      <c r="F282">
        <f>IF($N282="","",IF(INDEX('Per Invoice'!$F$2:$F$801,$N282)="","",INDEX('Per Invoice'!$F$2:$F$801,$N282)))</f>
        <v/>
      </c>
      <c r="G282">
        <f>IF($N282="","",IF(INDEX('Per Invoice'!$G$2:$G$801,$N282)="","",INDEX('Per Invoice'!$G$2:$G$801,$N282)))</f>
        <v/>
      </c>
      <c r="H282">
        <f>IF($N282="","",IF(INDEX('Per Invoice'!$H$2:$H$801,$N282)="","",INDEX('Per Invoice'!$H$2:$H$801,$N282)))</f>
        <v/>
      </c>
      <c r="I282" s="5">
        <f>IF($N282="","",IF(INDEX('Per Invoice'!$I$2:$I$801,$N282)="","",INDEX('Per Invoice'!$I$2:$I$801,$N282)))</f>
        <v/>
      </c>
      <c r="J282" s="5">
        <f>IF($N282="","",IF(INDEX('Per Invoice'!$J$2:$J$801,$N282)="","",INDEX('Per Invoice'!$J$2:$J$801,$N282)))</f>
        <v/>
      </c>
      <c r="K282" s="5">
        <f>IF($N282="","",IF(INDEX('Per Invoice'!$K$2:$K$801,$N282)="","",INDEX('Per Invoice'!$K$2:$K$801,$N282)))</f>
        <v/>
      </c>
      <c r="L282" s="5">
        <f>IF($N282="","",IF(INDEX('Per Invoice'!$L$2:$L$801,$N282)="","",INDEX('Per Invoice'!$L$2:$L$801,$N282)))</f>
        <v/>
      </c>
      <c r="M282" s="5">
        <f>IF($N282="","",IF(INDEX('Per Invoice'!$M$2:$M$801,$N282)="","",INDEX('Per Invoice'!$M$2:$M$801,$N282)))</f>
        <v/>
      </c>
      <c r="N282">
        <f>IF(ROWS($N$2:$N282)&lt;=COUNT('Per Invoice'!$O$2:$O$801),MATCH(ROWS($N$2:$N282),'Per Invoice'!$O$2:$O$801,0),"")</f>
        <v/>
      </c>
    </row>
    <row r="283">
      <c r="A283">
        <f>IF($N283="","",IF(INDEX('Per Invoice'!$A$2:$A$801,$N283)="","",INDEX('Per Invoice'!$A$2:$A$801,$N283)))</f>
        <v/>
      </c>
      <c r="B283">
        <f>IF($N283="","",IF(INDEX('Per Invoice'!$B$2:$B$801,$N283)="","",INDEX('Per Invoice'!$B$2:$B$801,$N283)))</f>
        <v/>
      </c>
      <c r="C283">
        <f>IF($N283="","",IF(INDEX('Per Invoice'!$C$2:$C$801,$N283)="","",INDEX('Per Invoice'!$C$2:$C$801,$N283)))</f>
        <v/>
      </c>
      <c r="D283">
        <f>IF($N283="","",IF(INDEX('Per Invoice'!$D$2:$D$801,$N283)="","",INDEX('Per Invoice'!$D$2:$D$801,$N283)))</f>
        <v/>
      </c>
      <c r="E283">
        <f>IF($N283="","",IF(INDEX('Per Invoice'!$E$2:$E$801,$N283)="","",INDEX('Per Invoice'!$E$2:$E$801,$N283)))</f>
        <v/>
      </c>
      <c r="F283">
        <f>IF($N283="","",IF(INDEX('Per Invoice'!$F$2:$F$801,$N283)="","",INDEX('Per Invoice'!$F$2:$F$801,$N283)))</f>
        <v/>
      </c>
      <c r="G283">
        <f>IF($N283="","",IF(INDEX('Per Invoice'!$G$2:$G$801,$N283)="","",INDEX('Per Invoice'!$G$2:$G$801,$N283)))</f>
        <v/>
      </c>
      <c r="H283">
        <f>IF($N283="","",IF(INDEX('Per Invoice'!$H$2:$H$801,$N283)="","",INDEX('Per Invoice'!$H$2:$H$801,$N283)))</f>
        <v/>
      </c>
      <c r="I283" s="5">
        <f>IF($N283="","",IF(INDEX('Per Invoice'!$I$2:$I$801,$N283)="","",INDEX('Per Invoice'!$I$2:$I$801,$N283)))</f>
        <v/>
      </c>
      <c r="J283" s="5">
        <f>IF($N283="","",IF(INDEX('Per Invoice'!$J$2:$J$801,$N283)="","",INDEX('Per Invoice'!$J$2:$J$801,$N283)))</f>
        <v/>
      </c>
      <c r="K283" s="5">
        <f>IF($N283="","",IF(INDEX('Per Invoice'!$K$2:$K$801,$N283)="","",INDEX('Per Invoice'!$K$2:$K$801,$N283)))</f>
        <v/>
      </c>
      <c r="L283" s="5">
        <f>IF($N283="","",IF(INDEX('Per Invoice'!$L$2:$L$801,$N283)="","",INDEX('Per Invoice'!$L$2:$L$801,$N283)))</f>
        <v/>
      </c>
      <c r="M283" s="5">
        <f>IF($N283="","",IF(INDEX('Per Invoice'!$M$2:$M$801,$N283)="","",INDEX('Per Invoice'!$M$2:$M$801,$N283)))</f>
        <v/>
      </c>
      <c r="N283">
        <f>IF(ROWS($N$2:$N283)&lt;=COUNT('Per Invoice'!$O$2:$O$801),MATCH(ROWS($N$2:$N283),'Per Invoice'!$O$2:$O$801,0),"")</f>
        <v/>
      </c>
    </row>
    <row r="284">
      <c r="A284">
        <f>IF($N284="","",IF(INDEX('Per Invoice'!$A$2:$A$801,$N284)="","",INDEX('Per Invoice'!$A$2:$A$801,$N284)))</f>
        <v/>
      </c>
      <c r="B284">
        <f>IF($N284="","",IF(INDEX('Per Invoice'!$B$2:$B$801,$N284)="","",INDEX('Per Invoice'!$B$2:$B$801,$N284)))</f>
        <v/>
      </c>
      <c r="C284">
        <f>IF($N284="","",IF(INDEX('Per Invoice'!$C$2:$C$801,$N284)="","",INDEX('Per Invoice'!$C$2:$C$801,$N284)))</f>
        <v/>
      </c>
      <c r="D284">
        <f>IF($N284="","",IF(INDEX('Per Invoice'!$D$2:$D$801,$N284)="","",INDEX('Per Invoice'!$D$2:$D$801,$N284)))</f>
        <v/>
      </c>
      <c r="E284">
        <f>IF($N284="","",IF(INDEX('Per Invoice'!$E$2:$E$801,$N284)="","",INDEX('Per Invoice'!$E$2:$E$801,$N284)))</f>
        <v/>
      </c>
      <c r="F284">
        <f>IF($N284="","",IF(INDEX('Per Invoice'!$F$2:$F$801,$N284)="","",INDEX('Per Invoice'!$F$2:$F$801,$N284)))</f>
        <v/>
      </c>
      <c r="G284">
        <f>IF($N284="","",IF(INDEX('Per Invoice'!$G$2:$G$801,$N284)="","",INDEX('Per Invoice'!$G$2:$G$801,$N284)))</f>
        <v/>
      </c>
      <c r="H284">
        <f>IF($N284="","",IF(INDEX('Per Invoice'!$H$2:$H$801,$N284)="","",INDEX('Per Invoice'!$H$2:$H$801,$N284)))</f>
        <v/>
      </c>
      <c r="I284" s="5">
        <f>IF($N284="","",IF(INDEX('Per Invoice'!$I$2:$I$801,$N284)="","",INDEX('Per Invoice'!$I$2:$I$801,$N284)))</f>
        <v/>
      </c>
      <c r="J284" s="5">
        <f>IF($N284="","",IF(INDEX('Per Invoice'!$J$2:$J$801,$N284)="","",INDEX('Per Invoice'!$J$2:$J$801,$N284)))</f>
        <v/>
      </c>
      <c r="K284" s="5">
        <f>IF($N284="","",IF(INDEX('Per Invoice'!$K$2:$K$801,$N284)="","",INDEX('Per Invoice'!$K$2:$K$801,$N284)))</f>
        <v/>
      </c>
      <c r="L284" s="5">
        <f>IF($N284="","",IF(INDEX('Per Invoice'!$L$2:$L$801,$N284)="","",INDEX('Per Invoice'!$L$2:$L$801,$N284)))</f>
        <v/>
      </c>
      <c r="M284" s="5">
        <f>IF($N284="","",IF(INDEX('Per Invoice'!$M$2:$M$801,$N284)="","",INDEX('Per Invoice'!$M$2:$M$801,$N284)))</f>
        <v/>
      </c>
      <c r="N284">
        <f>IF(ROWS($N$2:$N284)&lt;=COUNT('Per Invoice'!$O$2:$O$801),MATCH(ROWS($N$2:$N284),'Per Invoice'!$O$2:$O$801,0),"")</f>
        <v/>
      </c>
    </row>
    <row r="285">
      <c r="A285">
        <f>IF($N285="","",IF(INDEX('Per Invoice'!$A$2:$A$801,$N285)="","",INDEX('Per Invoice'!$A$2:$A$801,$N285)))</f>
        <v/>
      </c>
      <c r="B285">
        <f>IF($N285="","",IF(INDEX('Per Invoice'!$B$2:$B$801,$N285)="","",INDEX('Per Invoice'!$B$2:$B$801,$N285)))</f>
        <v/>
      </c>
      <c r="C285">
        <f>IF($N285="","",IF(INDEX('Per Invoice'!$C$2:$C$801,$N285)="","",INDEX('Per Invoice'!$C$2:$C$801,$N285)))</f>
        <v/>
      </c>
      <c r="D285">
        <f>IF($N285="","",IF(INDEX('Per Invoice'!$D$2:$D$801,$N285)="","",INDEX('Per Invoice'!$D$2:$D$801,$N285)))</f>
        <v/>
      </c>
      <c r="E285">
        <f>IF($N285="","",IF(INDEX('Per Invoice'!$E$2:$E$801,$N285)="","",INDEX('Per Invoice'!$E$2:$E$801,$N285)))</f>
        <v/>
      </c>
      <c r="F285">
        <f>IF($N285="","",IF(INDEX('Per Invoice'!$F$2:$F$801,$N285)="","",INDEX('Per Invoice'!$F$2:$F$801,$N285)))</f>
        <v/>
      </c>
      <c r="G285">
        <f>IF($N285="","",IF(INDEX('Per Invoice'!$G$2:$G$801,$N285)="","",INDEX('Per Invoice'!$G$2:$G$801,$N285)))</f>
        <v/>
      </c>
      <c r="H285">
        <f>IF($N285="","",IF(INDEX('Per Invoice'!$H$2:$H$801,$N285)="","",INDEX('Per Invoice'!$H$2:$H$801,$N285)))</f>
        <v/>
      </c>
      <c r="I285" s="5">
        <f>IF($N285="","",IF(INDEX('Per Invoice'!$I$2:$I$801,$N285)="","",INDEX('Per Invoice'!$I$2:$I$801,$N285)))</f>
        <v/>
      </c>
      <c r="J285" s="5">
        <f>IF($N285="","",IF(INDEX('Per Invoice'!$J$2:$J$801,$N285)="","",INDEX('Per Invoice'!$J$2:$J$801,$N285)))</f>
        <v/>
      </c>
      <c r="K285" s="5">
        <f>IF($N285="","",IF(INDEX('Per Invoice'!$K$2:$K$801,$N285)="","",INDEX('Per Invoice'!$K$2:$K$801,$N285)))</f>
        <v/>
      </c>
      <c r="L285" s="5">
        <f>IF($N285="","",IF(INDEX('Per Invoice'!$L$2:$L$801,$N285)="","",INDEX('Per Invoice'!$L$2:$L$801,$N285)))</f>
        <v/>
      </c>
      <c r="M285" s="5">
        <f>IF($N285="","",IF(INDEX('Per Invoice'!$M$2:$M$801,$N285)="","",INDEX('Per Invoice'!$M$2:$M$801,$N285)))</f>
        <v/>
      </c>
      <c r="N285">
        <f>IF(ROWS($N$2:$N285)&lt;=COUNT('Per Invoice'!$O$2:$O$801),MATCH(ROWS($N$2:$N285),'Per Invoice'!$O$2:$O$801,0),"")</f>
        <v/>
      </c>
    </row>
    <row r="286">
      <c r="A286">
        <f>IF($N286="","",IF(INDEX('Per Invoice'!$A$2:$A$801,$N286)="","",INDEX('Per Invoice'!$A$2:$A$801,$N286)))</f>
        <v/>
      </c>
      <c r="B286">
        <f>IF($N286="","",IF(INDEX('Per Invoice'!$B$2:$B$801,$N286)="","",INDEX('Per Invoice'!$B$2:$B$801,$N286)))</f>
        <v/>
      </c>
      <c r="C286">
        <f>IF($N286="","",IF(INDEX('Per Invoice'!$C$2:$C$801,$N286)="","",INDEX('Per Invoice'!$C$2:$C$801,$N286)))</f>
        <v/>
      </c>
      <c r="D286">
        <f>IF($N286="","",IF(INDEX('Per Invoice'!$D$2:$D$801,$N286)="","",INDEX('Per Invoice'!$D$2:$D$801,$N286)))</f>
        <v/>
      </c>
      <c r="E286">
        <f>IF($N286="","",IF(INDEX('Per Invoice'!$E$2:$E$801,$N286)="","",INDEX('Per Invoice'!$E$2:$E$801,$N286)))</f>
        <v/>
      </c>
      <c r="F286">
        <f>IF($N286="","",IF(INDEX('Per Invoice'!$F$2:$F$801,$N286)="","",INDEX('Per Invoice'!$F$2:$F$801,$N286)))</f>
        <v/>
      </c>
      <c r="G286">
        <f>IF($N286="","",IF(INDEX('Per Invoice'!$G$2:$G$801,$N286)="","",INDEX('Per Invoice'!$G$2:$G$801,$N286)))</f>
        <v/>
      </c>
      <c r="H286">
        <f>IF($N286="","",IF(INDEX('Per Invoice'!$H$2:$H$801,$N286)="","",INDEX('Per Invoice'!$H$2:$H$801,$N286)))</f>
        <v/>
      </c>
      <c r="I286" s="5">
        <f>IF($N286="","",IF(INDEX('Per Invoice'!$I$2:$I$801,$N286)="","",INDEX('Per Invoice'!$I$2:$I$801,$N286)))</f>
        <v/>
      </c>
      <c r="J286" s="5">
        <f>IF($N286="","",IF(INDEX('Per Invoice'!$J$2:$J$801,$N286)="","",INDEX('Per Invoice'!$J$2:$J$801,$N286)))</f>
        <v/>
      </c>
      <c r="K286" s="5">
        <f>IF($N286="","",IF(INDEX('Per Invoice'!$K$2:$K$801,$N286)="","",INDEX('Per Invoice'!$K$2:$K$801,$N286)))</f>
        <v/>
      </c>
      <c r="L286" s="5">
        <f>IF($N286="","",IF(INDEX('Per Invoice'!$L$2:$L$801,$N286)="","",INDEX('Per Invoice'!$L$2:$L$801,$N286)))</f>
        <v/>
      </c>
      <c r="M286" s="5">
        <f>IF($N286="","",IF(INDEX('Per Invoice'!$M$2:$M$801,$N286)="","",INDEX('Per Invoice'!$M$2:$M$801,$N286)))</f>
        <v/>
      </c>
      <c r="N286">
        <f>IF(ROWS($N$2:$N286)&lt;=COUNT('Per Invoice'!$O$2:$O$801),MATCH(ROWS($N$2:$N286),'Per Invoice'!$O$2:$O$801,0),"")</f>
        <v/>
      </c>
    </row>
    <row r="287">
      <c r="A287">
        <f>IF($N287="","",IF(INDEX('Per Invoice'!$A$2:$A$801,$N287)="","",INDEX('Per Invoice'!$A$2:$A$801,$N287)))</f>
        <v/>
      </c>
      <c r="B287">
        <f>IF($N287="","",IF(INDEX('Per Invoice'!$B$2:$B$801,$N287)="","",INDEX('Per Invoice'!$B$2:$B$801,$N287)))</f>
        <v/>
      </c>
      <c r="C287">
        <f>IF($N287="","",IF(INDEX('Per Invoice'!$C$2:$C$801,$N287)="","",INDEX('Per Invoice'!$C$2:$C$801,$N287)))</f>
        <v/>
      </c>
      <c r="D287">
        <f>IF($N287="","",IF(INDEX('Per Invoice'!$D$2:$D$801,$N287)="","",INDEX('Per Invoice'!$D$2:$D$801,$N287)))</f>
        <v/>
      </c>
      <c r="E287">
        <f>IF($N287="","",IF(INDEX('Per Invoice'!$E$2:$E$801,$N287)="","",INDEX('Per Invoice'!$E$2:$E$801,$N287)))</f>
        <v/>
      </c>
      <c r="F287">
        <f>IF($N287="","",IF(INDEX('Per Invoice'!$F$2:$F$801,$N287)="","",INDEX('Per Invoice'!$F$2:$F$801,$N287)))</f>
        <v/>
      </c>
      <c r="G287">
        <f>IF($N287="","",IF(INDEX('Per Invoice'!$G$2:$G$801,$N287)="","",INDEX('Per Invoice'!$G$2:$G$801,$N287)))</f>
        <v/>
      </c>
      <c r="H287">
        <f>IF($N287="","",IF(INDEX('Per Invoice'!$H$2:$H$801,$N287)="","",INDEX('Per Invoice'!$H$2:$H$801,$N287)))</f>
        <v/>
      </c>
      <c r="I287" s="5">
        <f>IF($N287="","",IF(INDEX('Per Invoice'!$I$2:$I$801,$N287)="","",INDEX('Per Invoice'!$I$2:$I$801,$N287)))</f>
        <v/>
      </c>
      <c r="J287" s="5">
        <f>IF($N287="","",IF(INDEX('Per Invoice'!$J$2:$J$801,$N287)="","",INDEX('Per Invoice'!$J$2:$J$801,$N287)))</f>
        <v/>
      </c>
      <c r="K287" s="5">
        <f>IF($N287="","",IF(INDEX('Per Invoice'!$K$2:$K$801,$N287)="","",INDEX('Per Invoice'!$K$2:$K$801,$N287)))</f>
        <v/>
      </c>
      <c r="L287" s="5">
        <f>IF($N287="","",IF(INDEX('Per Invoice'!$L$2:$L$801,$N287)="","",INDEX('Per Invoice'!$L$2:$L$801,$N287)))</f>
        <v/>
      </c>
      <c r="M287" s="5">
        <f>IF($N287="","",IF(INDEX('Per Invoice'!$M$2:$M$801,$N287)="","",INDEX('Per Invoice'!$M$2:$M$801,$N287)))</f>
        <v/>
      </c>
      <c r="N287">
        <f>IF(ROWS($N$2:$N287)&lt;=COUNT('Per Invoice'!$O$2:$O$801),MATCH(ROWS($N$2:$N287),'Per Invoice'!$O$2:$O$801,0),"")</f>
        <v/>
      </c>
    </row>
    <row r="288">
      <c r="A288">
        <f>IF($N288="","",IF(INDEX('Per Invoice'!$A$2:$A$801,$N288)="","",INDEX('Per Invoice'!$A$2:$A$801,$N288)))</f>
        <v/>
      </c>
      <c r="B288">
        <f>IF($N288="","",IF(INDEX('Per Invoice'!$B$2:$B$801,$N288)="","",INDEX('Per Invoice'!$B$2:$B$801,$N288)))</f>
        <v/>
      </c>
      <c r="C288">
        <f>IF($N288="","",IF(INDEX('Per Invoice'!$C$2:$C$801,$N288)="","",INDEX('Per Invoice'!$C$2:$C$801,$N288)))</f>
        <v/>
      </c>
      <c r="D288">
        <f>IF($N288="","",IF(INDEX('Per Invoice'!$D$2:$D$801,$N288)="","",INDEX('Per Invoice'!$D$2:$D$801,$N288)))</f>
        <v/>
      </c>
      <c r="E288">
        <f>IF($N288="","",IF(INDEX('Per Invoice'!$E$2:$E$801,$N288)="","",INDEX('Per Invoice'!$E$2:$E$801,$N288)))</f>
        <v/>
      </c>
      <c r="F288">
        <f>IF($N288="","",IF(INDEX('Per Invoice'!$F$2:$F$801,$N288)="","",INDEX('Per Invoice'!$F$2:$F$801,$N288)))</f>
        <v/>
      </c>
      <c r="G288">
        <f>IF($N288="","",IF(INDEX('Per Invoice'!$G$2:$G$801,$N288)="","",INDEX('Per Invoice'!$G$2:$G$801,$N288)))</f>
        <v/>
      </c>
      <c r="H288">
        <f>IF($N288="","",IF(INDEX('Per Invoice'!$H$2:$H$801,$N288)="","",INDEX('Per Invoice'!$H$2:$H$801,$N288)))</f>
        <v/>
      </c>
      <c r="I288" s="5">
        <f>IF($N288="","",IF(INDEX('Per Invoice'!$I$2:$I$801,$N288)="","",INDEX('Per Invoice'!$I$2:$I$801,$N288)))</f>
        <v/>
      </c>
      <c r="J288" s="5">
        <f>IF($N288="","",IF(INDEX('Per Invoice'!$J$2:$J$801,$N288)="","",INDEX('Per Invoice'!$J$2:$J$801,$N288)))</f>
        <v/>
      </c>
      <c r="K288" s="5">
        <f>IF($N288="","",IF(INDEX('Per Invoice'!$K$2:$K$801,$N288)="","",INDEX('Per Invoice'!$K$2:$K$801,$N288)))</f>
        <v/>
      </c>
      <c r="L288" s="5">
        <f>IF($N288="","",IF(INDEX('Per Invoice'!$L$2:$L$801,$N288)="","",INDEX('Per Invoice'!$L$2:$L$801,$N288)))</f>
        <v/>
      </c>
      <c r="M288" s="5">
        <f>IF($N288="","",IF(INDEX('Per Invoice'!$M$2:$M$801,$N288)="","",INDEX('Per Invoice'!$M$2:$M$801,$N288)))</f>
        <v/>
      </c>
      <c r="N288">
        <f>IF(ROWS($N$2:$N288)&lt;=COUNT('Per Invoice'!$O$2:$O$801),MATCH(ROWS($N$2:$N288),'Per Invoice'!$O$2:$O$801,0),"")</f>
        <v/>
      </c>
    </row>
    <row r="289">
      <c r="A289">
        <f>IF($N289="","",IF(INDEX('Per Invoice'!$A$2:$A$801,$N289)="","",INDEX('Per Invoice'!$A$2:$A$801,$N289)))</f>
        <v/>
      </c>
      <c r="B289">
        <f>IF($N289="","",IF(INDEX('Per Invoice'!$B$2:$B$801,$N289)="","",INDEX('Per Invoice'!$B$2:$B$801,$N289)))</f>
        <v/>
      </c>
      <c r="C289">
        <f>IF($N289="","",IF(INDEX('Per Invoice'!$C$2:$C$801,$N289)="","",INDEX('Per Invoice'!$C$2:$C$801,$N289)))</f>
        <v/>
      </c>
      <c r="D289">
        <f>IF($N289="","",IF(INDEX('Per Invoice'!$D$2:$D$801,$N289)="","",INDEX('Per Invoice'!$D$2:$D$801,$N289)))</f>
        <v/>
      </c>
      <c r="E289">
        <f>IF($N289="","",IF(INDEX('Per Invoice'!$E$2:$E$801,$N289)="","",INDEX('Per Invoice'!$E$2:$E$801,$N289)))</f>
        <v/>
      </c>
      <c r="F289">
        <f>IF($N289="","",IF(INDEX('Per Invoice'!$F$2:$F$801,$N289)="","",INDEX('Per Invoice'!$F$2:$F$801,$N289)))</f>
        <v/>
      </c>
      <c r="G289">
        <f>IF($N289="","",IF(INDEX('Per Invoice'!$G$2:$G$801,$N289)="","",INDEX('Per Invoice'!$G$2:$G$801,$N289)))</f>
        <v/>
      </c>
      <c r="H289">
        <f>IF($N289="","",IF(INDEX('Per Invoice'!$H$2:$H$801,$N289)="","",INDEX('Per Invoice'!$H$2:$H$801,$N289)))</f>
        <v/>
      </c>
      <c r="I289" s="5">
        <f>IF($N289="","",IF(INDEX('Per Invoice'!$I$2:$I$801,$N289)="","",INDEX('Per Invoice'!$I$2:$I$801,$N289)))</f>
        <v/>
      </c>
      <c r="J289" s="5">
        <f>IF($N289="","",IF(INDEX('Per Invoice'!$J$2:$J$801,$N289)="","",INDEX('Per Invoice'!$J$2:$J$801,$N289)))</f>
        <v/>
      </c>
      <c r="K289" s="5">
        <f>IF($N289="","",IF(INDEX('Per Invoice'!$K$2:$K$801,$N289)="","",INDEX('Per Invoice'!$K$2:$K$801,$N289)))</f>
        <v/>
      </c>
      <c r="L289" s="5">
        <f>IF($N289="","",IF(INDEX('Per Invoice'!$L$2:$L$801,$N289)="","",INDEX('Per Invoice'!$L$2:$L$801,$N289)))</f>
        <v/>
      </c>
      <c r="M289" s="5">
        <f>IF($N289="","",IF(INDEX('Per Invoice'!$M$2:$M$801,$N289)="","",INDEX('Per Invoice'!$M$2:$M$801,$N289)))</f>
        <v/>
      </c>
      <c r="N289">
        <f>IF(ROWS($N$2:$N289)&lt;=COUNT('Per Invoice'!$O$2:$O$801),MATCH(ROWS($N$2:$N289),'Per Invoice'!$O$2:$O$801,0),"")</f>
        <v/>
      </c>
    </row>
    <row r="290">
      <c r="A290">
        <f>IF($N290="","",IF(INDEX('Per Invoice'!$A$2:$A$801,$N290)="","",INDEX('Per Invoice'!$A$2:$A$801,$N290)))</f>
        <v/>
      </c>
      <c r="B290">
        <f>IF($N290="","",IF(INDEX('Per Invoice'!$B$2:$B$801,$N290)="","",INDEX('Per Invoice'!$B$2:$B$801,$N290)))</f>
        <v/>
      </c>
      <c r="C290">
        <f>IF($N290="","",IF(INDEX('Per Invoice'!$C$2:$C$801,$N290)="","",INDEX('Per Invoice'!$C$2:$C$801,$N290)))</f>
        <v/>
      </c>
      <c r="D290">
        <f>IF($N290="","",IF(INDEX('Per Invoice'!$D$2:$D$801,$N290)="","",INDEX('Per Invoice'!$D$2:$D$801,$N290)))</f>
        <v/>
      </c>
      <c r="E290">
        <f>IF($N290="","",IF(INDEX('Per Invoice'!$E$2:$E$801,$N290)="","",INDEX('Per Invoice'!$E$2:$E$801,$N290)))</f>
        <v/>
      </c>
      <c r="F290">
        <f>IF($N290="","",IF(INDEX('Per Invoice'!$F$2:$F$801,$N290)="","",INDEX('Per Invoice'!$F$2:$F$801,$N290)))</f>
        <v/>
      </c>
      <c r="G290">
        <f>IF($N290="","",IF(INDEX('Per Invoice'!$G$2:$G$801,$N290)="","",INDEX('Per Invoice'!$G$2:$G$801,$N290)))</f>
        <v/>
      </c>
      <c r="H290">
        <f>IF($N290="","",IF(INDEX('Per Invoice'!$H$2:$H$801,$N290)="","",INDEX('Per Invoice'!$H$2:$H$801,$N290)))</f>
        <v/>
      </c>
      <c r="I290" s="5">
        <f>IF($N290="","",IF(INDEX('Per Invoice'!$I$2:$I$801,$N290)="","",INDEX('Per Invoice'!$I$2:$I$801,$N290)))</f>
        <v/>
      </c>
      <c r="J290" s="5">
        <f>IF($N290="","",IF(INDEX('Per Invoice'!$J$2:$J$801,$N290)="","",INDEX('Per Invoice'!$J$2:$J$801,$N290)))</f>
        <v/>
      </c>
      <c r="K290" s="5">
        <f>IF($N290="","",IF(INDEX('Per Invoice'!$K$2:$K$801,$N290)="","",INDEX('Per Invoice'!$K$2:$K$801,$N290)))</f>
        <v/>
      </c>
      <c r="L290" s="5">
        <f>IF($N290="","",IF(INDEX('Per Invoice'!$L$2:$L$801,$N290)="","",INDEX('Per Invoice'!$L$2:$L$801,$N290)))</f>
        <v/>
      </c>
      <c r="M290" s="5">
        <f>IF($N290="","",IF(INDEX('Per Invoice'!$M$2:$M$801,$N290)="","",INDEX('Per Invoice'!$M$2:$M$801,$N290)))</f>
        <v/>
      </c>
      <c r="N290">
        <f>IF(ROWS($N$2:$N290)&lt;=COUNT('Per Invoice'!$O$2:$O$801),MATCH(ROWS($N$2:$N290),'Per Invoice'!$O$2:$O$801,0),"")</f>
        <v/>
      </c>
    </row>
    <row r="291">
      <c r="A291">
        <f>IF($N291="","",IF(INDEX('Per Invoice'!$A$2:$A$801,$N291)="","",INDEX('Per Invoice'!$A$2:$A$801,$N291)))</f>
        <v/>
      </c>
      <c r="B291">
        <f>IF($N291="","",IF(INDEX('Per Invoice'!$B$2:$B$801,$N291)="","",INDEX('Per Invoice'!$B$2:$B$801,$N291)))</f>
        <v/>
      </c>
      <c r="C291">
        <f>IF($N291="","",IF(INDEX('Per Invoice'!$C$2:$C$801,$N291)="","",INDEX('Per Invoice'!$C$2:$C$801,$N291)))</f>
        <v/>
      </c>
      <c r="D291">
        <f>IF($N291="","",IF(INDEX('Per Invoice'!$D$2:$D$801,$N291)="","",INDEX('Per Invoice'!$D$2:$D$801,$N291)))</f>
        <v/>
      </c>
      <c r="E291">
        <f>IF($N291="","",IF(INDEX('Per Invoice'!$E$2:$E$801,$N291)="","",INDEX('Per Invoice'!$E$2:$E$801,$N291)))</f>
        <v/>
      </c>
      <c r="F291">
        <f>IF($N291="","",IF(INDEX('Per Invoice'!$F$2:$F$801,$N291)="","",INDEX('Per Invoice'!$F$2:$F$801,$N291)))</f>
        <v/>
      </c>
      <c r="G291">
        <f>IF($N291="","",IF(INDEX('Per Invoice'!$G$2:$G$801,$N291)="","",INDEX('Per Invoice'!$G$2:$G$801,$N291)))</f>
        <v/>
      </c>
      <c r="H291">
        <f>IF($N291="","",IF(INDEX('Per Invoice'!$H$2:$H$801,$N291)="","",INDEX('Per Invoice'!$H$2:$H$801,$N291)))</f>
        <v/>
      </c>
      <c r="I291" s="5">
        <f>IF($N291="","",IF(INDEX('Per Invoice'!$I$2:$I$801,$N291)="","",INDEX('Per Invoice'!$I$2:$I$801,$N291)))</f>
        <v/>
      </c>
      <c r="J291" s="5">
        <f>IF($N291="","",IF(INDEX('Per Invoice'!$J$2:$J$801,$N291)="","",INDEX('Per Invoice'!$J$2:$J$801,$N291)))</f>
        <v/>
      </c>
      <c r="K291" s="5">
        <f>IF($N291="","",IF(INDEX('Per Invoice'!$K$2:$K$801,$N291)="","",INDEX('Per Invoice'!$K$2:$K$801,$N291)))</f>
        <v/>
      </c>
      <c r="L291" s="5">
        <f>IF($N291="","",IF(INDEX('Per Invoice'!$L$2:$L$801,$N291)="","",INDEX('Per Invoice'!$L$2:$L$801,$N291)))</f>
        <v/>
      </c>
      <c r="M291" s="5">
        <f>IF($N291="","",IF(INDEX('Per Invoice'!$M$2:$M$801,$N291)="","",INDEX('Per Invoice'!$M$2:$M$801,$N291)))</f>
        <v/>
      </c>
      <c r="N291">
        <f>IF(ROWS($N$2:$N291)&lt;=COUNT('Per Invoice'!$O$2:$O$801),MATCH(ROWS($N$2:$N291),'Per Invoice'!$O$2:$O$801,0),"")</f>
        <v/>
      </c>
    </row>
    <row r="292">
      <c r="A292">
        <f>IF($N292="","",IF(INDEX('Per Invoice'!$A$2:$A$801,$N292)="","",INDEX('Per Invoice'!$A$2:$A$801,$N292)))</f>
        <v/>
      </c>
      <c r="B292">
        <f>IF($N292="","",IF(INDEX('Per Invoice'!$B$2:$B$801,$N292)="","",INDEX('Per Invoice'!$B$2:$B$801,$N292)))</f>
        <v/>
      </c>
      <c r="C292">
        <f>IF($N292="","",IF(INDEX('Per Invoice'!$C$2:$C$801,$N292)="","",INDEX('Per Invoice'!$C$2:$C$801,$N292)))</f>
        <v/>
      </c>
      <c r="D292">
        <f>IF($N292="","",IF(INDEX('Per Invoice'!$D$2:$D$801,$N292)="","",INDEX('Per Invoice'!$D$2:$D$801,$N292)))</f>
        <v/>
      </c>
      <c r="E292">
        <f>IF($N292="","",IF(INDEX('Per Invoice'!$E$2:$E$801,$N292)="","",INDEX('Per Invoice'!$E$2:$E$801,$N292)))</f>
        <v/>
      </c>
      <c r="F292">
        <f>IF($N292="","",IF(INDEX('Per Invoice'!$F$2:$F$801,$N292)="","",INDEX('Per Invoice'!$F$2:$F$801,$N292)))</f>
        <v/>
      </c>
      <c r="G292">
        <f>IF($N292="","",IF(INDEX('Per Invoice'!$G$2:$G$801,$N292)="","",INDEX('Per Invoice'!$G$2:$G$801,$N292)))</f>
        <v/>
      </c>
      <c r="H292">
        <f>IF($N292="","",IF(INDEX('Per Invoice'!$H$2:$H$801,$N292)="","",INDEX('Per Invoice'!$H$2:$H$801,$N292)))</f>
        <v/>
      </c>
      <c r="I292" s="5">
        <f>IF($N292="","",IF(INDEX('Per Invoice'!$I$2:$I$801,$N292)="","",INDEX('Per Invoice'!$I$2:$I$801,$N292)))</f>
        <v/>
      </c>
      <c r="J292" s="5">
        <f>IF($N292="","",IF(INDEX('Per Invoice'!$J$2:$J$801,$N292)="","",INDEX('Per Invoice'!$J$2:$J$801,$N292)))</f>
        <v/>
      </c>
      <c r="K292" s="5">
        <f>IF($N292="","",IF(INDEX('Per Invoice'!$K$2:$K$801,$N292)="","",INDEX('Per Invoice'!$K$2:$K$801,$N292)))</f>
        <v/>
      </c>
      <c r="L292" s="5">
        <f>IF($N292="","",IF(INDEX('Per Invoice'!$L$2:$L$801,$N292)="","",INDEX('Per Invoice'!$L$2:$L$801,$N292)))</f>
        <v/>
      </c>
      <c r="M292" s="5">
        <f>IF($N292="","",IF(INDEX('Per Invoice'!$M$2:$M$801,$N292)="","",INDEX('Per Invoice'!$M$2:$M$801,$N292)))</f>
        <v/>
      </c>
      <c r="N292">
        <f>IF(ROWS($N$2:$N292)&lt;=COUNT('Per Invoice'!$O$2:$O$801),MATCH(ROWS($N$2:$N292),'Per Invoice'!$O$2:$O$801,0),"")</f>
        <v/>
      </c>
    </row>
    <row r="293">
      <c r="A293">
        <f>IF($N293="","",IF(INDEX('Per Invoice'!$A$2:$A$801,$N293)="","",INDEX('Per Invoice'!$A$2:$A$801,$N293)))</f>
        <v/>
      </c>
      <c r="B293">
        <f>IF($N293="","",IF(INDEX('Per Invoice'!$B$2:$B$801,$N293)="","",INDEX('Per Invoice'!$B$2:$B$801,$N293)))</f>
        <v/>
      </c>
      <c r="C293">
        <f>IF($N293="","",IF(INDEX('Per Invoice'!$C$2:$C$801,$N293)="","",INDEX('Per Invoice'!$C$2:$C$801,$N293)))</f>
        <v/>
      </c>
      <c r="D293">
        <f>IF($N293="","",IF(INDEX('Per Invoice'!$D$2:$D$801,$N293)="","",INDEX('Per Invoice'!$D$2:$D$801,$N293)))</f>
        <v/>
      </c>
      <c r="E293">
        <f>IF($N293="","",IF(INDEX('Per Invoice'!$E$2:$E$801,$N293)="","",INDEX('Per Invoice'!$E$2:$E$801,$N293)))</f>
        <v/>
      </c>
      <c r="F293">
        <f>IF($N293="","",IF(INDEX('Per Invoice'!$F$2:$F$801,$N293)="","",INDEX('Per Invoice'!$F$2:$F$801,$N293)))</f>
        <v/>
      </c>
      <c r="G293">
        <f>IF($N293="","",IF(INDEX('Per Invoice'!$G$2:$G$801,$N293)="","",INDEX('Per Invoice'!$G$2:$G$801,$N293)))</f>
        <v/>
      </c>
      <c r="H293">
        <f>IF($N293="","",IF(INDEX('Per Invoice'!$H$2:$H$801,$N293)="","",INDEX('Per Invoice'!$H$2:$H$801,$N293)))</f>
        <v/>
      </c>
      <c r="I293" s="5">
        <f>IF($N293="","",IF(INDEX('Per Invoice'!$I$2:$I$801,$N293)="","",INDEX('Per Invoice'!$I$2:$I$801,$N293)))</f>
        <v/>
      </c>
      <c r="J293" s="5">
        <f>IF($N293="","",IF(INDEX('Per Invoice'!$J$2:$J$801,$N293)="","",INDEX('Per Invoice'!$J$2:$J$801,$N293)))</f>
        <v/>
      </c>
      <c r="K293" s="5">
        <f>IF($N293="","",IF(INDEX('Per Invoice'!$K$2:$K$801,$N293)="","",INDEX('Per Invoice'!$K$2:$K$801,$N293)))</f>
        <v/>
      </c>
      <c r="L293" s="5">
        <f>IF($N293="","",IF(INDEX('Per Invoice'!$L$2:$L$801,$N293)="","",INDEX('Per Invoice'!$L$2:$L$801,$N293)))</f>
        <v/>
      </c>
      <c r="M293" s="5">
        <f>IF($N293="","",IF(INDEX('Per Invoice'!$M$2:$M$801,$N293)="","",INDEX('Per Invoice'!$M$2:$M$801,$N293)))</f>
        <v/>
      </c>
      <c r="N293">
        <f>IF(ROWS($N$2:$N293)&lt;=COUNT('Per Invoice'!$O$2:$O$801),MATCH(ROWS($N$2:$N293),'Per Invoice'!$O$2:$O$801,0),"")</f>
        <v/>
      </c>
    </row>
    <row r="294">
      <c r="A294">
        <f>IF($N294="","",IF(INDEX('Per Invoice'!$A$2:$A$801,$N294)="","",INDEX('Per Invoice'!$A$2:$A$801,$N294)))</f>
        <v/>
      </c>
      <c r="B294">
        <f>IF($N294="","",IF(INDEX('Per Invoice'!$B$2:$B$801,$N294)="","",INDEX('Per Invoice'!$B$2:$B$801,$N294)))</f>
        <v/>
      </c>
      <c r="C294">
        <f>IF($N294="","",IF(INDEX('Per Invoice'!$C$2:$C$801,$N294)="","",INDEX('Per Invoice'!$C$2:$C$801,$N294)))</f>
        <v/>
      </c>
      <c r="D294">
        <f>IF($N294="","",IF(INDEX('Per Invoice'!$D$2:$D$801,$N294)="","",INDEX('Per Invoice'!$D$2:$D$801,$N294)))</f>
        <v/>
      </c>
      <c r="E294">
        <f>IF($N294="","",IF(INDEX('Per Invoice'!$E$2:$E$801,$N294)="","",INDEX('Per Invoice'!$E$2:$E$801,$N294)))</f>
        <v/>
      </c>
      <c r="F294">
        <f>IF($N294="","",IF(INDEX('Per Invoice'!$F$2:$F$801,$N294)="","",INDEX('Per Invoice'!$F$2:$F$801,$N294)))</f>
        <v/>
      </c>
      <c r="G294">
        <f>IF($N294="","",IF(INDEX('Per Invoice'!$G$2:$G$801,$N294)="","",INDEX('Per Invoice'!$G$2:$G$801,$N294)))</f>
        <v/>
      </c>
      <c r="H294">
        <f>IF($N294="","",IF(INDEX('Per Invoice'!$H$2:$H$801,$N294)="","",INDEX('Per Invoice'!$H$2:$H$801,$N294)))</f>
        <v/>
      </c>
      <c r="I294" s="5">
        <f>IF($N294="","",IF(INDEX('Per Invoice'!$I$2:$I$801,$N294)="","",INDEX('Per Invoice'!$I$2:$I$801,$N294)))</f>
        <v/>
      </c>
      <c r="J294" s="5">
        <f>IF($N294="","",IF(INDEX('Per Invoice'!$J$2:$J$801,$N294)="","",INDEX('Per Invoice'!$J$2:$J$801,$N294)))</f>
        <v/>
      </c>
      <c r="K294" s="5">
        <f>IF($N294="","",IF(INDEX('Per Invoice'!$K$2:$K$801,$N294)="","",INDEX('Per Invoice'!$K$2:$K$801,$N294)))</f>
        <v/>
      </c>
      <c r="L294" s="5">
        <f>IF($N294="","",IF(INDEX('Per Invoice'!$L$2:$L$801,$N294)="","",INDEX('Per Invoice'!$L$2:$L$801,$N294)))</f>
        <v/>
      </c>
      <c r="M294" s="5">
        <f>IF($N294="","",IF(INDEX('Per Invoice'!$M$2:$M$801,$N294)="","",INDEX('Per Invoice'!$M$2:$M$801,$N294)))</f>
        <v/>
      </c>
      <c r="N294">
        <f>IF(ROWS($N$2:$N294)&lt;=COUNT('Per Invoice'!$O$2:$O$801),MATCH(ROWS($N$2:$N294),'Per Invoice'!$O$2:$O$801,0),"")</f>
        <v/>
      </c>
    </row>
    <row r="295">
      <c r="A295">
        <f>IF($N295="","",IF(INDEX('Per Invoice'!$A$2:$A$801,$N295)="","",INDEX('Per Invoice'!$A$2:$A$801,$N295)))</f>
        <v/>
      </c>
      <c r="B295">
        <f>IF($N295="","",IF(INDEX('Per Invoice'!$B$2:$B$801,$N295)="","",INDEX('Per Invoice'!$B$2:$B$801,$N295)))</f>
        <v/>
      </c>
      <c r="C295">
        <f>IF($N295="","",IF(INDEX('Per Invoice'!$C$2:$C$801,$N295)="","",INDEX('Per Invoice'!$C$2:$C$801,$N295)))</f>
        <v/>
      </c>
      <c r="D295">
        <f>IF($N295="","",IF(INDEX('Per Invoice'!$D$2:$D$801,$N295)="","",INDEX('Per Invoice'!$D$2:$D$801,$N295)))</f>
        <v/>
      </c>
      <c r="E295">
        <f>IF($N295="","",IF(INDEX('Per Invoice'!$E$2:$E$801,$N295)="","",INDEX('Per Invoice'!$E$2:$E$801,$N295)))</f>
        <v/>
      </c>
      <c r="F295">
        <f>IF($N295="","",IF(INDEX('Per Invoice'!$F$2:$F$801,$N295)="","",INDEX('Per Invoice'!$F$2:$F$801,$N295)))</f>
        <v/>
      </c>
      <c r="G295">
        <f>IF($N295="","",IF(INDEX('Per Invoice'!$G$2:$G$801,$N295)="","",INDEX('Per Invoice'!$G$2:$G$801,$N295)))</f>
        <v/>
      </c>
      <c r="H295">
        <f>IF($N295="","",IF(INDEX('Per Invoice'!$H$2:$H$801,$N295)="","",INDEX('Per Invoice'!$H$2:$H$801,$N295)))</f>
        <v/>
      </c>
      <c r="I295" s="5">
        <f>IF($N295="","",IF(INDEX('Per Invoice'!$I$2:$I$801,$N295)="","",INDEX('Per Invoice'!$I$2:$I$801,$N295)))</f>
        <v/>
      </c>
      <c r="J295" s="5">
        <f>IF($N295="","",IF(INDEX('Per Invoice'!$J$2:$J$801,$N295)="","",INDEX('Per Invoice'!$J$2:$J$801,$N295)))</f>
        <v/>
      </c>
      <c r="K295" s="5">
        <f>IF($N295="","",IF(INDEX('Per Invoice'!$K$2:$K$801,$N295)="","",INDEX('Per Invoice'!$K$2:$K$801,$N295)))</f>
        <v/>
      </c>
      <c r="L295" s="5">
        <f>IF($N295="","",IF(INDEX('Per Invoice'!$L$2:$L$801,$N295)="","",INDEX('Per Invoice'!$L$2:$L$801,$N295)))</f>
        <v/>
      </c>
      <c r="M295" s="5">
        <f>IF($N295="","",IF(INDEX('Per Invoice'!$M$2:$M$801,$N295)="","",INDEX('Per Invoice'!$M$2:$M$801,$N295)))</f>
        <v/>
      </c>
      <c r="N295">
        <f>IF(ROWS($N$2:$N295)&lt;=COUNT('Per Invoice'!$O$2:$O$801),MATCH(ROWS($N$2:$N295),'Per Invoice'!$O$2:$O$801,0),"")</f>
        <v/>
      </c>
    </row>
    <row r="296">
      <c r="A296">
        <f>IF($N296="","",IF(INDEX('Per Invoice'!$A$2:$A$801,$N296)="","",INDEX('Per Invoice'!$A$2:$A$801,$N296)))</f>
        <v/>
      </c>
      <c r="B296">
        <f>IF($N296="","",IF(INDEX('Per Invoice'!$B$2:$B$801,$N296)="","",INDEX('Per Invoice'!$B$2:$B$801,$N296)))</f>
        <v/>
      </c>
      <c r="C296">
        <f>IF($N296="","",IF(INDEX('Per Invoice'!$C$2:$C$801,$N296)="","",INDEX('Per Invoice'!$C$2:$C$801,$N296)))</f>
        <v/>
      </c>
      <c r="D296">
        <f>IF($N296="","",IF(INDEX('Per Invoice'!$D$2:$D$801,$N296)="","",INDEX('Per Invoice'!$D$2:$D$801,$N296)))</f>
        <v/>
      </c>
      <c r="E296">
        <f>IF($N296="","",IF(INDEX('Per Invoice'!$E$2:$E$801,$N296)="","",INDEX('Per Invoice'!$E$2:$E$801,$N296)))</f>
        <v/>
      </c>
      <c r="F296">
        <f>IF($N296="","",IF(INDEX('Per Invoice'!$F$2:$F$801,$N296)="","",INDEX('Per Invoice'!$F$2:$F$801,$N296)))</f>
        <v/>
      </c>
      <c r="G296">
        <f>IF($N296="","",IF(INDEX('Per Invoice'!$G$2:$G$801,$N296)="","",INDEX('Per Invoice'!$G$2:$G$801,$N296)))</f>
        <v/>
      </c>
      <c r="H296">
        <f>IF($N296="","",IF(INDEX('Per Invoice'!$H$2:$H$801,$N296)="","",INDEX('Per Invoice'!$H$2:$H$801,$N296)))</f>
        <v/>
      </c>
      <c r="I296" s="5">
        <f>IF($N296="","",IF(INDEX('Per Invoice'!$I$2:$I$801,$N296)="","",INDEX('Per Invoice'!$I$2:$I$801,$N296)))</f>
        <v/>
      </c>
      <c r="J296" s="5">
        <f>IF($N296="","",IF(INDEX('Per Invoice'!$J$2:$J$801,$N296)="","",INDEX('Per Invoice'!$J$2:$J$801,$N296)))</f>
        <v/>
      </c>
      <c r="K296" s="5">
        <f>IF($N296="","",IF(INDEX('Per Invoice'!$K$2:$K$801,$N296)="","",INDEX('Per Invoice'!$K$2:$K$801,$N296)))</f>
        <v/>
      </c>
      <c r="L296" s="5">
        <f>IF($N296="","",IF(INDEX('Per Invoice'!$L$2:$L$801,$N296)="","",INDEX('Per Invoice'!$L$2:$L$801,$N296)))</f>
        <v/>
      </c>
      <c r="M296" s="5">
        <f>IF($N296="","",IF(INDEX('Per Invoice'!$M$2:$M$801,$N296)="","",INDEX('Per Invoice'!$M$2:$M$801,$N296)))</f>
        <v/>
      </c>
      <c r="N296">
        <f>IF(ROWS($N$2:$N296)&lt;=COUNT('Per Invoice'!$O$2:$O$801),MATCH(ROWS($N$2:$N296),'Per Invoice'!$O$2:$O$801,0),"")</f>
        <v/>
      </c>
    </row>
    <row r="297">
      <c r="A297">
        <f>IF($N297="","",IF(INDEX('Per Invoice'!$A$2:$A$801,$N297)="","",INDEX('Per Invoice'!$A$2:$A$801,$N297)))</f>
        <v/>
      </c>
      <c r="B297">
        <f>IF($N297="","",IF(INDEX('Per Invoice'!$B$2:$B$801,$N297)="","",INDEX('Per Invoice'!$B$2:$B$801,$N297)))</f>
        <v/>
      </c>
      <c r="C297">
        <f>IF($N297="","",IF(INDEX('Per Invoice'!$C$2:$C$801,$N297)="","",INDEX('Per Invoice'!$C$2:$C$801,$N297)))</f>
        <v/>
      </c>
      <c r="D297">
        <f>IF($N297="","",IF(INDEX('Per Invoice'!$D$2:$D$801,$N297)="","",INDEX('Per Invoice'!$D$2:$D$801,$N297)))</f>
        <v/>
      </c>
      <c r="E297">
        <f>IF($N297="","",IF(INDEX('Per Invoice'!$E$2:$E$801,$N297)="","",INDEX('Per Invoice'!$E$2:$E$801,$N297)))</f>
        <v/>
      </c>
      <c r="F297">
        <f>IF($N297="","",IF(INDEX('Per Invoice'!$F$2:$F$801,$N297)="","",INDEX('Per Invoice'!$F$2:$F$801,$N297)))</f>
        <v/>
      </c>
      <c r="G297">
        <f>IF($N297="","",IF(INDEX('Per Invoice'!$G$2:$G$801,$N297)="","",INDEX('Per Invoice'!$G$2:$G$801,$N297)))</f>
        <v/>
      </c>
      <c r="H297">
        <f>IF($N297="","",IF(INDEX('Per Invoice'!$H$2:$H$801,$N297)="","",INDEX('Per Invoice'!$H$2:$H$801,$N297)))</f>
        <v/>
      </c>
      <c r="I297" s="5">
        <f>IF($N297="","",IF(INDEX('Per Invoice'!$I$2:$I$801,$N297)="","",INDEX('Per Invoice'!$I$2:$I$801,$N297)))</f>
        <v/>
      </c>
      <c r="J297" s="5">
        <f>IF($N297="","",IF(INDEX('Per Invoice'!$J$2:$J$801,$N297)="","",INDEX('Per Invoice'!$J$2:$J$801,$N297)))</f>
        <v/>
      </c>
      <c r="K297" s="5">
        <f>IF($N297="","",IF(INDEX('Per Invoice'!$K$2:$K$801,$N297)="","",INDEX('Per Invoice'!$K$2:$K$801,$N297)))</f>
        <v/>
      </c>
      <c r="L297" s="5">
        <f>IF($N297="","",IF(INDEX('Per Invoice'!$L$2:$L$801,$N297)="","",INDEX('Per Invoice'!$L$2:$L$801,$N297)))</f>
        <v/>
      </c>
      <c r="M297" s="5">
        <f>IF($N297="","",IF(INDEX('Per Invoice'!$M$2:$M$801,$N297)="","",INDEX('Per Invoice'!$M$2:$M$801,$N297)))</f>
        <v/>
      </c>
      <c r="N297">
        <f>IF(ROWS($N$2:$N297)&lt;=COUNT('Per Invoice'!$O$2:$O$801),MATCH(ROWS($N$2:$N297),'Per Invoice'!$O$2:$O$801,0),"")</f>
        <v/>
      </c>
    </row>
    <row r="298">
      <c r="A298">
        <f>IF($N298="","",IF(INDEX('Per Invoice'!$A$2:$A$801,$N298)="","",INDEX('Per Invoice'!$A$2:$A$801,$N298)))</f>
        <v/>
      </c>
      <c r="B298">
        <f>IF($N298="","",IF(INDEX('Per Invoice'!$B$2:$B$801,$N298)="","",INDEX('Per Invoice'!$B$2:$B$801,$N298)))</f>
        <v/>
      </c>
      <c r="C298">
        <f>IF($N298="","",IF(INDEX('Per Invoice'!$C$2:$C$801,$N298)="","",INDEX('Per Invoice'!$C$2:$C$801,$N298)))</f>
        <v/>
      </c>
      <c r="D298">
        <f>IF($N298="","",IF(INDEX('Per Invoice'!$D$2:$D$801,$N298)="","",INDEX('Per Invoice'!$D$2:$D$801,$N298)))</f>
        <v/>
      </c>
      <c r="E298">
        <f>IF($N298="","",IF(INDEX('Per Invoice'!$E$2:$E$801,$N298)="","",INDEX('Per Invoice'!$E$2:$E$801,$N298)))</f>
        <v/>
      </c>
      <c r="F298">
        <f>IF($N298="","",IF(INDEX('Per Invoice'!$F$2:$F$801,$N298)="","",INDEX('Per Invoice'!$F$2:$F$801,$N298)))</f>
        <v/>
      </c>
      <c r="G298">
        <f>IF($N298="","",IF(INDEX('Per Invoice'!$G$2:$G$801,$N298)="","",INDEX('Per Invoice'!$G$2:$G$801,$N298)))</f>
        <v/>
      </c>
      <c r="H298">
        <f>IF($N298="","",IF(INDEX('Per Invoice'!$H$2:$H$801,$N298)="","",INDEX('Per Invoice'!$H$2:$H$801,$N298)))</f>
        <v/>
      </c>
      <c r="I298" s="5">
        <f>IF($N298="","",IF(INDEX('Per Invoice'!$I$2:$I$801,$N298)="","",INDEX('Per Invoice'!$I$2:$I$801,$N298)))</f>
        <v/>
      </c>
      <c r="J298" s="5">
        <f>IF($N298="","",IF(INDEX('Per Invoice'!$J$2:$J$801,$N298)="","",INDEX('Per Invoice'!$J$2:$J$801,$N298)))</f>
        <v/>
      </c>
      <c r="K298" s="5">
        <f>IF($N298="","",IF(INDEX('Per Invoice'!$K$2:$K$801,$N298)="","",INDEX('Per Invoice'!$K$2:$K$801,$N298)))</f>
        <v/>
      </c>
      <c r="L298" s="5">
        <f>IF($N298="","",IF(INDEX('Per Invoice'!$L$2:$L$801,$N298)="","",INDEX('Per Invoice'!$L$2:$L$801,$N298)))</f>
        <v/>
      </c>
      <c r="M298" s="5">
        <f>IF($N298="","",IF(INDEX('Per Invoice'!$M$2:$M$801,$N298)="","",INDEX('Per Invoice'!$M$2:$M$801,$N298)))</f>
        <v/>
      </c>
      <c r="N298">
        <f>IF(ROWS($N$2:$N298)&lt;=COUNT('Per Invoice'!$O$2:$O$801),MATCH(ROWS($N$2:$N298),'Per Invoice'!$O$2:$O$801,0),"")</f>
        <v/>
      </c>
    </row>
    <row r="299">
      <c r="A299">
        <f>IF($N299="","",IF(INDEX('Per Invoice'!$A$2:$A$801,$N299)="","",INDEX('Per Invoice'!$A$2:$A$801,$N299)))</f>
        <v/>
      </c>
      <c r="B299">
        <f>IF($N299="","",IF(INDEX('Per Invoice'!$B$2:$B$801,$N299)="","",INDEX('Per Invoice'!$B$2:$B$801,$N299)))</f>
        <v/>
      </c>
      <c r="C299">
        <f>IF($N299="","",IF(INDEX('Per Invoice'!$C$2:$C$801,$N299)="","",INDEX('Per Invoice'!$C$2:$C$801,$N299)))</f>
        <v/>
      </c>
      <c r="D299">
        <f>IF($N299="","",IF(INDEX('Per Invoice'!$D$2:$D$801,$N299)="","",INDEX('Per Invoice'!$D$2:$D$801,$N299)))</f>
        <v/>
      </c>
      <c r="E299">
        <f>IF($N299="","",IF(INDEX('Per Invoice'!$E$2:$E$801,$N299)="","",INDEX('Per Invoice'!$E$2:$E$801,$N299)))</f>
        <v/>
      </c>
      <c r="F299">
        <f>IF($N299="","",IF(INDEX('Per Invoice'!$F$2:$F$801,$N299)="","",INDEX('Per Invoice'!$F$2:$F$801,$N299)))</f>
        <v/>
      </c>
      <c r="G299">
        <f>IF($N299="","",IF(INDEX('Per Invoice'!$G$2:$G$801,$N299)="","",INDEX('Per Invoice'!$G$2:$G$801,$N299)))</f>
        <v/>
      </c>
      <c r="H299">
        <f>IF($N299="","",IF(INDEX('Per Invoice'!$H$2:$H$801,$N299)="","",INDEX('Per Invoice'!$H$2:$H$801,$N299)))</f>
        <v/>
      </c>
      <c r="I299" s="5">
        <f>IF($N299="","",IF(INDEX('Per Invoice'!$I$2:$I$801,$N299)="","",INDEX('Per Invoice'!$I$2:$I$801,$N299)))</f>
        <v/>
      </c>
      <c r="J299" s="5">
        <f>IF($N299="","",IF(INDEX('Per Invoice'!$J$2:$J$801,$N299)="","",INDEX('Per Invoice'!$J$2:$J$801,$N299)))</f>
        <v/>
      </c>
      <c r="K299" s="5">
        <f>IF($N299="","",IF(INDEX('Per Invoice'!$K$2:$K$801,$N299)="","",INDEX('Per Invoice'!$K$2:$K$801,$N299)))</f>
        <v/>
      </c>
      <c r="L299" s="5">
        <f>IF($N299="","",IF(INDEX('Per Invoice'!$L$2:$L$801,$N299)="","",INDEX('Per Invoice'!$L$2:$L$801,$N299)))</f>
        <v/>
      </c>
      <c r="M299" s="5">
        <f>IF($N299="","",IF(INDEX('Per Invoice'!$M$2:$M$801,$N299)="","",INDEX('Per Invoice'!$M$2:$M$801,$N299)))</f>
        <v/>
      </c>
      <c r="N299">
        <f>IF(ROWS($N$2:$N299)&lt;=COUNT('Per Invoice'!$O$2:$O$801),MATCH(ROWS($N$2:$N299),'Per Invoice'!$O$2:$O$801,0),"")</f>
        <v/>
      </c>
    </row>
    <row r="300">
      <c r="A300">
        <f>IF($N300="","",IF(INDEX('Per Invoice'!$A$2:$A$801,$N300)="","",INDEX('Per Invoice'!$A$2:$A$801,$N300)))</f>
        <v/>
      </c>
      <c r="B300">
        <f>IF($N300="","",IF(INDEX('Per Invoice'!$B$2:$B$801,$N300)="","",INDEX('Per Invoice'!$B$2:$B$801,$N300)))</f>
        <v/>
      </c>
      <c r="C300">
        <f>IF($N300="","",IF(INDEX('Per Invoice'!$C$2:$C$801,$N300)="","",INDEX('Per Invoice'!$C$2:$C$801,$N300)))</f>
        <v/>
      </c>
      <c r="D300">
        <f>IF($N300="","",IF(INDEX('Per Invoice'!$D$2:$D$801,$N300)="","",INDEX('Per Invoice'!$D$2:$D$801,$N300)))</f>
        <v/>
      </c>
      <c r="E300">
        <f>IF($N300="","",IF(INDEX('Per Invoice'!$E$2:$E$801,$N300)="","",INDEX('Per Invoice'!$E$2:$E$801,$N300)))</f>
        <v/>
      </c>
      <c r="F300">
        <f>IF($N300="","",IF(INDEX('Per Invoice'!$F$2:$F$801,$N300)="","",INDEX('Per Invoice'!$F$2:$F$801,$N300)))</f>
        <v/>
      </c>
      <c r="G300">
        <f>IF($N300="","",IF(INDEX('Per Invoice'!$G$2:$G$801,$N300)="","",INDEX('Per Invoice'!$G$2:$G$801,$N300)))</f>
        <v/>
      </c>
      <c r="H300">
        <f>IF($N300="","",IF(INDEX('Per Invoice'!$H$2:$H$801,$N300)="","",INDEX('Per Invoice'!$H$2:$H$801,$N300)))</f>
        <v/>
      </c>
      <c r="I300" s="5">
        <f>IF($N300="","",IF(INDEX('Per Invoice'!$I$2:$I$801,$N300)="","",INDEX('Per Invoice'!$I$2:$I$801,$N300)))</f>
        <v/>
      </c>
      <c r="J300" s="5">
        <f>IF($N300="","",IF(INDEX('Per Invoice'!$J$2:$J$801,$N300)="","",INDEX('Per Invoice'!$J$2:$J$801,$N300)))</f>
        <v/>
      </c>
      <c r="K300" s="5">
        <f>IF($N300="","",IF(INDEX('Per Invoice'!$K$2:$K$801,$N300)="","",INDEX('Per Invoice'!$K$2:$K$801,$N300)))</f>
        <v/>
      </c>
      <c r="L300" s="5">
        <f>IF($N300="","",IF(INDEX('Per Invoice'!$L$2:$L$801,$N300)="","",INDEX('Per Invoice'!$L$2:$L$801,$N300)))</f>
        <v/>
      </c>
      <c r="M300" s="5">
        <f>IF($N300="","",IF(INDEX('Per Invoice'!$M$2:$M$801,$N300)="","",INDEX('Per Invoice'!$M$2:$M$801,$N300)))</f>
        <v/>
      </c>
      <c r="N300">
        <f>IF(ROWS($N$2:$N300)&lt;=COUNT('Per Invoice'!$O$2:$O$801),MATCH(ROWS($N$2:$N300),'Per Invoice'!$O$2:$O$801,0),"")</f>
        <v/>
      </c>
    </row>
    <row r="301">
      <c r="A301">
        <f>IF($N301="","",IF(INDEX('Per Invoice'!$A$2:$A$801,$N301)="","",INDEX('Per Invoice'!$A$2:$A$801,$N301)))</f>
        <v/>
      </c>
      <c r="B301">
        <f>IF($N301="","",IF(INDEX('Per Invoice'!$B$2:$B$801,$N301)="","",INDEX('Per Invoice'!$B$2:$B$801,$N301)))</f>
        <v/>
      </c>
      <c r="C301">
        <f>IF($N301="","",IF(INDEX('Per Invoice'!$C$2:$C$801,$N301)="","",INDEX('Per Invoice'!$C$2:$C$801,$N301)))</f>
        <v/>
      </c>
      <c r="D301">
        <f>IF($N301="","",IF(INDEX('Per Invoice'!$D$2:$D$801,$N301)="","",INDEX('Per Invoice'!$D$2:$D$801,$N301)))</f>
        <v/>
      </c>
      <c r="E301">
        <f>IF($N301="","",IF(INDEX('Per Invoice'!$E$2:$E$801,$N301)="","",INDEX('Per Invoice'!$E$2:$E$801,$N301)))</f>
        <v/>
      </c>
      <c r="F301">
        <f>IF($N301="","",IF(INDEX('Per Invoice'!$F$2:$F$801,$N301)="","",INDEX('Per Invoice'!$F$2:$F$801,$N301)))</f>
        <v/>
      </c>
      <c r="G301">
        <f>IF($N301="","",IF(INDEX('Per Invoice'!$G$2:$G$801,$N301)="","",INDEX('Per Invoice'!$G$2:$G$801,$N301)))</f>
        <v/>
      </c>
      <c r="H301">
        <f>IF($N301="","",IF(INDEX('Per Invoice'!$H$2:$H$801,$N301)="","",INDEX('Per Invoice'!$H$2:$H$801,$N301)))</f>
        <v/>
      </c>
      <c r="I301" s="5">
        <f>IF($N301="","",IF(INDEX('Per Invoice'!$I$2:$I$801,$N301)="","",INDEX('Per Invoice'!$I$2:$I$801,$N301)))</f>
        <v/>
      </c>
      <c r="J301" s="5">
        <f>IF($N301="","",IF(INDEX('Per Invoice'!$J$2:$J$801,$N301)="","",INDEX('Per Invoice'!$J$2:$J$801,$N301)))</f>
        <v/>
      </c>
      <c r="K301" s="5">
        <f>IF($N301="","",IF(INDEX('Per Invoice'!$K$2:$K$801,$N301)="","",INDEX('Per Invoice'!$K$2:$K$801,$N301)))</f>
        <v/>
      </c>
      <c r="L301" s="5">
        <f>IF($N301="","",IF(INDEX('Per Invoice'!$L$2:$L$801,$N301)="","",INDEX('Per Invoice'!$L$2:$L$801,$N301)))</f>
        <v/>
      </c>
      <c r="M301" s="5">
        <f>IF($N301="","",IF(INDEX('Per Invoice'!$M$2:$M$801,$N301)="","",INDEX('Per Invoice'!$M$2:$M$801,$N301)))</f>
        <v/>
      </c>
      <c r="N301">
        <f>IF(ROWS($N$2:$N301)&lt;=COUNT('Per Invoice'!$O$2:$O$801),MATCH(ROWS($N$2:$N301),'Per Invoice'!$O$2:$O$801,0),"")</f>
        <v/>
      </c>
    </row>
    <row r="302">
      <c r="A302">
        <f>IF($N302="","",IF(INDEX('Per Invoice'!$A$2:$A$801,$N302)="","",INDEX('Per Invoice'!$A$2:$A$801,$N302)))</f>
        <v/>
      </c>
      <c r="B302">
        <f>IF($N302="","",IF(INDEX('Per Invoice'!$B$2:$B$801,$N302)="","",INDEX('Per Invoice'!$B$2:$B$801,$N302)))</f>
        <v/>
      </c>
      <c r="C302">
        <f>IF($N302="","",IF(INDEX('Per Invoice'!$C$2:$C$801,$N302)="","",INDEX('Per Invoice'!$C$2:$C$801,$N302)))</f>
        <v/>
      </c>
      <c r="D302">
        <f>IF($N302="","",IF(INDEX('Per Invoice'!$D$2:$D$801,$N302)="","",INDEX('Per Invoice'!$D$2:$D$801,$N302)))</f>
        <v/>
      </c>
      <c r="E302">
        <f>IF($N302="","",IF(INDEX('Per Invoice'!$E$2:$E$801,$N302)="","",INDEX('Per Invoice'!$E$2:$E$801,$N302)))</f>
        <v/>
      </c>
      <c r="F302">
        <f>IF($N302="","",IF(INDEX('Per Invoice'!$F$2:$F$801,$N302)="","",INDEX('Per Invoice'!$F$2:$F$801,$N302)))</f>
        <v/>
      </c>
      <c r="G302">
        <f>IF($N302="","",IF(INDEX('Per Invoice'!$G$2:$G$801,$N302)="","",INDEX('Per Invoice'!$G$2:$G$801,$N302)))</f>
        <v/>
      </c>
      <c r="H302">
        <f>IF($N302="","",IF(INDEX('Per Invoice'!$H$2:$H$801,$N302)="","",INDEX('Per Invoice'!$H$2:$H$801,$N302)))</f>
        <v/>
      </c>
      <c r="I302" s="5">
        <f>IF($N302="","",IF(INDEX('Per Invoice'!$I$2:$I$801,$N302)="","",INDEX('Per Invoice'!$I$2:$I$801,$N302)))</f>
        <v/>
      </c>
      <c r="J302" s="5">
        <f>IF($N302="","",IF(INDEX('Per Invoice'!$J$2:$J$801,$N302)="","",INDEX('Per Invoice'!$J$2:$J$801,$N302)))</f>
        <v/>
      </c>
      <c r="K302" s="5">
        <f>IF($N302="","",IF(INDEX('Per Invoice'!$K$2:$K$801,$N302)="","",INDEX('Per Invoice'!$K$2:$K$801,$N302)))</f>
        <v/>
      </c>
      <c r="L302" s="5">
        <f>IF($N302="","",IF(INDEX('Per Invoice'!$L$2:$L$801,$N302)="","",INDEX('Per Invoice'!$L$2:$L$801,$N302)))</f>
        <v/>
      </c>
      <c r="M302" s="5">
        <f>IF($N302="","",IF(INDEX('Per Invoice'!$M$2:$M$801,$N302)="","",INDEX('Per Invoice'!$M$2:$M$801,$N302)))</f>
        <v/>
      </c>
      <c r="N302">
        <f>IF(ROWS($N$2:$N302)&lt;=COUNT('Per Invoice'!$O$2:$O$801),MATCH(ROWS($N$2:$N302),'Per Invoice'!$O$2:$O$801,0),"")</f>
        <v/>
      </c>
    </row>
    <row r="303">
      <c r="A303">
        <f>IF($N303="","",IF(INDEX('Per Invoice'!$A$2:$A$801,$N303)="","",INDEX('Per Invoice'!$A$2:$A$801,$N303)))</f>
        <v/>
      </c>
      <c r="B303">
        <f>IF($N303="","",IF(INDEX('Per Invoice'!$B$2:$B$801,$N303)="","",INDEX('Per Invoice'!$B$2:$B$801,$N303)))</f>
        <v/>
      </c>
      <c r="C303">
        <f>IF($N303="","",IF(INDEX('Per Invoice'!$C$2:$C$801,$N303)="","",INDEX('Per Invoice'!$C$2:$C$801,$N303)))</f>
        <v/>
      </c>
      <c r="D303">
        <f>IF($N303="","",IF(INDEX('Per Invoice'!$D$2:$D$801,$N303)="","",INDEX('Per Invoice'!$D$2:$D$801,$N303)))</f>
        <v/>
      </c>
      <c r="E303">
        <f>IF($N303="","",IF(INDEX('Per Invoice'!$E$2:$E$801,$N303)="","",INDEX('Per Invoice'!$E$2:$E$801,$N303)))</f>
        <v/>
      </c>
      <c r="F303">
        <f>IF($N303="","",IF(INDEX('Per Invoice'!$F$2:$F$801,$N303)="","",INDEX('Per Invoice'!$F$2:$F$801,$N303)))</f>
        <v/>
      </c>
      <c r="G303">
        <f>IF($N303="","",IF(INDEX('Per Invoice'!$G$2:$G$801,$N303)="","",INDEX('Per Invoice'!$G$2:$G$801,$N303)))</f>
        <v/>
      </c>
      <c r="H303">
        <f>IF($N303="","",IF(INDEX('Per Invoice'!$H$2:$H$801,$N303)="","",INDEX('Per Invoice'!$H$2:$H$801,$N303)))</f>
        <v/>
      </c>
      <c r="I303" s="5">
        <f>IF($N303="","",IF(INDEX('Per Invoice'!$I$2:$I$801,$N303)="","",INDEX('Per Invoice'!$I$2:$I$801,$N303)))</f>
        <v/>
      </c>
      <c r="J303" s="5">
        <f>IF($N303="","",IF(INDEX('Per Invoice'!$J$2:$J$801,$N303)="","",INDEX('Per Invoice'!$J$2:$J$801,$N303)))</f>
        <v/>
      </c>
      <c r="K303" s="5">
        <f>IF($N303="","",IF(INDEX('Per Invoice'!$K$2:$K$801,$N303)="","",INDEX('Per Invoice'!$K$2:$K$801,$N303)))</f>
        <v/>
      </c>
      <c r="L303" s="5">
        <f>IF($N303="","",IF(INDEX('Per Invoice'!$L$2:$L$801,$N303)="","",INDEX('Per Invoice'!$L$2:$L$801,$N303)))</f>
        <v/>
      </c>
      <c r="M303" s="5">
        <f>IF($N303="","",IF(INDEX('Per Invoice'!$M$2:$M$801,$N303)="","",INDEX('Per Invoice'!$M$2:$M$801,$N303)))</f>
        <v/>
      </c>
      <c r="N303">
        <f>IF(ROWS($N$2:$N303)&lt;=COUNT('Per Invoice'!$O$2:$O$801),MATCH(ROWS($N$2:$N303),'Per Invoice'!$O$2:$O$801,0),"")</f>
        <v/>
      </c>
    </row>
    <row r="304">
      <c r="A304">
        <f>IF($N304="","",IF(INDEX('Per Invoice'!$A$2:$A$801,$N304)="","",INDEX('Per Invoice'!$A$2:$A$801,$N304)))</f>
        <v/>
      </c>
      <c r="B304">
        <f>IF($N304="","",IF(INDEX('Per Invoice'!$B$2:$B$801,$N304)="","",INDEX('Per Invoice'!$B$2:$B$801,$N304)))</f>
        <v/>
      </c>
      <c r="C304">
        <f>IF($N304="","",IF(INDEX('Per Invoice'!$C$2:$C$801,$N304)="","",INDEX('Per Invoice'!$C$2:$C$801,$N304)))</f>
        <v/>
      </c>
      <c r="D304">
        <f>IF($N304="","",IF(INDEX('Per Invoice'!$D$2:$D$801,$N304)="","",INDEX('Per Invoice'!$D$2:$D$801,$N304)))</f>
        <v/>
      </c>
      <c r="E304">
        <f>IF($N304="","",IF(INDEX('Per Invoice'!$E$2:$E$801,$N304)="","",INDEX('Per Invoice'!$E$2:$E$801,$N304)))</f>
        <v/>
      </c>
      <c r="F304">
        <f>IF($N304="","",IF(INDEX('Per Invoice'!$F$2:$F$801,$N304)="","",INDEX('Per Invoice'!$F$2:$F$801,$N304)))</f>
        <v/>
      </c>
      <c r="G304">
        <f>IF($N304="","",IF(INDEX('Per Invoice'!$G$2:$G$801,$N304)="","",INDEX('Per Invoice'!$G$2:$G$801,$N304)))</f>
        <v/>
      </c>
      <c r="H304">
        <f>IF($N304="","",IF(INDEX('Per Invoice'!$H$2:$H$801,$N304)="","",INDEX('Per Invoice'!$H$2:$H$801,$N304)))</f>
        <v/>
      </c>
      <c r="I304" s="5">
        <f>IF($N304="","",IF(INDEX('Per Invoice'!$I$2:$I$801,$N304)="","",INDEX('Per Invoice'!$I$2:$I$801,$N304)))</f>
        <v/>
      </c>
      <c r="J304" s="5">
        <f>IF($N304="","",IF(INDEX('Per Invoice'!$J$2:$J$801,$N304)="","",INDEX('Per Invoice'!$J$2:$J$801,$N304)))</f>
        <v/>
      </c>
      <c r="K304" s="5">
        <f>IF($N304="","",IF(INDEX('Per Invoice'!$K$2:$K$801,$N304)="","",INDEX('Per Invoice'!$K$2:$K$801,$N304)))</f>
        <v/>
      </c>
      <c r="L304" s="5">
        <f>IF($N304="","",IF(INDEX('Per Invoice'!$L$2:$L$801,$N304)="","",INDEX('Per Invoice'!$L$2:$L$801,$N304)))</f>
        <v/>
      </c>
      <c r="M304" s="5">
        <f>IF($N304="","",IF(INDEX('Per Invoice'!$M$2:$M$801,$N304)="","",INDEX('Per Invoice'!$M$2:$M$801,$N304)))</f>
        <v/>
      </c>
      <c r="N304">
        <f>IF(ROWS($N$2:$N304)&lt;=COUNT('Per Invoice'!$O$2:$O$801),MATCH(ROWS($N$2:$N304),'Per Invoice'!$O$2:$O$801,0),"")</f>
        <v/>
      </c>
    </row>
    <row r="305">
      <c r="A305">
        <f>IF($N305="","",IF(INDEX('Per Invoice'!$A$2:$A$801,$N305)="","",INDEX('Per Invoice'!$A$2:$A$801,$N305)))</f>
        <v/>
      </c>
      <c r="B305">
        <f>IF($N305="","",IF(INDEX('Per Invoice'!$B$2:$B$801,$N305)="","",INDEX('Per Invoice'!$B$2:$B$801,$N305)))</f>
        <v/>
      </c>
      <c r="C305">
        <f>IF($N305="","",IF(INDEX('Per Invoice'!$C$2:$C$801,$N305)="","",INDEX('Per Invoice'!$C$2:$C$801,$N305)))</f>
        <v/>
      </c>
      <c r="D305">
        <f>IF($N305="","",IF(INDEX('Per Invoice'!$D$2:$D$801,$N305)="","",INDEX('Per Invoice'!$D$2:$D$801,$N305)))</f>
        <v/>
      </c>
      <c r="E305">
        <f>IF($N305="","",IF(INDEX('Per Invoice'!$E$2:$E$801,$N305)="","",INDEX('Per Invoice'!$E$2:$E$801,$N305)))</f>
        <v/>
      </c>
      <c r="F305">
        <f>IF($N305="","",IF(INDEX('Per Invoice'!$F$2:$F$801,$N305)="","",INDEX('Per Invoice'!$F$2:$F$801,$N305)))</f>
        <v/>
      </c>
      <c r="G305">
        <f>IF($N305="","",IF(INDEX('Per Invoice'!$G$2:$G$801,$N305)="","",INDEX('Per Invoice'!$G$2:$G$801,$N305)))</f>
        <v/>
      </c>
      <c r="H305">
        <f>IF($N305="","",IF(INDEX('Per Invoice'!$H$2:$H$801,$N305)="","",INDEX('Per Invoice'!$H$2:$H$801,$N305)))</f>
        <v/>
      </c>
      <c r="I305" s="5">
        <f>IF($N305="","",IF(INDEX('Per Invoice'!$I$2:$I$801,$N305)="","",INDEX('Per Invoice'!$I$2:$I$801,$N305)))</f>
        <v/>
      </c>
      <c r="J305" s="5">
        <f>IF($N305="","",IF(INDEX('Per Invoice'!$J$2:$J$801,$N305)="","",INDEX('Per Invoice'!$J$2:$J$801,$N305)))</f>
        <v/>
      </c>
      <c r="K305" s="5">
        <f>IF($N305="","",IF(INDEX('Per Invoice'!$K$2:$K$801,$N305)="","",INDEX('Per Invoice'!$K$2:$K$801,$N305)))</f>
        <v/>
      </c>
      <c r="L305" s="5">
        <f>IF($N305="","",IF(INDEX('Per Invoice'!$L$2:$L$801,$N305)="","",INDEX('Per Invoice'!$L$2:$L$801,$N305)))</f>
        <v/>
      </c>
      <c r="M305" s="5">
        <f>IF($N305="","",IF(INDEX('Per Invoice'!$M$2:$M$801,$N305)="","",INDEX('Per Invoice'!$M$2:$M$801,$N305)))</f>
        <v/>
      </c>
      <c r="N305">
        <f>IF(ROWS($N$2:$N305)&lt;=COUNT('Per Invoice'!$O$2:$O$801),MATCH(ROWS($N$2:$N305),'Per Invoice'!$O$2:$O$801,0),"")</f>
        <v/>
      </c>
    </row>
    <row r="306">
      <c r="A306">
        <f>IF($N306="","",IF(INDEX('Per Invoice'!$A$2:$A$801,$N306)="","",INDEX('Per Invoice'!$A$2:$A$801,$N306)))</f>
        <v/>
      </c>
      <c r="B306">
        <f>IF($N306="","",IF(INDEX('Per Invoice'!$B$2:$B$801,$N306)="","",INDEX('Per Invoice'!$B$2:$B$801,$N306)))</f>
        <v/>
      </c>
      <c r="C306">
        <f>IF($N306="","",IF(INDEX('Per Invoice'!$C$2:$C$801,$N306)="","",INDEX('Per Invoice'!$C$2:$C$801,$N306)))</f>
        <v/>
      </c>
      <c r="D306">
        <f>IF($N306="","",IF(INDEX('Per Invoice'!$D$2:$D$801,$N306)="","",INDEX('Per Invoice'!$D$2:$D$801,$N306)))</f>
        <v/>
      </c>
      <c r="E306">
        <f>IF($N306="","",IF(INDEX('Per Invoice'!$E$2:$E$801,$N306)="","",INDEX('Per Invoice'!$E$2:$E$801,$N306)))</f>
        <v/>
      </c>
      <c r="F306">
        <f>IF($N306="","",IF(INDEX('Per Invoice'!$F$2:$F$801,$N306)="","",INDEX('Per Invoice'!$F$2:$F$801,$N306)))</f>
        <v/>
      </c>
      <c r="G306">
        <f>IF($N306="","",IF(INDEX('Per Invoice'!$G$2:$G$801,$N306)="","",INDEX('Per Invoice'!$G$2:$G$801,$N306)))</f>
        <v/>
      </c>
      <c r="H306">
        <f>IF($N306="","",IF(INDEX('Per Invoice'!$H$2:$H$801,$N306)="","",INDEX('Per Invoice'!$H$2:$H$801,$N306)))</f>
        <v/>
      </c>
      <c r="I306" s="5">
        <f>IF($N306="","",IF(INDEX('Per Invoice'!$I$2:$I$801,$N306)="","",INDEX('Per Invoice'!$I$2:$I$801,$N306)))</f>
        <v/>
      </c>
      <c r="J306" s="5">
        <f>IF($N306="","",IF(INDEX('Per Invoice'!$J$2:$J$801,$N306)="","",INDEX('Per Invoice'!$J$2:$J$801,$N306)))</f>
        <v/>
      </c>
      <c r="K306" s="5">
        <f>IF($N306="","",IF(INDEX('Per Invoice'!$K$2:$K$801,$N306)="","",INDEX('Per Invoice'!$K$2:$K$801,$N306)))</f>
        <v/>
      </c>
      <c r="L306" s="5">
        <f>IF($N306="","",IF(INDEX('Per Invoice'!$L$2:$L$801,$N306)="","",INDEX('Per Invoice'!$L$2:$L$801,$N306)))</f>
        <v/>
      </c>
      <c r="M306" s="5">
        <f>IF($N306="","",IF(INDEX('Per Invoice'!$M$2:$M$801,$N306)="","",INDEX('Per Invoice'!$M$2:$M$801,$N306)))</f>
        <v/>
      </c>
      <c r="N306">
        <f>IF(ROWS($N$2:$N306)&lt;=COUNT('Per Invoice'!$O$2:$O$801),MATCH(ROWS($N$2:$N306),'Per Invoice'!$O$2:$O$801,0),"")</f>
        <v/>
      </c>
    </row>
    <row r="307">
      <c r="A307">
        <f>IF($N307="","",IF(INDEX('Per Invoice'!$A$2:$A$801,$N307)="","",INDEX('Per Invoice'!$A$2:$A$801,$N307)))</f>
        <v/>
      </c>
      <c r="B307">
        <f>IF($N307="","",IF(INDEX('Per Invoice'!$B$2:$B$801,$N307)="","",INDEX('Per Invoice'!$B$2:$B$801,$N307)))</f>
        <v/>
      </c>
      <c r="C307">
        <f>IF($N307="","",IF(INDEX('Per Invoice'!$C$2:$C$801,$N307)="","",INDEX('Per Invoice'!$C$2:$C$801,$N307)))</f>
        <v/>
      </c>
      <c r="D307">
        <f>IF($N307="","",IF(INDEX('Per Invoice'!$D$2:$D$801,$N307)="","",INDEX('Per Invoice'!$D$2:$D$801,$N307)))</f>
        <v/>
      </c>
      <c r="E307">
        <f>IF($N307="","",IF(INDEX('Per Invoice'!$E$2:$E$801,$N307)="","",INDEX('Per Invoice'!$E$2:$E$801,$N307)))</f>
        <v/>
      </c>
      <c r="F307">
        <f>IF($N307="","",IF(INDEX('Per Invoice'!$F$2:$F$801,$N307)="","",INDEX('Per Invoice'!$F$2:$F$801,$N307)))</f>
        <v/>
      </c>
      <c r="G307">
        <f>IF($N307="","",IF(INDEX('Per Invoice'!$G$2:$G$801,$N307)="","",INDEX('Per Invoice'!$G$2:$G$801,$N307)))</f>
        <v/>
      </c>
      <c r="H307">
        <f>IF($N307="","",IF(INDEX('Per Invoice'!$H$2:$H$801,$N307)="","",INDEX('Per Invoice'!$H$2:$H$801,$N307)))</f>
        <v/>
      </c>
      <c r="I307" s="5">
        <f>IF($N307="","",IF(INDEX('Per Invoice'!$I$2:$I$801,$N307)="","",INDEX('Per Invoice'!$I$2:$I$801,$N307)))</f>
        <v/>
      </c>
      <c r="J307" s="5">
        <f>IF($N307="","",IF(INDEX('Per Invoice'!$J$2:$J$801,$N307)="","",INDEX('Per Invoice'!$J$2:$J$801,$N307)))</f>
        <v/>
      </c>
      <c r="K307" s="5">
        <f>IF($N307="","",IF(INDEX('Per Invoice'!$K$2:$K$801,$N307)="","",INDEX('Per Invoice'!$K$2:$K$801,$N307)))</f>
        <v/>
      </c>
      <c r="L307" s="5">
        <f>IF($N307="","",IF(INDEX('Per Invoice'!$L$2:$L$801,$N307)="","",INDEX('Per Invoice'!$L$2:$L$801,$N307)))</f>
        <v/>
      </c>
      <c r="M307" s="5">
        <f>IF($N307="","",IF(INDEX('Per Invoice'!$M$2:$M$801,$N307)="","",INDEX('Per Invoice'!$M$2:$M$801,$N307)))</f>
        <v/>
      </c>
      <c r="N307">
        <f>IF(ROWS($N$2:$N307)&lt;=COUNT('Per Invoice'!$O$2:$O$801),MATCH(ROWS($N$2:$N307),'Per Invoice'!$O$2:$O$801,0),"")</f>
        <v/>
      </c>
    </row>
    <row r="308">
      <c r="A308">
        <f>IF($N308="","",IF(INDEX('Per Invoice'!$A$2:$A$801,$N308)="","",INDEX('Per Invoice'!$A$2:$A$801,$N308)))</f>
        <v/>
      </c>
      <c r="B308">
        <f>IF($N308="","",IF(INDEX('Per Invoice'!$B$2:$B$801,$N308)="","",INDEX('Per Invoice'!$B$2:$B$801,$N308)))</f>
        <v/>
      </c>
      <c r="C308">
        <f>IF($N308="","",IF(INDEX('Per Invoice'!$C$2:$C$801,$N308)="","",INDEX('Per Invoice'!$C$2:$C$801,$N308)))</f>
        <v/>
      </c>
      <c r="D308">
        <f>IF($N308="","",IF(INDEX('Per Invoice'!$D$2:$D$801,$N308)="","",INDEX('Per Invoice'!$D$2:$D$801,$N308)))</f>
        <v/>
      </c>
      <c r="E308">
        <f>IF($N308="","",IF(INDEX('Per Invoice'!$E$2:$E$801,$N308)="","",INDEX('Per Invoice'!$E$2:$E$801,$N308)))</f>
        <v/>
      </c>
      <c r="F308">
        <f>IF($N308="","",IF(INDEX('Per Invoice'!$F$2:$F$801,$N308)="","",INDEX('Per Invoice'!$F$2:$F$801,$N308)))</f>
        <v/>
      </c>
      <c r="G308">
        <f>IF($N308="","",IF(INDEX('Per Invoice'!$G$2:$G$801,$N308)="","",INDEX('Per Invoice'!$G$2:$G$801,$N308)))</f>
        <v/>
      </c>
      <c r="H308">
        <f>IF($N308="","",IF(INDEX('Per Invoice'!$H$2:$H$801,$N308)="","",INDEX('Per Invoice'!$H$2:$H$801,$N308)))</f>
        <v/>
      </c>
      <c r="I308" s="5">
        <f>IF($N308="","",IF(INDEX('Per Invoice'!$I$2:$I$801,$N308)="","",INDEX('Per Invoice'!$I$2:$I$801,$N308)))</f>
        <v/>
      </c>
      <c r="J308" s="5">
        <f>IF($N308="","",IF(INDEX('Per Invoice'!$J$2:$J$801,$N308)="","",INDEX('Per Invoice'!$J$2:$J$801,$N308)))</f>
        <v/>
      </c>
      <c r="K308" s="5">
        <f>IF($N308="","",IF(INDEX('Per Invoice'!$K$2:$K$801,$N308)="","",INDEX('Per Invoice'!$K$2:$K$801,$N308)))</f>
        <v/>
      </c>
      <c r="L308" s="5">
        <f>IF($N308="","",IF(INDEX('Per Invoice'!$L$2:$L$801,$N308)="","",INDEX('Per Invoice'!$L$2:$L$801,$N308)))</f>
        <v/>
      </c>
      <c r="M308" s="5">
        <f>IF($N308="","",IF(INDEX('Per Invoice'!$M$2:$M$801,$N308)="","",INDEX('Per Invoice'!$M$2:$M$801,$N308)))</f>
        <v/>
      </c>
      <c r="N308">
        <f>IF(ROWS($N$2:$N308)&lt;=COUNT('Per Invoice'!$O$2:$O$801),MATCH(ROWS($N$2:$N308),'Per Invoice'!$O$2:$O$801,0),"")</f>
        <v/>
      </c>
    </row>
    <row r="309">
      <c r="A309">
        <f>IF($N309="","",IF(INDEX('Per Invoice'!$A$2:$A$801,$N309)="","",INDEX('Per Invoice'!$A$2:$A$801,$N309)))</f>
        <v/>
      </c>
      <c r="B309">
        <f>IF($N309="","",IF(INDEX('Per Invoice'!$B$2:$B$801,$N309)="","",INDEX('Per Invoice'!$B$2:$B$801,$N309)))</f>
        <v/>
      </c>
      <c r="C309">
        <f>IF($N309="","",IF(INDEX('Per Invoice'!$C$2:$C$801,$N309)="","",INDEX('Per Invoice'!$C$2:$C$801,$N309)))</f>
        <v/>
      </c>
      <c r="D309">
        <f>IF($N309="","",IF(INDEX('Per Invoice'!$D$2:$D$801,$N309)="","",INDEX('Per Invoice'!$D$2:$D$801,$N309)))</f>
        <v/>
      </c>
      <c r="E309">
        <f>IF($N309="","",IF(INDEX('Per Invoice'!$E$2:$E$801,$N309)="","",INDEX('Per Invoice'!$E$2:$E$801,$N309)))</f>
        <v/>
      </c>
      <c r="F309">
        <f>IF($N309="","",IF(INDEX('Per Invoice'!$F$2:$F$801,$N309)="","",INDEX('Per Invoice'!$F$2:$F$801,$N309)))</f>
        <v/>
      </c>
      <c r="G309">
        <f>IF($N309="","",IF(INDEX('Per Invoice'!$G$2:$G$801,$N309)="","",INDEX('Per Invoice'!$G$2:$G$801,$N309)))</f>
        <v/>
      </c>
      <c r="H309">
        <f>IF($N309="","",IF(INDEX('Per Invoice'!$H$2:$H$801,$N309)="","",INDEX('Per Invoice'!$H$2:$H$801,$N309)))</f>
        <v/>
      </c>
      <c r="I309" s="5">
        <f>IF($N309="","",IF(INDEX('Per Invoice'!$I$2:$I$801,$N309)="","",INDEX('Per Invoice'!$I$2:$I$801,$N309)))</f>
        <v/>
      </c>
      <c r="J309" s="5">
        <f>IF($N309="","",IF(INDEX('Per Invoice'!$J$2:$J$801,$N309)="","",INDEX('Per Invoice'!$J$2:$J$801,$N309)))</f>
        <v/>
      </c>
      <c r="K309" s="5">
        <f>IF($N309="","",IF(INDEX('Per Invoice'!$K$2:$K$801,$N309)="","",INDEX('Per Invoice'!$K$2:$K$801,$N309)))</f>
        <v/>
      </c>
      <c r="L309" s="5">
        <f>IF($N309="","",IF(INDEX('Per Invoice'!$L$2:$L$801,$N309)="","",INDEX('Per Invoice'!$L$2:$L$801,$N309)))</f>
        <v/>
      </c>
      <c r="M309" s="5">
        <f>IF($N309="","",IF(INDEX('Per Invoice'!$M$2:$M$801,$N309)="","",INDEX('Per Invoice'!$M$2:$M$801,$N309)))</f>
        <v/>
      </c>
      <c r="N309">
        <f>IF(ROWS($N$2:$N309)&lt;=COUNT('Per Invoice'!$O$2:$O$801),MATCH(ROWS($N$2:$N309),'Per Invoice'!$O$2:$O$801,0),"")</f>
        <v/>
      </c>
    </row>
    <row r="310">
      <c r="A310">
        <f>IF($N310="","",IF(INDEX('Per Invoice'!$A$2:$A$801,$N310)="","",INDEX('Per Invoice'!$A$2:$A$801,$N310)))</f>
        <v/>
      </c>
      <c r="B310">
        <f>IF($N310="","",IF(INDEX('Per Invoice'!$B$2:$B$801,$N310)="","",INDEX('Per Invoice'!$B$2:$B$801,$N310)))</f>
        <v/>
      </c>
      <c r="C310">
        <f>IF($N310="","",IF(INDEX('Per Invoice'!$C$2:$C$801,$N310)="","",INDEX('Per Invoice'!$C$2:$C$801,$N310)))</f>
        <v/>
      </c>
      <c r="D310">
        <f>IF($N310="","",IF(INDEX('Per Invoice'!$D$2:$D$801,$N310)="","",INDEX('Per Invoice'!$D$2:$D$801,$N310)))</f>
        <v/>
      </c>
      <c r="E310">
        <f>IF($N310="","",IF(INDEX('Per Invoice'!$E$2:$E$801,$N310)="","",INDEX('Per Invoice'!$E$2:$E$801,$N310)))</f>
        <v/>
      </c>
      <c r="F310">
        <f>IF($N310="","",IF(INDEX('Per Invoice'!$F$2:$F$801,$N310)="","",INDEX('Per Invoice'!$F$2:$F$801,$N310)))</f>
        <v/>
      </c>
      <c r="G310">
        <f>IF($N310="","",IF(INDEX('Per Invoice'!$G$2:$G$801,$N310)="","",INDEX('Per Invoice'!$G$2:$G$801,$N310)))</f>
        <v/>
      </c>
      <c r="H310">
        <f>IF($N310="","",IF(INDEX('Per Invoice'!$H$2:$H$801,$N310)="","",INDEX('Per Invoice'!$H$2:$H$801,$N310)))</f>
        <v/>
      </c>
      <c r="I310" s="5">
        <f>IF($N310="","",IF(INDEX('Per Invoice'!$I$2:$I$801,$N310)="","",INDEX('Per Invoice'!$I$2:$I$801,$N310)))</f>
        <v/>
      </c>
      <c r="J310" s="5">
        <f>IF($N310="","",IF(INDEX('Per Invoice'!$J$2:$J$801,$N310)="","",INDEX('Per Invoice'!$J$2:$J$801,$N310)))</f>
        <v/>
      </c>
      <c r="K310" s="5">
        <f>IF($N310="","",IF(INDEX('Per Invoice'!$K$2:$K$801,$N310)="","",INDEX('Per Invoice'!$K$2:$K$801,$N310)))</f>
        <v/>
      </c>
      <c r="L310" s="5">
        <f>IF($N310="","",IF(INDEX('Per Invoice'!$L$2:$L$801,$N310)="","",INDEX('Per Invoice'!$L$2:$L$801,$N310)))</f>
        <v/>
      </c>
      <c r="M310" s="5">
        <f>IF($N310="","",IF(INDEX('Per Invoice'!$M$2:$M$801,$N310)="","",INDEX('Per Invoice'!$M$2:$M$801,$N310)))</f>
        <v/>
      </c>
      <c r="N310">
        <f>IF(ROWS($N$2:$N310)&lt;=COUNT('Per Invoice'!$O$2:$O$801),MATCH(ROWS($N$2:$N310),'Per Invoice'!$O$2:$O$801,0),"")</f>
        <v/>
      </c>
    </row>
    <row r="311">
      <c r="A311">
        <f>IF($N311="","",IF(INDEX('Per Invoice'!$A$2:$A$801,$N311)="","",INDEX('Per Invoice'!$A$2:$A$801,$N311)))</f>
        <v/>
      </c>
      <c r="B311">
        <f>IF($N311="","",IF(INDEX('Per Invoice'!$B$2:$B$801,$N311)="","",INDEX('Per Invoice'!$B$2:$B$801,$N311)))</f>
        <v/>
      </c>
      <c r="C311">
        <f>IF($N311="","",IF(INDEX('Per Invoice'!$C$2:$C$801,$N311)="","",INDEX('Per Invoice'!$C$2:$C$801,$N311)))</f>
        <v/>
      </c>
      <c r="D311">
        <f>IF($N311="","",IF(INDEX('Per Invoice'!$D$2:$D$801,$N311)="","",INDEX('Per Invoice'!$D$2:$D$801,$N311)))</f>
        <v/>
      </c>
      <c r="E311">
        <f>IF($N311="","",IF(INDEX('Per Invoice'!$E$2:$E$801,$N311)="","",INDEX('Per Invoice'!$E$2:$E$801,$N311)))</f>
        <v/>
      </c>
      <c r="F311">
        <f>IF($N311="","",IF(INDEX('Per Invoice'!$F$2:$F$801,$N311)="","",INDEX('Per Invoice'!$F$2:$F$801,$N311)))</f>
        <v/>
      </c>
      <c r="G311">
        <f>IF($N311="","",IF(INDEX('Per Invoice'!$G$2:$G$801,$N311)="","",INDEX('Per Invoice'!$G$2:$G$801,$N311)))</f>
        <v/>
      </c>
      <c r="H311">
        <f>IF($N311="","",IF(INDEX('Per Invoice'!$H$2:$H$801,$N311)="","",INDEX('Per Invoice'!$H$2:$H$801,$N311)))</f>
        <v/>
      </c>
      <c r="I311" s="5">
        <f>IF($N311="","",IF(INDEX('Per Invoice'!$I$2:$I$801,$N311)="","",INDEX('Per Invoice'!$I$2:$I$801,$N311)))</f>
        <v/>
      </c>
      <c r="J311" s="5">
        <f>IF($N311="","",IF(INDEX('Per Invoice'!$J$2:$J$801,$N311)="","",INDEX('Per Invoice'!$J$2:$J$801,$N311)))</f>
        <v/>
      </c>
      <c r="K311" s="5">
        <f>IF($N311="","",IF(INDEX('Per Invoice'!$K$2:$K$801,$N311)="","",INDEX('Per Invoice'!$K$2:$K$801,$N311)))</f>
        <v/>
      </c>
      <c r="L311" s="5">
        <f>IF($N311="","",IF(INDEX('Per Invoice'!$L$2:$L$801,$N311)="","",INDEX('Per Invoice'!$L$2:$L$801,$N311)))</f>
        <v/>
      </c>
      <c r="M311" s="5">
        <f>IF($N311="","",IF(INDEX('Per Invoice'!$M$2:$M$801,$N311)="","",INDEX('Per Invoice'!$M$2:$M$801,$N311)))</f>
        <v/>
      </c>
      <c r="N311">
        <f>IF(ROWS($N$2:$N311)&lt;=COUNT('Per Invoice'!$O$2:$O$801),MATCH(ROWS($N$2:$N311),'Per Invoice'!$O$2:$O$801,0),"")</f>
        <v/>
      </c>
    </row>
    <row r="312">
      <c r="A312">
        <f>IF($N312="","",IF(INDEX('Per Invoice'!$A$2:$A$801,$N312)="","",INDEX('Per Invoice'!$A$2:$A$801,$N312)))</f>
        <v/>
      </c>
      <c r="B312">
        <f>IF($N312="","",IF(INDEX('Per Invoice'!$B$2:$B$801,$N312)="","",INDEX('Per Invoice'!$B$2:$B$801,$N312)))</f>
        <v/>
      </c>
      <c r="C312">
        <f>IF($N312="","",IF(INDEX('Per Invoice'!$C$2:$C$801,$N312)="","",INDEX('Per Invoice'!$C$2:$C$801,$N312)))</f>
        <v/>
      </c>
      <c r="D312">
        <f>IF($N312="","",IF(INDEX('Per Invoice'!$D$2:$D$801,$N312)="","",INDEX('Per Invoice'!$D$2:$D$801,$N312)))</f>
        <v/>
      </c>
      <c r="E312">
        <f>IF($N312="","",IF(INDEX('Per Invoice'!$E$2:$E$801,$N312)="","",INDEX('Per Invoice'!$E$2:$E$801,$N312)))</f>
        <v/>
      </c>
      <c r="F312">
        <f>IF($N312="","",IF(INDEX('Per Invoice'!$F$2:$F$801,$N312)="","",INDEX('Per Invoice'!$F$2:$F$801,$N312)))</f>
        <v/>
      </c>
      <c r="G312">
        <f>IF($N312="","",IF(INDEX('Per Invoice'!$G$2:$G$801,$N312)="","",INDEX('Per Invoice'!$G$2:$G$801,$N312)))</f>
        <v/>
      </c>
      <c r="H312">
        <f>IF($N312="","",IF(INDEX('Per Invoice'!$H$2:$H$801,$N312)="","",INDEX('Per Invoice'!$H$2:$H$801,$N312)))</f>
        <v/>
      </c>
      <c r="I312" s="5">
        <f>IF($N312="","",IF(INDEX('Per Invoice'!$I$2:$I$801,$N312)="","",INDEX('Per Invoice'!$I$2:$I$801,$N312)))</f>
        <v/>
      </c>
      <c r="J312" s="5">
        <f>IF($N312="","",IF(INDEX('Per Invoice'!$J$2:$J$801,$N312)="","",INDEX('Per Invoice'!$J$2:$J$801,$N312)))</f>
        <v/>
      </c>
      <c r="K312" s="5">
        <f>IF($N312="","",IF(INDEX('Per Invoice'!$K$2:$K$801,$N312)="","",INDEX('Per Invoice'!$K$2:$K$801,$N312)))</f>
        <v/>
      </c>
      <c r="L312" s="5">
        <f>IF($N312="","",IF(INDEX('Per Invoice'!$L$2:$L$801,$N312)="","",INDEX('Per Invoice'!$L$2:$L$801,$N312)))</f>
        <v/>
      </c>
      <c r="M312" s="5">
        <f>IF($N312="","",IF(INDEX('Per Invoice'!$M$2:$M$801,$N312)="","",INDEX('Per Invoice'!$M$2:$M$801,$N312)))</f>
        <v/>
      </c>
      <c r="N312">
        <f>IF(ROWS($N$2:$N312)&lt;=COUNT('Per Invoice'!$O$2:$O$801),MATCH(ROWS($N$2:$N312),'Per Invoice'!$O$2:$O$801,0),"")</f>
        <v/>
      </c>
    </row>
    <row r="313">
      <c r="A313">
        <f>IF($N313="","",IF(INDEX('Per Invoice'!$A$2:$A$801,$N313)="","",INDEX('Per Invoice'!$A$2:$A$801,$N313)))</f>
        <v/>
      </c>
      <c r="B313">
        <f>IF($N313="","",IF(INDEX('Per Invoice'!$B$2:$B$801,$N313)="","",INDEX('Per Invoice'!$B$2:$B$801,$N313)))</f>
        <v/>
      </c>
      <c r="C313">
        <f>IF($N313="","",IF(INDEX('Per Invoice'!$C$2:$C$801,$N313)="","",INDEX('Per Invoice'!$C$2:$C$801,$N313)))</f>
        <v/>
      </c>
      <c r="D313">
        <f>IF($N313="","",IF(INDEX('Per Invoice'!$D$2:$D$801,$N313)="","",INDEX('Per Invoice'!$D$2:$D$801,$N313)))</f>
        <v/>
      </c>
      <c r="E313">
        <f>IF($N313="","",IF(INDEX('Per Invoice'!$E$2:$E$801,$N313)="","",INDEX('Per Invoice'!$E$2:$E$801,$N313)))</f>
        <v/>
      </c>
      <c r="F313">
        <f>IF($N313="","",IF(INDEX('Per Invoice'!$F$2:$F$801,$N313)="","",INDEX('Per Invoice'!$F$2:$F$801,$N313)))</f>
        <v/>
      </c>
      <c r="G313">
        <f>IF($N313="","",IF(INDEX('Per Invoice'!$G$2:$G$801,$N313)="","",INDEX('Per Invoice'!$G$2:$G$801,$N313)))</f>
        <v/>
      </c>
      <c r="H313">
        <f>IF($N313="","",IF(INDEX('Per Invoice'!$H$2:$H$801,$N313)="","",INDEX('Per Invoice'!$H$2:$H$801,$N313)))</f>
        <v/>
      </c>
      <c r="I313" s="5">
        <f>IF($N313="","",IF(INDEX('Per Invoice'!$I$2:$I$801,$N313)="","",INDEX('Per Invoice'!$I$2:$I$801,$N313)))</f>
        <v/>
      </c>
      <c r="J313" s="5">
        <f>IF($N313="","",IF(INDEX('Per Invoice'!$J$2:$J$801,$N313)="","",INDEX('Per Invoice'!$J$2:$J$801,$N313)))</f>
        <v/>
      </c>
      <c r="K313" s="5">
        <f>IF($N313="","",IF(INDEX('Per Invoice'!$K$2:$K$801,$N313)="","",INDEX('Per Invoice'!$K$2:$K$801,$N313)))</f>
        <v/>
      </c>
      <c r="L313" s="5">
        <f>IF($N313="","",IF(INDEX('Per Invoice'!$L$2:$L$801,$N313)="","",INDEX('Per Invoice'!$L$2:$L$801,$N313)))</f>
        <v/>
      </c>
      <c r="M313" s="5">
        <f>IF($N313="","",IF(INDEX('Per Invoice'!$M$2:$M$801,$N313)="","",INDEX('Per Invoice'!$M$2:$M$801,$N313)))</f>
        <v/>
      </c>
      <c r="N313">
        <f>IF(ROWS($N$2:$N313)&lt;=COUNT('Per Invoice'!$O$2:$O$801),MATCH(ROWS($N$2:$N313),'Per Invoice'!$O$2:$O$801,0),"")</f>
        <v/>
      </c>
    </row>
    <row r="314">
      <c r="A314">
        <f>IF($N314="","",IF(INDEX('Per Invoice'!$A$2:$A$801,$N314)="","",INDEX('Per Invoice'!$A$2:$A$801,$N314)))</f>
        <v/>
      </c>
      <c r="B314">
        <f>IF($N314="","",IF(INDEX('Per Invoice'!$B$2:$B$801,$N314)="","",INDEX('Per Invoice'!$B$2:$B$801,$N314)))</f>
        <v/>
      </c>
      <c r="C314">
        <f>IF($N314="","",IF(INDEX('Per Invoice'!$C$2:$C$801,$N314)="","",INDEX('Per Invoice'!$C$2:$C$801,$N314)))</f>
        <v/>
      </c>
      <c r="D314">
        <f>IF($N314="","",IF(INDEX('Per Invoice'!$D$2:$D$801,$N314)="","",INDEX('Per Invoice'!$D$2:$D$801,$N314)))</f>
        <v/>
      </c>
      <c r="E314">
        <f>IF($N314="","",IF(INDEX('Per Invoice'!$E$2:$E$801,$N314)="","",INDEX('Per Invoice'!$E$2:$E$801,$N314)))</f>
        <v/>
      </c>
      <c r="F314">
        <f>IF($N314="","",IF(INDEX('Per Invoice'!$F$2:$F$801,$N314)="","",INDEX('Per Invoice'!$F$2:$F$801,$N314)))</f>
        <v/>
      </c>
      <c r="G314">
        <f>IF($N314="","",IF(INDEX('Per Invoice'!$G$2:$G$801,$N314)="","",INDEX('Per Invoice'!$G$2:$G$801,$N314)))</f>
        <v/>
      </c>
      <c r="H314">
        <f>IF($N314="","",IF(INDEX('Per Invoice'!$H$2:$H$801,$N314)="","",INDEX('Per Invoice'!$H$2:$H$801,$N314)))</f>
        <v/>
      </c>
      <c r="I314" s="5">
        <f>IF($N314="","",IF(INDEX('Per Invoice'!$I$2:$I$801,$N314)="","",INDEX('Per Invoice'!$I$2:$I$801,$N314)))</f>
        <v/>
      </c>
      <c r="J314" s="5">
        <f>IF($N314="","",IF(INDEX('Per Invoice'!$J$2:$J$801,$N314)="","",INDEX('Per Invoice'!$J$2:$J$801,$N314)))</f>
        <v/>
      </c>
      <c r="K314" s="5">
        <f>IF($N314="","",IF(INDEX('Per Invoice'!$K$2:$K$801,$N314)="","",INDEX('Per Invoice'!$K$2:$K$801,$N314)))</f>
        <v/>
      </c>
      <c r="L314" s="5">
        <f>IF($N314="","",IF(INDEX('Per Invoice'!$L$2:$L$801,$N314)="","",INDEX('Per Invoice'!$L$2:$L$801,$N314)))</f>
        <v/>
      </c>
      <c r="M314" s="5">
        <f>IF($N314="","",IF(INDEX('Per Invoice'!$M$2:$M$801,$N314)="","",INDEX('Per Invoice'!$M$2:$M$801,$N314)))</f>
        <v/>
      </c>
      <c r="N314">
        <f>IF(ROWS($N$2:$N314)&lt;=COUNT('Per Invoice'!$O$2:$O$801),MATCH(ROWS($N$2:$N314),'Per Invoice'!$O$2:$O$801,0),"")</f>
        <v/>
      </c>
    </row>
    <row r="315">
      <c r="A315">
        <f>IF($N315="","",IF(INDEX('Per Invoice'!$A$2:$A$801,$N315)="","",INDEX('Per Invoice'!$A$2:$A$801,$N315)))</f>
        <v/>
      </c>
      <c r="B315">
        <f>IF($N315="","",IF(INDEX('Per Invoice'!$B$2:$B$801,$N315)="","",INDEX('Per Invoice'!$B$2:$B$801,$N315)))</f>
        <v/>
      </c>
      <c r="C315">
        <f>IF($N315="","",IF(INDEX('Per Invoice'!$C$2:$C$801,$N315)="","",INDEX('Per Invoice'!$C$2:$C$801,$N315)))</f>
        <v/>
      </c>
      <c r="D315">
        <f>IF($N315="","",IF(INDEX('Per Invoice'!$D$2:$D$801,$N315)="","",INDEX('Per Invoice'!$D$2:$D$801,$N315)))</f>
        <v/>
      </c>
      <c r="E315">
        <f>IF($N315="","",IF(INDEX('Per Invoice'!$E$2:$E$801,$N315)="","",INDEX('Per Invoice'!$E$2:$E$801,$N315)))</f>
        <v/>
      </c>
      <c r="F315">
        <f>IF($N315="","",IF(INDEX('Per Invoice'!$F$2:$F$801,$N315)="","",INDEX('Per Invoice'!$F$2:$F$801,$N315)))</f>
        <v/>
      </c>
      <c r="G315">
        <f>IF($N315="","",IF(INDEX('Per Invoice'!$G$2:$G$801,$N315)="","",INDEX('Per Invoice'!$G$2:$G$801,$N315)))</f>
        <v/>
      </c>
      <c r="H315">
        <f>IF($N315="","",IF(INDEX('Per Invoice'!$H$2:$H$801,$N315)="","",INDEX('Per Invoice'!$H$2:$H$801,$N315)))</f>
        <v/>
      </c>
      <c r="I315" s="5">
        <f>IF($N315="","",IF(INDEX('Per Invoice'!$I$2:$I$801,$N315)="","",INDEX('Per Invoice'!$I$2:$I$801,$N315)))</f>
        <v/>
      </c>
      <c r="J315" s="5">
        <f>IF($N315="","",IF(INDEX('Per Invoice'!$J$2:$J$801,$N315)="","",INDEX('Per Invoice'!$J$2:$J$801,$N315)))</f>
        <v/>
      </c>
      <c r="K315" s="5">
        <f>IF($N315="","",IF(INDEX('Per Invoice'!$K$2:$K$801,$N315)="","",INDEX('Per Invoice'!$K$2:$K$801,$N315)))</f>
        <v/>
      </c>
      <c r="L315" s="5">
        <f>IF($N315="","",IF(INDEX('Per Invoice'!$L$2:$L$801,$N315)="","",INDEX('Per Invoice'!$L$2:$L$801,$N315)))</f>
        <v/>
      </c>
      <c r="M315" s="5">
        <f>IF($N315="","",IF(INDEX('Per Invoice'!$M$2:$M$801,$N315)="","",INDEX('Per Invoice'!$M$2:$M$801,$N315)))</f>
        <v/>
      </c>
      <c r="N315">
        <f>IF(ROWS($N$2:$N315)&lt;=COUNT('Per Invoice'!$O$2:$O$801),MATCH(ROWS($N$2:$N315),'Per Invoice'!$O$2:$O$801,0),"")</f>
        <v/>
      </c>
    </row>
    <row r="316">
      <c r="A316">
        <f>IF($N316="","",IF(INDEX('Per Invoice'!$A$2:$A$801,$N316)="","",INDEX('Per Invoice'!$A$2:$A$801,$N316)))</f>
        <v/>
      </c>
      <c r="B316">
        <f>IF($N316="","",IF(INDEX('Per Invoice'!$B$2:$B$801,$N316)="","",INDEX('Per Invoice'!$B$2:$B$801,$N316)))</f>
        <v/>
      </c>
      <c r="C316">
        <f>IF($N316="","",IF(INDEX('Per Invoice'!$C$2:$C$801,$N316)="","",INDEX('Per Invoice'!$C$2:$C$801,$N316)))</f>
        <v/>
      </c>
      <c r="D316">
        <f>IF($N316="","",IF(INDEX('Per Invoice'!$D$2:$D$801,$N316)="","",INDEX('Per Invoice'!$D$2:$D$801,$N316)))</f>
        <v/>
      </c>
      <c r="E316">
        <f>IF($N316="","",IF(INDEX('Per Invoice'!$E$2:$E$801,$N316)="","",INDEX('Per Invoice'!$E$2:$E$801,$N316)))</f>
        <v/>
      </c>
      <c r="F316">
        <f>IF($N316="","",IF(INDEX('Per Invoice'!$F$2:$F$801,$N316)="","",INDEX('Per Invoice'!$F$2:$F$801,$N316)))</f>
        <v/>
      </c>
      <c r="G316">
        <f>IF($N316="","",IF(INDEX('Per Invoice'!$G$2:$G$801,$N316)="","",INDEX('Per Invoice'!$G$2:$G$801,$N316)))</f>
        <v/>
      </c>
      <c r="H316">
        <f>IF($N316="","",IF(INDEX('Per Invoice'!$H$2:$H$801,$N316)="","",INDEX('Per Invoice'!$H$2:$H$801,$N316)))</f>
        <v/>
      </c>
      <c r="I316" s="5">
        <f>IF($N316="","",IF(INDEX('Per Invoice'!$I$2:$I$801,$N316)="","",INDEX('Per Invoice'!$I$2:$I$801,$N316)))</f>
        <v/>
      </c>
      <c r="J316" s="5">
        <f>IF($N316="","",IF(INDEX('Per Invoice'!$J$2:$J$801,$N316)="","",INDEX('Per Invoice'!$J$2:$J$801,$N316)))</f>
        <v/>
      </c>
      <c r="K316" s="5">
        <f>IF($N316="","",IF(INDEX('Per Invoice'!$K$2:$K$801,$N316)="","",INDEX('Per Invoice'!$K$2:$K$801,$N316)))</f>
        <v/>
      </c>
      <c r="L316" s="5">
        <f>IF($N316="","",IF(INDEX('Per Invoice'!$L$2:$L$801,$N316)="","",INDEX('Per Invoice'!$L$2:$L$801,$N316)))</f>
        <v/>
      </c>
      <c r="M316" s="5">
        <f>IF($N316="","",IF(INDEX('Per Invoice'!$M$2:$M$801,$N316)="","",INDEX('Per Invoice'!$M$2:$M$801,$N316)))</f>
        <v/>
      </c>
      <c r="N316">
        <f>IF(ROWS($N$2:$N316)&lt;=COUNT('Per Invoice'!$O$2:$O$801),MATCH(ROWS($N$2:$N316),'Per Invoice'!$O$2:$O$801,0),"")</f>
        <v/>
      </c>
    </row>
    <row r="317">
      <c r="A317">
        <f>IF($N317="","",IF(INDEX('Per Invoice'!$A$2:$A$801,$N317)="","",INDEX('Per Invoice'!$A$2:$A$801,$N317)))</f>
        <v/>
      </c>
      <c r="B317">
        <f>IF($N317="","",IF(INDEX('Per Invoice'!$B$2:$B$801,$N317)="","",INDEX('Per Invoice'!$B$2:$B$801,$N317)))</f>
        <v/>
      </c>
      <c r="C317">
        <f>IF($N317="","",IF(INDEX('Per Invoice'!$C$2:$C$801,$N317)="","",INDEX('Per Invoice'!$C$2:$C$801,$N317)))</f>
        <v/>
      </c>
      <c r="D317">
        <f>IF($N317="","",IF(INDEX('Per Invoice'!$D$2:$D$801,$N317)="","",INDEX('Per Invoice'!$D$2:$D$801,$N317)))</f>
        <v/>
      </c>
      <c r="E317">
        <f>IF($N317="","",IF(INDEX('Per Invoice'!$E$2:$E$801,$N317)="","",INDEX('Per Invoice'!$E$2:$E$801,$N317)))</f>
        <v/>
      </c>
      <c r="F317">
        <f>IF($N317="","",IF(INDEX('Per Invoice'!$F$2:$F$801,$N317)="","",INDEX('Per Invoice'!$F$2:$F$801,$N317)))</f>
        <v/>
      </c>
      <c r="G317">
        <f>IF($N317="","",IF(INDEX('Per Invoice'!$G$2:$G$801,$N317)="","",INDEX('Per Invoice'!$G$2:$G$801,$N317)))</f>
        <v/>
      </c>
      <c r="H317">
        <f>IF($N317="","",IF(INDEX('Per Invoice'!$H$2:$H$801,$N317)="","",INDEX('Per Invoice'!$H$2:$H$801,$N317)))</f>
        <v/>
      </c>
      <c r="I317" s="5">
        <f>IF($N317="","",IF(INDEX('Per Invoice'!$I$2:$I$801,$N317)="","",INDEX('Per Invoice'!$I$2:$I$801,$N317)))</f>
        <v/>
      </c>
      <c r="J317" s="5">
        <f>IF($N317="","",IF(INDEX('Per Invoice'!$J$2:$J$801,$N317)="","",INDEX('Per Invoice'!$J$2:$J$801,$N317)))</f>
        <v/>
      </c>
      <c r="K317" s="5">
        <f>IF($N317="","",IF(INDEX('Per Invoice'!$K$2:$K$801,$N317)="","",INDEX('Per Invoice'!$K$2:$K$801,$N317)))</f>
        <v/>
      </c>
      <c r="L317" s="5">
        <f>IF($N317="","",IF(INDEX('Per Invoice'!$L$2:$L$801,$N317)="","",INDEX('Per Invoice'!$L$2:$L$801,$N317)))</f>
        <v/>
      </c>
      <c r="M317" s="5">
        <f>IF($N317="","",IF(INDEX('Per Invoice'!$M$2:$M$801,$N317)="","",INDEX('Per Invoice'!$M$2:$M$801,$N317)))</f>
        <v/>
      </c>
      <c r="N317">
        <f>IF(ROWS($N$2:$N317)&lt;=COUNT('Per Invoice'!$O$2:$O$801),MATCH(ROWS($N$2:$N317),'Per Invoice'!$O$2:$O$801,0),"")</f>
        <v/>
      </c>
    </row>
    <row r="318">
      <c r="A318">
        <f>IF($N318="","",IF(INDEX('Per Invoice'!$A$2:$A$801,$N318)="","",INDEX('Per Invoice'!$A$2:$A$801,$N318)))</f>
        <v/>
      </c>
      <c r="B318">
        <f>IF($N318="","",IF(INDEX('Per Invoice'!$B$2:$B$801,$N318)="","",INDEX('Per Invoice'!$B$2:$B$801,$N318)))</f>
        <v/>
      </c>
      <c r="C318">
        <f>IF($N318="","",IF(INDEX('Per Invoice'!$C$2:$C$801,$N318)="","",INDEX('Per Invoice'!$C$2:$C$801,$N318)))</f>
        <v/>
      </c>
      <c r="D318">
        <f>IF($N318="","",IF(INDEX('Per Invoice'!$D$2:$D$801,$N318)="","",INDEX('Per Invoice'!$D$2:$D$801,$N318)))</f>
        <v/>
      </c>
      <c r="E318">
        <f>IF($N318="","",IF(INDEX('Per Invoice'!$E$2:$E$801,$N318)="","",INDEX('Per Invoice'!$E$2:$E$801,$N318)))</f>
        <v/>
      </c>
      <c r="F318">
        <f>IF($N318="","",IF(INDEX('Per Invoice'!$F$2:$F$801,$N318)="","",INDEX('Per Invoice'!$F$2:$F$801,$N318)))</f>
        <v/>
      </c>
      <c r="G318">
        <f>IF($N318="","",IF(INDEX('Per Invoice'!$G$2:$G$801,$N318)="","",INDEX('Per Invoice'!$G$2:$G$801,$N318)))</f>
        <v/>
      </c>
      <c r="H318">
        <f>IF($N318="","",IF(INDEX('Per Invoice'!$H$2:$H$801,$N318)="","",INDEX('Per Invoice'!$H$2:$H$801,$N318)))</f>
        <v/>
      </c>
      <c r="I318" s="5">
        <f>IF($N318="","",IF(INDEX('Per Invoice'!$I$2:$I$801,$N318)="","",INDEX('Per Invoice'!$I$2:$I$801,$N318)))</f>
        <v/>
      </c>
      <c r="J318" s="5">
        <f>IF($N318="","",IF(INDEX('Per Invoice'!$J$2:$J$801,$N318)="","",INDEX('Per Invoice'!$J$2:$J$801,$N318)))</f>
        <v/>
      </c>
      <c r="K318" s="5">
        <f>IF($N318="","",IF(INDEX('Per Invoice'!$K$2:$K$801,$N318)="","",INDEX('Per Invoice'!$K$2:$K$801,$N318)))</f>
        <v/>
      </c>
      <c r="L318" s="5">
        <f>IF($N318="","",IF(INDEX('Per Invoice'!$L$2:$L$801,$N318)="","",INDEX('Per Invoice'!$L$2:$L$801,$N318)))</f>
        <v/>
      </c>
      <c r="M318" s="5">
        <f>IF($N318="","",IF(INDEX('Per Invoice'!$M$2:$M$801,$N318)="","",INDEX('Per Invoice'!$M$2:$M$801,$N318)))</f>
        <v/>
      </c>
      <c r="N318">
        <f>IF(ROWS($N$2:$N318)&lt;=COUNT('Per Invoice'!$O$2:$O$801),MATCH(ROWS($N$2:$N318),'Per Invoice'!$O$2:$O$801,0),"")</f>
        <v/>
      </c>
    </row>
    <row r="319">
      <c r="A319">
        <f>IF($N319="","",IF(INDEX('Per Invoice'!$A$2:$A$801,$N319)="","",INDEX('Per Invoice'!$A$2:$A$801,$N319)))</f>
        <v/>
      </c>
      <c r="B319">
        <f>IF($N319="","",IF(INDEX('Per Invoice'!$B$2:$B$801,$N319)="","",INDEX('Per Invoice'!$B$2:$B$801,$N319)))</f>
        <v/>
      </c>
      <c r="C319">
        <f>IF($N319="","",IF(INDEX('Per Invoice'!$C$2:$C$801,$N319)="","",INDEX('Per Invoice'!$C$2:$C$801,$N319)))</f>
        <v/>
      </c>
      <c r="D319">
        <f>IF($N319="","",IF(INDEX('Per Invoice'!$D$2:$D$801,$N319)="","",INDEX('Per Invoice'!$D$2:$D$801,$N319)))</f>
        <v/>
      </c>
      <c r="E319">
        <f>IF($N319="","",IF(INDEX('Per Invoice'!$E$2:$E$801,$N319)="","",INDEX('Per Invoice'!$E$2:$E$801,$N319)))</f>
        <v/>
      </c>
      <c r="F319">
        <f>IF($N319="","",IF(INDEX('Per Invoice'!$F$2:$F$801,$N319)="","",INDEX('Per Invoice'!$F$2:$F$801,$N319)))</f>
        <v/>
      </c>
      <c r="G319">
        <f>IF($N319="","",IF(INDEX('Per Invoice'!$G$2:$G$801,$N319)="","",INDEX('Per Invoice'!$G$2:$G$801,$N319)))</f>
        <v/>
      </c>
      <c r="H319">
        <f>IF($N319="","",IF(INDEX('Per Invoice'!$H$2:$H$801,$N319)="","",INDEX('Per Invoice'!$H$2:$H$801,$N319)))</f>
        <v/>
      </c>
      <c r="I319" s="5">
        <f>IF($N319="","",IF(INDEX('Per Invoice'!$I$2:$I$801,$N319)="","",INDEX('Per Invoice'!$I$2:$I$801,$N319)))</f>
        <v/>
      </c>
      <c r="J319" s="5">
        <f>IF($N319="","",IF(INDEX('Per Invoice'!$J$2:$J$801,$N319)="","",INDEX('Per Invoice'!$J$2:$J$801,$N319)))</f>
        <v/>
      </c>
      <c r="K319" s="5">
        <f>IF($N319="","",IF(INDEX('Per Invoice'!$K$2:$K$801,$N319)="","",INDEX('Per Invoice'!$K$2:$K$801,$N319)))</f>
        <v/>
      </c>
      <c r="L319" s="5">
        <f>IF($N319="","",IF(INDEX('Per Invoice'!$L$2:$L$801,$N319)="","",INDEX('Per Invoice'!$L$2:$L$801,$N319)))</f>
        <v/>
      </c>
      <c r="M319" s="5">
        <f>IF($N319="","",IF(INDEX('Per Invoice'!$M$2:$M$801,$N319)="","",INDEX('Per Invoice'!$M$2:$M$801,$N319)))</f>
        <v/>
      </c>
      <c r="N319">
        <f>IF(ROWS($N$2:$N319)&lt;=COUNT('Per Invoice'!$O$2:$O$801),MATCH(ROWS($N$2:$N319),'Per Invoice'!$O$2:$O$801,0),"")</f>
        <v/>
      </c>
    </row>
    <row r="320">
      <c r="A320">
        <f>IF($N320="","",IF(INDEX('Per Invoice'!$A$2:$A$801,$N320)="","",INDEX('Per Invoice'!$A$2:$A$801,$N320)))</f>
        <v/>
      </c>
      <c r="B320">
        <f>IF($N320="","",IF(INDEX('Per Invoice'!$B$2:$B$801,$N320)="","",INDEX('Per Invoice'!$B$2:$B$801,$N320)))</f>
        <v/>
      </c>
      <c r="C320">
        <f>IF($N320="","",IF(INDEX('Per Invoice'!$C$2:$C$801,$N320)="","",INDEX('Per Invoice'!$C$2:$C$801,$N320)))</f>
        <v/>
      </c>
      <c r="D320">
        <f>IF($N320="","",IF(INDEX('Per Invoice'!$D$2:$D$801,$N320)="","",INDEX('Per Invoice'!$D$2:$D$801,$N320)))</f>
        <v/>
      </c>
      <c r="E320">
        <f>IF($N320="","",IF(INDEX('Per Invoice'!$E$2:$E$801,$N320)="","",INDEX('Per Invoice'!$E$2:$E$801,$N320)))</f>
        <v/>
      </c>
      <c r="F320">
        <f>IF($N320="","",IF(INDEX('Per Invoice'!$F$2:$F$801,$N320)="","",INDEX('Per Invoice'!$F$2:$F$801,$N320)))</f>
        <v/>
      </c>
      <c r="G320">
        <f>IF($N320="","",IF(INDEX('Per Invoice'!$G$2:$G$801,$N320)="","",INDEX('Per Invoice'!$G$2:$G$801,$N320)))</f>
        <v/>
      </c>
      <c r="H320">
        <f>IF($N320="","",IF(INDEX('Per Invoice'!$H$2:$H$801,$N320)="","",INDEX('Per Invoice'!$H$2:$H$801,$N320)))</f>
        <v/>
      </c>
      <c r="I320" s="5">
        <f>IF($N320="","",IF(INDEX('Per Invoice'!$I$2:$I$801,$N320)="","",INDEX('Per Invoice'!$I$2:$I$801,$N320)))</f>
        <v/>
      </c>
      <c r="J320" s="5">
        <f>IF($N320="","",IF(INDEX('Per Invoice'!$J$2:$J$801,$N320)="","",INDEX('Per Invoice'!$J$2:$J$801,$N320)))</f>
        <v/>
      </c>
      <c r="K320" s="5">
        <f>IF($N320="","",IF(INDEX('Per Invoice'!$K$2:$K$801,$N320)="","",INDEX('Per Invoice'!$K$2:$K$801,$N320)))</f>
        <v/>
      </c>
      <c r="L320" s="5">
        <f>IF($N320="","",IF(INDEX('Per Invoice'!$L$2:$L$801,$N320)="","",INDEX('Per Invoice'!$L$2:$L$801,$N320)))</f>
        <v/>
      </c>
      <c r="M320" s="5">
        <f>IF($N320="","",IF(INDEX('Per Invoice'!$M$2:$M$801,$N320)="","",INDEX('Per Invoice'!$M$2:$M$801,$N320)))</f>
        <v/>
      </c>
      <c r="N320">
        <f>IF(ROWS($N$2:$N320)&lt;=COUNT('Per Invoice'!$O$2:$O$801),MATCH(ROWS($N$2:$N320),'Per Invoice'!$O$2:$O$801,0),"")</f>
        <v/>
      </c>
    </row>
    <row r="321">
      <c r="A321">
        <f>IF($N321="","",IF(INDEX('Per Invoice'!$A$2:$A$801,$N321)="","",INDEX('Per Invoice'!$A$2:$A$801,$N321)))</f>
        <v/>
      </c>
      <c r="B321">
        <f>IF($N321="","",IF(INDEX('Per Invoice'!$B$2:$B$801,$N321)="","",INDEX('Per Invoice'!$B$2:$B$801,$N321)))</f>
        <v/>
      </c>
      <c r="C321">
        <f>IF($N321="","",IF(INDEX('Per Invoice'!$C$2:$C$801,$N321)="","",INDEX('Per Invoice'!$C$2:$C$801,$N321)))</f>
        <v/>
      </c>
      <c r="D321">
        <f>IF($N321="","",IF(INDEX('Per Invoice'!$D$2:$D$801,$N321)="","",INDEX('Per Invoice'!$D$2:$D$801,$N321)))</f>
        <v/>
      </c>
      <c r="E321">
        <f>IF($N321="","",IF(INDEX('Per Invoice'!$E$2:$E$801,$N321)="","",INDEX('Per Invoice'!$E$2:$E$801,$N321)))</f>
        <v/>
      </c>
      <c r="F321">
        <f>IF($N321="","",IF(INDEX('Per Invoice'!$F$2:$F$801,$N321)="","",INDEX('Per Invoice'!$F$2:$F$801,$N321)))</f>
        <v/>
      </c>
      <c r="G321">
        <f>IF($N321="","",IF(INDEX('Per Invoice'!$G$2:$G$801,$N321)="","",INDEX('Per Invoice'!$G$2:$G$801,$N321)))</f>
        <v/>
      </c>
      <c r="H321">
        <f>IF($N321="","",IF(INDEX('Per Invoice'!$H$2:$H$801,$N321)="","",INDEX('Per Invoice'!$H$2:$H$801,$N321)))</f>
        <v/>
      </c>
      <c r="I321" s="5">
        <f>IF($N321="","",IF(INDEX('Per Invoice'!$I$2:$I$801,$N321)="","",INDEX('Per Invoice'!$I$2:$I$801,$N321)))</f>
        <v/>
      </c>
      <c r="J321" s="5">
        <f>IF($N321="","",IF(INDEX('Per Invoice'!$J$2:$J$801,$N321)="","",INDEX('Per Invoice'!$J$2:$J$801,$N321)))</f>
        <v/>
      </c>
      <c r="K321" s="5">
        <f>IF($N321="","",IF(INDEX('Per Invoice'!$K$2:$K$801,$N321)="","",INDEX('Per Invoice'!$K$2:$K$801,$N321)))</f>
        <v/>
      </c>
      <c r="L321" s="5">
        <f>IF($N321="","",IF(INDEX('Per Invoice'!$L$2:$L$801,$N321)="","",INDEX('Per Invoice'!$L$2:$L$801,$N321)))</f>
        <v/>
      </c>
      <c r="M321" s="5">
        <f>IF($N321="","",IF(INDEX('Per Invoice'!$M$2:$M$801,$N321)="","",INDEX('Per Invoice'!$M$2:$M$801,$N321)))</f>
        <v/>
      </c>
      <c r="N321">
        <f>IF(ROWS($N$2:$N321)&lt;=COUNT('Per Invoice'!$O$2:$O$801),MATCH(ROWS($N$2:$N321),'Per Invoice'!$O$2:$O$801,0),"")</f>
        <v/>
      </c>
    </row>
    <row r="322">
      <c r="A322">
        <f>IF($N322="","",IF(INDEX('Per Invoice'!$A$2:$A$801,$N322)="","",INDEX('Per Invoice'!$A$2:$A$801,$N322)))</f>
        <v/>
      </c>
      <c r="B322">
        <f>IF($N322="","",IF(INDEX('Per Invoice'!$B$2:$B$801,$N322)="","",INDEX('Per Invoice'!$B$2:$B$801,$N322)))</f>
        <v/>
      </c>
      <c r="C322">
        <f>IF($N322="","",IF(INDEX('Per Invoice'!$C$2:$C$801,$N322)="","",INDEX('Per Invoice'!$C$2:$C$801,$N322)))</f>
        <v/>
      </c>
      <c r="D322">
        <f>IF($N322="","",IF(INDEX('Per Invoice'!$D$2:$D$801,$N322)="","",INDEX('Per Invoice'!$D$2:$D$801,$N322)))</f>
        <v/>
      </c>
      <c r="E322">
        <f>IF($N322="","",IF(INDEX('Per Invoice'!$E$2:$E$801,$N322)="","",INDEX('Per Invoice'!$E$2:$E$801,$N322)))</f>
        <v/>
      </c>
      <c r="F322">
        <f>IF($N322="","",IF(INDEX('Per Invoice'!$F$2:$F$801,$N322)="","",INDEX('Per Invoice'!$F$2:$F$801,$N322)))</f>
        <v/>
      </c>
      <c r="G322">
        <f>IF($N322="","",IF(INDEX('Per Invoice'!$G$2:$G$801,$N322)="","",INDEX('Per Invoice'!$G$2:$G$801,$N322)))</f>
        <v/>
      </c>
      <c r="H322">
        <f>IF($N322="","",IF(INDEX('Per Invoice'!$H$2:$H$801,$N322)="","",INDEX('Per Invoice'!$H$2:$H$801,$N322)))</f>
        <v/>
      </c>
      <c r="I322" s="5">
        <f>IF($N322="","",IF(INDEX('Per Invoice'!$I$2:$I$801,$N322)="","",INDEX('Per Invoice'!$I$2:$I$801,$N322)))</f>
        <v/>
      </c>
      <c r="J322" s="5">
        <f>IF($N322="","",IF(INDEX('Per Invoice'!$J$2:$J$801,$N322)="","",INDEX('Per Invoice'!$J$2:$J$801,$N322)))</f>
        <v/>
      </c>
      <c r="K322" s="5">
        <f>IF($N322="","",IF(INDEX('Per Invoice'!$K$2:$K$801,$N322)="","",INDEX('Per Invoice'!$K$2:$K$801,$N322)))</f>
        <v/>
      </c>
      <c r="L322" s="5">
        <f>IF($N322="","",IF(INDEX('Per Invoice'!$L$2:$L$801,$N322)="","",INDEX('Per Invoice'!$L$2:$L$801,$N322)))</f>
        <v/>
      </c>
      <c r="M322" s="5">
        <f>IF($N322="","",IF(INDEX('Per Invoice'!$M$2:$M$801,$N322)="","",INDEX('Per Invoice'!$M$2:$M$801,$N322)))</f>
        <v/>
      </c>
      <c r="N322">
        <f>IF(ROWS($N$2:$N322)&lt;=COUNT('Per Invoice'!$O$2:$O$801),MATCH(ROWS($N$2:$N322),'Per Invoice'!$O$2:$O$801,0),"")</f>
        <v/>
      </c>
    </row>
    <row r="323">
      <c r="A323">
        <f>IF($N323="","",IF(INDEX('Per Invoice'!$A$2:$A$801,$N323)="","",INDEX('Per Invoice'!$A$2:$A$801,$N323)))</f>
        <v/>
      </c>
      <c r="B323">
        <f>IF($N323="","",IF(INDEX('Per Invoice'!$B$2:$B$801,$N323)="","",INDEX('Per Invoice'!$B$2:$B$801,$N323)))</f>
        <v/>
      </c>
      <c r="C323">
        <f>IF($N323="","",IF(INDEX('Per Invoice'!$C$2:$C$801,$N323)="","",INDEX('Per Invoice'!$C$2:$C$801,$N323)))</f>
        <v/>
      </c>
      <c r="D323">
        <f>IF($N323="","",IF(INDEX('Per Invoice'!$D$2:$D$801,$N323)="","",INDEX('Per Invoice'!$D$2:$D$801,$N323)))</f>
        <v/>
      </c>
      <c r="E323">
        <f>IF($N323="","",IF(INDEX('Per Invoice'!$E$2:$E$801,$N323)="","",INDEX('Per Invoice'!$E$2:$E$801,$N323)))</f>
        <v/>
      </c>
      <c r="F323">
        <f>IF($N323="","",IF(INDEX('Per Invoice'!$F$2:$F$801,$N323)="","",INDEX('Per Invoice'!$F$2:$F$801,$N323)))</f>
        <v/>
      </c>
      <c r="G323">
        <f>IF($N323="","",IF(INDEX('Per Invoice'!$G$2:$G$801,$N323)="","",INDEX('Per Invoice'!$G$2:$G$801,$N323)))</f>
        <v/>
      </c>
      <c r="H323">
        <f>IF($N323="","",IF(INDEX('Per Invoice'!$H$2:$H$801,$N323)="","",INDEX('Per Invoice'!$H$2:$H$801,$N323)))</f>
        <v/>
      </c>
      <c r="I323" s="5">
        <f>IF($N323="","",IF(INDEX('Per Invoice'!$I$2:$I$801,$N323)="","",INDEX('Per Invoice'!$I$2:$I$801,$N323)))</f>
        <v/>
      </c>
      <c r="J323" s="5">
        <f>IF($N323="","",IF(INDEX('Per Invoice'!$J$2:$J$801,$N323)="","",INDEX('Per Invoice'!$J$2:$J$801,$N323)))</f>
        <v/>
      </c>
      <c r="K323" s="5">
        <f>IF($N323="","",IF(INDEX('Per Invoice'!$K$2:$K$801,$N323)="","",INDEX('Per Invoice'!$K$2:$K$801,$N323)))</f>
        <v/>
      </c>
      <c r="L323" s="5">
        <f>IF($N323="","",IF(INDEX('Per Invoice'!$L$2:$L$801,$N323)="","",INDEX('Per Invoice'!$L$2:$L$801,$N323)))</f>
        <v/>
      </c>
      <c r="M323" s="5">
        <f>IF($N323="","",IF(INDEX('Per Invoice'!$M$2:$M$801,$N323)="","",INDEX('Per Invoice'!$M$2:$M$801,$N323)))</f>
        <v/>
      </c>
      <c r="N323">
        <f>IF(ROWS($N$2:$N323)&lt;=COUNT('Per Invoice'!$O$2:$O$801),MATCH(ROWS($N$2:$N323),'Per Invoice'!$O$2:$O$801,0),"")</f>
        <v/>
      </c>
    </row>
    <row r="324">
      <c r="A324">
        <f>IF($N324="","",IF(INDEX('Per Invoice'!$A$2:$A$801,$N324)="","",INDEX('Per Invoice'!$A$2:$A$801,$N324)))</f>
        <v/>
      </c>
      <c r="B324">
        <f>IF($N324="","",IF(INDEX('Per Invoice'!$B$2:$B$801,$N324)="","",INDEX('Per Invoice'!$B$2:$B$801,$N324)))</f>
        <v/>
      </c>
      <c r="C324">
        <f>IF($N324="","",IF(INDEX('Per Invoice'!$C$2:$C$801,$N324)="","",INDEX('Per Invoice'!$C$2:$C$801,$N324)))</f>
        <v/>
      </c>
      <c r="D324">
        <f>IF($N324="","",IF(INDEX('Per Invoice'!$D$2:$D$801,$N324)="","",INDEX('Per Invoice'!$D$2:$D$801,$N324)))</f>
        <v/>
      </c>
      <c r="E324">
        <f>IF($N324="","",IF(INDEX('Per Invoice'!$E$2:$E$801,$N324)="","",INDEX('Per Invoice'!$E$2:$E$801,$N324)))</f>
        <v/>
      </c>
      <c r="F324">
        <f>IF($N324="","",IF(INDEX('Per Invoice'!$F$2:$F$801,$N324)="","",INDEX('Per Invoice'!$F$2:$F$801,$N324)))</f>
        <v/>
      </c>
      <c r="G324">
        <f>IF($N324="","",IF(INDEX('Per Invoice'!$G$2:$G$801,$N324)="","",INDEX('Per Invoice'!$G$2:$G$801,$N324)))</f>
        <v/>
      </c>
      <c r="H324">
        <f>IF($N324="","",IF(INDEX('Per Invoice'!$H$2:$H$801,$N324)="","",INDEX('Per Invoice'!$H$2:$H$801,$N324)))</f>
        <v/>
      </c>
      <c r="I324" s="5">
        <f>IF($N324="","",IF(INDEX('Per Invoice'!$I$2:$I$801,$N324)="","",INDEX('Per Invoice'!$I$2:$I$801,$N324)))</f>
        <v/>
      </c>
      <c r="J324" s="5">
        <f>IF($N324="","",IF(INDEX('Per Invoice'!$J$2:$J$801,$N324)="","",INDEX('Per Invoice'!$J$2:$J$801,$N324)))</f>
        <v/>
      </c>
      <c r="K324" s="5">
        <f>IF($N324="","",IF(INDEX('Per Invoice'!$K$2:$K$801,$N324)="","",INDEX('Per Invoice'!$K$2:$K$801,$N324)))</f>
        <v/>
      </c>
      <c r="L324" s="5">
        <f>IF($N324="","",IF(INDEX('Per Invoice'!$L$2:$L$801,$N324)="","",INDEX('Per Invoice'!$L$2:$L$801,$N324)))</f>
        <v/>
      </c>
      <c r="M324" s="5">
        <f>IF($N324="","",IF(INDEX('Per Invoice'!$M$2:$M$801,$N324)="","",INDEX('Per Invoice'!$M$2:$M$801,$N324)))</f>
        <v/>
      </c>
      <c r="N324">
        <f>IF(ROWS($N$2:$N324)&lt;=COUNT('Per Invoice'!$O$2:$O$801),MATCH(ROWS($N$2:$N324),'Per Invoice'!$O$2:$O$801,0),"")</f>
        <v/>
      </c>
    </row>
    <row r="325">
      <c r="A325">
        <f>IF($N325="","",IF(INDEX('Per Invoice'!$A$2:$A$801,$N325)="","",INDEX('Per Invoice'!$A$2:$A$801,$N325)))</f>
        <v/>
      </c>
      <c r="B325">
        <f>IF($N325="","",IF(INDEX('Per Invoice'!$B$2:$B$801,$N325)="","",INDEX('Per Invoice'!$B$2:$B$801,$N325)))</f>
        <v/>
      </c>
      <c r="C325">
        <f>IF($N325="","",IF(INDEX('Per Invoice'!$C$2:$C$801,$N325)="","",INDEX('Per Invoice'!$C$2:$C$801,$N325)))</f>
        <v/>
      </c>
      <c r="D325">
        <f>IF($N325="","",IF(INDEX('Per Invoice'!$D$2:$D$801,$N325)="","",INDEX('Per Invoice'!$D$2:$D$801,$N325)))</f>
        <v/>
      </c>
      <c r="E325">
        <f>IF($N325="","",IF(INDEX('Per Invoice'!$E$2:$E$801,$N325)="","",INDEX('Per Invoice'!$E$2:$E$801,$N325)))</f>
        <v/>
      </c>
      <c r="F325">
        <f>IF($N325="","",IF(INDEX('Per Invoice'!$F$2:$F$801,$N325)="","",INDEX('Per Invoice'!$F$2:$F$801,$N325)))</f>
        <v/>
      </c>
      <c r="G325">
        <f>IF($N325="","",IF(INDEX('Per Invoice'!$G$2:$G$801,$N325)="","",INDEX('Per Invoice'!$G$2:$G$801,$N325)))</f>
        <v/>
      </c>
      <c r="H325">
        <f>IF($N325="","",IF(INDEX('Per Invoice'!$H$2:$H$801,$N325)="","",INDEX('Per Invoice'!$H$2:$H$801,$N325)))</f>
        <v/>
      </c>
      <c r="I325" s="5">
        <f>IF($N325="","",IF(INDEX('Per Invoice'!$I$2:$I$801,$N325)="","",INDEX('Per Invoice'!$I$2:$I$801,$N325)))</f>
        <v/>
      </c>
      <c r="J325" s="5">
        <f>IF($N325="","",IF(INDEX('Per Invoice'!$J$2:$J$801,$N325)="","",INDEX('Per Invoice'!$J$2:$J$801,$N325)))</f>
        <v/>
      </c>
      <c r="K325" s="5">
        <f>IF($N325="","",IF(INDEX('Per Invoice'!$K$2:$K$801,$N325)="","",INDEX('Per Invoice'!$K$2:$K$801,$N325)))</f>
        <v/>
      </c>
      <c r="L325" s="5">
        <f>IF($N325="","",IF(INDEX('Per Invoice'!$L$2:$L$801,$N325)="","",INDEX('Per Invoice'!$L$2:$L$801,$N325)))</f>
        <v/>
      </c>
      <c r="M325" s="5">
        <f>IF($N325="","",IF(INDEX('Per Invoice'!$M$2:$M$801,$N325)="","",INDEX('Per Invoice'!$M$2:$M$801,$N325)))</f>
        <v/>
      </c>
      <c r="N325">
        <f>IF(ROWS($N$2:$N325)&lt;=COUNT('Per Invoice'!$O$2:$O$801),MATCH(ROWS($N$2:$N325),'Per Invoice'!$O$2:$O$801,0),"")</f>
        <v/>
      </c>
    </row>
    <row r="326">
      <c r="A326">
        <f>IF($N326="","",IF(INDEX('Per Invoice'!$A$2:$A$801,$N326)="","",INDEX('Per Invoice'!$A$2:$A$801,$N326)))</f>
        <v/>
      </c>
      <c r="B326">
        <f>IF($N326="","",IF(INDEX('Per Invoice'!$B$2:$B$801,$N326)="","",INDEX('Per Invoice'!$B$2:$B$801,$N326)))</f>
        <v/>
      </c>
      <c r="C326">
        <f>IF($N326="","",IF(INDEX('Per Invoice'!$C$2:$C$801,$N326)="","",INDEX('Per Invoice'!$C$2:$C$801,$N326)))</f>
        <v/>
      </c>
      <c r="D326">
        <f>IF($N326="","",IF(INDEX('Per Invoice'!$D$2:$D$801,$N326)="","",INDEX('Per Invoice'!$D$2:$D$801,$N326)))</f>
        <v/>
      </c>
      <c r="E326">
        <f>IF($N326="","",IF(INDEX('Per Invoice'!$E$2:$E$801,$N326)="","",INDEX('Per Invoice'!$E$2:$E$801,$N326)))</f>
        <v/>
      </c>
      <c r="F326">
        <f>IF($N326="","",IF(INDEX('Per Invoice'!$F$2:$F$801,$N326)="","",INDEX('Per Invoice'!$F$2:$F$801,$N326)))</f>
        <v/>
      </c>
      <c r="G326">
        <f>IF($N326="","",IF(INDEX('Per Invoice'!$G$2:$G$801,$N326)="","",INDEX('Per Invoice'!$G$2:$G$801,$N326)))</f>
        <v/>
      </c>
      <c r="H326">
        <f>IF($N326="","",IF(INDEX('Per Invoice'!$H$2:$H$801,$N326)="","",INDEX('Per Invoice'!$H$2:$H$801,$N326)))</f>
        <v/>
      </c>
      <c r="I326" s="5">
        <f>IF($N326="","",IF(INDEX('Per Invoice'!$I$2:$I$801,$N326)="","",INDEX('Per Invoice'!$I$2:$I$801,$N326)))</f>
        <v/>
      </c>
      <c r="J326" s="5">
        <f>IF($N326="","",IF(INDEX('Per Invoice'!$J$2:$J$801,$N326)="","",INDEX('Per Invoice'!$J$2:$J$801,$N326)))</f>
        <v/>
      </c>
      <c r="K326" s="5">
        <f>IF($N326="","",IF(INDEX('Per Invoice'!$K$2:$K$801,$N326)="","",INDEX('Per Invoice'!$K$2:$K$801,$N326)))</f>
        <v/>
      </c>
      <c r="L326" s="5">
        <f>IF($N326="","",IF(INDEX('Per Invoice'!$L$2:$L$801,$N326)="","",INDEX('Per Invoice'!$L$2:$L$801,$N326)))</f>
        <v/>
      </c>
      <c r="M326" s="5">
        <f>IF($N326="","",IF(INDEX('Per Invoice'!$M$2:$M$801,$N326)="","",INDEX('Per Invoice'!$M$2:$M$801,$N326)))</f>
        <v/>
      </c>
      <c r="N326">
        <f>IF(ROWS($N$2:$N326)&lt;=COUNT('Per Invoice'!$O$2:$O$801),MATCH(ROWS($N$2:$N326),'Per Invoice'!$O$2:$O$801,0),"")</f>
        <v/>
      </c>
    </row>
    <row r="327">
      <c r="A327">
        <f>IF($N327="","",IF(INDEX('Per Invoice'!$A$2:$A$801,$N327)="","",INDEX('Per Invoice'!$A$2:$A$801,$N327)))</f>
        <v/>
      </c>
      <c r="B327">
        <f>IF($N327="","",IF(INDEX('Per Invoice'!$B$2:$B$801,$N327)="","",INDEX('Per Invoice'!$B$2:$B$801,$N327)))</f>
        <v/>
      </c>
      <c r="C327">
        <f>IF($N327="","",IF(INDEX('Per Invoice'!$C$2:$C$801,$N327)="","",INDEX('Per Invoice'!$C$2:$C$801,$N327)))</f>
        <v/>
      </c>
      <c r="D327">
        <f>IF($N327="","",IF(INDEX('Per Invoice'!$D$2:$D$801,$N327)="","",INDEX('Per Invoice'!$D$2:$D$801,$N327)))</f>
        <v/>
      </c>
      <c r="E327">
        <f>IF($N327="","",IF(INDEX('Per Invoice'!$E$2:$E$801,$N327)="","",INDEX('Per Invoice'!$E$2:$E$801,$N327)))</f>
        <v/>
      </c>
      <c r="F327">
        <f>IF($N327="","",IF(INDEX('Per Invoice'!$F$2:$F$801,$N327)="","",INDEX('Per Invoice'!$F$2:$F$801,$N327)))</f>
        <v/>
      </c>
      <c r="G327">
        <f>IF($N327="","",IF(INDEX('Per Invoice'!$G$2:$G$801,$N327)="","",INDEX('Per Invoice'!$G$2:$G$801,$N327)))</f>
        <v/>
      </c>
      <c r="H327">
        <f>IF($N327="","",IF(INDEX('Per Invoice'!$H$2:$H$801,$N327)="","",INDEX('Per Invoice'!$H$2:$H$801,$N327)))</f>
        <v/>
      </c>
      <c r="I327" s="5">
        <f>IF($N327="","",IF(INDEX('Per Invoice'!$I$2:$I$801,$N327)="","",INDEX('Per Invoice'!$I$2:$I$801,$N327)))</f>
        <v/>
      </c>
      <c r="J327" s="5">
        <f>IF($N327="","",IF(INDEX('Per Invoice'!$J$2:$J$801,$N327)="","",INDEX('Per Invoice'!$J$2:$J$801,$N327)))</f>
        <v/>
      </c>
      <c r="K327" s="5">
        <f>IF($N327="","",IF(INDEX('Per Invoice'!$K$2:$K$801,$N327)="","",INDEX('Per Invoice'!$K$2:$K$801,$N327)))</f>
        <v/>
      </c>
      <c r="L327" s="5">
        <f>IF($N327="","",IF(INDEX('Per Invoice'!$L$2:$L$801,$N327)="","",INDEX('Per Invoice'!$L$2:$L$801,$N327)))</f>
        <v/>
      </c>
      <c r="M327" s="5">
        <f>IF($N327="","",IF(INDEX('Per Invoice'!$M$2:$M$801,$N327)="","",INDEX('Per Invoice'!$M$2:$M$801,$N327)))</f>
        <v/>
      </c>
      <c r="N327">
        <f>IF(ROWS($N$2:$N327)&lt;=COUNT('Per Invoice'!$O$2:$O$801),MATCH(ROWS($N$2:$N327),'Per Invoice'!$O$2:$O$801,0),"")</f>
        <v/>
      </c>
    </row>
    <row r="328">
      <c r="A328">
        <f>IF($N328="","",IF(INDEX('Per Invoice'!$A$2:$A$801,$N328)="","",INDEX('Per Invoice'!$A$2:$A$801,$N328)))</f>
        <v/>
      </c>
      <c r="B328">
        <f>IF($N328="","",IF(INDEX('Per Invoice'!$B$2:$B$801,$N328)="","",INDEX('Per Invoice'!$B$2:$B$801,$N328)))</f>
        <v/>
      </c>
      <c r="C328">
        <f>IF($N328="","",IF(INDEX('Per Invoice'!$C$2:$C$801,$N328)="","",INDEX('Per Invoice'!$C$2:$C$801,$N328)))</f>
        <v/>
      </c>
      <c r="D328">
        <f>IF($N328="","",IF(INDEX('Per Invoice'!$D$2:$D$801,$N328)="","",INDEX('Per Invoice'!$D$2:$D$801,$N328)))</f>
        <v/>
      </c>
      <c r="E328">
        <f>IF($N328="","",IF(INDEX('Per Invoice'!$E$2:$E$801,$N328)="","",INDEX('Per Invoice'!$E$2:$E$801,$N328)))</f>
        <v/>
      </c>
      <c r="F328">
        <f>IF($N328="","",IF(INDEX('Per Invoice'!$F$2:$F$801,$N328)="","",INDEX('Per Invoice'!$F$2:$F$801,$N328)))</f>
        <v/>
      </c>
      <c r="G328">
        <f>IF($N328="","",IF(INDEX('Per Invoice'!$G$2:$G$801,$N328)="","",INDEX('Per Invoice'!$G$2:$G$801,$N328)))</f>
        <v/>
      </c>
      <c r="H328">
        <f>IF($N328="","",IF(INDEX('Per Invoice'!$H$2:$H$801,$N328)="","",INDEX('Per Invoice'!$H$2:$H$801,$N328)))</f>
        <v/>
      </c>
      <c r="I328" s="5">
        <f>IF($N328="","",IF(INDEX('Per Invoice'!$I$2:$I$801,$N328)="","",INDEX('Per Invoice'!$I$2:$I$801,$N328)))</f>
        <v/>
      </c>
      <c r="J328" s="5">
        <f>IF($N328="","",IF(INDEX('Per Invoice'!$J$2:$J$801,$N328)="","",INDEX('Per Invoice'!$J$2:$J$801,$N328)))</f>
        <v/>
      </c>
      <c r="K328" s="5">
        <f>IF($N328="","",IF(INDEX('Per Invoice'!$K$2:$K$801,$N328)="","",INDEX('Per Invoice'!$K$2:$K$801,$N328)))</f>
        <v/>
      </c>
      <c r="L328" s="5">
        <f>IF($N328="","",IF(INDEX('Per Invoice'!$L$2:$L$801,$N328)="","",INDEX('Per Invoice'!$L$2:$L$801,$N328)))</f>
        <v/>
      </c>
      <c r="M328" s="5">
        <f>IF($N328="","",IF(INDEX('Per Invoice'!$M$2:$M$801,$N328)="","",INDEX('Per Invoice'!$M$2:$M$801,$N328)))</f>
        <v/>
      </c>
      <c r="N328">
        <f>IF(ROWS($N$2:$N328)&lt;=COUNT('Per Invoice'!$O$2:$O$801),MATCH(ROWS($N$2:$N328),'Per Invoice'!$O$2:$O$801,0),"")</f>
        <v/>
      </c>
    </row>
    <row r="329">
      <c r="A329">
        <f>IF($N329="","",IF(INDEX('Per Invoice'!$A$2:$A$801,$N329)="","",INDEX('Per Invoice'!$A$2:$A$801,$N329)))</f>
        <v/>
      </c>
      <c r="B329">
        <f>IF($N329="","",IF(INDEX('Per Invoice'!$B$2:$B$801,$N329)="","",INDEX('Per Invoice'!$B$2:$B$801,$N329)))</f>
        <v/>
      </c>
      <c r="C329">
        <f>IF($N329="","",IF(INDEX('Per Invoice'!$C$2:$C$801,$N329)="","",INDEX('Per Invoice'!$C$2:$C$801,$N329)))</f>
        <v/>
      </c>
      <c r="D329">
        <f>IF($N329="","",IF(INDEX('Per Invoice'!$D$2:$D$801,$N329)="","",INDEX('Per Invoice'!$D$2:$D$801,$N329)))</f>
        <v/>
      </c>
      <c r="E329">
        <f>IF($N329="","",IF(INDEX('Per Invoice'!$E$2:$E$801,$N329)="","",INDEX('Per Invoice'!$E$2:$E$801,$N329)))</f>
        <v/>
      </c>
      <c r="F329">
        <f>IF($N329="","",IF(INDEX('Per Invoice'!$F$2:$F$801,$N329)="","",INDEX('Per Invoice'!$F$2:$F$801,$N329)))</f>
        <v/>
      </c>
      <c r="G329">
        <f>IF($N329="","",IF(INDEX('Per Invoice'!$G$2:$G$801,$N329)="","",INDEX('Per Invoice'!$G$2:$G$801,$N329)))</f>
        <v/>
      </c>
      <c r="H329">
        <f>IF($N329="","",IF(INDEX('Per Invoice'!$H$2:$H$801,$N329)="","",INDEX('Per Invoice'!$H$2:$H$801,$N329)))</f>
        <v/>
      </c>
      <c r="I329" s="5">
        <f>IF($N329="","",IF(INDEX('Per Invoice'!$I$2:$I$801,$N329)="","",INDEX('Per Invoice'!$I$2:$I$801,$N329)))</f>
        <v/>
      </c>
      <c r="J329" s="5">
        <f>IF($N329="","",IF(INDEX('Per Invoice'!$J$2:$J$801,$N329)="","",INDEX('Per Invoice'!$J$2:$J$801,$N329)))</f>
        <v/>
      </c>
      <c r="K329" s="5">
        <f>IF($N329="","",IF(INDEX('Per Invoice'!$K$2:$K$801,$N329)="","",INDEX('Per Invoice'!$K$2:$K$801,$N329)))</f>
        <v/>
      </c>
      <c r="L329" s="5">
        <f>IF($N329="","",IF(INDEX('Per Invoice'!$L$2:$L$801,$N329)="","",INDEX('Per Invoice'!$L$2:$L$801,$N329)))</f>
        <v/>
      </c>
      <c r="M329" s="5">
        <f>IF($N329="","",IF(INDEX('Per Invoice'!$M$2:$M$801,$N329)="","",INDEX('Per Invoice'!$M$2:$M$801,$N329)))</f>
        <v/>
      </c>
      <c r="N329">
        <f>IF(ROWS($N$2:$N329)&lt;=COUNT('Per Invoice'!$O$2:$O$801),MATCH(ROWS($N$2:$N329),'Per Invoice'!$O$2:$O$801,0),"")</f>
        <v/>
      </c>
    </row>
    <row r="330">
      <c r="A330">
        <f>IF($N330="","",IF(INDEX('Per Invoice'!$A$2:$A$801,$N330)="","",INDEX('Per Invoice'!$A$2:$A$801,$N330)))</f>
        <v/>
      </c>
      <c r="B330">
        <f>IF($N330="","",IF(INDEX('Per Invoice'!$B$2:$B$801,$N330)="","",INDEX('Per Invoice'!$B$2:$B$801,$N330)))</f>
        <v/>
      </c>
      <c r="C330">
        <f>IF($N330="","",IF(INDEX('Per Invoice'!$C$2:$C$801,$N330)="","",INDEX('Per Invoice'!$C$2:$C$801,$N330)))</f>
        <v/>
      </c>
      <c r="D330">
        <f>IF($N330="","",IF(INDEX('Per Invoice'!$D$2:$D$801,$N330)="","",INDEX('Per Invoice'!$D$2:$D$801,$N330)))</f>
        <v/>
      </c>
      <c r="E330">
        <f>IF($N330="","",IF(INDEX('Per Invoice'!$E$2:$E$801,$N330)="","",INDEX('Per Invoice'!$E$2:$E$801,$N330)))</f>
        <v/>
      </c>
      <c r="F330">
        <f>IF($N330="","",IF(INDEX('Per Invoice'!$F$2:$F$801,$N330)="","",INDEX('Per Invoice'!$F$2:$F$801,$N330)))</f>
        <v/>
      </c>
      <c r="G330">
        <f>IF($N330="","",IF(INDEX('Per Invoice'!$G$2:$G$801,$N330)="","",INDEX('Per Invoice'!$G$2:$G$801,$N330)))</f>
        <v/>
      </c>
      <c r="H330">
        <f>IF($N330="","",IF(INDEX('Per Invoice'!$H$2:$H$801,$N330)="","",INDEX('Per Invoice'!$H$2:$H$801,$N330)))</f>
        <v/>
      </c>
      <c r="I330" s="5">
        <f>IF($N330="","",IF(INDEX('Per Invoice'!$I$2:$I$801,$N330)="","",INDEX('Per Invoice'!$I$2:$I$801,$N330)))</f>
        <v/>
      </c>
      <c r="J330" s="5">
        <f>IF($N330="","",IF(INDEX('Per Invoice'!$J$2:$J$801,$N330)="","",INDEX('Per Invoice'!$J$2:$J$801,$N330)))</f>
        <v/>
      </c>
      <c r="K330" s="5">
        <f>IF($N330="","",IF(INDEX('Per Invoice'!$K$2:$K$801,$N330)="","",INDEX('Per Invoice'!$K$2:$K$801,$N330)))</f>
        <v/>
      </c>
      <c r="L330" s="5">
        <f>IF($N330="","",IF(INDEX('Per Invoice'!$L$2:$L$801,$N330)="","",INDEX('Per Invoice'!$L$2:$L$801,$N330)))</f>
        <v/>
      </c>
      <c r="M330" s="5">
        <f>IF($N330="","",IF(INDEX('Per Invoice'!$M$2:$M$801,$N330)="","",INDEX('Per Invoice'!$M$2:$M$801,$N330)))</f>
        <v/>
      </c>
      <c r="N330">
        <f>IF(ROWS($N$2:$N330)&lt;=COUNT('Per Invoice'!$O$2:$O$801),MATCH(ROWS($N$2:$N330),'Per Invoice'!$O$2:$O$801,0),"")</f>
        <v/>
      </c>
    </row>
    <row r="331">
      <c r="A331">
        <f>IF($N331="","",IF(INDEX('Per Invoice'!$A$2:$A$801,$N331)="","",INDEX('Per Invoice'!$A$2:$A$801,$N331)))</f>
        <v/>
      </c>
      <c r="B331">
        <f>IF($N331="","",IF(INDEX('Per Invoice'!$B$2:$B$801,$N331)="","",INDEX('Per Invoice'!$B$2:$B$801,$N331)))</f>
        <v/>
      </c>
      <c r="C331">
        <f>IF($N331="","",IF(INDEX('Per Invoice'!$C$2:$C$801,$N331)="","",INDEX('Per Invoice'!$C$2:$C$801,$N331)))</f>
        <v/>
      </c>
      <c r="D331">
        <f>IF($N331="","",IF(INDEX('Per Invoice'!$D$2:$D$801,$N331)="","",INDEX('Per Invoice'!$D$2:$D$801,$N331)))</f>
        <v/>
      </c>
      <c r="E331">
        <f>IF($N331="","",IF(INDEX('Per Invoice'!$E$2:$E$801,$N331)="","",INDEX('Per Invoice'!$E$2:$E$801,$N331)))</f>
        <v/>
      </c>
      <c r="F331">
        <f>IF($N331="","",IF(INDEX('Per Invoice'!$F$2:$F$801,$N331)="","",INDEX('Per Invoice'!$F$2:$F$801,$N331)))</f>
        <v/>
      </c>
      <c r="G331">
        <f>IF($N331="","",IF(INDEX('Per Invoice'!$G$2:$G$801,$N331)="","",INDEX('Per Invoice'!$G$2:$G$801,$N331)))</f>
        <v/>
      </c>
      <c r="H331">
        <f>IF($N331="","",IF(INDEX('Per Invoice'!$H$2:$H$801,$N331)="","",INDEX('Per Invoice'!$H$2:$H$801,$N331)))</f>
        <v/>
      </c>
      <c r="I331" s="5">
        <f>IF($N331="","",IF(INDEX('Per Invoice'!$I$2:$I$801,$N331)="","",INDEX('Per Invoice'!$I$2:$I$801,$N331)))</f>
        <v/>
      </c>
      <c r="J331" s="5">
        <f>IF($N331="","",IF(INDEX('Per Invoice'!$J$2:$J$801,$N331)="","",INDEX('Per Invoice'!$J$2:$J$801,$N331)))</f>
        <v/>
      </c>
      <c r="K331" s="5">
        <f>IF($N331="","",IF(INDEX('Per Invoice'!$K$2:$K$801,$N331)="","",INDEX('Per Invoice'!$K$2:$K$801,$N331)))</f>
        <v/>
      </c>
      <c r="L331" s="5">
        <f>IF($N331="","",IF(INDEX('Per Invoice'!$L$2:$L$801,$N331)="","",INDEX('Per Invoice'!$L$2:$L$801,$N331)))</f>
        <v/>
      </c>
      <c r="M331" s="5">
        <f>IF($N331="","",IF(INDEX('Per Invoice'!$M$2:$M$801,$N331)="","",INDEX('Per Invoice'!$M$2:$M$801,$N331)))</f>
        <v/>
      </c>
      <c r="N331">
        <f>IF(ROWS($N$2:$N331)&lt;=COUNT('Per Invoice'!$O$2:$O$801),MATCH(ROWS($N$2:$N331),'Per Invoice'!$O$2:$O$801,0),"")</f>
        <v/>
      </c>
    </row>
    <row r="332">
      <c r="A332">
        <f>IF($N332="","",IF(INDEX('Per Invoice'!$A$2:$A$801,$N332)="","",INDEX('Per Invoice'!$A$2:$A$801,$N332)))</f>
        <v/>
      </c>
      <c r="B332">
        <f>IF($N332="","",IF(INDEX('Per Invoice'!$B$2:$B$801,$N332)="","",INDEX('Per Invoice'!$B$2:$B$801,$N332)))</f>
        <v/>
      </c>
      <c r="C332">
        <f>IF($N332="","",IF(INDEX('Per Invoice'!$C$2:$C$801,$N332)="","",INDEX('Per Invoice'!$C$2:$C$801,$N332)))</f>
        <v/>
      </c>
      <c r="D332">
        <f>IF($N332="","",IF(INDEX('Per Invoice'!$D$2:$D$801,$N332)="","",INDEX('Per Invoice'!$D$2:$D$801,$N332)))</f>
        <v/>
      </c>
      <c r="E332">
        <f>IF($N332="","",IF(INDEX('Per Invoice'!$E$2:$E$801,$N332)="","",INDEX('Per Invoice'!$E$2:$E$801,$N332)))</f>
        <v/>
      </c>
      <c r="F332">
        <f>IF($N332="","",IF(INDEX('Per Invoice'!$F$2:$F$801,$N332)="","",INDEX('Per Invoice'!$F$2:$F$801,$N332)))</f>
        <v/>
      </c>
      <c r="G332">
        <f>IF($N332="","",IF(INDEX('Per Invoice'!$G$2:$G$801,$N332)="","",INDEX('Per Invoice'!$G$2:$G$801,$N332)))</f>
        <v/>
      </c>
      <c r="H332">
        <f>IF($N332="","",IF(INDEX('Per Invoice'!$H$2:$H$801,$N332)="","",INDEX('Per Invoice'!$H$2:$H$801,$N332)))</f>
        <v/>
      </c>
      <c r="I332" s="5">
        <f>IF($N332="","",IF(INDEX('Per Invoice'!$I$2:$I$801,$N332)="","",INDEX('Per Invoice'!$I$2:$I$801,$N332)))</f>
        <v/>
      </c>
      <c r="J332" s="5">
        <f>IF($N332="","",IF(INDEX('Per Invoice'!$J$2:$J$801,$N332)="","",INDEX('Per Invoice'!$J$2:$J$801,$N332)))</f>
        <v/>
      </c>
      <c r="K332" s="5">
        <f>IF($N332="","",IF(INDEX('Per Invoice'!$K$2:$K$801,$N332)="","",INDEX('Per Invoice'!$K$2:$K$801,$N332)))</f>
        <v/>
      </c>
      <c r="L332" s="5">
        <f>IF($N332="","",IF(INDEX('Per Invoice'!$L$2:$L$801,$N332)="","",INDEX('Per Invoice'!$L$2:$L$801,$N332)))</f>
        <v/>
      </c>
      <c r="M332" s="5">
        <f>IF($N332="","",IF(INDEX('Per Invoice'!$M$2:$M$801,$N332)="","",INDEX('Per Invoice'!$M$2:$M$801,$N332)))</f>
        <v/>
      </c>
      <c r="N332">
        <f>IF(ROWS($N$2:$N332)&lt;=COUNT('Per Invoice'!$O$2:$O$801),MATCH(ROWS($N$2:$N332),'Per Invoice'!$O$2:$O$801,0),"")</f>
        <v/>
      </c>
    </row>
    <row r="333">
      <c r="A333">
        <f>IF($N333="","",IF(INDEX('Per Invoice'!$A$2:$A$801,$N333)="","",INDEX('Per Invoice'!$A$2:$A$801,$N333)))</f>
        <v/>
      </c>
      <c r="B333">
        <f>IF($N333="","",IF(INDEX('Per Invoice'!$B$2:$B$801,$N333)="","",INDEX('Per Invoice'!$B$2:$B$801,$N333)))</f>
        <v/>
      </c>
      <c r="C333">
        <f>IF($N333="","",IF(INDEX('Per Invoice'!$C$2:$C$801,$N333)="","",INDEX('Per Invoice'!$C$2:$C$801,$N333)))</f>
        <v/>
      </c>
      <c r="D333">
        <f>IF($N333="","",IF(INDEX('Per Invoice'!$D$2:$D$801,$N333)="","",INDEX('Per Invoice'!$D$2:$D$801,$N333)))</f>
        <v/>
      </c>
      <c r="E333">
        <f>IF($N333="","",IF(INDEX('Per Invoice'!$E$2:$E$801,$N333)="","",INDEX('Per Invoice'!$E$2:$E$801,$N333)))</f>
        <v/>
      </c>
      <c r="F333">
        <f>IF($N333="","",IF(INDEX('Per Invoice'!$F$2:$F$801,$N333)="","",INDEX('Per Invoice'!$F$2:$F$801,$N333)))</f>
        <v/>
      </c>
      <c r="G333">
        <f>IF($N333="","",IF(INDEX('Per Invoice'!$G$2:$G$801,$N333)="","",INDEX('Per Invoice'!$G$2:$G$801,$N333)))</f>
        <v/>
      </c>
      <c r="H333">
        <f>IF($N333="","",IF(INDEX('Per Invoice'!$H$2:$H$801,$N333)="","",INDEX('Per Invoice'!$H$2:$H$801,$N333)))</f>
        <v/>
      </c>
      <c r="I333" s="5">
        <f>IF($N333="","",IF(INDEX('Per Invoice'!$I$2:$I$801,$N333)="","",INDEX('Per Invoice'!$I$2:$I$801,$N333)))</f>
        <v/>
      </c>
      <c r="J333" s="5">
        <f>IF($N333="","",IF(INDEX('Per Invoice'!$J$2:$J$801,$N333)="","",INDEX('Per Invoice'!$J$2:$J$801,$N333)))</f>
        <v/>
      </c>
      <c r="K333" s="5">
        <f>IF($N333="","",IF(INDEX('Per Invoice'!$K$2:$K$801,$N333)="","",INDEX('Per Invoice'!$K$2:$K$801,$N333)))</f>
        <v/>
      </c>
      <c r="L333" s="5">
        <f>IF($N333="","",IF(INDEX('Per Invoice'!$L$2:$L$801,$N333)="","",INDEX('Per Invoice'!$L$2:$L$801,$N333)))</f>
        <v/>
      </c>
      <c r="M333" s="5">
        <f>IF($N333="","",IF(INDEX('Per Invoice'!$M$2:$M$801,$N333)="","",INDEX('Per Invoice'!$M$2:$M$801,$N333)))</f>
        <v/>
      </c>
      <c r="N333">
        <f>IF(ROWS($N$2:$N333)&lt;=COUNT('Per Invoice'!$O$2:$O$801),MATCH(ROWS($N$2:$N333),'Per Invoice'!$O$2:$O$801,0),"")</f>
        <v/>
      </c>
    </row>
    <row r="334">
      <c r="A334">
        <f>IF($N334="","",IF(INDEX('Per Invoice'!$A$2:$A$801,$N334)="","",INDEX('Per Invoice'!$A$2:$A$801,$N334)))</f>
        <v/>
      </c>
      <c r="B334">
        <f>IF($N334="","",IF(INDEX('Per Invoice'!$B$2:$B$801,$N334)="","",INDEX('Per Invoice'!$B$2:$B$801,$N334)))</f>
        <v/>
      </c>
      <c r="C334">
        <f>IF($N334="","",IF(INDEX('Per Invoice'!$C$2:$C$801,$N334)="","",INDEX('Per Invoice'!$C$2:$C$801,$N334)))</f>
        <v/>
      </c>
      <c r="D334">
        <f>IF($N334="","",IF(INDEX('Per Invoice'!$D$2:$D$801,$N334)="","",INDEX('Per Invoice'!$D$2:$D$801,$N334)))</f>
        <v/>
      </c>
      <c r="E334">
        <f>IF($N334="","",IF(INDEX('Per Invoice'!$E$2:$E$801,$N334)="","",INDEX('Per Invoice'!$E$2:$E$801,$N334)))</f>
        <v/>
      </c>
      <c r="F334">
        <f>IF($N334="","",IF(INDEX('Per Invoice'!$F$2:$F$801,$N334)="","",INDEX('Per Invoice'!$F$2:$F$801,$N334)))</f>
        <v/>
      </c>
      <c r="G334">
        <f>IF($N334="","",IF(INDEX('Per Invoice'!$G$2:$G$801,$N334)="","",INDEX('Per Invoice'!$G$2:$G$801,$N334)))</f>
        <v/>
      </c>
      <c r="H334">
        <f>IF($N334="","",IF(INDEX('Per Invoice'!$H$2:$H$801,$N334)="","",INDEX('Per Invoice'!$H$2:$H$801,$N334)))</f>
        <v/>
      </c>
      <c r="I334" s="5">
        <f>IF($N334="","",IF(INDEX('Per Invoice'!$I$2:$I$801,$N334)="","",INDEX('Per Invoice'!$I$2:$I$801,$N334)))</f>
        <v/>
      </c>
      <c r="J334" s="5">
        <f>IF($N334="","",IF(INDEX('Per Invoice'!$J$2:$J$801,$N334)="","",INDEX('Per Invoice'!$J$2:$J$801,$N334)))</f>
        <v/>
      </c>
      <c r="K334" s="5">
        <f>IF($N334="","",IF(INDEX('Per Invoice'!$K$2:$K$801,$N334)="","",INDEX('Per Invoice'!$K$2:$K$801,$N334)))</f>
        <v/>
      </c>
      <c r="L334" s="5">
        <f>IF($N334="","",IF(INDEX('Per Invoice'!$L$2:$L$801,$N334)="","",INDEX('Per Invoice'!$L$2:$L$801,$N334)))</f>
        <v/>
      </c>
      <c r="M334" s="5">
        <f>IF($N334="","",IF(INDEX('Per Invoice'!$M$2:$M$801,$N334)="","",INDEX('Per Invoice'!$M$2:$M$801,$N334)))</f>
        <v/>
      </c>
      <c r="N334">
        <f>IF(ROWS($N$2:$N334)&lt;=COUNT('Per Invoice'!$O$2:$O$801),MATCH(ROWS($N$2:$N334),'Per Invoice'!$O$2:$O$801,0),"")</f>
        <v/>
      </c>
    </row>
    <row r="335">
      <c r="A335">
        <f>IF($N335="","",IF(INDEX('Per Invoice'!$A$2:$A$801,$N335)="","",INDEX('Per Invoice'!$A$2:$A$801,$N335)))</f>
        <v/>
      </c>
      <c r="B335">
        <f>IF($N335="","",IF(INDEX('Per Invoice'!$B$2:$B$801,$N335)="","",INDEX('Per Invoice'!$B$2:$B$801,$N335)))</f>
        <v/>
      </c>
      <c r="C335">
        <f>IF($N335="","",IF(INDEX('Per Invoice'!$C$2:$C$801,$N335)="","",INDEX('Per Invoice'!$C$2:$C$801,$N335)))</f>
        <v/>
      </c>
      <c r="D335">
        <f>IF($N335="","",IF(INDEX('Per Invoice'!$D$2:$D$801,$N335)="","",INDEX('Per Invoice'!$D$2:$D$801,$N335)))</f>
        <v/>
      </c>
      <c r="E335">
        <f>IF($N335="","",IF(INDEX('Per Invoice'!$E$2:$E$801,$N335)="","",INDEX('Per Invoice'!$E$2:$E$801,$N335)))</f>
        <v/>
      </c>
      <c r="F335">
        <f>IF($N335="","",IF(INDEX('Per Invoice'!$F$2:$F$801,$N335)="","",INDEX('Per Invoice'!$F$2:$F$801,$N335)))</f>
        <v/>
      </c>
      <c r="G335">
        <f>IF($N335="","",IF(INDEX('Per Invoice'!$G$2:$G$801,$N335)="","",INDEX('Per Invoice'!$G$2:$G$801,$N335)))</f>
        <v/>
      </c>
      <c r="H335">
        <f>IF($N335="","",IF(INDEX('Per Invoice'!$H$2:$H$801,$N335)="","",INDEX('Per Invoice'!$H$2:$H$801,$N335)))</f>
        <v/>
      </c>
      <c r="I335" s="5">
        <f>IF($N335="","",IF(INDEX('Per Invoice'!$I$2:$I$801,$N335)="","",INDEX('Per Invoice'!$I$2:$I$801,$N335)))</f>
        <v/>
      </c>
      <c r="J335" s="5">
        <f>IF($N335="","",IF(INDEX('Per Invoice'!$J$2:$J$801,$N335)="","",INDEX('Per Invoice'!$J$2:$J$801,$N335)))</f>
        <v/>
      </c>
      <c r="K335" s="5">
        <f>IF($N335="","",IF(INDEX('Per Invoice'!$K$2:$K$801,$N335)="","",INDEX('Per Invoice'!$K$2:$K$801,$N335)))</f>
        <v/>
      </c>
      <c r="L335" s="5">
        <f>IF($N335="","",IF(INDEX('Per Invoice'!$L$2:$L$801,$N335)="","",INDEX('Per Invoice'!$L$2:$L$801,$N335)))</f>
        <v/>
      </c>
      <c r="M335" s="5">
        <f>IF($N335="","",IF(INDEX('Per Invoice'!$M$2:$M$801,$N335)="","",INDEX('Per Invoice'!$M$2:$M$801,$N335)))</f>
        <v/>
      </c>
      <c r="N335">
        <f>IF(ROWS($N$2:$N335)&lt;=COUNT('Per Invoice'!$O$2:$O$801),MATCH(ROWS($N$2:$N335),'Per Invoice'!$O$2:$O$801,0),"")</f>
        <v/>
      </c>
    </row>
    <row r="336">
      <c r="A336">
        <f>IF($N336="","",IF(INDEX('Per Invoice'!$A$2:$A$801,$N336)="","",INDEX('Per Invoice'!$A$2:$A$801,$N336)))</f>
        <v/>
      </c>
      <c r="B336">
        <f>IF($N336="","",IF(INDEX('Per Invoice'!$B$2:$B$801,$N336)="","",INDEX('Per Invoice'!$B$2:$B$801,$N336)))</f>
        <v/>
      </c>
      <c r="C336">
        <f>IF($N336="","",IF(INDEX('Per Invoice'!$C$2:$C$801,$N336)="","",INDEX('Per Invoice'!$C$2:$C$801,$N336)))</f>
        <v/>
      </c>
      <c r="D336">
        <f>IF($N336="","",IF(INDEX('Per Invoice'!$D$2:$D$801,$N336)="","",INDEX('Per Invoice'!$D$2:$D$801,$N336)))</f>
        <v/>
      </c>
      <c r="E336">
        <f>IF($N336="","",IF(INDEX('Per Invoice'!$E$2:$E$801,$N336)="","",INDEX('Per Invoice'!$E$2:$E$801,$N336)))</f>
        <v/>
      </c>
      <c r="F336">
        <f>IF($N336="","",IF(INDEX('Per Invoice'!$F$2:$F$801,$N336)="","",INDEX('Per Invoice'!$F$2:$F$801,$N336)))</f>
        <v/>
      </c>
      <c r="G336">
        <f>IF($N336="","",IF(INDEX('Per Invoice'!$G$2:$G$801,$N336)="","",INDEX('Per Invoice'!$G$2:$G$801,$N336)))</f>
        <v/>
      </c>
      <c r="H336">
        <f>IF($N336="","",IF(INDEX('Per Invoice'!$H$2:$H$801,$N336)="","",INDEX('Per Invoice'!$H$2:$H$801,$N336)))</f>
        <v/>
      </c>
      <c r="I336" s="5">
        <f>IF($N336="","",IF(INDEX('Per Invoice'!$I$2:$I$801,$N336)="","",INDEX('Per Invoice'!$I$2:$I$801,$N336)))</f>
        <v/>
      </c>
      <c r="J336" s="5">
        <f>IF($N336="","",IF(INDEX('Per Invoice'!$J$2:$J$801,$N336)="","",INDEX('Per Invoice'!$J$2:$J$801,$N336)))</f>
        <v/>
      </c>
      <c r="K336" s="5">
        <f>IF($N336="","",IF(INDEX('Per Invoice'!$K$2:$K$801,$N336)="","",INDEX('Per Invoice'!$K$2:$K$801,$N336)))</f>
        <v/>
      </c>
      <c r="L336" s="5">
        <f>IF($N336="","",IF(INDEX('Per Invoice'!$L$2:$L$801,$N336)="","",INDEX('Per Invoice'!$L$2:$L$801,$N336)))</f>
        <v/>
      </c>
      <c r="M336" s="5">
        <f>IF($N336="","",IF(INDEX('Per Invoice'!$M$2:$M$801,$N336)="","",INDEX('Per Invoice'!$M$2:$M$801,$N336)))</f>
        <v/>
      </c>
      <c r="N336">
        <f>IF(ROWS($N$2:$N336)&lt;=COUNT('Per Invoice'!$O$2:$O$801),MATCH(ROWS($N$2:$N336),'Per Invoice'!$O$2:$O$801,0),"")</f>
        <v/>
      </c>
    </row>
    <row r="337">
      <c r="A337">
        <f>IF($N337="","",IF(INDEX('Per Invoice'!$A$2:$A$801,$N337)="","",INDEX('Per Invoice'!$A$2:$A$801,$N337)))</f>
        <v/>
      </c>
      <c r="B337">
        <f>IF($N337="","",IF(INDEX('Per Invoice'!$B$2:$B$801,$N337)="","",INDEX('Per Invoice'!$B$2:$B$801,$N337)))</f>
        <v/>
      </c>
      <c r="C337">
        <f>IF($N337="","",IF(INDEX('Per Invoice'!$C$2:$C$801,$N337)="","",INDEX('Per Invoice'!$C$2:$C$801,$N337)))</f>
        <v/>
      </c>
      <c r="D337">
        <f>IF($N337="","",IF(INDEX('Per Invoice'!$D$2:$D$801,$N337)="","",INDEX('Per Invoice'!$D$2:$D$801,$N337)))</f>
        <v/>
      </c>
      <c r="E337">
        <f>IF($N337="","",IF(INDEX('Per Invoice'!$E$2:$E$801,$N337)="","",INDEX('Per Invoice'!$E$2:$E$801,$N337)))</f>
        <v/>
      </c>
      <c r="F337">
        <f>IF($N337="","",IF(INDEX('Per Invoice'!$F$2:$F$801,$N337)="","",INDEX('Per Invoice'!$F$2:$F$801,$N337)))</f>
        <v/>
      </c>
      <c r="G337">
        <f>IF($N337="","",IF(INDEX('Per Invoice'!$G$2:$G$801,$N337)="","",INDEX('Per Invoice'!$G$2:$G$801,$N337)))</f>
        <v/>
      </c>
      <c r="H337">
        <f>IF($N337="","",IF(INDEX('Per Invoice'!$H$2:$H$801,$N337)="","",INDEX('Per Invoice'!$H$2:$H$801,$N337)))</f>
        <v/>
      </c>
      <c r="I337" s="5">
        <f>IF($N337="","",IF(INDEX('Per Invoice'!$I$2:$I$801,$N337)="","",INDEX('Per Invoice'!$I$2:$I$801,$N337)))</f>
        <v/>
      </c>
      <c r="J337" s="5">
        <f>IF($N337="","",IF(INDEX('Per Invoice'!$J$2:$J$801,$N337)="","",INDEX('Per Invoice'!$J$2:$J$801,$N337)))</f>
        <v/>
      </c>
      <c r="K337" s="5">
        <f>IF($N337="","",IF(INDEX('Per Invoice'!$K$2:$K$801,$N337)="","",INDEX('Per Invoice'!$K$2:$K$801,$N337)))</f>
        <v/>
      </c>
      <c r="L337" s="5">
        <f>IF($N337="","",IF(INDEX('Per Invoice'!$L$2:$L$801,$N337)="","",INDEX('Per Invoice'!$L$2:$L$801,$N337)))</f>
        <v/>
      </c>
      <c r="M337" s="5">
        <f>IF($N337="","",IF(INDEX('Per Invoice'!$M$2:$M$801,$N337)="","",INDEX('Per Invoice'!$M$2:$M$801,$N337)))</f>
        <v/>
      </c>
      <c r="N337">
        <f>IF(ROWS($N$2:$N337)&lt;=COUNT('Per Invoice'!$O$2:$O$801),MATCH(ROWS($N$2:$N337),'Per Invoice'!$O$2:$O$801,0),"")</f>
        <v/>
      </c>
    </row>
    <row r="338">
      <c r="A338">
        <f>IF($N338="","",IF(INDEX('Per Invoice'!$A$2:$A$801,$N338)="","",INDEX('Per Invoice'!$A$2:$A$801,$N338)))</f>
        <v/>
      </c>
      <c r="B338">
        <f>IF($N338="","",IF(INDEX('Per Invoice'!$B$2:$B$801,$N338)="","",INDEX('Per Invoice'!$B$2:$B$801,$N338)))</f>
        <v/>
      </c>
      <c r="C338">
        <f>IF($N338="","",IF(INDEX('Per Invoice'!$C$2:$C$801,$N338)="","",INDEX('Per Invoice'!$C$2:$C$801,$N338)))</f>
        <v/>
      </c>
      <c r="D338">
        <f>IF($N338="","",IF(INDEX('Per Invoice'!$D$2:$D$801,$N338)="","",INDEX('Per Invoice'!$D$2:$D$801,$N338)))</f>
        <v/>
      </c>
      <c r="E338">
        <f>IF($N338="","",IF(INDEX('Per Invoice'!$E$2:$E$801,$N338)="","",INDEX('Per Invoice'!$E$2:$E$801,$N338)))</f>
        <v/>
      </c>
      <c r="F338">
        <f>IF($N338="","",IF(INDEX('Per Invoice'!$F$2:$F$801,$N338)="","",INDEX('Per Invoice'!$F$2:$F$801,$N338)))</f>
        <v/>
      </c>
      <c r="G338">
        <f>IF($N338="","",IF(INDEX('Per Invoice'!$G$2:$G$801,$N338)="","",INDEX('Per Invoice'!$G$2:$G$801,$N338)))</f>
        <v/>
      </c>
      <c r="H338">
        <f>IF($N338="","",IF(INDEX('Per Invoice'!$H$2:$H$801,$N338)="","",INDEX('Per Invoice'!$H$2:$H$801,$N338)))</f>
        <v/>
      </c>
      <c r="I338" s="5">
        <f>IF($N338="","",IF(INDEX('Per Invoice'!$I$2:$I$801,$N338)="","",INDEX('Per Invoice'!$I$2:$I$801,$N338)))</f>
        <v/>
      </c>
      <c r="J338" s="5">
        <f>IF($N338="","",IF(INDEX('Per Invoice'!$J$2:$J$801,$N338)="","",INDEX('Per Invoice'!$J$2:$J$801,$N338)))</f>
        <v/>
      </c>
      <c r="K338" s="5">
        <f>IF($N338="","",IF(INDEX('Per Invoice'!$K$2:$K$801,$N338)="","",INDEX('Per Invoice'!$K$2:$K$801,$N338)))</f>
        <v/>
      </c>
      <c r="L338" s="5">
        <f>IF($N338="","",IF(INDEX('Per Invoice'!$L$2:$L$801,$N338)="","",INDEX('Per Invoice'!$L$2:$L$801,$N338)))</f>
        <v/>
      </c>
      <c r="M338" s="5">
        <f>IF($N338="","",IF(INDEX('Per Invoice'!$M$2:$M$801,$N338)="","",INDEX('Per Invoice'!$M$2:$M$801,$N338)))</f>
        <v/>
      </c>
      <c r="N338">
        <f>IF(ROWS($N$2:$N338)&lt;=COUNT('Per Invoice'!$O$2:$O$801),MATCH(ROWS($N$2:$N338),'Per Invoice'!$O$2:$O$801,0),"")</f>
        <v/>
      </c>
    </row>
    <row r="339">
      <c r="A339">
        <f>IF($N339="","",IF(INDEX('Per Invoice'!$A$2:$A$801,$N339)="","",INDEX('Per Invoice'!$A$2:$A$801,$N339)))</f>
        <v/>
      </c>
      <c r="B339">
        <f>IF($N339="","",IF(INDEX('Per Invoice'!$B$2:$B$801,$N339)="","",INDEX('Per Invoice'!$B$2:$B$801,$N339)))</f>
        <v/>
      </c>
      <c r="C339">
        <f>IF($N339="","",IF(INDEX('Per Invoice'!$C$2:$C$801,$N339)="","",INDEX('Per Invoice'!$C$2:$C$801,$N339)))</f>
        <v/>
      </c>
      <c r="D339">
        <f>IF($N339="","",IF(INDEX('Per Invoice'!$D$2:$D$801,$N339)="","",INDEX('Per Invoice'!$D$2:$D$801,$N339)))</f>
        <v/>
      </c>
      <c r="E339">
        <f>IF($N339="","",IF(INDEX('Per Invoice'!$E$2:$E$801,$N339)="","",INDEX('Per Invoice'!$E$2:$E$801,$N339)))</f>
        <v/>
      </c>
      <c r="F339">
        <f>IF($N339="","",IF(INDEX('Per Invoice'!$F$2:$F$801,$N339)="","",INDEX('Per Invoice'!$F$2:$F$801,$N339)))</f>
        <v/>
      </c>
      <c r="G339">
        <f>IF($N339="","",IF(INDEX('Per Invoice'!$G$2:$G$801,$N339)="","",INDEX('Per Invoice'!$G$2:$G$801,$N339)))</f>
        <v/>
      </c>
      <c r="H339">
        <f>IF($N339="","",IF(INDEX('Per Invoice'!$H$2:$H$801,$N339)="","",INDEX('Per Invoice'!$H$2:$H$801,$N339)))</f>
        <v/>
      </c>
      <c r="I339" s="5">
        <f>IF($N339="","",IF(INDEX('Per Invoice'!$I$2:$I$801,$N339)="","",INDEX('Per Invoice'!$I$2:$I$801,$N339)))</f>
        <v/>
      </c>
      <c r="J339" s="5">
        <f>IF($N339="","",IF(INDEX('Per Invoice'!$J$2:$J$801,$N339)="","",INDEX('Per Invoice'!$J$2:$J$801,$N339)))</f>
        <v/>
      </c>
      <c r="K339" s="5">
        <f>IF($N339="","",IF(INDEX('Per Invoice'!$K$2:$K$801,$N339)="","",INDEX('Per Invoice'!$K$2:$K$801,$N339)))</f>
        <v/>
      </c>
      <c r="L339" s="5">
        <f>IF($N339="","",IF(INDEX('Per Invoice'!$L$2:$L$801,$N339)="","",INDEX('Per Invoice'!$L$2:$L$801,$N339)))</f>
        <v/>
      </c>
      <c r="M339" s="5">
        <f>IF($N339="","",IF(INDEX('Per Invoice'!$M$2:$M$801,$N339)="","",INDEX('Per Invoice'!$M$2:$M$801,$N339)))</f>
        <v/>
      </c>
      <c r="N339">
        <f>IF(ROWS($N$2:$N339)&lt;=COUNT('Per Invoice'!$O$2:$O$801),MATCH(ROWS($N$2:$N339),'Per Invoice'!$O$2:$O$801,0),"")</f>
        <v/>
      </c>
    </row>
    <row r="340">
      <c r="A340">
        <f>IF($N340="","",IF(INDEX('Per Invoice'!$A$2:$A$801,$N340)="","",INDEX('Per Invoice'!$A$2:$A$801,$N340)))</f>
        <v/>
      </c>
      <c r="B340">
        <f>IF($N340="","",IF(INDEX('Per Invoice'!$B$2:$B$801,$N340)="","",INDEX('Per Invoice'!$B$2:$B$801,$N340)))</f>
        <v/>
      </c>
      <c r="C340">
        <f>IF($N340="","",IF(INDEX('Per Invoice'!$C$2:$C$801,$N340)="","",INDEX('Per Invoice'!$C$2:$C$801,$N340)))</f>
        <v/>
      </c>
      <c r="D340">
        <f>IF($N340="","",IF(INDEX('Per Invoice'!$D$2:$D$801,$N340)="","",INDEX('Per Invoice'!$D$2:$D$801,$N340)))</f>
        <v/>
      </c>
      <c r="E340">
        <f>IF($N340="","",IF(INDEX('Per Invoice'!$E$2:$E$801,$N340)="","",INDEX('Per Invoice'!$E$2:$E$801,$N340)))</f>
        <v/>
      </c>
      <c r="F340">
        <f>IF($N340="","",IF(INDEX('Per Invoice'!$F$2:$F$801,$N340)="","",INDEX('Per Invoice'!$F$2:$F$801,$N340)))</f>
        <v/>
      </c>
      <c r="G340">
        <f>IF($N340="","",IF(INDEX('Per Invoice'!$G$2:$G$801,$N340)="","",INDEX('Per Invoice'!$G$2:$G$801,$N340)))</f>
        <v/>
      </c>
      <c r="H340">
        <f>IF($N340="","",IF(INDEX('Per Invoice'!$H$2:$H$801,$N340)="","",INDEX('Per Invoice'!$H$2:$H$801,$N340)))</f>
        <v/>
      </c>
      <c r="I340" s="5">
        <f>IF($N340="","",IF(INDEX('Per Invoice'!$I$2:$I$801,$N340)="","",INDEX('Per Invoice'!$I$2:$I$801,$N340)))</f>
        <v/>
      </c>
      <c r="J340" s="5">
        <f>IF($N340="","",IF(INDEX('Per Invoice'!$J$2:$J$801,$N340)="","",INDEX('Per Invoice'!$J$2:$J$801,$N340)))</f>
        <v/>
      </c>
      <c r="K340" s="5">
        <f>IF($N340="","",IF(INDEX('Per Invoice'!$K$2:$K$801,$N340)="","",INDEX('Per Invoice'!$K$2:$K$801,$N340)))</f>
        <v/>
      </c>
      <c r="L340" s="5">
        <f>IF($N340="","",IF(INDEX('Per Invoice'!$L$2:$L$801,$N340)="","",INDEX('Per Invoice'!$L$2:$L$801,$N340)))</f>
        <v/>
      </c>
      <c r="M340" s="5">
        <f>IF($N340="","",IF(INDEX('Per Invoice'!$M$2:$M$801,$N340)="","",INDEX('Per Invoice'!$M$2:$M$801,$N340)))</f>
        <v/>
      </c>
      <c r="N340">
        <f>IF(ROWS($N$2:$N340)&lt;=COUNT('Per Invoice'!$O$2:$O$801),MATCH(ROWS($N$2:$N340),'Per Invoice'!$O$2:$O$801,0),"")</f>
        <v/>
      </c>
    </row>
    <row r="341">
      <c r="A341">
        <f>IF($N341="","",IF(INDEX('Per Invoice'!$A$2:$A$801,$N341)="","",INDEX('Per Invoice'!$A$2:$A$801,$N341)))</f>
        <v/>
      </c>
      <c r="B341">
        <f>IF($N341="","",IF(INDEX('Per Invoice'!$B$2:$B$801,$N341)="","",INDEX('Per Invoice'!$B$2:$B$801,$N341)))</f>
        <v/>
      </c>
      <c r="C341">
        <f>IF($N341="","",IF(INDEX('Per Invoice'!$C$2:$C$801,$N341)="","",INDEX('Per Invoice'!$C$2:$C$801,$N341)))</f>
        <v/>
      </c>
      <c r="D341">
        <f>IF($N341="","",IF(INDEX('Per Invoice'!$D$2:$D$801,$N341)="","",INDEX('Per Invoice'!$D$2:$D$801,$N341)))</f>
        <v/>
      </c>
      <c r="E341">
        <f>IF($N341="","",IF(INDEX('Per Invoice'!$E$2:$E$801,$N341)="","",INDEX('Per Invoice'!$E$2:$E$801,$N341)))</f>
        <v/>
      </c>
      <c r="F341">
        <f>IF($N341="","",IF(INDEX('Per Invoice'!$F$2:$F$801,$N341)="","",INDEX('Per Invoice'!$F$2:$F$801,$N341)))</f>
        <v/>
      </c>
      <c r="G341">
        <f>IF($N341="","",IF(INDEX('Per Invoice'!$G$2:$G$801,$N341)="","",INDEX('Per Invoice'!$G$2:$G$801,$N341)))</f>
        <v/>
      </c>
      <c r="H341">
        <f>IF($N341="","",IF(INDEX('Per Invoice'!$H$2:$H$801,$N341)="","",INDEX('Per Invoice'!$H$2:$H$801,$N341)))</f>
        <v/>
      </c>
      <c r="I341" s="5">
        <f>IF($N341="","",IF(INDEX('Per Invoice'!$I$2:$I$801,$N341)="","",INDEX('Per Invoice'!$I$2:$I$801,$N341)))</f>
        <v/>
      </c>
      <c r="J341" s="5">
        <f>IF($N341="","",IF(INDEX('Per Invoice'!$J$2:$J$801,$N341)="","",INDEX('Per Invoice'!$J$2:$J$801,$N341)))</f>
        <v/>
      </c>
      <c r="K341" s="5">
        <f>IF($N341="","",IF(INDEX('Per Invoice'!$K$2:$K$801,$N341)="","",INDEX('Per Invoice'!$K$2:$K$801,$N341)))</f>
        <v/>
      </c>
      <c r="L341" s="5">
        <f>IF($N341="","",IF(INDEX('Per Invoice'!$L$2:$L$801,$N341)="","",INDEX('Per Invoice'!$L$2:$L$801,$N341)))</f>
        <v/>
      </c>
      <c r="M341" s="5">
        <f>IF($N341="","",IF(INDEX('Per Invoice'!$M$2:$M$801,$N341)="","",INDEX('Per Invoice'!$M$2:$M$801,$N341)))</f>
        <v/>
      </c>
      <c r="N341">
        <f>IF(ROWS($N$2:$N341)&lt;=COUNT('Per Invoice'!$O$2:$O$801),MATCH(ROWS($N$2:$N341),'Per Invoice'!$O$2:$O$801,0),"")</f>
        <v/>
      </c>
    </row>
    <row r="342">
      <c r="A342">
        <f>IF($N342="","",IF(INDEX('Per Invoice'!$A$2:$A$801,$N342)="","",INDEX('Per Invoice'!$A$2:$A$801,$N342)))</f>
        <v/>
      </c>
      <c r="B342">
        <f>IF($N342="","",IF(INDEX('Per Invoice'!$B$2:$B$801,$N342)="","",INDEX('Per Invoice'!$B$2:$B$801,$N342)))</f>
        <v/>
      </c>
      <c r="C342">
        <f>IF($N342="","",IF(INDEX('Per Invoice'!$C$2:$C$801,$N342)="","",INDEX('Per Invoice'!$C$2:$C$801,$N342)))</f>
        <v/>
      </c>
      <c r="D342">
        <f>IF($N342="","",IF(INDEX('Per Invoice'!$D$2:$D$801,$N342)="","",INDEX('Per Invoice'!$D$2:$D$801,$N342)))</f>
        <v/>
      </c>
      <c r="E342">
        <f>IF($N342="","",IF(INDEX('Per Invoice'!$E$2:$E$801,$N342)="","",INDEX('Per Invoice'!$E$2:$E$801,$N342)))</f>
        <v/>
      </c>
      <c r="F342">
        <f>IF($N342="","",IF(INDEX('Per Invoice'!$F$2:$F$801,$N342)="","",INDEX('Per Invoice'!$F$2:$F$801,$N342)))</f>
        <v/>
      </c>
      <c r="G342">
        <f>IF($N342="","",IF(INDEX('Per Invoice'!$G$2:$G$801,$N342)="","",INDEX('Per Invoice'!$G$2:$G$801,$N342)))</f>
        <v/>
      </c>
      <c r="H342">
        <f>IF($N342="","",IF(INDEX('Per Invoice'!$H$2:$H$801,$N342)="","",INDEX('Per Invoice'!$H$2:$H$801,$N342)))</f>
        <v/>
      </c>
      <c r="I342" s="5">
        <f>IF($N342="","",IF(INDEX('Per Invoice'!$I$2:$I$801,$N342)="","",INDEX('Per Invoice'!$I$2:$I$801,$N342)))</f>
        <v/>
      </c>
      <c r="J342" s="5">
        <f>IF($N342="","",IF(INDEX('Per Invoice'!$J$2:$J$801,$N342)="","",INDEX('Per Invoice'!$J$2:$J$801,$N342)))</f>
        <v/>
      </c>
      <c r="K342" s="5">
        <f>IF($N342="","",IF(INDEX('Per Invoice'!$K$2:$K$801,$N342)="","",INDEX('Per Invoice'!$K$2:$K$801,$N342)))</f>
        <v/>
      </c>
      <c r="L342" s="5">
        <f>IF($N342="","",IF(INDEX('Per Invoice'!$L$2:$L$801,$N342)="","",INDEX('Per Invoice'!$L$2:$L$801,$N342)))</f>
        <v/>
      </c>
      <c r="M342" s="5">
        <f>IF($N342="","",IF(INDEX('Per Invoice'!$M$2:$M$801,$N342)="","",INDEX('Per Invoice'!$M$2:$M$801,$N342)))</f>
        <v/>
      </c>
      <c r="N342">
        <f>IF(ROWS($N$2:$N342)&lt;=COUNT('Per Invoice'!$O$2:$O$801),MATCH(ROWS($N$2:$N342),'Per Invoice'!$O$2:$O$801,0),"")</f>
        <v/>
      </c>
    </row>
    <row r="343">
      <c r="A343">
        <f>IF($N343="","",IF(INDEX('Per Invoice'!$A$2:$A$801,$N343)="","",INDEX('Per Invoice'!$A$2:$A$801,$N343)))</f>
        <v/>
      </c>
      <c r="B343">
        <f>IF($N343="","",IF(INDEX('Per Invoice'!$B$2:$B$801,$N343)="","",INDEX('Per Invoice'!$B$2:$B$801,$N343)))</f>
        <v/>
      </c>
      <c r="C343">
        <f>IF($N343="","",IF(INDEX('Per Invoice'!$C$2:$C$801,$N343)="","",INDEX('Per Invoice'!$C$2:$C$801,$N343)))</f>
        <v/>
      </c>
      <c r="D343">
        <f>IF($N343="","",IF(INDEX('Per Invoice'!$D$2:$D$801,$N343)="","",INDEX('Per Invoice'!$D$2:$D$801,$N343)))</f>
        <v/>
      </c>
      <c r="E343">
        <f>IF($N343="","",IF(INDEX('Per Invoice'!$E$2:$E$801,$N343)="","",INDEX('Per Invoice'!$E$2:$E$801,$N343)))</f>
        <v/>
      </c>
      <c r="F343">
        <f>IF($N343="","",IF(INDEX('Per Invoice'!$F$2:$F$801,$N343)="","",INDEX('Per Invoice'!$F$2:$F$801,$N343)))</f>
        <v/>
      </c>
      <c r="G343">
        <f>IF($N343="","",IF(INDEX('Per Invoice'!$G$2:$G$801,$N343)="","",INDEX('Per Invoice'!$G$2:$G$801,$N343)))</f>
        <v/>
      </c>
      <c r="H343">
        <f>IF($N343="","",IF(INDEX('Per Invoice'!$H$2:$H$801,$N343)="","",INDEX('Per Invoice'!$H$2:$H$801,$N343)))</f>
        <v/>
      </c>
      <c r="I343" s="5">
        <f>IF($N343="","",IF(INDEX('Per Invoice'!$I$2:$I$801,$N343)="","",INDEX('Per Invoice'!$I$2:$I$801,$N343)))</f>
        <v/>
      </c>
      <c r="J343" s="5">
        <f>IF($N343="","",IF(INDEX('Per Invoice'!$J$2:$J$801,$N343)="","",INDEX('Per Invoice'!$J$2:$J$801,$N343)))</f>
        <v/>
      </c>
      <c r="K343" s="5">
        <f>IF($N343="","",IF(INDEX('Per Invoice'!$K$2:$K$801,$N343)="","",INDEX('Per Invoice'!$K$2:$K$801,$N343)))</f>
        <v/>
      </c>
      <c r="L343" s="5">
        <f>IF($N343="","",IF(INDEX('Per Invoice'!$L$2:$L$801,$N343)="","",INDEX('Per Invoice'!$L$2:$L$801,$N343)))</f>
        <v/>
      </c>
      <c r="M343" s="5">
        <f>IF($N343="","",IF(INDEX('Per Invoice'!$M$2:$M$801,$N343)="","",INDEX('Per Invoice'!$M$2:$M$801,$N343)))</f>
        <v/>
      </c>
      <c r="N343">
        <f>IF(ROWS($N$2:$N343)&lt;=COUNT('Per Invoice'!$O$2:$O$801),MATCH(ROWS($N$2:$N343),'Per Invoice'!$O$2:$O$801,0),"")</f>
        <v/>
      </c>
    </row>
    <row r="344">
      <c r="A344">
        <f>IF($N344="","",IF(INDEX('Per Invoice'!$A$2:$A$801,$N344)="","",INDEX('Per Invoice'!$A$2:$A$801,$N344)))</f>
        <v/>
      </c>
      <c r="B344">
        <f>IF($N344="","",IF(INDEX('Per Invoice'!$B$2:$B$801,$N344)="","",INDEX('Per Invoice'!$B$2:$B$801,$N344)))</f>
        <v/>
      </c>
      <c r="C344">
        <f>IF($N344="","",IF(INDEX('Per Invoice'!$C$2:$C$801,$N344)="","",INDEX('Per Invoice'!$C$2:$C$801,$N344)))</f>
        <v/>
      </c>
      <c r="D344">
        <f>IF($N344="","",IF(INDEX('Per Invoice'!$D$2:$D$801,$N344)="","",INDEX('Per Invoice'!$D$2:$D$801,$N344)))</f>
        <v/>
      </c>
      <c r="E344">
        <f>IF($N344="","",IF(INDEX('Per Invoice'!$E$2:$E$801,$N344)="","",INDEX('Per Invoice'!$E$2:$E$801,$N344)))</f>
        <v/>
      </c>
      <c r="F344">
        <f>IF($N344="","",IF(INDEX('Per Invoice'!$F$2:$F$801,$N344)="","",INDEX('Per Invoice'!$F$2:$F$801,$N344)))</f>
        <v/>
      </c>
      <c r="G344">
        <f>IF($N344="","",IF(INDEX('Per Invoice'!$G$2:$G$801,$N344)="","",INDEX('Per Invoice'!$G$2:$G$801,$N344)))</f>
        <v/>
      </c>
      <c r="H344">
        <f>IF($N344="","",IF(INDEX('Per Invoice'!$H$2:$H$801,$N344)="","",INDEX('Per Invoice'!$H$2:$H$801,$N344)))</f>
        <v/>
      </c>
      <c r="I344" s="5">
        <f>IF($N344="","",IF(INDEX('Per Invoice'!$I$2:$I$801,$N344)="","",INDEX('Per Invoice'!$I$2:$I$801,$N344)))</f>
        <v/>
      </c>
      <c r="J344" s="5">
        <f>IF($N344="","",IF(INDEX('Per Invoice'!$J$2:$J$801,$N344)="","",INDEX('Per Invoice'!$J$2:$J$801,$N344)))</f>
        <v/>
      </c>
      <c r="K344" s="5">
        <f>IF($N344="","",IF(INDEX('Per Invoice'!$K$2:$K$801,$N344)="","",INDEX('Per Invoice'!$K$2:$K$801,$N344)))</f>
        <v/>
      </c>
      <c r="L344" s="5">
        <f>IF($N344="","",IF(INDEX('Per Invoice'!$L$2:$L$801,$N344)="","",INDEX('Per Invoice'!$L$2:$L$801,$N344)))</f>
        <v/>
      </c>
      <c r="M344" s="5">
        <f>IF($N344="","",IF(INDEX('Per Invoice'!$M$2:$M$801,$N344)="","",INDEX('Per Invoice'!$M$2:$M$801,$N344)))</f>
        <v/>
      </c>
      <c r="N344">
        <f>IF(ROWS($N$2:$N344)&lt;=COUNT('Per Invoice'!$O$2:$O$801),MATCH(ROWS($N$2:$N344),'Per Invoice'!$O$2:$O$801,0),"")</f>
        <v/>
      </c>
    </row>
    <row r="345">
      <c r="A345">
        <f>IF($N345="","",IF(INDEX('Per Invoice'!$A$2:$A$801,$N345)="","",INDEX('Per Invoice'!$A$2:$A$801,$N345)))</f>
        <v/>
      </c>
      <c r="B345">
        <f>IF($N345="","",IF(INDEX('Per Invoice'!$B$2:$B$801,$N345)="","",INDEX('Per Invoice'!$B$2:$B$801,$N345)))</f>
        <v/>
      </c>
      <c r="C345">
        <f>IF($N345="","",IF(INDEX('Per Invoice'!$C$2:$C$801,$N345)="","",INDEX('Per Invoice'!$C$2:$C$801,$N345)))</f>
        <v/>
      </c>
      <c r="D345">
        <f>IF($N345="","",IF(INDEX('Per Invoice'!$D$2:$D$801,$N345)="","",INDEX('Per Invoice'!$D$2:$D$801,$N345)))</f>
        <v/>
      </c>
      <c r="E345">
        <f>IF($N345="","",IF(INDEX('Per Invoice'!$E$2:$E$801,$N345)="","",INDEX('Per Invoice'!$E$2:$E$801,$N345)))</f>
        <v/>
      </c>
      <c r="F345">
        <f>IF($N345="","",IF(INDEX('Per Invoice'!$F$2:$F$801,$N345)="","",INDEX('Per Invoice'!$F$2:$F$801,$N345)))</f>
        <v/>
      </c>
      <c r="G345">
        <f>IF($N345="","",IF(INDEX('Per Invoice'!$G$2:$G$801,$N345)="","",INDEX('Per Invoice'!$G$2:$G$801,$N345)))</f>
        <v/>
      </c>
      <c r="H345">
        <f>IF($N345="","",IF(INDEX('Per Invoice'!$H$2:$H$801,$N345)="","",INDEX('Per Invoice'!$H$2:$H$801,$N345)))</f>
        <v/>
      </c>
      <c r="I345" s="5">
        <f>IF($N345="","",IF(INDEX('Per Invoice'!$I$2:$I$801,$N345)="","",INDEX('Per Invoice'!$I$2:$I$801,$N345)))</f>
        <v/>
      </c>
      <c r="J345" s="5">
        <f>IF($N345="","",IF(INDEX('Per Invoice'!$J$2:$J$801,$N345)="","",INDEX('Per Invoice'!$J$2:$J$801,$N345)))</f>
        <v/>
      </c>
      <c r="K345" s="5">
        <f>IF($N345="","",IF(INDEX('Per Invoice'!$K$2:$K$801,$N345)="","",INDEX('Per Invoice'!$K$2:$K$801,$N345)))</f>
        <v/>
      </c>
      <c r="L345" s="5">
        <f>IF($N345="","",IF(INDEX('Per Invoice'!$L$2:$L$801,$N345)="","",INDEX('Per Invoice'!$L$2:$L$801,$N345)))</f>
        <v/>
      </c>
      <c r="M345" s="5">
        <f>IF($N345="","",IF(INDEX('Per Invoice'!$M$2:$M$801,$N345)="","",INDEX('Per Invoice'!$M$2:$M$801,$N345)))</f>
        <v/>
      </c>
      <c r="N345">
        <f>IF(ROWS($N$2:$N345)&lt;=COUNT('Per Invoice'!$O$2:$O$801),MATCH(ROWS($N$2:$N345),'Per Invoice'!$O$2:$O$801,0),"")</f>
        <v/>
      </c>
    </row>
    <row r="346">
      <c r="A346">
        <f>IF($N346="","",IF(INDEX('Per Invoice'!$A$2:$A$801,$N346)="","",INDEX('Per Invoice'!$A$2:$A$801,$N346)))</f>
        <v/>
      </c>
      <c r="B346">
        <f>IF($N346="","",IF(INDEX('Per Invoice'!$B$2:$B$801,$N346)="","",INDEX('Per Invoice'!$B$2:$B$801,$N346)))</f>
        <v/>
      </c>
      <c r="C346">
        <f>IF($N346="","",IF(INDEX('Per Invoice'!$C$2:$C$801,$N346)="","",INDEX('Per Invoice'!$C$2:$C$801,$N346)))</f>
        <v/>
      </c>
      <c r="D346">
        <f>IF($N346="","",IF(INDEX('Per Invoice'!$D$2:$D$801,$N346)="","",INDEX('Per Invoice'!$D$2:$D$801,$N346)))</f>
        <v/>
      </c>
      <c r="E346">
        <f>IF($N346="","",IF(INDEX('Per Invoice'!$E$2:$E$801,$N346)="","",INDEX('Per Invoice'!$E$2:$E$801,$N346)))</f>
        <v/>
      </c>
      <c r="F346">
        <f>IF($N346="","",IF(INDEX('Per Invoice'!$F$2:$F$801,$N346)="","",INDEX('Per Invoice'!$F$2:$F$801,$N346)))</f>
        <v/>
      </c>
      <c r="G346">
        <f>IF($N346="","",IF(INDEX('Per Invoice'!$G$2:$G$801,$N346)="","",INDEX('Per Invoice'!$G$2:$G$801,$N346)))</f>
        <v/>
      </c>
      <c r="H346">
        <f>IF($N346="","",IF(INDEX('Per Invoice'!$H$2:$H$801,$N346)="","",INDEX('Per Invoice'!$H$2:$H$801,$N346)))</f>
        <v/>
      </c>
      <c r="I346" s="5">
        <f>IF($N346="","",IF(INDEX('Per Invoice'!$I$2:$I$801,$N346)="","",INDEX('Per Invoice'!$I$2:$I$801,$N346)))</f>
        <v/>
      </c>
      <c r="J346" s="5">
        <f>IF($N346="","",IF(INDEX('Per Invoice'!$J$2:$J$801,$N346)="","",INDEX('Per Invoice'!$J$2:$J$801,$N346)))</f>
        <v/>
      </c>
      <c r="K346" s="5">
        <f>IF($N346="","",IF(INDEX('Per Invoice'!$K$2:$K$801,$N346)="","",INDEX('Per Invoice'!$K$2:$K$801,$N346)))</f>
        <v/>
      </c>
      <c r="L346" s="5">
        <f>IF($N346="","",IF(INDEX('Per Invoice'!$L$2:$L$801,$N346)="","",INDEX('Per Invoice'!$L$2:$L$801,$N346)))</f>
        <v/>
      </c>
      <c r="M346" s="5">
        <f>IF($N346="","",IF(INDEX('Per Invoice'!$M$2:$M$801,$N346)="","",INDEX('Per Invoice'!$M$2:$M$801,$N346)))</f>
        <v/>
      </c>
      <c r="N346">
        <f>IF(ROWS($N$2:$N346)&lt;=COUNT('Per Invoice'!$O$2:$O$801),MATCH(ROWS($N$2:$N346),'Per Invoice'!$O$2:$O$801,0),"")</f>
        <v/>
      </c>
    </row>
    <row r="347">
      <c r="A347">
        <f>IF($N347="","",IF(INDEX('Per Invoice'!$A$2:$A$801,$N347)="","",INDEX('Per Invoice'!$A$2:$A$801,$N347)))</f>
        <v/>
      </c>
      <c r="B347">
        <f>IF($N347="","",IF(INDEX('Per Invoice'!$B$2:$B$801,$N347)="","",INDEX('Per Invoice'!$B$2:$B$801,$N347)))</f>
        <v/>
      </c>
      <c r="C347">
        <f>IF($N347="","",IF(INDEX('Per Invoice'!$C$2:$C$801,$N347)="","",INDEX('Per Invoice'!$C$2:$C$801,$N347)))</f>
        <v/>
      </c>
      <c r="D347">
        <f>IF($N347="","",IF(INDEX('Per Invoice'!$D$2:$D$801,$N347)="","",INDEX('Per Invoice'!$D$2:$D$801,$N347)))</f>
        <v/>
      </c>
      <c r="E347">
        <f>IF($N347="","",IF(INDEX('Per Invoice'!$E$2:$E$801,$N347)="","",INDEX('Per Invoice'!$E$2:$E$801,$N347)))</f>
        <v/>
      </c>
      <c r="F347">
        <f>IF($N347="","",IF(INDEX('Per Invoice'!$F$2:$F$801,$N347)="","",INDEX('Per Invoice'!$F$2:$F$801,$N347)))</f>
        <v/>
      </c>
      <c r="G347">
        <f>IF($N347="","",IF(INDEX('Per Invoice'!$G$2:$G$801,$N347)="","",INDEX('Per Invoice'!$G$2:$G$801,$N347)))</f>
        <v/>
      </c>
      <c r="H347">
        <f>IF($N347="","",IF(INDEX('Per Invoice'!$H$2:$H$801,$N347)="","",INDEX('Per Invoice'!$H$2:$H$801,$N347)))</f>
        <v/>
      </c>
      <c r="I347" s="5">
        <f>IF($N347="","",IF(INDEX('Per Invoice'!$I$2:$I$801,$N347)="","",INDEX('Per Invoice'!$I$2:$I$801,$N347)))</f>
        <v/>
      </c>
      <c r="J347" s="5">
        <f>IF($N347="","",IF(INDEX('Per Invoice'!$J$2:$J$801,$N347)="","",INDEX('Per Invoice'!$J$2:$J$801,$N347)))</f>
        <v/>
      </c>
      <c r="K347" s="5">
        <f>IF($N347="","",IF(INDEX('Per Invoice'!$K$2:$K$801,$N347)="","",INDEX('Per Invoice'!$K$2:$K$801,$N347)))</f>
        <v/>
      </c>
      <c r="L347" s="5">
        <f>IF($N347="","",IF(INDEX('Per Invoice'!$L$2:$L$801,$N347)="","",INDEX('Per Invoice'!$L$2:$L$801,$N347)))</f>
        <v/>
      </c>
      <c r="M347" s="5">
        <f>IF($N347="","",IF(INDEX('Per Invoice'!$M$2:$M$801,$N347)="","",INDEX('Per Invoice'!$M$2:$M$801,$N347)))</f>
        <v/>
      </c>
      <c r="N347">
        <f>IF(ROWS($N$2:$N347)&lt;=COUNT('Per Invoice'!$O$2:$O$801),MATCH(ROWS($N$2:$N347),'Per Invoice'!$O$2:$O$801,0),"")</f>
        <v/>
      </c>
    </row>
    <row r="348">
      <c r="A348">
        <f>IF($N348="","",IF(INDEX('Per Invoice'!$A$2:$A$801,$N348)="","",INDEX('Per Invoice'!$A$2:$A$801,$N348)))</f>
        <v/>
      </c>
      <c r="B348">
        <f>IF($N348="","",IF(INDEX('Per Invoice'!$B$2:$B$801,$N348)="","",INDEX('Per Invoice'!$B$2:$B$801,$N348)))</f>
        <v/>
      </c>
      <c r="C348">
        <f>IF($N348="","",IF(INDEX('Per Invoice'!$C$2:$C$801,$N348)="","",INDEX('Per Invoice'!$C$2:$C$801,$N348)))</f>
        <v/>
      </c>
      <c r="D348">
        <f>IF($N348="","",IF(INDEX('Per Invoice'!$D$2:$D$801,$N348)="","",INDEX('Per Invoice'!$D$2:$D$801,$N348)))</f>
        <v/>
      </c>
      <c r="E348">
        <f>IF($N348="","",IF(INDEX('Per Invoice'!$E$2:$E$801,$N348)="","",INDEX('Per Invoice'!$E$2:$E$801,$N348)))</f>
        <v/>
      </c>
      <c r="F348">
        <f>IF($N348="","",IF(INDEX('Per Invoice'!$F$2:$F$801,$N348)="","",INDEX('Per Invoice'!$F$2:$F$801,$N348)))</f>
        <v/>
      </c>
      <c r="G348">
        <f>IF($N348="","",IF(INDEX('Per Invoice'!$G$2:$G$801,$N348)="","",INDEX('Per Invoice'!$G$2:$G$801,$N348)))</f>
        <v/>
      </c>
      <c r="H348">
        <f>IF($N348="","",IF(INDEX('Per Invoice'!$H$2:$H$801,$N348)="","",INDEX('Per Invoice'!$H$2:$H$801,$N348)))</f>
        <v/>
      </c>
      <c r="I348" s="5">
        <f>IF($N348="","",IF(INDEX('Per Invoice'!$I$2:$I$801,$N348)="","",INDEX('Per Invoice'!$I$2:$I$801,$N348)))</f>
        <v/>
      </c>
      <c r="J348" s="5">
        <f>IF($N348="","",IF(INDEX('Per Invoice'!$J$2:$J$801,$N348)="","",INDEX('Per Invoice'!$J$2:$J$801,$N348)))</f>
        <v/>
      </c>
      <c r="K348" s="5">
        <f>IF($N348="","",IF(INDEX('Per Invoice'!$K$2:$K$801,$N348)="","",INDEX('Per Invoice'!$K$2:$K$801,$N348)))</f>
        <v/>
      </c>
      <c r="L348" s="5">
        <f>IF($N348="","",IF(INDEX('Per Invoice'!$L$2:$L$801,$N348)="","",INDEX('Per Invoice'!$L$2:$L$801,$N348)))</f>
        <v/>
      </c>
      <c r="M348" s="5">
        <f>IF($N348="","",IF(INDEX('Per Invoice'!$M$2:$M$801,$N348)="","",INDEX('Per Invoice'!$M$2:$M$801,$N348)))</f>
        <v/>
      </c>
      <c r="N348">
        <f>IF(ROWS($N$2:$N348)&lt;=COUNT('Per Invoice'!$O$2:$O$801),MATCH(ROWS($N$2:$N348),'Per Invoice'!$O$2:$O$801,0),"")</f>
        <v/>
      </c>
    </row>
    <row r="349">
      <c r="A349">
        <f>IF($N349="","",IF(INDEX('Per Invoice'!$A$2:$A$801,$N349)="","",INDEX('Per Invoice'!$A$2:$A$801,$N349)))</f>
        <v/>
      </c>
      <c r="B349">
        <f>IF($N349="","",IF(INDEX('Per Invoice'!$B$2:$B$801,$N349)="","",INDEX('Per Invoice'!$B$2:$B$801,$N349)))</f>
        <v/>
      </c>
      <c r="C349">
        <f>IF($N349="","",IF(INDEX('Per Invoice'!$C$2:$C$801,$N349)="","",INDEX('Per Invoice'!$C$2:$C$801,$N349)))</f>
        <v/>
      </c>
      <c r="D349">
        <f>IF($N349="","",IF(INDEX('Per Invoice'!$D$2:$D$801,$N349)="","",INDEX('Per Invoice'!$D$2:$D$801,$N349)))</f>
        <v/>
      </c>
      <c r="E349">
        <f>IF($N349="","",IF(INDEX('Per Invoice'!$E$2:$E$801,$N349)="","",INDEX('Per Invoice'!$E$2:$E$801,$N349)))</f>
        <v/>
      </c>
      <c r="F349">
        <f>IF($N349="","",IF(INDEX('Per Invoice'!$F$2:$F$801,$N349)="","",INDEX('Per Invoice'!$F$2:$F$801,$N349)))</f>
        <v/>
      </c>
      <c r="G349">
        <f>IF($N349="","",IF(INDEX('Per Invoice'!$G$2:$G$801,$N349)="","",INDEX('Per Invoice'!$G$2:$G$801,$N349)))</f>
        <v/>
      </c>
      <c r="H349">
        <f>IF($N349="","",IF(INDEX('Per Invoice'!$H$2:$H$801,$N349)="","",INDEX('Per Invoice'!$H$2:$H$801,$N349)))</f>
        <v/>
      </c>
      <c r="I349" s="5">
        <f>IF($N349="","",IF(INDEX('Per Invoice'!$I$2:$I$801,$N349)="","",INDEX('Per Invoice'!$I$2:$I$801,$N349)))</f>
        <v/>
      </c>
      <c r="J349" s="5">
        <f>IF($N349="","",IF(INDEX('Per Invoice'!$J$2:$J$801,$N349)="","",INDEX('Per Invoice'!$J$2:$J$801,$N349)))</f>
        <v/>
      </c>
      <c r="K349" s="5">
        <f>IF($N349="","",IF(INDEX('Per Invoice'!$K$2:$K$801,$N349)="","",INDEX('Per Invoice'!$K$2:$K$801,$N349)))</f>
        <v/>
      </c>
      <c r="L349" s="5">
        <f>IF($N349="","",IF(INDEX('Per Invoice'!$L$2:$L$801,$N349)="","",INDEX('Per Invoice'!$L$2:$L$801,$N349)))</f>
        <v/>
      </c>
      <c r="M349" s="5">
        <f>IF($N349="","",IF(INDEX('Per Invoice'!$M$2:$M$801,$N349)="","",INDEX('Per Invoice'!$M$2:$M$801,$N349)))</f>
        <v/>
      </c>
      <c r="N349">
        <f>IF(ROWS($N$2:$N349)&lt;=COUNT('Per Invoice'!$O$2:$O$801),MATCH(ROWS($N$2:$N349),'Per Invoice'!$O$2:$O$801,0),"")</f>
        <v/>
      </c>
    </row>
    <row r="350">
      <c r="A350">
        <f>IF($N350="","",IF(INDEX('Per Invoice'!$A$2:$A$801,$N350)="","",INDEX('Per Invoice'!$A$2:$A$801,$N350)))</f>
        <v/>
      </c>
      <c r="B350">
        <f>IF($N350="","",IF(INDEX('Per Invoice'!$B$2:$B$801,$N350)="","",INDEX('Per Invoice'!$B$2:$B$801,$N350)))</f>
        <v/>
      </c>
      <c r="C350">
        <f>IF($N350="","",IF(INDEX('Per Invoice'!$C$2:$C$801,$N350)="","",INDEX('Per Invoice'!$C$2:$C$801,$N350)))</f>
        <v/>
      </c>
      <c r="D350">
        <f>IF($N350="","",IF(INDEX('Per Invoice'!$D$2:$D$801,$N350)="","",INDEX('Per Invoice'!$D$2:$D$801,$N350)))</f>
        <v/>
      </c>
      <c r="E350">
        <f>IF($N350="","",IF(INDEX('Per Invoice'!$E$2:$E$801,$N350)="","",INDEX('Per Invoice'!$E$2:$E$801,$N350)))</f>
        <v/>
      </c>
      <c r="F350">
        <f>IF($N350="","",IF(INDEX('Per Invoice'!$F$2:$F$801,$N350)="","",INDEX('Per Invoice'!$F$2:$F$801,$N350)))</f>
        <v/>
      </c>
      <c r="G350">
        <f>IF($N350="","",IF(INDEX('Per Invoice'!$G$2:$G$801,$N350)="","",INDEX('Per Invoice'!$G$2:$G$801,$N350)))</f>
        <v/>
      </c>
      <c r="H350">
        <f>IF($N350="","",IF(INDEX('Per Invoice'!$H$2:$H$801,$N350)="","",INDEX('Per Invoice'!$H$2:$H$801,$N350)))</f>
        <v/>
      </c>
      <c r="I350" s="5">
        <f>IF($N350="","",IF(INDEX('Per Invoice'!$I$2:$I$801,$N350)="","",INDEX('Per Invoice'!$I$2:$I$801,$N350)))</f>
        <v/>
      </c>
      <c r="J350" s="5">
        <f>IF($N350="","",IF(INDEX('Per Invoice'!$J$2:$J$801,$N350)="","",INDEX('Per Invoice'!$J$2:$J$801,$N350)))</f>
        <v/>
      </c>
      <c r="K350" s="5">
        <f>IF($N350="","",IF(INDEX('Per Invoice'!$K$2:$K$801,$N350)="","",INDEX('Per Invoice'!$K$2:$K$801,$N350)))</f>
        <v/>
      </c>
      <c r="L350" s="5">
        <f>IF($N350="","",IF(INDEX('Per Invoice'!$L$2:$L$801,$N350)="","",INDEX('Per Invoice'!$L$2:$L$801,$N350)))</f>
        <v/>
      </c>
      <c r="M350" s="5">
        <f>IF($N350="","",IF(INDEX('Per Invoice'!$M$2:$M$801,$N350)="","",INDEX('Per Invoice'!$M$2:$M$801,$N350)))</f>
        <v/>
      </c>
      <c r="N350">
        <f>IF(ROWS($N$2:$N350)&lt;=COUNT('Per Invoice'!$O$2:$O$801),MATCH(ROWS($N$2:$N350),'Per Invoice'!$O$2:$O$801,0),"")</f>
        <v/>
      </c>
    </row>
    <row r="351">
      <c r="A351">
        <f>IF($N351="","",IF(INDEX('Per Invoice'!$A$2:$A$801,$N351)="","",INDEX('Per Invoice'!$A$2:$A$801,$N351)))</f>
        <v/>
      </c>
      <c r="B351">
        <f>IF($N351="","",IF(INDEX('Per Invoice'!$B$2:$B$801,$N351)="","",INDEX('Per Invoice'!$B$2:$B$801,$N351)))</f>
        <v/>
      </c>
      <c r="C351">
        <f>IF($N351="","",IF(INDEX('Per Invoice'!$C$2:$C$801,$N351)="","",INDEX('Per Invoice'!$C$2:$C$801,$N351)))</f>
        <v/>
      </c>
      <c r="D351">
        <f>IF($N351="","",IF(INDEX('Per Invoice'!$D$2:$D$801,$N351)="","",INDEX('Per Invoice'!$D$2:$D$801,$N351)))</f>
        <v/>
      </c>
      <c r="E351">
        <f>IF($N351="","",IF(INDEX('Per Invoice'!$E$2:$E$801,$N351)="","",INDEX('Per Invoice'!$E$2:$E$801,$N351)))</f>
        <v/>
      </c>
      <c r="F351">
        <f>IF($N351="","",IF(INDEX('Per Invoice'!$F$2:$F$801,$N351)="","",INDEX('Per Invoice'!$F$2:$F$801,$N351)))</f>
        <v/>
      </c>
      <c r="G351">
        <f>IF($N351="","",IF(INDEX('Per Invoice'!$G$2:$G$801,$N351)="","",INDEX('Per Invoice'!$G$2:$G$801,$N351)))</f>
        <v/>
      </c>
      <c r="H351">
        <f>IF($N351="","",IF(INDEX('Per Invoice'!$H$2:$H$801,$N351)="","",INDEX('Per Invoice'!$H$2:$H$801,$N351)))</f>
        <v/>
      </c>
      <c r="I351" s="5">
        <f>IF($N351="","",IF(INDEX('Per Invoice'!$I$2:$I$801,$N351)="","",INDEX('Per Invoice'!$I$2:$I$801,$N351)))</f>
        <v/>
      </c>
      <c r="J351" s="5">
        <f>IF($N351="","",IF(INDEX('Per Invoice'!$J$2:$J$801,$N351)="","",INDEX('Per Invoice'!$J$2:$J$801,$N351)))</f>
        <v/>
      </c>
      <c r="K351" s="5">
        <f>IF($N351="","",IF(INDEX('Per Invoice'!$K$2:$K$801,$N351)="","",INDEX('Per Invoice'!$K$2:$K$801,$N351)))</f>
        <v/>
      </c>
      <c r="L351" s="5">
        <f>IF($N351="","",IF(INDEX('Per Invoice'!$L$2:$L$801,$N351)="","",INDEX('Per Invoice'!$L$2:$L$801,$N351)))</f>
        <v/>
      </c>
      <c r="M351" s="5">
        <f>IF($N351="","",IF(INDEX('Per Invoice'!$M$2:$M$801,$N351)="","",INDEX('Per Invoice'!$M$2:$M$801,$N351)))</f>
        <v/>
      </c>
      <c r="N351">
        <f>IF(ROWS($N$2:$N351)&lt;=COUNT('Per Invoice'!$O$2:$O$801),MATCH(ROWS($N$2:$N351),'Per Invoice'!$O$2:$O$801,0),"")</f>
        <v/>
      </c>
    </row>
    <row r="352">
      <c r="A352">
        <f>IF($N352="","",IF(INDEX('Per Invoice'!$A$2:$A$801,$N352)="","",INDEX('Per Invoice'!$A$2:$A$801,$N352)))</f>
        <v/>
      </c>
      <c r="B352">
        <f>IF($N352="","",IF(INDEX('Per Invoice'!$B$2:$B$801,$N352)="","",INDEX('Per Invoice'!$B$2:$B$801,$N352)))</f>
        <v/>
      </c>
      <c r="C352">
        <f>IF($N352="","",IF(INDEX('Per Invoice'!$C$2:$C$801,$N352)="","",INDEX('Per Invoice'!$C$2:$C$801,$N352)))</f>
        <v/>
      </c>
      <c r="D352">
        <f>IF($N352="","",IF(INDEX('Per Invoice'!$D$2:$D$801,$N352)="","",INDEX('Per Invoice'!$D$2:$D$801,$N352)))</f>
        <v/>
      </c>
      <c r="E352">
        <f>IF($N352="","",IF(INDEX('Per Invoice'!$E$2:$E$801,$N352)="","",INDEX('Per Invoice'!$E$2:$E$801,$N352)))</f>
        <v/>
      </c>
      <c r="F352">
        <f>IF($N352="","",IF(INDEX('Per Invoice'!$F$2:$F$801,$N352)="","",INDEX('Per Invoice'!$F$2:$F$801,$N352)))</f>
        <v/>
      </c>
      <c r="G352">
        <f>IF($N352="","",IF(INDEX('Per Invoice'!$G$2:$G$801,$N352)="","",INDEX('Per Invoice'!$G$2:$G$801,$N352)))</f>
        <v/>
      </c>
      <c r="H352">
        <f>IF($N352="","",IF(INDEX('Per Invoice'!$H$2:$H$801,$N352)="","",INDEX('Per Invoice'!$H$2:$H$801,$N352)))</f>
        <v/>
      </c>
      <c r="I352" s="5">
        <f>IF($N352="","",IF(INDEX('Per Invoice'!$I$2:$I$801,$N352)="","",INDEX('Per Invoice'!$I$2:$I$801,$N352)))</f>
        <v/>
      </c>
      <c r="J352" s="5">
        <f>IF($N352="","",IF(INDEX('Per Invoice'!$J$2:$J$801,$N352)="","",INDEX('Per Invoice'!$J$2:$J$801,$N352)))</f>
        <v/>
      </c>
      <c r="K352" s="5">
        <f>IF($N352="","",IF(INDEX('Per Invoice'!$K$2:$K$801,$N352)="","",INDEX('Per Invoice'!$K$2:$K$801,$N352)))</f>
        <v/>
      </c>
      <c r="L352" s="5">
        <f>IF($N352="","",IF(INDEX('Per Invoice'!$L$2:$L$801,$N352)="","",INDEX('Per Invoice'!$L$2:$L$801,$N352)))</f>
        <v/>
      </c>
      <c r="M352" s="5">
        <f>IF($N352="","",IF(INDEX('Per Invoice'!$M$2:$M$801,$N352)="","",INDEX('Per Invoice'!$M$2:$M$801,$N352)))</f>
        <v/>
      </c>
      <c r="N352">
        <f>IF(ROWS($N$2:$N352)&lt;=COUNT('Per Invoice'!$O$2:$O$801),MATCH(ROWS($N$2:$N352),'Per Invoice'!$O$2:$O$801,0),"")</f>
        <v/>
      </c>
    </row>
    <row r="353">
      <c r="A353">
        <f>IF($N353="","",IF(INDEX('Per Invoice'!$A$2:$A$801,$N353)="","",INDEX('Per Invoice'!$A$2:$A$801,$N353)))</f>
        <v/>
      </c>
      <c r="B353">
        <f>IF($N353="","",IF(INDEX('Per Invoice'!$B$2:$B$801,$N353)="","",INDEX('Per Invoice'!$B$2:$B$801,$N353)))</f>
        <v/>
      </c>
      <c r="C353">
        <f>IF($N353="","",IF(INDEX('Per Invoice'!$C$2:$C$801,$N353)="","",INDEX('Per Invoice'!$C$2:$C$801,$N353)))</f>
        <v/>
      </c>
      <c r="D353">
        <f>IF($N353="","",IF(INDEX('Per Invoice'!$D$2:$D$801,$N353)="","",INDEX('Per Invoice'!$D$2:$D$801,$N353)))</f>
        <v/>
      </c>
      <c r="E353">
        <f>IF($N353="","",IF(INDEX('Per Invoice'!$E$2:$E$801,$N353)="","",INDEX('Per Invoice'!$E$2:$E$801,$N353)))</f>
        <v/>
      </c>
      <c r="F353">
        <f>IF($N353="","",IF(INDEX('Per Invoice'!$F$2:$F$801,$N353)="","",INDEX('Per Invoice'!$F$2:$F$801,$N353)))</f>
        <v/>
      </c>
      <c r="G353">
        <f>IF($N353="","",IF(INDEX('Per Invoice'!$G$2:$G$801,$N353)="","",INDEX('Per Invoice'!$G$2:$G$801,$N353)))</f>
        <v/>
      </c>
      <c r="H353">
        <f>IF($N353="","",IF(INDEX('Per Invoice'!$H$2:$H$801,$N353)="","",INDEX('Per Invoice'!$H$2:$H$801,$N353)))</f>
        <v/>
      </c>
      <c r="I353" s="5">
        <f>IF($N353="","",IF(INDEX('Per Invoice'!$I$2:$I$801,$N353)="","",INDEX('Per Invoice'!$I$2:$I$801,$N353)))</f>
        <v/>
      </c>
      <c r="J353" s="5">
        <f>IF($N353="","",IF(INDEX('Per Invoice'!$J$2:$J$801,$N353)="","",INDEX('Per Invoice'!$J$2:$J$801,$N353)))</f>
        <v/>
      </c>
      <c r="K353" s="5">
        <f>IF($N353="","",IF(INDEX('Per Invoice'!$K$2:$K$801,$N353)="","",INDEX('Per Invoice'!$K$2:$K$801,$N353)))</f>
        <v/>
      </c>
      <c r="L353" s="5">
        <f>IF($N353="","",IF(INDEX('Per Invoice'!$L$2:$L$801,$N353)="","",INDEX('Per Invoice'!$L$2:$L$801,$N353)))</f>
        <v/>
      </c>
      <c r="M353" s="5">
        <f>IF($N353="","",IF(INDEX('Per Invoice'!$M$2:$M$801,$N353)="","",INDEX('Per Invoice'!$M$2:$M$801,$N353)))</f>
        <v/>
      </c>
      <c r="N353">
        <f>IF(ROWS($N$2:$N353)&lt;=COUNT('Per Invoice'!$O$2:$O$801),MATCH(ROWS($N$2:$N353),'Per Invoice'!$O$2:$O$801,0),"")</f>
        <v/>
      </c>
    </row>
    <row r="354">
      <c r="A354">
        <f>IF($N354="","",IF(INDEX('Per Invoice'!$A$2:$A$801,$N354)="","",INDEX('Per Invoice'!$A$2:$A$801,$N354)))</f>
        <v/>
      </c>
      <c r="B354">
        <f>IF($N354="","",IF(INDEX('Per Invoice'!$B$2:$B$801,$N354)="","",INDEX('Per Invoice'!$B$2:$B$801,$N354)))</f>
        <v/>
      </c>
      <c r="C354">
        <f>IF($N354="","",IF(INDEX('Per Invoice'!$C$2:$C$801,$N354)="","",INDEX('Per Invoice'!$C$2:$C$801,$N354)))</f>
        <v/>
      </c>
      <c r="D354">
        <f>IF($N354="","",IF(INDEX('Per Invoice'!$D$2:$D$801,$N354)="","",INDEX('Per Invoice'!$D$2:$D$801,$N354)))</f>
        <v/>
      </c>
      <c r="E354">
        <f>IF($N354="","",IF(INDEX('Per Invoice'!$E$2:$E$801,$N354)="","",INDEX('Per Invoice'!$E$2:$E$801,$N354)))</f>
        <v/>
      </c>
      <c r="F354">
        <f>IF($N354="","",IF(INDEX('Per Invoice'!$F$2:$F$801,$N354)="","",INDEX('Per Invoice'!$F$2:$F$801,$N354)))</f>
        <v/>
      </c>
      <c r="G354">
        <f>IF($N354="","",IF(INDEX('Per Invoice'!$G$2:$G$801,$N354)="","",INDEX('Per Invoice'!$G$2:$G$801,$N354)))</f>
        <v/>
      </c>
      <c r="H354">
        <f>IF($N354="","",IF(INDEX('Per Invoice'!$H$2:$H$801,$N354)="","",INDEX('Per Invoice'!$H$2:$H$801,$N354)))</f>
        <v/>
      </c>
      <c r="I354" s="5">
        <f>IF($N354="","",IF(INDEX('Per Invoice'!$I$2:$I$801,$N354)="","",INDEX('Per Invoice'!$I$2:$I$801,$N354)))</f>
        <v/>
      </c>
      <c r="J354" s="5">
        <f>IF($N354="","",IF(INDEX('Per Invoice'!$J$2:$J$801,$N354)="","",INDEX('Per Invoice'!$J$2:$J$801,$N354)))</f>
        <v/>
      </c>
      <c r="K354" s="5">
        <f>IF($N354="","",IF(INDEX('Per Invoice'!$K$2:$K$801,$N354)="","",INDEX('Per Invoice'!$K$2:$K$801,$N354)))</f>
        <v/>
      </c>
      <c r="L354" s="5">
        <f>IF($N354="","",IF(INDEX('Per Invoice'!$L$2:$L$801,$N354)="","",INDEX('Per Invoice'!$L$2:$L$801,$N354)))</f>
        <v/>
      </c>
      <c r="M354" s="5">
        <f>IF($N354="","",IF(INDEX('Per Invoice'!$M$2:$M$801,$N354)="","",INDEX('Per Invoice'!$M$2:$M$801,$N354)))</f>
        <v/>
      </c>
      <c r="N354">
        <f>IF(ROWS($N$2:$N354)&lt;=COUNT('Per Invoice'!$O$2:$O$801),MATCH(ROWS($N$2:$N354),'Per Invoice'!$O$2:$O$801,0),"")</f>
        <v/>
      </c>
    </row>
    <row r="355">
      <c r="A355">
        <f>IF($N355="","",IF(INDEX('Per Invoice'!$A$2:$A$801,$N355)="","",INDEX('Per Invoice'!$A$2:$A$801,$N355)))</f>
        <v/>
      </c>
      <c r="B355">
        <f>IF($N355="","",IF(INDEX('Per Invoice'!$B$2:$B$801,$N355)="","",INDEX('Per Invoice'!$B$2:$B$801,$N355)))</f>
        <v/>
      </c>
      <c r="C355">
        <f>IF($N355="","",IF(INDEX('Per Invoice'!$C$2:$C$801,$N355)="","",INDEX('Per Invoice'!$C$2:$C$801,$N355)))</f>
        <v/>
      </c>
      <c r="D355">
        <f>IF($N355="","",IF(INDEX('Per Invoice'!$D$2:$D$801,$N355)="","",INDEX('Per Invoice'!$D$2:$D$801,$N355)))</f>
        <v/>
      </c>
      <c r="E355">
        <f>IF($N355="","",IF(INDEX('Per Invoice'!$E$2:$E$801,$N355)="","",INDEX('Per Invoice'!$E$2:$E$801,$N355)))</f>
        <v/>
      </c>
      <c r="F355">
        <f>IF($N355="","",IF(INDEX('Per Invoice'!$F$2:$F$801,$N355)="","",INDEX('Per Invoice'!$F$2:$F$801,$N355)))</f>
        <v/>
      </c>
      <c r="G355">
        <f>IF($N355="","",IF(INDEX('Per Invoice'!$G$2:$G$801,$N355)="","",INDEX('Per Invoice'!$G$2:$G$801,$N355)))</f>
        <v/>
      </c>
      <c r="H355">
        <f>IF($N355="","",IF(INDEX('Per Invoice'!$H$2:$H$801,$N355)="","",INDEX('Per Invoice'!$H$2:$H$801,$N355)))</f>
        <v/>
      </c>
      <c r="I355" s="5">
        <f>IF($N355="","",IF(INDEX('Per Invoice'!$I$2:$I$801,$N355)="","",INDEX('Per Invoice'!$I$2:$I$801,$N355)))</f>
        <v/>
      </c>
      <c r="J355" s="5">
        <f>IF($N355="","",IF(INDEX('Per Invoice'!$J$2:$J$801,$N355)="","",INDEX('Per Invoice'!$J$2:$J$801,$N355)))</f>
        <v/>
      </c>
      <c r="K355" s="5">
        <f>IF($N355="","",IF(INDEX('Per Invoice'!$K$2:$K$801,$N355)="","",INDEX('Per Invoice'!$K$2:$K$801,$N355)))</f>
        <v/>
      </c>
      <c r="L355" s="5">
        <f>IF($N355="","",IF(INDEX('Per Invoice'!$L$2:$L$801,$N355)="","",INDEX('Per Invoice'!$L$2:$L$801,$N355)))</f>
        <v/>
      </c>
      <c r="M355" s="5">
        <f>IF($N355="","",IF(INDEX('Per Invoice'!$M$2:$M$801,$N355)="","",INDEX('Per Invoice'!$M$2:$M$801,$N355)))</f>
        <v/>
      </c>
      <c r="N355">
        <f>IF(ROWS($N$2:$N355)&lt;=COUNT('Per Invoice'!$O$2:$O$801),MATCH(ROWS($N$2:$N355),'Per Invoice'!$O$2:$O$801,0),"")</f>
        <v/>
      </c>
    </row>
    <row r="356">
      <c r="A356">
        <f>IF($N356="","",IF(INDEX('Per Invoice'!$A$2:$A$801,$N356)="","",INDEX('Per Invoice'!$A$2:$A$801,$N356)))</f>
        <v/>
      </c>
      <c r="B356">
        <f>IF($N356="","",IF(INDEX('Per Invoice'!$B$2:$B$801,$N356)="","",INDEX('Per Invoice'!$B$2:$B$801,$N356)))</f>
        <v/>
      </c>
      <c r="C356">
        <f>IF($N356="","",IF(INDEX('Per Invoice'!$C$2:$C$801,$N356)="","",INDEX('Per Invoice'!$C$2:$C$801,$N356)))</f>
        <v/>
      </c>
      <c r="D356">
        <f>IF($N356="","",IF(INDEX('Per Invoice'!$D$2:$D$801,$N356)="","",INDEX('Per Invoice'!$D$2:$D$801,$N356)))</f>
        <v/>
      </c>
      <c r="E356">
        <f>IF($N356="","",IF(INDEX('Per Invoice'!$E$2:$E$801,$N356)="","",INDEX('Per Invoice'!$E$2:$E$801,$N356)))</f>
        <v/>
      </c>
      <c r="F356">
        <f>IF($N356="","",IF(INDEX('Per Invoice'!$F$2:$F$801,$N356)="","",INDEX('Per Invoice'!$F$2:$F$801,$N356)))</f>
        <v/>
      </c>
      <c r="G356">
        <f>IF($N356="","",IF(INDEX('Per Invoice'!$G$2:$G$801,$N356)="","",INDEX('Per Invoice'!$G$2:$G$801,$N356)))</f>
        <v/>
      </c>
      <c r="H356">
        <f>IF($N356="","",IF(INDEX('Per Invoice'!$H$2:$H$801,$N356)="","",INDEX('Per Invoice'!$H$2:$H$801,$N356)))</f>
        <v/>
      </c>
      <c r="I356" s="5">
        <f>IF($N356="","",IF(INDEX('Per Invoice'!$I$2:$I$801,$N356)="","",INDEX('Per Invoice'!$I$2:$I$801,$N356)))</f>
        <v/>
      </c>
      <c r="J356" s="5">
        <f>IF($N356="","",IF(INDEX('Per Invoice'!$J$2:$J$801,$N356)="","",INDEX('Per Invoice'!$J$2:$J$801,$N356)))</f>
        <v/>
      </c>
      <c r="K356" s="5">
        <f>IF($N356="","",IF(INDEX('Per Invoice'!$K$2:$K$801,$N356)="","",INDEX('Per Invoice'!$K$2:$K$801,$N356)))</f>
        <v/>
      </c>
      <c r="L356" s="5">
        <f>IF($N356="","",IF(INDEX('Per Invoice'!$L$2:$L$801,$N356)="","",INDEX('Per Invoice'!$L$2:$L$801,$N356)))</f>
        <v/>
      </c>
      <c r="M356" s="5">
        <f>IF($N356="","",IF(INDEX('Per Invoice'!$M$2:$M$801,$N356)="","",INDEX('Per Invoice'!$M$2:$M$801,$N356)))</f>
        <v/>
      </c>
      <c r="N356">
        <f>IF(ROWS($N$2:$N356)&lt;=COUNT('Per Invoice'!$O$2:$O$801),MATCH(ROWS($N$2:$N356),'Per Invoice'!$O$2:$O$801,0),"")</f>
        <v/>
      </c>
    </row>
    <row r="357">
      <c r="A357">
        <f>IF($N357="","",IF(INDEX('Per Invoice'!$A$2:$A$801,$N357)="","",INDEX('Per Invoice'!$A$2:$A$801,$N357)))</f>
        <v/>
      </c>
      <c r="B357">
        <f>IF($N357="","",IF(INDEX('Per Invoice'!$B$2:$B$801,$N357)="","",INDEX('Per Invoice'!$B$2:$B$801,$N357)))</f>
        <v/>
      </c>
      <c r="C357">
        <f>IF($N357="","",IF(INDEX('Per Invoice'!$C$2:$C$801,$N357)="","",INDEX('Per Invoice'!$C$2:$C$801,$N357)))</f>
        <v/>
      </c>
      <c r="D357">
        <f>IF($N357="","",IF(INDEX('Per Invoice'!$D$2:$D$801,$N357)="","",INDEX('Per Invoice'!$D$2:$D$801,$N357)))</f>
        <v/>
      </c>
      <c r="E357">
        <f>IF($N357="","",IF(INDEX('Per Invoice'!$E$2:$E$801,$N357)="","",INDEX('Per Invoice'!$E$2:$E$801,$N357)))</f>
        <v/>
      </c>
      <c r="F357">
        <f>IF($N357="","",IF(INDEX('Per Invoice'!$F$2:$F$801,$N357)="","",INDEX('Per Invoice'!$F$2:$F$801,$N357)))</f>
        <v/>
      </c>
      <c r="G357">
        <f>IF($N357="","",IF(INDEX('Per Invoice'!$G$2:$G$801,$N357)="","",INDEX('Per Invoice'!$G$2:$G$801,$N357)))</f>
        <v/>
      </c>
      <c r="H357">
        <f>IF($N357="","",IF(INDEX('Per Invoice'!$H$2:$H$801,$N357)="","",INDEX('Per Invoice'!$H$2:$H$801,$N357)))</f>
        <v/>
      </c>
      <c r="I357" s="5">
        <f>IF($N357="","",IF(INDEX('Per Invoice'!$I$2:$I$801,$N357)="","",INDEX('Per Invoice'!$I$2:$I$801,$N357)))</f>
        <v/>
      </c>
      <c r="J357" s="5">
        <f>IF($N357="","",IF(INDEX('Per Invoice'!$J$2:$J$801,$N357)="","",INDEX('Per Invoice'!$J$2:$J$801,$N357)))</f>
        <v/>
      </c>
      <c r="K357" s="5">
        <f>IF($N357="","",IF(INDEX('Per Invoice'!$K$2:$K$801,$N357)="","",INDEX('Per Invoice'!$K$2:$K$801,$N357)))</f>
        <v/>
      </c>
      <c r="L357" s="5">
        <f>IF($N357="","",IF(INDEX('Per Invoice'!$L$2:$L$801,$N357)="","",INDEX('Per Invoice'!$L$2:$L$801,$N357)))</f>
        <v/>
      </c>
      <c r="M357" s="5">
        <f>IF($N357="","",IF(INDEX('Per Invoice'!$M$2:$M$801,$N357)="","",INDEX('Per Invoice'!$M$2:$M$801,$N357)))</f>
        <v/>
      </c>
      <c r="N357">
        <f>IF(ROWS($N$2:$N357)&lt;=COUNT('Per Invoice'!$O$2:$O$801),MATCH(ROWS($N$2:$N357),'Per Invoice'!$O$2:$O$801,0),"")</f>
        <v/>
      </c>
    </row>
    <row r="358">
      <c r="A358">
        <f>IF($N358="","",IF(INDEX('Per Invoice'!$A$2:$A$801,$N358)="","",INDEX('Per Invoice'!$A$2:$A$801,$N358)))</f>
        <v/>
      </c>
      <c r="B358">
        <f>IF($N358="","",IF(INDEX('Per Invoice'!$B$2:$B$801,$N358)="","",INDEX('Per Invoice'!$B$2:$B$801,$N358)))</f>
        <v/>
      </c>
      <c r="C358">
        <f>IF($N358="","",IF(INDEX('Per Invoice'!$C$2:$C$801,$N358)="","",INDEX('Per Invoice'!$C$2:$C$801,$N358)))</f>
        <v/>
      </c>
      <c r="D358">
        <f>IF($N358="","",IF(INDEX('Per Invoice'!$D$2:$D$801,$N358)="","",INDEX('Per Invoice'!$D$2:$D$801,$N358)))</f>
        <v/>
      </c>
      <c r="E358">
        <f>IF($N358="","",IF(INDEX('Per Invoice'!$E$2:$E$801,$N358)="","",INDEX('Per Invoice'!$E$2:$E$801,$N358)))</f>
        <v/>
      </c>
      <c r="F358">
        <f>IF($N358="","",IF(INDEX('Per Invoice'!$F$2:$F$801,$N358)="","",INDEX('Per Invoice'!$F$2:$F$801,$N358)))</f>
        <v/>
      </c>
      <c r="G358">
        <f>IF($N358="","",IF(INDEX('Per Invoice'!$G$2:$G$801,$N358)="","",INDEX('Per Invoice'!$G$2:$G$801,$N358)))</f>
        <v/>
      </c>
      <c r="H358">
        <f>IF($N358="","",IF(INDEX('Per Invoice'!$H$2:$H$801,$N358)="","",INDEX('Per Invoice'!$H$2:$H$801,$N358)))</f>
        <v/>
      </c>
      <c r="I358" s="5">
        <f>IF($N358="","",IF(INDEX('Per Invoice'!$I$2:$I$801,$N358)="","",INDEX('Per Invoice'!$I$2:$I$801,$N358)))</f>
        <v/>
      </c>
      <c r="J358" s="5">
        <f>IF($N358="","",IF(INDEX('Per Invoice'!$J$2:$J$801,$N358)="","",INDEX('Per Invoice'!$J$2:$J$801,$N358)))</f>
        <v/>
      </c>
      <c r="K358" s="5">
        <f>IF($N358="","",IF(INDEX('Per Invoice'!$K$2:$K$801,$N358)="","",INDEX('Per Invoice'!$K$2:$K$801,$N358)))</f>
        <v/>
      </c>
      <c r="L358" s="5">
        <f>IF($N358="","",IF(INDEX('Per Invoice'!$L$2:$L$801,$N358)="","",INDEX('Per Invoice'!$L$2:$L$801,$N358)))</f>
        <v/>
      </c>
      <c r="M358" s="5">
        <f>IF($N358="","",IF(INDEX('Per Invoice'!$M$2:$M$801,$N358)="","",INDEX('Per Invoice'!$M$2:$M$801,$N358)))</f>
        <v/>
      </c>
      <c r="N358">
        <f>IF(ROWS($N$2:$N358)&lt;=COUNT('Per Invoice'!$O$2:$O$801),MATCH(ROWS($N$2:$N358),'Per Invoice'!$O$2:$O$801,0),"")</f>
        <v/>
      </c>
    </row>
    <row r="359">
      <c r="A359">
        <f>IF($N359="","",IF(INDEX('Per Invoice'!$A$2:$A$801,$N359)="","",INDEX('Per Invoice'!$A$2:$A$801,$N359)))</f>
        <v/>
      </c>
      <c r="B359">
        <f>IF($N359="","",IF(INDEX('Per Invoice'!$B$2:$B$801,$N359)="","",INDEX('Per Invoice'!$B$2:$B$801,$N359)))</f>
        <v/>
      </c>
      <c r="C359">
        <f>IF($N359="","",IF(INDEX('Per Invoice'!$C$2:$C$801,$N359)="","",INDEX('Per Invoice'!$C$2:$C$801,$N359)))</f>
        <v/>
      </c>
      <c r="D359">
        <f>IF($N359="","",IF(INDEX('Per Invoice'!$D$2:$D$801,$N359)="","",INDEX('Per Invoice'!$D$2:$D$801,$N359)))</f>
        <v/>
      </c>
      <c r="E359">
        <f>IF($N359="","",IF(INDEX('Per Invoice'!$E$2:$E$801,$N359)="","",INDEX('Per Invoice'!$E$2:$E$801,$N359)))</f>
        <v/>
      </c>
      <c r="F359">
        <f>IF($N359="","",IF(INDEX('Per Invoice'!$F$2:$F$801,$N359)="","",INDEX('Per Invoice'!$F$2:$F$801,$N359)))</f>
        <v/>
      </c>
      <c r="G359">
        <f>IF($N359="","",IF(INDEX('Per Invoice'!$G$2:$G$801,$N359)="","",INDEX('Per Invoice'!$G$2:$G$801,$N359)))</f>
        <v/>
      </c>
      <c r="H359">
        <f>IF($N359="","",IF(INDEX('Per Invoice'!$H$2:$H$801,$N359)="","",INDEX('Per Invoice'!$H$2:$H$801,$N359)))</f>
        <v/>
      </c>
      <c r="I359" s="5">
        <f>IF($N359="","",IF(INDEX('Per Invoice'!$I$2:$I$801,$N359)="","",INDEX('Per Invoice'!$I$2:$I$801,$N359)))</f>
        <v/>
      </c>
      <c r="J359" s="5">
        <f>IF($N359="","",IF(INDEX('Per Invoice'!$J$2:$J$801,$N359)="","",INDEX('Per Invoice'!$J$2:$J$801,$N359)))</f>
        <v/>
      </c>
      <c r="K359" s="5">
        <f>IF($N359="","",IF(INDEX('Per Invoice'!$K$2:$K$801,$N359)="","",INDEX('Per Invoice'!$K$2:$K$801,$N359)))</f>
        <v/>
      </c>
      <c r="L359" s="5">
        <f>IF($N359="","",IF(INDEX('Per Invoice'!$L$2:$L$801,$N359)="","",INDEX('Per Invoice'!$L$2:$L$801,$N359)))</f>
        <v/>
      </c>
      <c r="M359" s="5">
        <f>IF($N359="","",IF(INDEX('Per Invoice'!$M$2:$M$801,$N359)="","",INDEX('Per Invoice'!$M$2:$M$801,$N359)))</f>
        <v/>
      </c>
      <c r="N359">
        <f>IF(ROWS($N$2:$N359)&lt;=COUNT('Per Invoice'!$O$2:$O$801),MATCH(ROWS($N$2:$N359),'Per Invoice'!$O$2:$O$801,0),"")</f>
        <v/>
      </c>
    </row>
    <row r="360">
      <c r="A360">
        <f>IF($N360="","",IF(INDEX('Per Invoice'!$A$2:$A$801,$N360)="","",INDEX('Per Invoice'!$A$2:$A$801,$N360)))</f>
        <v/>
      </c>
      <c r="B360">
        <f>IF($N360="","",IF(INDEX('Per Invoice'!$B$2:$B$801,$N360)="","",INDEX('Per Invoice'!$B$2:$B$801,$N360)))</f>
        <v/>
      </c>
      <c r="C360">
        <f>IF($N360="","",IF(INDEX('Per Invoice'!$C$2:$C$801,$N360)="","",INDEX('Per Invoice'!$C$2:$C$801,$N360)))</f>
        <v/>
      </c>
      <c r="D360">
        <f>IF($N360="","",IF(INDEX('Per Invoice'!$D$2:$D$801,$N360)="","",INDEX('Per Invoice'!$D$2:$D$801,$N360)))</f>
        <v/>
      </c>
      <c r="E360">
        <f>IF($N360="","",IF(INDEX('Per Invoice'!$E$2:$E$801,$N360)="","",INDEX('Per Invoice'!$E$2:$E$801,$N360)))</f>
        <v/>
      </c>
      <c r="F360">
        <f>IF($N360="","",IF(INDEX('Per Invoice'!$F$2:$F$801,$N360)="","",INDEX('Per Invoice'!$F$2:$F$801,$N360)))</f>
        <v/>
      </c>
      <c r="G360">
        <f>IF($N360="","",IF(INDEX('Per Invoice'!$G$2:$G$801,$N360)="","",INDEX('Per Invoice'!$G$2:$G$801,$N360)))</f>
        <v/>
      </c>
      <c r="H360">
        <f>IF($N360="","",IF(INDEX('Per Invoice'!$H$2:$H$801,$N360)="","",INDEX('Per Invoice'!$H$2:$H$801,$N360)))</f>
        <v/>
      </c>
      <c r="I360" s="5">
        <f>IF($N360="","",IF(INDEX('Per Invoice'!$I$2:$I$801,$N360)="","",INDEX('Per Invoice'!$I$2:$I$801,$N360)))</f>
        <v/>
      </c>
      <c r="J360" s="5">
        <f>IF($N360="","",IF(INDEX('Per Invoice'!$J$2:$J$801,$N360)="","",INDEX('Per Invoice'!$J$2:$J$801,$N360)))</f>
        <v/>
      </c>
      <c r="K360" s="5">
        <f>IF($N360="","",IF(INDEX('Per Invoice'!$K$2:$K$801,$N360)="","",INDEX('Per Invoice'!$K$2:$K$801,$N360)))</f>
        <v/>
      </c>
      <c r="L360" s="5">
        <f>IF($N360="","",IF(INDEX('Per Invoice'!$L$2:$L$801,$N360)="","",INDEX('Per Invoice'!$L$2:$L$801,$N360)))</f>
        <v/>
      </c>
      <c r="M360" s="5">
        <f>IF($N360="","",IF(INDEX('Per Invoice'!$M$2:$M$801,$N360)="","",INDEX('Per Invoice'!$M$2:$M$801,$N360)))</f>
        <v/>
      </c>
      <c r="N360">
        <f>IF(ROWS($N$2:$N360)&lt;=COUNT('Per Invoice'!$O$2:$O$801),MATCH(ROWS($N$2:$N360),'Per Invoice'!$O$2:$O$801,0),"")</f>
        <v/>
      </c>
    </row>
    <row r="361">
      <c r="A361">
        <f>IF($N361="","",IF(INDEX('Per Invoice'!$A$2:$A$801,$N361)="","",INDEX('Per Invoice'!$A$2:$A$801,$N361)))</f>
        <v/>
      </c>
      <c r="B361">
        <f>IF($N361="","",IF(INDEX('Per Invoice'!$B$2:$B$801,$N361)="","",INDEX('Per Invoice'!$B$2:$B$801,$N361)))</f>
        <v/>
      </c>
      <c r="C361">
        <f>IF($N361="","",IF(INDEX('Per Invoice'!$C$2:$C$801,$N361)="","",INDEX('Per Invoice'!$C$2:$C$801,$N361)))</f>
        <v/>
      </c>
      <c r="D361">
        <f>IF($N361="","",IF(INDEX('Per Invoice'!$D$2:$D$801,$N361)="","",INDEX('Per Invoice'!$D$2:$D$801,$N361)))</f>
        <v/>
      </c>
      <c r="E361">
        <f>IF($N361="","",IF(INDEX('Per Invoice'!$E$2:$E$801,$N361)="","",INDEX('Per Invoice'!$E$2:$E$801,$N361)))</f>
        <v/>
      </c>
      <c r="F361">
        <f>IF($N361="","",IF(INDEX('Per Invoice'!$F$2:$F$801,$N361)="","",INDEX('Per Invoice'!$F$2:$F$801,$N361)))</f>
        <v/>
      </c>
      <c r="G361">
        <f>IF($N361="","",IF(INDEX('Per Invoice'!$G$2:$G$801,$N361)="","",INDEX('Per Invoice'!$G$2:$G$801,$N361)))</f>
        <v/>
      </c>
      <c r="H361">
        <f>IF($N361="","",IF(INDEX('Per Invoice'!$H$2:$H$801,$N361)="","",INDEX('Per Invoice'!$H$2:$H$801,$N361)))</f>
        <v/>
      </c>
      <c r="I361" s="5">
        <f>IF($N361="","",IF(INDEX('Per Invoice'!$I$2:$I$801,$N361)="","",INDEX('Per Invoice'!$I$2:$I$801,$N361)))</f>
        <v/>
      </c>
      <c r="J361" s="5">
        <f>IF($N361="","",IF(INDEX('Per Invoice'!$J$2:$J$801,$N361)="","",INDEX('Per Invoice'!$J$2:$J$801,$N361)))</f>
        <v/>
      </c>
      <c r="K361" s="5">
        <f>IF($N361="","",IF(INDEX('Per Invoice'!$K$2:$K$801,$N361)="","",INDEX('Per Invoice'!$K$2:$K$801,$N361)))</f>
        <v/>
      </c>
      <c r="L361" s="5">
        <f>IF($N361="","",IF(INDEX('Per Invoice'!$L$2:$L$801,$N361)="","",INDEX('Per Invoice'!$L$2:$L$801,$N361)))</f>
        <v/>
      </c>
      <c r="M361" s="5">
        <f>IF($N361="","",IF(INDEX('Per Invoice'!$M$2:$M$801,$N361)="","",INDEX('Per Invoice'!$M$2:$M$801,$N361)))</f>
        <v/>
      </c>
      <c r="N361">
        <f>IF(ROWS($N$2:$N361)&lt;=COUNT('Per Invoice'!$O$2:$O$801),MATCH(ROWS($N$2:$N361),'Per Invoice'!$O$2:$O$801,0),"")</f>
        <v/>
      </c>
    </row>
    <row r="362">
      <c r="A362">
        <f>IF($N362="","",IF(INDEX('Per Invoice'!$A$2:$A$801,$N362)="","",INDEX('Per Invoice'!$A$2:$A$801,$N362)))</f>
        <v/>
      </c>
      <c r="B362">
        <f>IF($N362="","",IF(INDEX('Per Invoice'!$B$2:$B$801,$N362)="","",INDEX('Per Invoice'!$B$2:$B$801,$N362)))</f>
        <v/>
      </c>
      <c r="C362">
        <f>IF($N362="","",IF(INDEX('Per Invoice'!$C$2:$C$801,$N362)="","",INDEX('Per Invoice'!$C$2:$C$801,$N362)))</f>
        <v/>
      </c>
      <c r="D362">
        <f>IF($N362="","",IF(INDEX('Per Invoice'!$D$2:$D$801,$N362)="","",INDEX('Per Invoice'!$D$2:$D$801,$N362)))</f>
        <v/>
      </c>
      <c r="E362">
        <f>IF($N362="","",IF(INDEX('Per Invoice'!$E$2:$E$801,$N362)="","",INDEX('Per Invoice'!$E$2:$E$801,$N362)))</f>
        <v/>
      </c>
      <c r="F362">
        <f>IF($N362="","",IF(INDEX('Per Invoice'!$F$2:$F$801,$N362)="","",INDEX('Per Invoice'!$F$2:$F$801,$N362)))</f>
        <v/>
      </c>
      <c r="G362">
        <f>IF($N362="","",IF(INDEX('Per Invoice'!$G$2:$G$801,$N362)="","",INDEX('Per Invoice'!$G$2:$G$801,$N362)))</f>
        <v/>
      </c>
      <c r="H362">
        <f>IF($N362="","",IF(INDEX('Per Invoice'!$H$2:$H$801,$N362)="","",INDEX('Per Invoice'!$H$2:$H$801,$N362)))</f>
        <v/>
      </c>
      <c r="I362" s="5">
        <f>IF($N362="","",IF(INDEX('Per Invoice'!$I$2:$I$801,$N362)="","",INDEX('Per Invoice'!$I$2:$I$801,$N362)))</f>
        <v/>
      </c>
      <c r="J362" s="5">
        <f>IF($N362="","",IF(INDEX('Per Invoice'!$J$2:$J$801,$N362)="","",INDEX('Per Invoice'!$J$2:$J$801,$N362)))</f>
        <v/>
      </c>
      <c r="K362" s="5">
        <f>IF($N362="","",IF(INDEX('Per Invoice'!$K$2:$K$801,$N362)="","",INDEX('Per Invoice'!$K$2:$K$801,$N362)))</f>
        <v/>
      </c>
      <c r="L362" s="5">
        <f>IF($N362="","",IF(INDEX('Per Invoice'!$L$2:$L$801,$N362)="","",INDEX('Per Invoice'!$L$2:$L$801,$N362)))</f>
        <v/>
      </c>
      <c r="M362" s="5">
        <f>IF($N362="","",IF(INDEX('Per Invoice'!$M$2:$M$801,$N362)="","",INDEX('Per Invoice'!$M$2:$M$801,$N362)))</f>
        <v/>
      </c>
      <c r="N362">
        <f>IF(ROWS($N$2:$N362)&lt;=COUNT('Per Invoice'!$O$2:$O$801),MATCH(ROWS($N$2:$N362),'Per Invoice'!$O$2:$O$801,0),"")</f>
        <v/>
      </c>
    </row>
    <row r="363">
      <c r="A363">
        <f>IF($N363="","",IF(INDEX('Per Invoice'!$A$2:$A$801,$N363)="","",INDEX('Per Invoice'!$A$2:$A$801,$N363)))</f>
        <v/>
      </c>
      <c r="B363">
        <f>IF($N363="","",IF(INDEX('Per Invoice'!$B$2:$B$801,$N363)="","",INDEX('Per Invoice'!$B$2:$B$801,$N363)))</f>
        <v/>
      </c>
      <c r="C363">
        <f>IF($N363="","",IF(INDEX('Per Invoice'!$C$2:$C$801,$N363)="","",INDEX('Per Invoice'!$C$2:$C$801,$N363)))</f>
        <v/>
      </c>
      <c r="D363">
        <f>IF($N363="","",IF(INDEX('Per Invoice'!$D$2:$D$801,$N363)="","",INDEX('Per Invoice'!$D$2:$D$801,$N363)))</f>
        <v/>
      </c>
      <c r="E363">
        <f>IF($N363="","",IF(INDEX('Per Invoice'!$E$2:$E$801,$N363)="","",INDEX('Per Invoice'!$E$2:$E$801,$N363)))</f>
        <v/>
      </c>
      <c r="F363">
        <f>IF($N363="","",IF(INDEX('Per Invoice'!$F$2:$F$801,$N363)="","",INDEX('Per Invoice'!$F$2:$F$801,$N363)))</f>
        <v/>
      </c>
      <c r="G363">
        <f>IF($N363="","",IF(INDEX('Per Invoice'!$G$2:$G$801,$N363)="","",INDEX('Per Invoice'!$G$2:$G$801,$N363)))</f>
        <v/>
      </c>
      <c r="H363">
        <f>IF($N363="","",IF(INDEX('Per Invoice'!$H$2:$H$801,$N363)="","",INDEX('Per Invoice'!$H$2:$H$801,$N363)))</f>
        <v/>
      </c>
      <c r="I363" s="5">
        <f>IF($N363="","",IF(INDEX('Per Invoice'!$I$2:$I$801,$N363)="","",INDEX('Per Invoice'!$I$2:$I$801,$N363)))</f>
        <v/>
      </c>
      <c r="J363" s="5">
        <f>IF($N363="","",IF(INDEX('Per Invoice'!$J$2:$J$801,$N363)="","",INDEX('Per Invoice'!$J$2:$J$801,$N363)))</f>
        <v/>
      </c>
      <c r="K363" s="5">
        <f>IF($N363="","",IF(INDEX('Per Invoice'!$K$2:$K$801,$N363)="","",INDEX('Per Invoice'!$K$2:$K$801,$N363)))</f>
        <v/>
      </c>
      <c r="L363" s="5">
        <f>IF($N363="","",IF(INDEX('Per Invoice'!$L$2:$L$801,$N363)="","",INDEX('Per Invoice'!$L$2:$L$801,$N363)))</f>
        <v/>
      </c>
      <c r="M363" s="5">
        <f>IF($N363="","",IF(INDEX('Per Invoice'!$M$2:$M$801,$N363)="","",INDEX('Per Invoice'!$M$2:$M$801,$N363)))</f>
        <v/>
      </c>
      <c r="N363">
        <f>IF(ROWS($N$2:$N363)&lt;=COUNT('Per Invoice'!$O$2:$O$801),MATCH(ROWS($N$2:$N363),'Per Invoice'!$O$2:$O$801,0),"")</f>
        <v/>
      </c>
    </row>
    <row r="364">
      <c r="A364">
        <f>IF($N364="","",IF(INDEX('Per Invoice'!$A$2:$A$801,$N364)="","",INDEX('Per Invoice'!$A$2:$A$801,$N364)))</f>
        <v/>
      </c>
      <c r="B364">
        <f>IF($N364="","",IF(INDEX('Per Invoice'!$B$2:$B$801,$N364)="","",INDEX('Per Invoice'!$B$2:$B$801,$N364)))</f>
        <v/>
      </c>
      <c r="C364">
        <f>IF($N364="","",IF(INDEX('Per Invoice'!$C$2:$C$801,$N364)="","",INDEX('Per Invoice'!$C$2:$C$801,$N364)))</f>
        <v/>
      </c>
      <c r="D364">
        <f>IF($N364="","",IF(INDEX('Per Invoice'!$D$2:$D$801,$N364)="","",INDEX('Per Invoice'!$D$2:$D$801,$N364)))</f>
        <v/>
      </c>
      <c r="E364">
        <f>IF($N364="","",IF(INDEX('Per Invoice'!$E$2:$E$801,$N364)="","",INDEX('Per Invoice'!$E$2:$E$801,$N364)))</f>
        <v/>
      </c>
      <c r="F364">
        <f>IF($N364="","",IF(INDEX('Per Invoice'!$F$2:$F$801,$N364)="","",INDEX('Per Invoice'!$F$2:$F$801,$N364)))</f>
        <v/>
      </c>
      <c r="G364">
        <f>IF($N364="","",IF(INDEX('Per Invoice'!$G$2:$G$801,$N364)="","",INDEX('Per Invoice'!$G$2:$G$801,$N364)))</f>
        <v/>
      </c>
      <c r="H364">
        <f>IF($N364="","",IF(INDEX('Per Invoice'!$H$2:$H$801,$N364)="","",INDEX('Per Invoice'!$H$2:$H$801,$N364)))</f>
        <v/>
      </c>
      <c r="I364" s="5">
        <f>IF($N364="","",IF(INDEX('Per Invoice'!$I$2:$I$801,$N364)="","",INDEX('Per Invoice'!$I$2:$I$801,$N364)))</f>
        <v/>
      </c>
      <c r="J364" s="5">
        <f>IF($N364="","",IF(INDEX('Per Invoice'!$J$2:$J$801,$N364)="","",INDEX('Per Invoice'!$J$2:$J$801,$N364)))</f>
        <v/>
      </c>
      <c r="K364" s="5">
        <f>IF($N364="","",IF(INDEX('Per Invoice'!$K$2:$K$801,$N364)="","",INDEX('Per Invoice'!$K$2:$K$801,$N364)))</f>
        <v/>
      </c>
      <c r="L364" s="5">
        <f>IF($N364="","",IF(INDEX('Per Invoice'!$L$2:$L$801,$N364)="","",INDEX('Per Invoice'!$L$2:$L$801,$N364)))</f>
        <v/>
      </c>
      <c r="M364" s="5">
        <f>IF($N364="","",IF(INDEX('Per Invoice'!$M$2:$M$801,$N364)="","",INDEX('Per Invoice'!$M$2:$M$801,$N364)))</f>
        <v/>
      </c>
      <c r="N364">
        <f>IF(ROWS($N$2:$N364)&lt;=COUNT('Per Invoice'!$O$2:$O$801),MATCH(ROWS($N$2:$N364),'Per Invoice'!$O$2:$O$801,0),"")</f>
        <v/>
      </c>
    </row>
    <row r="365">
      <c r="A365">
        <f>IF($N365="","",IF(INDEX('Per Invoice'!$A$2:$A$801,$N365)="","",INDEX('Per Invoice'!$A$2:$A$801,$N365)))</f>
        <v/>
      </c>
      <c r="B365">
        <f>IF($N365="","",IF(INDEX('Per Invoice'!$B$2:$B$801,$N365)="","",INDEX('Per Invoice'!$B$2:$B$801,$N365)))</f>
        <v/>
      </c>
      <c r="C365">
        <f>IF($N365="","",IF(INDEX('Per Invoice'!$C$2:$C$801,$N365)="","",INDEX('Per Invoice'!$C$2:$C$801,$N365)))</f>
        <v/>
      </c>
      <c r="D365">
        <f>IF($N365="","",IF(INDEX('Per Invoice'!$D$2:$D$801,$N365)="","",INDEX('Per Invoice'!$D$2:$D$801,$N365)))</f>
        <v/>
      </c>
      <c r="E365">
        <f>IF($N365="","",IF(INDEX('Per Invoice'!$E$2:$E$801,$N365)="","",INDEX('Per Invoice'!$E$2:$E$801,$N365)))</f>
        <v/>
      </c>
      <c r="F365">
        <f>IF($N365="","",IF(INDEX('Per Invoice'!$F$2:$F$801,$N365)="","",INDEX('Per Invoice'!$F$2:$F$801,$N365)))</f>
        <v/>
      </c>
      <c r="G365">
        <f>IF($N365="","",IF(INDEX('Per Invoice'!$G$2:$G$801,$N365)="","",INDEX('Per Invoice'!$G$2:$G$801,$N365)))</f>
        <v/>
      </c>
      <c r="H365">
        <f>IF($N365="","",IF(INDEX('Per Invoice'!$H$2:$H$801,$N365)="","",INDEX('Per Invoice'!$H$2:$H$801,$N365)))</f>
        <v/>
      </c>
      <c r="I365" s="5">
        <f>IF($N365="","",IF(INDEX('Per Invoice'!$I$2:$I$801,$N365)="","",INDEX('Per Invoice'!$I$2:$I$801,$N365)))</f>
        <v/>
      </c>
      <c r="J365" s="5">
        <f>IF($N365="","",IF(INDEX('Per Invoice'!$J$2:$J$801,$N365)="","",INDEX('Per Invoice'!$J$2:$J$801,$N365)))</f>
        <v/>
      </c>
      <c r="K365" s="5">
        <f>IF($N365="","",IF(INDEX('Per Invoice'!$K$2:$K$801,$N365)="","",INDEX('Per Invoice'!$K$2:$K$801,$N365)))</f>
        <v/>
      </c>
      <c r="L365" s="5">
        <f>IF($N365="","",IF(INDEX('Per Invoice'!$L$2:$L$801,$N365)="","",INDEX('Per Invoice'!$L$2:$L$801,$N365)))</f>
        <v/>
      </c>
      <c r="M365" s="5">
        <f>IF($N365="","",IF(INDEX('Per Invoice'!$M$2:$M$801,$N365)="","",INDEX('Per Invoice'!$M$2:$M$801,$N365)))</f>
        <v/>
      </c>
      <c r="N365">
        <f>IF(ROWS($N$2:$N365)&lt;=COUNT('Per Invoice'!$O$2:$O$801),MATCH(ROWS($N$2:$N365),'Per Invoice'!$O$2:$O$801,0),"")</f>
        <v/>
      </c>
    </row>
    <row r="366">
      <c r="A366">
        <f>IF($N366="","",IF(INDEX('Per Invoice'!$A$2:$A$801,$N366)="","",INDEX('Per Invoice'!$A$2:$A$801,$N366)))</f>
        <v/>
      </c>
      <c r="B366">
        <f>IF($N366="","",IF(INDEX('Per Invoice'!$B$2:$B$801,$N366)="","",INDEX('Per Invoice'!$B$2:$B$801,$N366)))</f>
        <v/>
      </c>
      <c r="C366">
        <f>IF($N366="","",IF(INDEX('Per Invoice'!$C$2:$C$801,$N366)="","",INDEX('Per Invoice'!$C$2:$C$801,$N366)))</f>
        <v/>
      </c>
      <c r="D366">
        <f>IF($N366="","",IF(INDEX('Per Invoice'!$D$2:$D$801,$N366)="","",INDEX('Per Invoice'!$D$2:$D$801,$N366)))</f>
        <v/>
      </c>
      <c r="E366">
        <f>IF($N366="","",IF(INDEX('Per Invoice'!$E$2:$E$801,$N366)="","",INDEX('Per Invoice'!$E$2:$E$801,$N366)))</f>
        <v/>
      </c>
      <c r="F366">
        <f>IF($N366="","",IF(INDEX('Per Invoice'!$F$2:$F$801,$N366)="","",INDEX('Per Invoice'!$F$2:$F$801,$N366)))</f>
        <v/>
      </c>
      <c r="G366">
        <f>IF($N366="","",IF(INDEX('Per Invoice'!$G$2:$G$801,$N366)="","",INDEX('Per Invoice'!$G$2:$G$801,$N366)))</f>
        <v/>
      </c>
      <c r="H366">
        <f>IF($N366="","",IF(INDEX('Per Invoice'!$H$2:$H$801,$N366)="","",INDEX('Per Invoice'!$H$2:$H$801,$N366)))</f>
        <v/>
      </c>
      <c r="I366" s="5">
        <f>IF($N366="","",IF(INDEX('Per Invoice'!$I$2:$I$801,$N366)="","",INDEX('Per Invoice'!$I$2:$I$801,$N366)))</f>
        <v/>
      </c>
      <c r="J366" s="5">
        <f>IF($N366="","",IF(INDEX('Per Invoice'!$J$2:$J$801,$N366)="","",INDEX('Per Invoice'!$J$2:$J$801,$N366)))</f>
        <v/>
      </c>
      <c r="K366" s="5">
        <f>IF($N366="","",IF(INDEX('Per Invoice'!$K$2:$K$801,$N366)="","",INDEX('Per Invoice'!$K$2:$K$801,$N366)))</f>
        <v/>
      </c>
      <c r="L366" s="5">
        <f>IF($N366="","",IF(INDEX('Per Invoice'!$L$2:$L$801,$N366)="","",INDEX('Per Invoice'!$L$2:$L$801,$N366)))</f>
        <v/>
      </c>
      <c r="M366" s="5">
        <f>IF($N366="","",IF(INDEX('Per Invoice'!$M$2:$M$801,$N366)="","",INDEX('Per Invoice'!$M$2:$M$801,$N366)))</f>
        <v/>
      </c>
      <c r="N366">
        <f>IF(ROWS($N$2:$N366)&lt;=COUNT('Per Invoice'!$O$2:$O$801),MATCH(ROWS($N$2:$N366),'Per Invoice'!$O$2:$O$801,0),"")</f>
        <v/>
      </c>
    </row>
    <row r="367">
      <c r="A367">
        <f>IF($N367="","",IF(INDEX('Per Invoice'!$A$2:$A$801,$N367)="","",INDEX('Per Invoice'!$A$2:$A$801,$N367)))</f>
        <v/>
      </c>
      <c r="B367">
        <f>IF($N367="","",IF(INDEX('Per Invoice'!$B$2:$B$801,$N367)="","",INDEX('Per Invoice'!$B$2:$B$801,$N367)))</f>
        <v/>
      </c>
      <c r="C367">
        <f>IF($N367="","",IF(INDEX('Per Invoice'!$C$2:$C$801,$N367)="","",INDEX('Per Invoice'!$C$2:$C$801,$N367)))</f>
        <v/>
      </c>
      <c r="D367">
        <f>IF($N367="","",IF(INDEX('Per Invoice'!$D$2:$D$801,$N367)="","",INDEX('Per Invoice'!$D$2:$D$801,$N367)))</f>
        <v/>
      </c>
      <c r="E367">
        <f>IF($N367="","",IF(INDEX('Per Invoice'!$E$2:$E$801,$N367)="","",INDEX('Per Invoice'!$E$2:$E$801,$N367)))</f>
        <v/>
      </c>
      <c r="F367">
        <f>IF($N367="","",IF(INDEX('Per Invoice'!$F$2:$F$801,$N367)="","",INDEX('Per Invoice'!$F$2:$F$801,$N367)))</f>
        <v/>
      </c>
      <c r="G367">
        <f>IF($N367="","",IF(INDEX('Per Invoice'!$G$2:$G$801,$N367)="","",INDEX('Per Invoice'!$G$2:$G$801,$N367)))</f>
        <v/>
      </c>
      <c r="H367">
        <f>IF($N367="","",IF(INDEX('Per Invoice'!$H$2:$H$801,$N367)="","",INDEX('Per Invoice'!$H$2:$H$801,$N367)))</f>
        <v/>
      </c>
      <c r="I367" s="5">
        <f>IF($N367="","",IF(INDEX('Per Invoice'!$I$2:$I$801,$N367)="","",INDEX('Per Invoice'!$I$2:$I$801,$N367)))</f>
        <v/>
      </c>
      <c r="J367" s="5">
        <f>IF($N367="","",IF(INDEX('Per Invoice'!$J$2:$J$801,$N367)="","",INDEX('Per Invoice'!$J$2:$J$801,$N367)))</f>
        <v/>
      </c>
      <c r="K367" s="5">
        <f>IF($N367="","",IF(INDEX('Per Invoice'!$K$2:$K$801,$N367)="","",INDEX('Per Invoice'!$K$2:$K$801,$N367)))</f>
        <v/>
      </c>
      <c r="L367" s="5">
        <f>IF($N367="","",IF(INDEX('Per Invoice'!$L$2:$L$801,$N367)="","",INDEX('Per Invoice'!$L$2:$L$801,$N367)))</f>
        <v/>
      </c>
      <c r="M367" s="5">
        <f>IF($N367="","",IF(INDEX('Per Invoice'!$M$2:$M$801,$N367)="","",INDEX('Per Invoice'!$M$2:$M$801,$N367)))</f>
        <v/>
      </c>
      <c r="N367">
        <f>IF(ROWS($N$2:$N367)&lt;=COUNT('Per Invoice'!$O$2:$O$801),MATCH(ROWS($N$2:$N367),'Per Invoice'!$O$2:$O$801,0),"")</f>
        <v/>
      </c>
    </row>
    <row r="368">
      <c r="A368">
        <f>IF($N368="","",IF(INDEX('Per Invoice'!$A$2:$A$801,$N368)="","",INDEX('Per Invoice'!$A$2:$A$801,$N368)))</f>
        <v/>
      </c>
      <c r="B368">
        <f>IF($N368="","",IF(INDEX('Per Invoice'!$B$2:$B$801,$N368)="","",INDEX('Per Invoice'!$B$2:$B$801,$N368)))</f>
        <v/>
      </c>
      <c r="C368">
        <f>IF($N368="","",IF(INDEX('Per Invoice'!$C$2:$C$801,$N368)="","",INDEX('Per Invoice'!$C$2:$C$801,$N368)))</f>
        <v/>
      </c>
      <c r="D368">
        <f>IF($N368="","",IF(INDEX('Per Invoice'!$D$2:$D$801,$N368)="","",INDEX('Per Invoice'!$D$2:$D$801,$N368)))</f>
        <v/>
      </c>
      <c r="E368">
        <f>IF($N368="","",IF(INDEX('Per Invoice'!$E$2:$E$801,$N368)="","",INDEX('Per Invoice'!$E$2:$E$801,$N368)))</f>
        <v/>
      </c>
      <c r="F368">
        <f>IF($N368="","",IF(INDEX('Per Invoice'!$F$2:$F$801,$N368)="","",INDEX('Per Invoice'!$F$2:$F$801,$N368)))</f>
        <v/>
      </c>
      <c r="G368">
        <f>IF($N368="","",IF(INDEX('Per Invoice'!$G$2:$G$801,$N368)="","",INDEX('Per Invoice'!$G$2:$G$801,$N368)))</f>
        <v/>
      </c>
      <c r="H368">
        <f>IF($N368="","",IF(INDEX('Per Invoice'!$H$2:$H$801,$N368)="","",INDEX('Per Invoice'!$H$2:$H$801,$N368)))</f>
        <v/>
      </c>
      <c r="I368" s="5">
        <f>IF($N368="","",IF(INDEX('Per Invoice'!$I$2:$I$801,$N368)="","",INDEX('Per Invoice'!$I$2:$I$801,$N368)))</f>
        <v/>
      </c>
      <c r="J368" s="5">
        <f>IF($N368="","",IF(INDEX('Per Invoice'!$J$2:$J$801,$N368)="","",INDEX('Per Invoice'!$J$2:$J$801,$N368)))</f>
        <v/>
      </c>
      <c r="K368" s="5">
        <f>IF($N368="","",IF(INDEX('Per Invoice'!$K$2:$K$801,$N368)="","",INDEX('Per Invoice'!$K$2:$K$801,$N368)))</f>
        <v/>
      </c>
      <c r="L368" s="5">
        <f>IF($N368="","",IF(INDEX('Per Invoice'!$L$2:$L$801,$N368)="","",INDEX('Per Invoice'!$L$2:$L$801,$N368)))</f>
        <v/>
      </c>
      <c r="M368" s="5">
        <f>IF($N368="","",IF(INDEX('Per Invoice'!$M$2:$M$801,$N368)="","",INDEX('Per Invoice'!$M$2:$M$801,$N368)))</f>
        <v/>
      </c>
      <c r="N368">
        <f>IF(ROWS($N$2:$N368)&lt;=COUNT('Per Invoice'!$O$2:$O$801),MATCH(ROWS($N$2:$N368),'Per Invoice'!$O$2:$O$801,0),"")</f>
        <v/>
      </c>
    </row>
    <row r="369">
      <c r="A369">
        <f>IF($N369="","",IF(INDEX('Per Invoice'!$A$2:$A$801,$N369)="","",INDEX('Per Invoice'!$A$2:$A$801,$N369)))</f>
        <v/>
      </c>
      <c r="B369">
        <f>IF($N369="","",IF(INDEX('Per Invoice'!$B$2:$B$801,$N369)="","",INDEX('Per Invoice'!$B$2:$B$801,$N369)))</f>
        <v/>
      </c>
      <c r="C369">
        <f>IF($N369="","",IF(INDEX('Per Invoice'!$C$2:$C$801,$N369)="","",INDEX('Per Invoice'!$C$2:$C$801,$N369)))</f>
        <v/>
      </c>
      <c r="D369">
        <f>IF($N369="","",IF(INDEX('Per Invoice'!$D$2:$D$801,$N369)="","",INDEX('Per Invoice'!$D$2:$D$801,$N369)))</f>
        <v/>
      </c>
      <c r="E369">
        <f>IF($N369="","",IF(INDEX('Per Invoice'!$E$2:$E$801,$N369)="","",INDEX('Per Invoice'!$E$2:$E$801,$N369)))</f>
        <v/>
      </c>
      <c r="F369">
        <f>IF($N369="","",IF(INDEX('Per Invoice'!$F$2:$F$801,$N369)="","",INDEX('Per Invoice'!$F$2:$F$801,$N369)))</f>
        <v/>
      </c>
      <c r="G369">
        <f>IF($N369="","",IF(INDEX('Per Invoice'!$G$2:$G$801,$N369)="","",INDEX('Per Invoice'!$G$2:$G$801,$N369)))</f>
        <v/>
      </c>
      <c r="H369">
        <f>IF($N369="","",IF(INDEX('Per Invoice'!$H$2:$H$801,$N369)="","",INDEX('Per Invoice'!$H$2:$H$801,$N369)))</f>
        <v/>
      </c>
      <c r="I369" s="5">
        <f>IF($N369="","",IF(INDEX('Per Invoice'!$I$2:$I$801,$N369)="","",INDEX('Per Invoice'!$I$2:$I$801,$N369)))</f>
        <v/>
      </c>
      <c r="J369" s="5">
        <f>IF($N369="","",IF(INDEX('Per Invoice'!$J$2:$J$801,$N369)="","",INDEX('Per Invoice'!$J$2:$J$801,$N369)))</f>
        <v/>
      </c>
      <c r="K369" s="5">
        <f>IF($N369="","",IF(INDEX('Per Invoice'!$K$2:$K$801,$N369)="","",INDEX('Per Invoice'!$K$2:$K$801,$N369)))</f>
        <v/>
      </c>
      <c r="L369" s="5">
        <f>IF($N369="","",IF(INDEX('Per Invoice'!$L$2:$L$801,$N369)="","",INDEX('Per Invoice'!$L$2:$L$801,$N369)))</f>
        <v/>
      </c>
      <c r="M369" s="5">
        <f>IF($N369="","",IF(INDEX('Per Invoice'!$M$2:$M$801,$N369)="","",INDEX('Per Invoice'!$M$2:$M$801,$N369)))</f>
        <v/>
      </c>
      <c r="N369">
        <f>IF(ROWS($N$2:$N369)&lt;=COUNT('Per Invoice'!$O$2:$O$801),MATCH(ROWS($N$2:$N369),'Per Invoice'!$O$2:$O$801,0),"")</f>
        <v/>
      </c>
    </row>
    <row r="370">
      <c r="A370">
        <f>IF($N370="","",IF(INDEX('Per Invoice'!$A$2:$A$801,$N370)="","",INDEX('Per Invoice'!$A$2:$A$801,$N370)))</f>
        <v/>
      </c>
      <c r="B370">
        <f>IF($N370="","",IF(INDEX('Per Invoice'!$B$2:$B$801,$N370)="","",INDEX('Per Invoice'!$B$2:$B$801,$N370)))</f>
        <v/>
      </c>
      <c r="C370">
        <f>IF($N370="","",IF(INDEX('Per Invoice'!$C$2:$C$801,$N370)="","",INDEX('Per Invoice'!$C$2:$C$801,$N370)))</f>
        <v/>
      </c>
      <c r="D370">
        <f>IF($N370="","",IF(INDEX('Per Invoice'!$D$2:$D$801,$N370)="","",INDEX('Per Invoice'!$D$2:$D$801,$N370)))</f>
        <v/>
      </c>
      <c r="E370">
        <f>IF($N370="","",IF(INDEX('Per Invoice'!$E$2:$E$801,$N370)="","",INDEX('Per Invoice'!$E$2:$E$801,$N370)))</f>
        <v/>
      </c>
      <c r="F370">
        <f>IF($N370="","",IF(INDEX('Per Invoice'!$F$2:$F$801,$N370)="","",INDEX('Per Invoice'!$F$2:$F$801,$N370)))</f>
        <v/>
      </c>
      <c r="G370">
        <f>IF($N370="","",IF(INDEX('Per Invoice'!$G$2:$G$801,$N370)="","",INDEX('Per Invoice'!$G$2:$G$801,$N370)))</f>
        <v/>
      </c>
      <c r="H370">
        <f>IF($N370="","",IF(INDEX('Per Invoice'!$H$2:$H$801,$N370)="","",INDEX('Per Invoice'!$H$2:$H$801,$N370)))</f>
        <v/>
      </c>
      <c r="I370" s="5">
        <f>IF($N370="","",IF(INDEX('Per Invoice'!$I$2:$I$801,$N370)="","",INDEX('Per Invoice'!$I$2:$I$801,$N370)))</f>
        <v/>
      </c>
      <c r="J370" s="5">
        <f>IF($N370="","",IF(INDEX('Per Invoice'!$J$2:$J$801,$N370)="","",INDEX('Per Invoice'!$J$2:$J$801,$N370)))</f>
        <v/>
      </c>
      <c r="K370" s="5">
        <f>IF($N370="","",IF(INDEX('Per Invoice'!$K$2:$K$801,$N370)="","",INDEX('Per Invoice'!$K$2:$K$801,$N370)))</f>
        <v/>
      </c>
      <c r="L370" s="5">
        <f>IF($N370="","",IF(INDEX('Per Invoice'!$L$2:$L$801,$N370)="","",INDEX('Per Invoice'!$L$2:$L$801,$N370)))</f>
        <v/>
      </c>
      <c r="M370" s="5">
        <f>IF($N370="","",IF(INDEX('Per Invoice'!$M$2:$M$801,$N370)="","",INDEX('Per Invoice'!$M$2:$M$801,$N370)))</f>
        <v/>
      </c>
      <c r="N370">
        <f>IF(ROWS($N$2:$N370)&lt;=COUNT('Per Invoice'!$O$2:$O$801),MATCH(ROWS($N$2:$N370),'Per Invoice'!$O$2:$O$801,0),"")</f>
        <v/>
      </c>
    </row>
    <row r="371">
      <c r="A371">
        <f>IF($N371="","",IF(INDEX('Per Invoice'!$A$2:$A$801,$N371)="","",INDEX('Per Invoice'!$A$2:$A$801,$N371)))</f>
        <v/>
      </c>
      <c r="B371">
        <f>IF($N371="","",IF(INDEX('Per Invoice'!$B$2:$B$801,$N371)="","",INDEX('Per Invoice'!$B$2:$B$801,$N371)))</f>
        <v/>
      </c>
      <c r="C371">
        <f>IF($N371="","",IF(INDEX('Per Invoice'!$C$2:$C$801,$N371)="","",INDEX('Per Invoice'!$C$2:$C$801,$N371)))</f>
        <v/>
      </c>
      <c r="D371">
        <f>IF($N371="","",IF(INDEX('Per Invoice'!$D$2:$D$801,$N371)="","",INDEX('Per Invoice'!$D$2:$D$801,$N371)))</f>
        <v/>
      </c>
      <c r="E371">
        <f>IF($N371="","",IF(INDEX('Per Invoice'!$E$2:$E$801,$N371)="","",INDEX('Per Invoice'!$E$2:$E$801,$N371)))</f>
        <v/>
      </c>
      <c r="F371">
        <f>IF($N371="","",IF(INDEX('Per Invoice'!$F$2:$F$801,$N371)="","",INDEX('Per Invoice'!$F$2:$F$801,$N371)))</f>
        <v/>
      </c>
      <c r="G371">
        <f>IF($N371="","",IF(INDEX('Per Invoice'!$G$2:$G$801,$N371)="","",INDEX('Per Invoice'!$G$2:$G$801,$N371)))</f>
        <v/>
      </c>
      <c r="H371">
        <f>IF($N371="","",IF(INDEX('Per Invoice'!$H$2:$H$801,$N371)="","",INDEX('Per Invoice'!$H$2:$H$801,$N371)))</f>
        <v/>
      </c>
      <c r="I371" s="5">
        <f>IF($N371="","",IF(INDEX('Per Invoice'!$I$2:$I$801,$N371)="","",INDEX('Per Invoice'!$I$2:$I$801,$N371)))</f>
        <v/>
      </c>
      <c r="J371" s="5">
        <f>IF($N371="","",IF(INDEX('Per Invoice'!$J$2:$J$801,$N371)="","",INDEX('Per Invoice'!$J$2:$J$801,$N371)))</f>
        <v/>
      </c>
      <c r="K371" s="5">
        <f>IF($N371="","",IF(INDEX('Per Invoice'!$K$2:$K$801,$N371)="","",INDEX('Per Invoice'!$K$2:$K$801,$N371)))</f>
        <v/>
      </c>
      <c r="L371" s="5">
        <f>IF($N371="","",IF(INDEX('Per Invoice'!$L$2:$L$801,$N371)="","",INDEX('Per Invoice'!$L$2:$L$801,$N371)))</f>
        <v/>
      </c>
      <c r="M371" s="5">
        <f>IF($N371="","",IF(INDEX('Per Invoice'!$M$2:$M$801,$N371)="","",INDEX('Per Invoice'!$M$2:$M$801,$N371)))</f>
        <v/>
      </c>
      <c r="N371">
        <f>IF(ROWS($N$2:$N371)&lt;=COUNT('Per Invoice'!$O$2:$O$801),MATCH(ROWS($N$2:$N371),'Per Invoice'!$O$2:$O$801,0),"")</f>
        <v/>
      </c>
    </row>
    <row r="372">
      <c r="A372">
        <f>IF($N372="","",IF(INDEX('Per Invoice'!$A$2:$A$801,$N372)="","",INDEX('Per Invoice'!$A$2:$A$801,$N372)))</f>
        <v/>
      </c>
      <c r="B372">
        <f>IF($N372="","",IF(INDEX('Per Invoice'!$B$2:$B$801,$N372)="","",INDEX('Per Invoice'!$B$2:$B$801,$N372)))</f>
        <v/>
      </c>
      <c r="C372">
        <f>IF($N372="","",IF(INDEX('Per Invoice'!$C$2:$C$801,$N372)="","",INDEX('Per Invoice'!$C$2:$C$801,$N372)))</f>
        <v/>
      </c>
      <c r="D372">
        <f>IF($N372="","",IF(INDEX('Per Invoice'!$D$2:$D$801,$N372)="","",INDEX('Per Invoice'!$D$2:$D$801,$N372)))</f>
        <v/>
      </c>
      <c r="E372">
        <f>IF($N372="","",IF(INDEX('Per Invoice'!$E$2:$E$801,$N372)="","",INDEX('Per Invoice'!$E$2:$E$801,$N372)))</f>
        <v/>
      </c>
      <c r="F372">
        <f>IF($N372="","",IF(INDEX('Per Invoice'!$F$2:$F$801,$N372)="","",INDEX('Per Invoice'!$F$2:$F$801,$N372)))</f>
        <v/>
      </c>
      <c r="G372">
        <f>IF($N372="","",IF(INDEX('Per Invoice'!$G$2:$G$801,$N372)="","",INDEX('Per Invoice'!$G$2:$G$801,$N372)))</f>
        <v/>
      </c>
      <c r="H372">
        <f>IF($N372="","",IF(INDEX('Per Invoice'!$H$2:$H$801,$N372)="","",INDEX('Per Invoice'!$H$2:$H$801,$N372)))</f>
        <v/>
      </c>
      <c r="I372" s="5">
        <f>IF($N372="","",IF(INDEX('Per Invoice'!$I$2:$I$801,$N372)="","",INDEX('Per Invoice'!$I$2:$I$801,$N372)))</f>
        <v/>
      </c>
      <c r="J372" s="5">
        <f>IF($N372="","",IF(INDEX('Per Invoice'!$J$2:$J$801,$N372)="","",INDEX('Per Invoice'!$J$2:$J$801,$N372)))</f>
        <v/>
      </c>
      <c r="K372" s="5">
        <f>IF($N372="","",IF(INDEX('Per Invoice'!$K$2:$K$801,$N372)="","",INDEX('Per Invoice'!$K$2:$K$801,$N372)))</f>
        <v/>
      </c>
      <c r="L372" s="5">
        <f>IF($N372="","",IF(INDEX('Per Invoice'!$L$2:$L$801,$N372)="","",INDEX('Per Invoice'!$L$2:$L$801,$N372)))</f>
        <v/>
      </c>
      <c r="M372" s="5">
        <f>IF($N372="","",IF(INDEX('Per Invoice'!$M$2:$M$801,$N372)="","",INDEX('Per Invoice'!$M$2:$M$801,$N372)))</f>
        <v/>
      </c>
      <c r="N372">
        <f>IF(ROWS($N$2:$N372)&lt;=COUNT('Per Invoice'!$O$2:$O$801),MATCH(ROWS($N$2:$N372),'Per Invoice'!$O$2:$O$801,0),"")</f>
        <v/>
      </c>
    </row>
    <row r="373">
      <c r="A373">
        <f>IF($N373="","",IF(INDEX('Per Invoice'!$A$2:$A$801,$N373)="","",INDEX('Per Invoice'!$A$2:$A$801,$N373)))</f>
        <v/>
      </c>
      <c r="B373">
        <f>IF($N373="","",IF(INDEX('Per Invoice'!$B$2:$B$801,$N373)="","",INDEX('Per Invoice'!$B$2:$B$801,$N373)))</f>
        <v/>
      </c>
      <c r="C373">
        <f>IF($N373="","",IF(INDEX('Per Invoice'!$C$2:$C$801,$N373)="","",INDEX('Per Invoice'!$C$2:$C$801,$N373)))</f>
        <v/>
      </c>
      <c r="D373">
        <f>IF($N373="","",IF(INDEX('Per Invoice'!$D$2:$D$801,$N373)="","",INDEX('Per Invoice'!$D$2:$D$801,$N373)))</f>
        <v/>
      </c>
      <c r="E373">
        <f>IF($N373="","",IF(INDEX('Per Invoice'!$E$2:$E$801,$N373)="","",INDEX('Per Invoice'!$E$2:$E$801,$N373)))</f>
        <v/>
      </c>
      <c r="F373">
        <f>IF($N373="","",IF(INDEX('Per Invoice'!$F$2:$F$801,$N373)="","",INDEX('Per Invoice'!$F$2:$F$801,$N373)))</f>
        <v/>
      </c>
      <c r="G373">
        <f>IF($N373="","",IF(INDEX('Per Invoice'!$G$2:$G$801,$N373)="","",INDEX('Per Invoice'!$G$2:$G$801,$N373)))</f>
        <v/>
      </c>
      <c r="H373">
        <f>IF($N373="","",IF(INDEX('Per Invoice'!$H$2:$H$801,$N373)="","",INDEX('Per Invoice'!$H$2:$H$801,$N373)))</f>
        <v/>
      </c>
      <c r="I373" s="5">
        <f>IF($N373="","",IF(INDEX('Per Invoice'!$I$2:$I$801,$N373)="","",INDEX('Per Invoice'!$I$2:$I$801,$N373)))</f>
        <v/>
      </c>
      <c r="J373" s="5">
        <f>IF($N373="","",IF(INDEX('Per Invoice'!$J$2:$J$801,$N373)="","",INDEX('Per Invoice'!$J$2:$J$801,$N373)))</f>
        <v/>
      </c>
      <c r="K373" s="5">
        <f>IF($N373="","",IF(INDEX('Per Invoice'!$K$2:$K$801,$N373)="","",INDEX('Per Invoice'!$K$2:$K$801,$N373)))</f>
        <v/>
      </c>
      <c r="L373" s="5">
        <f>IF($N373="","",IF(INDEX('Per Invoice'!$L$2:$L$801,$N373)="","",INDEX('Per Invoice'!$L$2:$L$801,$N373)))</f>
        <v/>
      </c>
      <c r="M373" s="5">
        <f>IF($N373="","",IF(INDEX('Per Invoice'!$M$2:$M$801,$N373)="","",INDEX('Per Invoice'!$M$2:$M$801,$N373)))</f>
        <v/>
      </c>
      <c r="N373">
        <f>IF(ROWS($N$2:$N373)&lt;=COUNT('Per Invoice'!$O$2:$O$801),MATCH(ROWS($N$2:$N373),'Per Invoice'!$O$2:$O$801,0),"")</f>
        <v/>
      </c>
    </row>
    <row r="374">
      <c r="A374">
        <f>IF($N374="","",IF(INDEX('Per Invoice'!$A$2:$A$801,$N374)="","",INDEX('Per Invoice'!$A$2:$A$801,$N374)))</f>
        <v/>
      </c>
      <c r="B374">
        <f>IF($N374="","",IF(INDEX('Per Invoice'!$B$2:$B$801,$N374)="","",INDEX('Per Invoice'!$B$2:$B$801,$N374)))</f>
        <v/>
      </c>
      <c r="C374">
        <f>IF($N374="","",IF(INDEX('Per Invoice'!$C$2:$C$801,$N374)="","",INDEX('Per Invoice'!$C$2:$C$801,$N374)))</f>
        <v/>
      </c>
      <c r="D374">
        <f>IF($N374="","",IF(INDEX('Per Invoice'!$D$2:$D$801,$N374)="","",INDEX('Per Invoice'!$D$2:$D$801,$N374)))</f>
        <v/>
      </c>
      <c r="E374">
        <f>IF($N374="","",IF(INDEX('Per Invoice'!$E$2:$E$801,$N374)="","",INDEX('Per Invoice'!$E$2:$E$801,$N374)))</f>
        <v/>
      </c>
      <c r="F374">
        <f>IF($N374="","",IF(INDEX('Per Invoice'!$F$2:$F$801,$N374)="","",INDEX('Per Invoice'!$F$2:$F$801,$N374)))</f>
        <v/>
      </c>
      <c r="G374">
        <f>IF($N374="","",IF(INDEX('Per Invoice'!$G$2:$G$801,$N374)="","",INDEX('Per Invoice'!$G$2:$G$801,$N374)))</f>
        <v/>
      </c>
      <c r="H374">
        <f>IF($N374="","",IF(INDEX('Per Invoice'!$H$2:$H$801,$N374)="","",INDEX('Per Invoice'!$H$2:$H$801,$N374)))</f>
        <v/>
      </c>
      <c r="I374" s="5">
        <f>IF($N374="","",IF(INDEX('Per Invoice'!$I$2:$I$801,$N374)="","",INDEX('Per Invoice'!$I$2:$I$801,$N374)))</f>
        <v/>
      </c>
      <c r="J374" s="5">
        <f>IF($N374="","",IF(INDEX('Per Invoice'!$J$2:$J$801,$N374)="","",INDEX('Per Invoice'!$J$2:$J$801,$N374)))</f>
        <v/>
      </c>
      <c r="K374" s="5">
        <f>IF($N374="","",IF(INDEX('Per Invoice'!$K$2:$K$801,$N374)="","",INDEX('Per Invoice'!$K$2:$K$801,$N374)))</f>
        <v/>
      </c>
      <c r="L374" s="5">
        <f>IF($N374="","",IF(INDEX('Per Invoice'!$L$2:$L$801,$N374)="","",INDEX('Per Invoice'!$L$2:$L$801,$N374)))</f>
        <v/>
      </c>
      <c r="M374" s="5">
        <f>IF($N374="","",IF(INDEX('Per Invoice'!$M$2:$M$801,$N374)="","",INDEX('Per Invoice'!$M$2:$M$801,$N374)))</f>
        <v/>
      </c>
      <c r="N374">
        <f>IF(ROWS($N$2:$N374)&lt;=COUNT('Per Invoice'!$O$2:$O$801),MATCH(ROWS($N$2:$N374),'Per Invoice'!$O$2:$O$801,0),"")</f>
        <v/>
      </c>
    </row>
    <row r="375">
      <c r="A375">
        <f>IF($N375="","",IF(INDEX('Per Invoice'!$A$2:$A$801,$N375)="","",INDEX('Per Invoice'!$A$2:$A$801,$N375)))</f>
        <v/>
      </c>
      <c r="B375">
        <f>IF($N375="","",IF(INDEX('Per Invoice'!$B$2:$B$801,$N375)="","",INDEX('Per Invoice'!$B$2:$B$801,$N375)))</f>
        <v/>
      </c>
      <c r="C375">
        <f>IF($N375="","",IF(INDEX('Per Invoice'!$C$2:$C$801,$N375)="","",INDEX('Per Invoice'!$C$2:$C$801,$N375)))</f>
        <v/>
      </c>
      <c r="D375">
        <f>IF($N375="","",IF(INDEX('Per Invoice'!$D$2:$D$801,$N375)="","",INDEX('Per Invoice'!$D$2:$D$801,$N375)))</f>
        <v/>
      </c>
      <c r="E375">
        <f>IF($N375="","",IF(INDEX('Per Invoice'!$E$2:$E$801,$N375)="","",INDEX('Per Invoice'!$E$2:$E$801,$N375)))</f>
        <v/>
      </c>
      <c r="F375">
        <f>IF($N375="","",IF(INDEX('Per Invoice'!$F$2:$F$801,$N375)="","",INDEX('Per Invoice'!$F$2:$F$801,$N375)))</f>
        <v/>
      </c>
      <c r="G375">
        <f>IF($N375="","",IF(INDEX('Per Invoice'!$G$2:$G$801,$N375)="","",INDEX('Per Invoice'!$G$2:$G$801,$N375)))</f>
        <v/>
      </c>
      <c r="H375">
        <f>IF($N375="","",IF(INDEX('Per Invoice'!$H$2:$H$801,$N375)="","",INDEX('Per Invoice'!$H$2:$H$801,$N375)))</f>
        <v/>
      </c>
      <c r="I375" s="5">
        <f>IF($N375="","",IF(INDEX('Per Invoice'!$I$2:$I$801,$N375)="","",INDEX('Per Invoice'!$I$2:$I$801,$N375)))</f>
        <v/>
      </c>
      <c r="J375" s="5">
        <f>IF($N375="","",IF(INDEX('Per Invoice'!$J$2:$J$801,$N375)="","",INDEX('Per Invoice'!$J$2:$J$801,$N375)))</f>
        <v/>
      </c>
      <c r="K375" s="5">
        <f>IF($N375="","",IF(INDEX('Per Invoice'!$K$2:$K$801,$N375)="","",INDEX('Per Invoice'!$K$2:$K$801,$N375)))</f>
        <v/>
      </c>
      <c r="L375" s="5">
        <f>IF($N375="","",IF(INDEX('Per Invoice'!$L$2:$L$801,$N375)="","",INDEX('Per Invoice'!$L$2:$L$801,$N375)))</f>
        <v/>
      </c>
      <c r="M375" s="5">
        <f>IF($N375="","",IF(INDEX('Per Invoice'!$M$2:$M$801,$N375)="","",INDEX('Per Invoice'!$M$2:$M$801,$N375)))</f>
        <v/>
      </c>
      <c r="N375">
        <f>IF(ROWS($N$2:$N375)&lt;=COUNT('Per Invoice'!$O$2:$O$801),MATCH(ROWS($N$2:$N375),'Per Invoice'!$O$2:$O$801,0),"")</f>
        <v/>
      </c>
    </row>
    <row r="376">
      <c r="A376">
        <f>IF($N376="","",IF(INDEX('Per Invoice'!$A$2:$A$801,$N376)="","",INDEX('Per Invoice'!$A$2:$A$801,$N376)))</f>
        <v/>
      </c>
      <c r="B376">
        <f>IF($N376="","",IF(INDEX('Per Invoice'!$B$2:$B$801,$N376)="","",INDEX('Per Invoice'!$B$2:$B$801,$N376)))</f>
        <v/>
      </c>
      <c r="C376">
        <f>IF($N376="","",IF(INDEX('Per Invoice'!$C$2:$C$801,$N376)="","",INDEX('Per Invoice'!$C$2:$C$801,$N376)))</f>
        <v/>
      </c>
      <c r="D376">
        <f>IF($N376="","",IF(INDEX('Per Invoice'!$D$2:$D$801,$N376)="","",INDEX('Per Invoice'!$D$2:$D$801,$N376)))</f>
        <v/>
      </c>
      <c r="E376">
        <f>IF($N376="","",IF(INDEX('Per Invoice'!$E$2:$E$801,$N376)="","",INDEX('Per Invoice'!$E$2:$E$801,$N376)))</f>
        <v/>
      </c>
      <c r="F376">
        <f>IF($N376="","",IF(INDEX('Per Invoice'!$F$2:$F$801,$N376)="","",INDEX('Per Invoice'!$F$2:$F$801,$N376)))</f>
        <v/>
      </c>
      <c r="G376">
        <f>IF($N376="","",IF(INDEX('Per Invoice'!$G$2:$G$801,$N376)="","",INDEX('Per Invoice'!$G$2:$G$801,$N376)))</f>
        <v/>
      </c>
      <c r="H376">
        <f>IF($N376="","",IF(INDEX('Per Invoice'!$H$2:$H$801,$N376)="","",INDEX('Per Invoice'!$H$2:$H$801,$N376)))</f>
        <v/>
      </c>
      <c r="I376" s="5">
        <f>IF($N376="","",IF(INDEX('Per Invoice'!$I$2:$I$801,$N376)="","",INDEX('Per Invoice'!$I$2:$I$801,$N376)))</f>
        <v/>
      </c>
      <c r="J376" s="5">
        <f>IF($N376="","",IF(INDEX('Per Invoice'!$J$2:$J$801,$N376)="","",INDEX('Per Invoice'!$J$2:$J$801,$N376)))</f>
        <v/>
      </c>
      <c r="K376" s="5">
        <f>IF($N376="","",IF(INDEX('Per Invoice'!$K$2:$K$801,$N376)="","",INDEX('Per Invoice'!$K$2:$K$801,$N376)))</f>
        <v/>
      </c>
      <c r="L376" s="5">
        <f>IF($N376="","",IF(INDEX('Per Invoice'!$L$2:$L$801,$N376)="","",INDEX('Per Invoice'!$L$2:$L$801,$N376)))</f>
        <v/>
      </c>
      <c r="M376" s="5">
        <f>IF($N376="","",IF(INDEX('Per Invoice'!$M$2:$M$801,$N376)="","",INDEX('Per Invoice'!$M$2:$M$801,$N376)))</f>
        <v/>
      </c>
      <c r="N376">
        <f>IF(ROWS($N$2:$N376)&lt;=COUNT('Per Invoice'!$O$2:$O$801),MATCH(ROWS($N$2:$N376),'Per Invoice'!$O$2:$O$801,0),"")</f>
        <v/>
      </c>
    </row>
    <row r="377">
      <c r="A377">
        <f>IF($N377="","",IF(INDEX('Per Invoice'!$A$2:$A$801,$N377)="","",INDEX('Per Invoice'!$A$2:$A$801,$N377)))</f>
        <v/>
      </c>
      <c r="B377">
        <f>IF($N377="","",IF(INDEX('Per Invoice'!$B$2:$B$801,$N377)="","",INDEX('Per Invoice'!$B$2:$B$801,$N377)))</f>
        <v/>
      </c>
      <c r="C377">
        <f>IF($N377="","",IF(INDEX('Per Invoice'!$C$2:$C$801,$N377)="","",INDEX('Per Invoice'!$C$2:$C$801,$N377)))</f>
        <v/>
      </c>
      <c r="D377">
        <f>IF($N377="","",IF(INDEX('Per Invoice'!$D$2:$D$801,$N377)="","",INDEX('Per Invoice'!$D$2:$D$801,$N377)))</f>
        <v/>
      </c>
      <c r="E377">
        <f>IF($N377="","",IF(INDEX('Per Invoice'!$E$2:$E$801,$N377)="","",INDEX('Per Invoice'!$E$2:$E$801,$N377)))</f>
        <v/>
      </c>
      <c r="F377">
        <f>IF($N377="","",IF(INDEX('Per Invoice'!$F$2:$F$801,$N377)="","",INDEX('Per Invoice'!$F$2:$F$801,$N377)))</f>
        <v/>
      </c>
      <c r="G377">
        <f>IF($N377="","",IF(INDEX('Per Invoice'!$G$2:$G$801,$N377)="","",INDEX('Per Invoice'!$G$2:$G$801,$N377)))</f>
        <v/>
      </c>
      <c r="H377">
        <f>IF($N377="","",IF(INDEX('Per Invoice'!$H$2:$H$801,$N377)="","",INDEX('Per Invoice'!$H$2:$H$801,$N377)))</f>
        <v/>
      </c>
      <c r="I377" s="5">
        <f>IF($N377="","",IF(INDEX('Per Invoice'!$I$2:$I$801,$N377)="","",INDEX('Per Invoice'!$I$2:$I$801,$N377)))</f>
        <v/>
      </c>
      <c r="J377" s="5">
        <f>IF($N377="","",IF(INDEX('Per Invoice'!$J$2:$J$801,$N377)="","",INDEX('Per Invoice'!$J$2:$J$801,$N377)))</f>
        <v/>
      </c>
      <c r="K377" s="5">
        <f>IF($N377="","",IF(INDEX('Per Invoice'!$K$2:$K$801,$N377)="","",INDEX('Per Invoice'!$K$2:$K$801,$N377)))</f>
        <v/>
      </c>
      <c r="L377" s="5">
        <f>IF($N377="","",IF(INDEX('Per Invoice'!$L$2:$L$801,$N377)="","",INDEX('Per Invoice'!$L$2:$L$801,$N377)))</f>
        <v/>
      </c>
      <c r="M377" s="5">
        <f>IF($N377="","",IF(INDEX('Per Invoice'!$M$2:$M$801,$N377)="","",INDEX('Per Invoice'!$M$2:$M$801,$N377)))</f>
        <v/>
      </c>
      <c r="N377">
        <f>IF(ROWS($N$2:$N377)&lt;=COUNT('Per Invoice'!$O$2:$O$801),MATCH(ROWS($N$2:$N377),'Per Invoice'!$O$2:$O$801,0),"")</f>
        <v/>
      </c>
    </row>
    <row r="378">
      <c r="A378">
        <f>IF($N378="","",IF(INDEX('Per Invoice'!$A$2:$A$801,$N378)="","",INDEX('Per Invoice'!$A$2:$A$801,$N378)))</f>
        <v/>
      </c>
      <c r="B378">
        <f>IF($N378="","",IF(INDEX('Per Invoice'!$B$2:$B$801,$N378)="","",INDEX('Per Invoice'!$B$2:$B$801,$N378)))</f>
        <v/>
      </c>
      <c r="C378">
        <f>IF($N378="","",IF(INDEX('Per Invoice'!$C$2:$C$801,$N378)="","",INDEX('Per Invoice'!$C$2:$C$801,$N378)))</f>
        <v/>
      </c>
      <c r="D378">
        <f>IF($N378="","",IF(INDEX('Per Invoice'!$D$2:$D$801,$N378)="","",INDEX('Per Invoice'!$D$2:$D$801,$N378)))</f>
        <v/>
      </c>
      <c r="E378">
        <f>IF($N378="","",IF(INDEX('Per Invoice'!$E$2:$E$801,$N378)="","",INDEX('Per Invoice'!$E$2:$E$801,$N378)))</f>
        <v/>
      </c>
      <c r="F378">
        <f>IF($N378="","",IF(INDEX('Per Invoice'!$F$2:$F$801,$N378)="","",INDEX('Per Invoice'!$F$2:$F$801,$N378)))</f>
        <v/>
      </c>
      <c r="G378">
        <f>IF($N378="","",IF(INDEX('Per Invoice'!$G$2:$G$801,$N378)="","",INDEX('Per Invoice'!$G$2:$G$801,$N378)))</f>
        <v/>
      </c>
      <c r="H378">
        <f>IF($N378="","",IF(INDEX('Per Invoice'!$H$2:$H$801,$N378)="","",INDEX('Per Invoice'!$H$2:$H$801,$N378)))</f>
        <v/>
      </c>
      <c r="I378" s="5">
        <f>IF($N378="","",IF(INDEX('Per Invoice'!$I$2:$I$801,$N378)="","",INDEX('Per Invoice'!$I$2:$I$801,$N378)))</f>
        <v/>
      </c>
      <c r="J378" s="5">
        <f>IF($N378="","",IF(INDEX('Per Invoice'!$J$2:$J$801,$N378)="","",INDEX('Per Invoice'!$J$2:$J$801,$N378)))</f>
        <v/>
      </c>
      <c r="K378" s="5">
        <f>IF($N378="","",IF(INDEX('Per Invoice'!$K$2:$K$801,$N378)="","",INDEX('Per Invoice'!$K$2:$K$801,$N378)))</f>
        <v/>
      </c>
      <c r="L378" s="5">
        <f>IF($N378="","",IF(INDEX('Per Invoice'!$L$2:$L$801,$N378)="","",INDEX('Per Invoice'!$L$2:$L$801,$N378)))</f>
        <v/>
      </c>
      <c r="M378" s="5">
        <f>IF($N378="","",IF(INDEX('Per Invoice'!$M$2:$M$801,$N378)="","",INDEX('Per Invoice'!$M$2:$M$801,$N378)))</f>
        <v/>
      </c>
      <c r="N378">
        <f>IF(ROWS($N$2:$N378)&lt;=COUNT('Per Invoice'!$O$2:$O$801),MATCH(ROWS($N$2:$N378),'Per Invoice'!$O$2:$O$801,0),"")</f>
        <v/>
      </c>
    </row>
    <row r="379">
      <c r="A379">
        <f>IF($N379="","",IF(INDEX('Per Invoice'!$A$2:$A$801,$N379)="","",INDEX('Per Invoice'!$A$2:$A$801,$N379)))</f>
        <v/>
      </c>
      <c r="B379">
        <f>IF($N379="","",IF(INDEX('Per Invoice'!$B$2:$B$801,$N379)="","",INDEX('Per Invoice'!$B$2:$B$801,$N379)))</f>
        <v/>
      </c>
      <c r="C379">
        <f>IF($N379="","",IF(INDEX('Per Invoice'!$C$2:$C$801,$N379)="","",INDEX('Per Invoice'!$C$2:$C$801,$N379)))</f>
        <v/>
      </c>
      <c r="D379">
        <f>IF($N379="","",IF(INDEX('Per Invoice'!$D$2:$D$801,$N379)="","",INDEX('Per Invoice'!$D$2:$D$801,$N379)))</f>
        <v/>
      </c>
      <c r="E379">
        <f>IF($N379="","",IF(INDEX('Per Invoice'!$E$2:$E$801,$N379)="","",INDEX('Per Invoice'!$E$2:$E$801,$N379)))</f>
        <v/>
      </c>
      <c r="F379">
        <f>IF($N379="","",IF(INDEX('Per Invoice'!$F$2:$F$801,$N379)="","",INDEX('Per Invoice'!$F$2:$F$801,$N379)))</f>
        <v/>
      </c>
      <c r="G379">
        <f>IF($N379="","",IF(INDEX('Per Invoice'!$G$2:$G$801,$N379)="","",INDEX('Per Invoice'!$G$2:$G$801,$N379)))</f>
        <v/>
      </c>
      <c r="H379">
        <f>IF($N379="","",IF(INDEX('Per Invoice'!$H$2:$H$801,$N379)="","",INDEX('Per Invoice'!$H$2:$H$801,$N379)))</f>
        <v/>
      </c>
      <c r="I379" s="5">
        <f>IF($N379="","",IF(INDEX('Per Invoice'!$I$2:$I$801,$N379)="","",INDEX('Per Invoice'!$I$2:$I$801,$N379)))</f>
        <v/>
      </c>
      <c r="J379" s="5">
        <f>IF($N379="","",IF(INDEX('Per Invoice'!$J$2:$J$801,$N379)="","",INDEX('Per Invoice'!$J$2:$J$801,$N379)))</f>
        <v/>
      </c>
      <c r="K379" s="5">
        <f>IF($N379="","",IF(INDEX('Per Invoice'!$K$2:$K$801,$N379)="","",INDEX('Per Invoice'!$K$2:$K$801,$N379)))</f>
        <v/>
      </c>
      <c r="L379" s="5">
        <f>IF($N379="","",IF(INDEX('Per Invoice'!$L$2:$L$801,$N379)="","",INDEX('Per Invoice'!$L$2:$L$801,$N379)))</f>
        <v/>
      </c>
      <c r="M379" s="5">
        <f>IF($N379="","",IF(INDEX('Per Invoice'!$M$2:$M$801,$N379)="","",INDEX('Per Invoice'!$M$2:$M$801,$N379)))</f>
        <v/>
      </c>
      <c r="N379">
        <f>IF(ROWS($N$2:$N379)&lt;=COUNT('Per Invoice'!$O$2:$O$801),MATCH(ROWS($N$2:$N379),'Per Invoice'!$O$2:$O$801,0),"")</f>
        <v/>
      </c>
    </row>
    <row r="380">
      <c r="A380">
        <f>IF($N380="","",IF(INDEX('Per Invoice'!$A$2:$A$801,$N380)="","",INDEX('Per Invoice'!$A$2:$A$801,$N380)))</f>
        <v/>
      </c>
      <c r="B380">
        <f>IF($N380="","",IF(INDEX('Per Invoice'!$B$2:$B$801,$N380)="","",INDEX('Per Invoice'!$B$2:$B$801,$N380)))</f>
        <v/>
      </c>
      <c r="C380">
        <f>IF($N380="","",IF(INDEX('Per Invoice'!$C$2:$C$801,$N380)="","",INDEX('Per Invoice'!$C$2:$C$801,$N380)))</f>
        <v/>
      </c>
      <c r="D380">
        <f>IF($N380="","",IF(INDEX('Per Invoice'!$D$2:$D$801,$N380)="","",INDEX('Per Invoice'!$D$2:$D$801,$N380)))</f>
        <v/>
      </c>
      <c r="E380">
        <f>IF($N380="","",IF(INDEX('Per Invoice'!$E$2:$E$801,$N380)="","",INDEX('Per Invoice'!$E$2:$E$801,$N380)))</f>
        <v/>
      </c>
      <c r="F380">
        <f>IF($N380="","",IF(INDEX('Per Invoice'!$F$2:$F$801,$N380)="","",INDEX('Per Invoice'!$F$2:$F$801,$N380)))</f>
        <v/>
      </c>
      <c r="G380">
        <f>IF($N380="","",IF(INDEX('Per Invoice'!$G$2:$G$801,$N380)="","",INDEX('Per Invoice'!$G$2:$G$801,$N380)))</f>
        <v/>
      </c>
      <c r="H380">
        <f>IF($N380="","",IF(INDEX('Per Invoice'!$H$2:$H$801,$N380)="","",INDEX('Per Invoice'!$H$2:$H$801,$N380)))</f>
        <v/>
      </c>
      <c r="I380" s="5">
        <f>IF($N380="","",IF(INDEX('Per Invoice'!$I$2:$I$801,$N380)="","",INDEX('Per Invoice'!$I$2:$I$801,$N380)))</f>
        <v/>
      </c>
      <c r="J380" s="5">
        <f>IF($N380="","",IF(INDEX('Per Invoice'!$J$2:$J$801,$N380)="","",INDEX('Per Invoice'!$J$2:$J$801,$N380)))</f>
        <v/>
      </c>
      <c r="K380" s="5">
        <f>IF($N380="","",IF(INDEX('Per Invoice'!$K$2:$K$801,$N380)="","",INDEX('Per Invoice'!$K$2:$K$801,$N380)))</f>
        <v/>
      </c>
      <c r="L380" s="5">
        <f>IF($N380="","",IF(INDEX('Per Invoice'!$L$2:$L$801,$N380)="","",INDEX('Per Invoice'!$L$2:$L$801,$N380)))</f>
        <v/>
      </c>
      <c r="M380" s="5">
        <f>IF($N380="","",IF(INDEX('Per Invoice'!$M$2:$M$801,$N380)="","",INDEX('Per Invoice'!$M$2:$M$801,$N380)))</f>
        <v/>
      </c>
      <c r="N380">
        <f>IF(ROWS($N$2:$N380)&lt;=COUNT('Per Invoice'!$O$2:$O$801),MATCH(ROWS($N$2:$N380),'Per Invoice'!$O$2:$O$801,0),"")</f>
        <v/>
      </c>
    </row>
    <row r="381">
      <c r="A381">
        <f>IF($N381="","",IF(INDEX('Per Invoice'!$A$2:$A$801,$N381)="","",INDEX('Per Invoice'!$A$2:$A$801,$N381)))</f>
        <v/>
      </c>
      <c r="B381">
        <f>IF($N381="","",IF(INDEX('Per Invoice'!$B$2:$B$801,$N381)="","",INDEX('Per Invoice'!$B$2:$B$801,$N381)))</f>
        <v/>
      </c>
      <c r="C381">
        <f>IF($N381="","",IF(INDEX('Per Invoice'!$C$2:$C$801,$N381)="","",INDEX('Per Invoice'!$C$2:$C$801,$N381)))</f>
        <v/>
      </c>
      <c r="D381">
        <f>IF($N381="","",IF(INDEX('Per Invoice'!$D$2:$D$801,$N381)="","",INDEX('Per Invoice'!$D$2:$D$801,$N381)))</f>
        <v/>
      </c>
      <c r="E381">
        <f>IF($N381="","",IF(INDEX('Per Invoice'!$E$2:$E$801,$N381)="","",INDEX('Per Invoice'!$E$2:$E$801,$N381)))</f>
        <v/>
      </c>
      <c r="F381">
        <f>IF($N381="","",IF(INDEX('Per Invoice'!$F$2:$F$801,$N381)="","",INDEX('Per Invoice'!$F$2:$F$801,$N381)))</f>
        <v/>
      </c>
      <c r="G381">
        <f>IF($N381="","",IF(INDEX('Per Invoice'!$G$2:$G$801,$N381)="","",INDEX('Per Invoice'!$G$2:$G$801,$N381)))</f>
        <v/>
      </c>
      <c r="H381">
        <f>IF($N381="","",IF(INDEX('Per Invoice'!$H$2:$H$801,$N381)="","",INDEX('Per Invoice'!$H$2:$H$801,$N381)))</f>
        <v/>
      </c>
      <c r="I381" s="5">
        <f>IF($N381="","",IF(INDEX('Per Invoice'!$I$2:$I$801,$N381)="","",INDEX('Per Invoice'!$I$2:$I$801,$N381)))</f>
        <v/>
      </c>
      <c r="J381" s="5">
        <f>IF($N381="","",IF(INDEX('Per Invoice'!$J$2:$J$801,$N381)="","",INDEX('Per Invoice'!$J$2:$J$801,$N381)))</f>
        <v/>
      </c>
      <c r="K381" s="5">
        <f>IF($N381="","",IF(INDEX('Per Invoice'!$K$2:$K$801,$N381)="","",INDEX('Per Invoice'!$K$2:$K$801,$N381)))</f>
        <v/>
      </c>
      <c r="L381" s="5">
        <f>IF($N381="","",IF(INDEX('Per Invoice'!$L$2:$L$801,$N381)="","",INDEX('Per Invoice'!$L$2:$L$801,$N381)))</f>
        <v/>
      </c>
      <c r="M381" s="5">
        <f>IF($N381="","",IF(INDEX('Per Invoice'!$M$2:$M$801,$N381)="","",INDEX('Per Invoice'!$M$2:$M$801,$N381)))</f>
        <v/>
      </c>
      <c r="N381">
        <f>IF(ROWS($N$2:$N381)&lt;=COUNT('Per Invoice'!$O$2:$O$801),MATCH(ROWS($N$2:$N381),'Per Invoice'!$O$2:$O$801,0),"")</f>
        <v/>
      </c>
    </row>
    <row r="382">
      <c r="A382">
        <f>IF($N382="","",IF(INDEX('Per Invoice'!$A$2:$A$801,$N382)="","",INDEX('Per Invoice'!$A$2:$A$801,$N382)))</f>
        <v/>
      </c>
      <c r="B382">
        <f>IF($N382="","",IF(INDEX('Per Invoice'!$B$2:$B$801,$N382)="","",INDEX('Per Invoice'!$B$2:$B$801,$N382)))</f>
        <v/>
      </c>
      <c r="C382">
        <f>IF($N382="","",IF(INDEX('Per Invoice'!$C$2:$C$801,$N382)="","",INDEX('Per Invoice'!$C$2:$C$801,$N382)))</f>
        <v/>
      </c>
      <c r="D382">
        <f>IF($N382="","",IF(INDEX('Per Invoice'!$D$2:$D$801,$N382)="","",INDEX('Per Invoice'!$D$2:$D$801,$N382)))</f>
        <v/>
      </c>
      <c r="E382">
        <f>IF($N382="","",IF(INDEX('Per Invoice'!$E$2:$E$801,$N382)="","",INDEX('Per Invoice'!$E$2:$E$801,$N382)))</f>
        <v/>
      </c>
      <c r="F382">
        <f>IF($N382="","",IF(INDEX('Per Invoice'!$F$2:$F$801,$N382)="","",INDEX('Per Invoice'!$F$2:$F$801,$N382)))</f>
        <v/>
      </c>
      <c r="G382">
        <f>IF($N382="","",IF(INDEX('Per Invoice'!$G$2:$G$801,$N382)="","",INDEX('Per Invoice'!$G$2:$G$801,$N382)))</f>
        <v/>
      </c>
      <c r="H382">
        <f>IF($N382="","",IF(INDEX('Per Invoice'!$H$2:$H$801,$N382)="","",INDEX('Per Invoice'!$H$2:$H$801,$N382)))</f>
        <v/>
      </c>
      <c r="I382" s="5">
        <f>IF($N382="","",IF(INDEX('Per Invoice'!$I$2:$I$801,$N382)="","",INDEX('Per Invoice'!$I$2:$I$801,$N382)))</f>
        <v/>
      </c>
      <c r="J382" s="5">
        <f>IF($N382="","",IF(INDEX('Per Invoice'!$J$2:$J$801,$N382)="","",INDEX('Per Invoice'!$J$2:$J$801,$N382)))</f>
        <v/>
      </c>
      <c r="K382" s="5">
        <f>IF($N382="","",IF(INDEX('Per Invoice'!$K$2:$K$801,$N382)="","",INDEX('Per Invoice'!$K$2:$K$801,$N382)))</f>
        <v/>
      </c>
      <c r="L382" s="5">
        <f>IF($N382="","",IF(INDEX('Per Invoice'!$L$2:$L$801,$N382)="","",INDEX('Per Invoice'!$L$2:$L$801,$N382)))</f>
        <v/>
      </c>
      <c r="M382" s="5">
        <f>IF($N382="","",IF(INDEX('Per Invoice'!$M$2:$M$801,$N382)="","",INDEX('Per Invoice'!$M$2:$M$801,$N382)))</f>
        <v/>
      </c>
      <c r="N382">
        <f>IF(ROWS($N$2:$N382)&lt;=COUNT('Per Invoice'!$O$2:$O$801),MATCH(ROWS($N$2:$N382),'Per Invoice'!$O$2:$O$801,0),"")</f>
        <v/>
      </c>
    </row>
    <row r="383">
      <c r="A383">
        <f>IF($N383="","",IF(INDEX('Per Invoice'!$A$2:$A$801,$N383)="","",INDEX('Per Invoice'!$A$2:$A$801,$N383)))</f>
        <v/>
      </c>
      <c r="B383">
        <f>IF($N383="","",IF(INDEX('Per Invoice'!$B$2:$B$801,$N383)="","",INDEX('Per Invoice'!$B$2:$B$801,$N383)))</f>
        <v/>
      </c>
      <c r="C383">
        <f>IF($N383="","",IF(INDEX('Per Invoice'!$C$2:$C$801,$N383)="","",INDEX('Per Invoice'!$C$2:$C$801,$N383)))</f>
        <v/>
      </c>
      <c r="D383">
        <f>IF($N383="","",IF(INDEX('Per Invoice'!$D$2:$D$801,$N383)="","",INDEX('Per Invoice'!$D$2:$D$801,$N383)))</f>
        <v/>
      </c>
      <c r="E383">
        <f>IF($N383="","",IF(INDEX('Per Invoice'!$E$2:$E$801,$N383)="","",INDEX('Per Invoice'!$E$2:$E$801,$N383)))</f>
        <v/>
      </c>
      <c r="F383">
        <f>IF($N383="","",IF(INDEX('Per Invoice'!$F$2:$F$801,$N383)="","",INDEX('Per Invoice'!$F$2:$F$801,$N383)))</f>
        <v/>
      </c>
      <c r="G383">
        <f>IF($N383="","",IF(INDEX('Per Invoice'!$G$2:$G$801,$N383)="","",INDEX('Per Invoice'!$G$2:$G$801,$N383)))</f>
        <v/>
      </c>
      <c r="H383">
        <f>IF($N383="","",IF(INDEX('Per Invoice'!$H$2:$H$801,$N383)="","",INDEX('Per Invoice'!$H$2:$H$801,$N383)))</f>
        <v/>
      </c>
      <c r="I383" s="5">
        <f>IF($N383="","",IF(INDEX('Per Invoice'!$I$2:$I$801,$N383)="","",INDEX('Per Invoice'!$I$2:$I$801,$N383)))</f>
        <v/>
      </c>
      <c r="J383" s="5">
        <f>IF($N383="","",IF(INDEX('Per Invoice'!$J$2:$J$801,$N383)="","",INDEX('Per Invoice'!$J$2:$J$801,$N383)))</f>
        <v/>
      </c>
      <c r="K383" s="5">
        <f>IF($N383="","",IF(INDEX('Per Invoice'!$K$2:$K$801,$N383)="","",INDEX('Per Invoice'!$K$2:$K$801,$N383)))</f>
        <v/>
      </c>
      <c r="L383" s="5">
        <f>IF($N383="","",IF(INDEX('Per Invoice'!$L$2:$L$801,$N383)="","",INDEX('Per Invoice'!$L$2:$L$801,$N383)))</f>
        <v/>
      </c>
      <c r="M383" s="5">
        <f>IF($N383="","",IF(INDEX('Per Invoice'!$M$2:$M$801,$N383)="","",INDEX('Per Invoice'!$M$2:$M$801,$N383)))</f>
        <v/>
      </c>
      <c r="N383">
        <f>IF(ROWS($N$2:$N383)&lt;=COUNT('Per Invoice'!$O$2:$O$801),MATCH(ROWS($N$2:$N383),'Per Invoice'!$O$2:$O$801,0),"")</f>
        <v/>
      </c>
    </row>
    <row r="384">
      <c r="A384">
        <f>IF($N384="","",IF(INDEX('Per Invoice'!$A$2:$A$801,$N384)="","",INDEX('Per Invoice'!$A$2:$A$801,$N384)))</f>
        <v/>
      </c>
      <c r="B384">
        <f>IF($N384="","",IF(INDEX('Per Invoice'!$B$2:$B$801,$N384)="","",INDEX('Per Invoice'!$B$2:$B$801,$N384)))</f>
        <v/>
      </c>
      <c r="C384">
        <f>IF($N384="","",IF(INDEX('Per Invoice'!$C$2:$C$801,$N384)="","",INDEX('Per Invoice'!$C$2:$C$801,$N384)))</f>
        <v/>
      </c>
      <c r="D384">
        <f>IF($N384="","",IF(INDEX('Per Invoice'!$D$2:$D$801,$N384)="","",INDEX('Per Invoice'!$D$2:$D$801,$N384)))</f>
        <v/>
      </c>
      <c r="E384">
        <f>IF($N384="","",IF(INDEX('Per Invoice'!$E$2:$E$801,$N384)="","",INDEX('Per Invoice'!$E$2:$E$801,$N384)))</f>
        <v/>
      </c>
      <c r="F384">
        <f>IF($N384="","",IF(INDEX('Per Invoice'!$F$2:$F$801,$N384)="","",INDEX('Per Invoice'!$F$2:$F$801,$N384)))</f>
        <v/>
      </c>
      <c r="G384">
        <f>IF($N384="","",IF(INDEX('Per Invoice'!$G$2:$G$801,$N384)="","",INDEX('Per Invoice'!$G$2:$G$801,$N384)))</f>
        <v/>
      </c>
      <c r="H384">
        <f>IF($N384="","",IF(INDEX('Per Invoice'!$H$2:$H$801,$N384)="","",INDEX('Per Invoice'!$H$2:$H$801,$N384)))</f>
        <v/>
      </c>
      <c r="I384" s="5">
        <f>IF($N384="","",IF(INDEX('Per Invoice'!$I$2:$I$801,$N384)="","",INDEX('Per Invoice'!$I$2:$I$801,$N384)))</f>
        <v/>
      </c>
      <c r="J384" s="5">
        <f>IF($N384="","",IF(INDEX('Per Invoice'!$J$2:$J$801,$N384)="","",INDEX('Per Invoice'!$J$2:$J$801,$N384)))</f>
        <v/>
      </c>
      <c r="K384" s="5">
        <f>IF($N384="","",IF(INDEX('Per Invoice'!$K$2:$K$801,$N384)="","",INDEX('Per Invoice'!$K$2:$K$801,$N384)))</f>
        <v/>
      </c>
      <c r="L384" s="5">
        <f>IF($N384="","",IF(INDEX('Per Invoice'!$L$2:$L$801,$N384)="","",INDEX('Per Invoice'!$L$2:$L$801,$N384)))</f>
        <v/>
      </c>
      <c r="M384" s="5">
        <f>IF($N384="","",IF(INDEX('Per Invoice'!$M$2:$M$801,$N384)="","",INDEX('Per Invoice'!$M$2:$M$801,$N384)))</f>
        <v/>
      </c>
      <c r="N384">
        <f>IF(ROWS($N$2:$N384)&lt;=COUNT('Per Invoice'!$O$2:$O$801),MATCH(ROWS($N$2:$N384),'Per Invoice'!$O$2:$O$801,0),"")</f>
        <v/>
      </c>
    </row>
    <row r="385">
      <c r="A385">
        <f>IF($N385="","",IF(INDEX('Per Invoice'!$A$2:$A$801,$N385)="","",INDEX('Per Invoice'!$A$2:$A$801,$N385)))</f>
        <v/>
      </c>
      <c r="B385">
        <f>IF($N385="","",IF(INDEX('Per Invoice'!$B$2:$B$801,$N385)="","",INDEX('Per Invoice'!$B$2:$B$801,$N385)))</f>
        <v/>
      </c>
      <c r="C385">
        <f>IF($N385="","",IF(INDEX('Per Invoice'!$C$2:$C$801,$N385)="","",INDEX('Per Invoice'!$C$2:$C$801,$N385)))</f>
        <v/>
      </c>
      <c r="D385">
        <f>IF($N385="","",IF(INDEX('Per Invoice'!$D$2:$D$801,$N385)="","",INDEX('Per Invoice'!$D$2:$D$801,$N385)))</f>
        <v/>
      </c>
      <c r="E385">
        <f>IF($N385="","",IF(INDEX('Per Invoice'!$E$2:$E$801,$N385)="","",INDEX('Per Invoice'!$E$2:$E$801,$N385)))</f>
        <v/>
      </c>
      <c r="F385">
        <f>IF($N385="","",IF(INDEX('Per Invoice'!$F$2:$F$801,$N385)="","",INDEX('Per Invoice'!$F$2:$F$801,$N385)))</f>
        <v/>
      </c>
      <c r="G385">
        <f>IF($N385="","",IF(INDEX('Per Invoice'!$G$2:$G$801,$N385)="","",INDEX('Per Invoice'!$G$2:$G$801,$N385)))</f>
        <v/>
      </c>
      <c r="H385">
        <f>IF($N385="","",IF(INDEX('Per Invoice'!$H$2:$H$801,$N385)="","",INDEX('Per Invoice'!$H$2:$H$801,$N385)))</f>
        <v/>
      </c>
      <c r="I385" s="5">
        <f>IF($N385="","",IF(INDEX('Per Invoice'!$I$2:$I$801,$N385)="","",INDEX('Per Invoice'!$I$2:$I$801,$N385)))</f>
        <v/>
      </c>
      <c r="J385" s="5">
        <f>IF($N385="","",IF(INDEX('Per Invoice'!$J$2:$J$801,$N385)="","",INDEX('Per Invoice'!$J$2:$J$801,$N385)))</f>
        <v/>
      </c>
      <c r="K385" s="5">
        <f>IF($N385="","",IF(INDEX('Per Invoice'!$K$2:$K$801,$N385)="","",INDEX('Per Invoice'!$K$2:$K$801,$N385)))</f>
        <v/>
      </c>
      <c r="L385" s="5">
        <f>IF($N385="","",IF(INDEX('Per Invoice'!$L$2:$L$801,$N385)="","",INDEX('Per Invoice'!$L$2:$L$801,$N385)))</f>
        <v/>
      </c>
      <c r="M385" s="5">
        <f>IF($N385="","",IF(INDEX('Per Invoice'!$M$2:$M$801,$N385)="","",INDEX('Per Invoice'!$M$2:$M$801,$N385)))</f>
        <v/>
      </c>
      <c r="N385">
        <f>IF(ROWS($N$2:$N385)&lt;=COUNT('Per Invoice'!$O$2:$O$801),MATCH(ROWS($N$2:$N385),'Per Invoice'!$O$2:$O$801,0),"")</f>
        <v/>
      </c>
    </row>
    <row r="386">
      <c r="A386">
        <f>IF($N386="","",IF(INDEX('Per Invoice'!$A$2:$A$801,$N386)="","",INDEX('Per Invoice'!$A$2:$A$801,$N386)))</f>
        <v/>
      </c>
      <c r="B386">
        <f>IF($N386="","",IF(INDEX('Per Invoice'!$B$2:$B$801,$N386)="","",INDEX('Per Invoice'!$B$2:$B$801,$N386)))</f>
        <v/>
      </c>
      <c r="C386">
        <f>IF($N386="","",IF(INDEX('Per Invoice'!$C$2:$C$801,$N386)="","",INDEX('Per Invoice'!$C$2:$C$801,$N386)))</f>
        <v/>
      </c>
      <c r="D386">
        <f>IF($N386="","",IF(INDEX('Per Invoice'!$D$2:$D$801,$N386)="","",INDEX('Per Invoice'!$D$2:$D$801,$N386)))</f>
        <v/>
      </c>
      <c r="E386">
        <f>IF($N386="","",IF(INDEX('Per Invoice'!$E$2:$E$801,$N386)="","",INDEX('Per Invoice'!$E$2:$E$801,$N386)))</f>
        <v/>
      </c>
      <c r="F386">
        <f>IF($N386="","",IF(INDEX('Per Invoice'!$F$2:$F$801,$N386)="","",INDEX('Per Invoice'!$F$2:$F$801,$N386)))</f>
        <v/>
      </c>
      <c r="G386">
        <f>IF($N386="","",IF(INDEX('Per Invoice'!$G$2:$G$801,$N386)="","",INDEX('Per Invoice'!$G$2:$G$801,$N386)))</f>
        <v/>
      </c>
      <c r="H386">
        <f>IF($N386="","",IF(INDEX('Per Invoice'!$H$2:$H$801,$N386)="","",INDEX('Per Invoice'!$H$2:$H$801,$N386)))</f>
        <v/>
      </c>
      <c r="I386" s="5">
        <f>IF($N386="","",IF(INDEX('Per Invoice'!$I$2:$I$801,$N386)="","",INDEX('Per Invoice'!$I$2:$I$801,$N386)))</f>
        <v/>
      </c>
      <c r="J386" s="5">
        <f>IF($N386="","",IF(INDEX('Per Invoice'!$J$2:$J$801,$N386)="","",INDEX('Per Invoice'!$J$2:$J$801,$N386)))</f>
        <v/>
      </c>
      <c r="K386" s="5">
        <f>IF($N386="","",IF(INDEX('Per Invoice'!$K$2:$K$801,$N386)="","",INDEX('Per Invoice'!$K$2:$K$801,$N386)))</f>
        <v/>
      </c>
      <c r="L386" s="5">
        <f>IF($N386="","",IF(INDEX('Per Invoice'!$L$2:$L$801,$N386)="","",INDEX('Per Invoice'!$L$2:$L$801,$N386)))</f>
        <v/>
      </c>
      <c r="M386" s="5">
        <f>IF($N386="","",IF(INDEX('Per Invoice'!$M$2:$M$801,$N386)="","",INDEX('Per Invoice'!$M$2:$M$801,$N386)))</f>
        <v/>
      </c>
      <c r="N386">
        <f>IF(ROWS($N$2:$N386)&lt;=COUNT('Per Invoice'!$O$2:$O$801),MATCH(ROWS($N$2:$N386),'Per Invoice'!$O$2:$O$801,0),"")</f>
        <v/>
      </c>
    </row>
    <row r="387">
      <c r="A387">
        <f>IF($N387="","",IF(INDEX('Per Invoice'!$A$2:$A$801,$N387)="","",INDEX('Per Invoice'!$A$2:$A$801,$N387)))</f>
        <v/>
      </c>
      <c r="B387">
        <f>IF($N387="","",IF(INDEX('Per Invoice'!$B$2:$B$801,$N387)="","",INDEX('Per Invoice'!$B$2:$B$801,$N387)))</f>
        <v/>
      </c>
      <c r="C387">
        <f>IF($N387="","",IF(INDEX('Per Invoice'!$C$2:$C$801,$N387)="","",INDEX('Per Invoice'!$C$2:$C$801,$N387)))</f>
        <v/>
      </c>
      <c r="D387">
        <f>IF($N387="","",IF(INDEX('Per Invoice'!$D$2:$D$801,$N387)="","",INDEX('Per Invoice'!$D$2:$D$801,$N387)))</f>
        <v/>
      </c>
      <c r="E387">
        <f>IF($N387="","",IF(INDEX('Per Invoice'!$E$2:$E$801,$N387)="","",INDEX('Per Invoice'!$E$2:$E$801,$N387)))</f>
        <v/>
      </c>
      <c r="F387">
        <f>IF($N387="","",IF(INDEX('Per Invoice'!$F$2:$F$801,$N387)="","",INDEX('Per Invoice'!$F$2:$F$801,$N387)))</f>
        <v/>
      </c>
      <c r="G387">
        <f>IF($N387="","",IF(INDEX('Per Invoice'!$G$2:$G$801,$N387)="","",INDEX('Per Invoice'!$G$2:$G$801,$N387)))</f>
        <v/>
      </c>
      <c r="H387">
        <f>IF($N387="","",IF(INDEX('Per Invoice'!$H$2:$H$801,$N387)="","",INDEX('Per Invoice'!$H$2:$H$801,$N387)))</f>
        <v/>
      </c>
      <c r="I387" s="5">
        <f>IF($N387="","",IF(INDEX('Per Invoice'!$I$2:$I$801,$N387)="","",INDEX('Per Invoice'!$I$2:$I$801,$N387)))</f>
        <v/>
      </c>
      <c r="J387" s="5">
        <f>IF($N387="","",IF(INDEX('Per Invoice'!$J$2:$J$801,$N387)="","",INDEX('Per Invoice'!$J$2:$J$801,$N387)))</f>
        <v/>
      </c>
      <c r="K387" s="5">
        <f>IF($N387="","",IF(INDEX('Per Invoice'!$K$2:$K$801,$N387)="","",INDEX('Per Invoice'!$K$2:$K$801,$N387)))</f>
        <v/>
      </c>
      <c r="L387" s="5">
        <f>IF($N387="","",IF(INDEX('Per Invoice'!$L$2:$L$801,$N387)="","",INDEX('Per Invoice'!$L$2:$L$801,$N387)))</f>
        <v/>
      </c>
      <c r="M387" s="5">
        <f>IF($N387="","",IF(INDEX('Per Invoice'!$M$2:$M$801,$N387)="","",INDEX('Per Invoice'!$M$2:$M$801,$N387)))</f>
        <v/>
      </c>
      <c r="N387">
        <f>IF(ROWS($N$2:$N387)&lt;=COUNT('Per Invoice'!$O$2:$O$801),MATCH(ROWS($N$2:$N387),'Per Invoice'!$O$2:$O$801,0),"")</f>
        <v/>
      </c>
    </row>
    <row r="388">
      <c r="A388">
        <f>IF($N388="","",IF(INDEX('Per Invoice'!$A$2:$A$801,$N388)="","",INDEX('Per Invoice'!$A$2:$A$801,$N388)))</f>
        <v/>
      </c>
      <c r="B388">
        <f>IF($N388="","",IF(INDEX('Per Invoice'!$B$2:$B$801,$N388)="","",INDEX('Per Invoice'!$B$2:$B$801,$N388)))</f>
        <v/>
      </c>
      <c r="C388">
        <f>IF($N388="","",IF(INDEX('Per Invoice'!$C$2:$C$801,$N388)="","",INDEX('Per Invoice'!$C$2:$C$801,$N388)))</f>
        <v/>
      </c>
      <c r="D388">
        <f>IF($N388="","",IF(INDEX('Per Invoice'!$D$2:$D$801,$N388)="","",INDEX('Per Invoice'!$D$2:$D$801,$N388)))</f>
        <v/>
      </c>
      <c r="E388">
        <f>IF($N388="","",IF(INDEX('Per Invoice'!$E$2:$E$801,$N388)="","",INDEX('Per Invoice'!$E$2:$E$801,$N388)))</f>
        <v/>
      </c>
      <c r="F388">
        <f>IF($N388="","",IF(INDEX('Per Invoice'!$F$2:$F$801,$N388)="","",INDEX('Per Invoice'!$F$2:$F$801,$N388)))</f>
        <v/>
      </c>
      <c r="G388">
        <f>IF($N388="","",IF(INDEX('Per Invoice'!$G$2:$G$801,$N388)="","",INDEX('Per Invoice'!$G$2:$G$801,$N388)))</f>
        <v/>
      </c>
      <c r="H388">
        <f>IF($N388="","",IF(INDEX('Per Invoice'!$H$2:$H$801,$N388)="","",INDEX('Per Invoice'!$H$2:$H$801,$N388)))</f>
        <v/>
      </c>
      <c r="I388" s="5">
        <f>IF($N388="","",IF(INDEX('Per Invoice'!$I$2:$I$801,$N388)="","",INDEX('Per Invoice'!$I$2:$I$801,$N388)))</f>
        <v/>
      </c>
      <c r="J388" s="5">
        <f>IF($N388="","",IF(INDEX('Per Invoice'!$J$2:$J$801,$N388)="","",INDEX('Per Invoice'!$J$2:$J$801,$N388)))</f>
        <v/>
      </c>
      <c r="K388" s="5">
        <f>IF($N388="","",IF(INDEX('Per Invoice'!$K$2:$K$801,$N388)="","",INDEX('Per Invoice'!$K$2:$K$801,$N388)))</f>
        <v/>
      </c>
      <c r="L388" s="5">
        <f>IF($N388="","",IF(INDEX('Per Invoice'!$L$2:$L$801,$N388)="","",INDEX('Per Invoice'!$L$2:$L$801,$N388)))</f>
        <v/>
      </c>
      <c r="M388" s="5">
        <f>IF($N388="","",IF(INDEX('Per Invoice'!$M$2:$M$801,$N388)="","",INDEX('Per Invoice'!$M$2:$M$801,$N388)))</f>
        <v/>
      </c>
      <c r="N388">
        <f>IF(ROWS($N$2:$N388)&lt;=COUNT('Per Invoice'!$O$2:$O$801),MATCH(ROWS($N$2:$N388),'Per Invoice'!$O$2:$O$801,0),"")</f>
        <v/>
      </c>
    </row>
    <row r="389">
      <c r="A389">
        <f>IF($N389="","",IF(INDEX('Per Invoice'!$A$2:$A$801,$N389)="","",INDEX('Per Invoice'!$A$2:$A$801,$N389)))</f>
        <v/>
      </c>
      <c r="B389">
        <f>IF($N389="","",IF(INDEX('Per Invoice'!$B$2:$B$801,$N389)="","",INDEX('Per Invoice'!$B$2:$B$801,$N389)))</f>
        <v/>
      </c>
      <c r="C389">
        <f>IF($N389="","",IF(INDEX('Per Invoice'!$C$2:$C$801,$N389)="","",INDEX('Per Invoice'!$C$2:$C$801,$N389)))</f>
        <v/>
      </c>
      <c r="D389">
        <f>IF($N389="","",IF(INDEX('Per Invoice'!$D$2:$D$801,$N389)="","",INDEX('Per Invoice'!$D$2:$D$801,$N389)))</f>
        <v/>
      </c>
      <c r="E389">
        <f>IF($N389="","",IF(INDEX('Per Invoice'!$E$2:$E$801,$N389)="","",INDEX('Per Invoice'!$E$2:$E$801,$N389)))</f>
        <v/>
      </c>
      <c r="F389">
        <f>IF($N389="","",IF(INDEX('Per Invoice'!$F$2:$F$801,$N389)="","",INDEX('Per Invoice'!$F$2:$F$801,$N389)))</f>
        <v/>
      </c>
      <c r="G389">
        <f>IF($N389="","",IF(INDEX('Per Invoice'!$G$2:$G$801,$N389)="","",INDEX('Per Invoice'!$G$2:$G$801,$N389)))</f>
        <v/>
      </c>
      <c r="H389">
        <f>IF($N389="","",IF(INDEX('Per Invoice'!$H$2:$H$801,$N389)="","",INDEX('Per Invoice'!$H$2:$H$801,$N389)))</f>
        <v/>
      </c>
      <c r="I389" s="5">
        <f>IF($N389="","",IF(INDEX('Per Invoice'!$I$2:$I$801,$N389)="","",INDEX('Per Invoice'!$I$2:$I$801,$N389)))</f>
        <v/>
      </c>
      <c r="J389" s="5">
        <f>IF($N389="","",IF(INDEX('Per Invoice'!$J$2:$J$801,$N389)="","",INDEX('Per Invoice'!$J$2:$J$801,$N389)))</f>
        <v/>
      </c>
      <c r="K389" s="5">
        <f>IF($N389="","",IF(INDEX('Per Invoice'!$K$2:$K$801,$N389)="","",INDEX('Per Invoice'!$K$2:$K$801,$N389)))</f>
        <v/>
      </c>
      <c r="L389" s="5">
        <f>IF($N389="","",IF(INDEX('Per Invoice'!$L$2:$L$801,$N389)="","",INDEX('Per Invoice'!$L$2:$L$801,$N389)))</f>
        <v/>
      </c>
      <c r="M389" s="5">
        <f>IF($N389="","",IF(INDEX('Per Invoice'!$M$2:$M$801,$N389)="","",INDEX('Per Invoice'!$M$2:$M$801,$N389)))</f>
        <v/>
      </c>
      <c r="N389">
        <f>IF(ROWS($N$2:$N389)&lt;=COUNT('Per Invoice'!$O$2:$O$801),MATCH(ROWS($N$2:$N389),'Per Invoice'!$O$2:$O$801,0),"")</f>
        <v/>
      </c>
    </row>
    <row r="390">
      <c r="A390">
        <f>IF($N390="","",IF(INDEX('Per Invoice'!$A$2:$A$801,$N390)="","",INDEX('Per Invoice'!$A$2:$A$801,$N390)))</f>
        <v/>
      </c>
      <c r="B390">
        <f>IF($N390="","",IF(INDEX('Per Invoice'!$B$2:$B$801,$N390)="","",INDEX('Per Invoice'!$B$2:$B$801,$N390)))</f>
        <v/>
      </c>
      <c r="C390">
        <f>IF($N390="","",IF(INDEX('Per Invoice'!$C$2:$C$801,$N390)="","",INDEX('Per Invoice'!$C$2:$C$801,$N390)))</f>
        <v/>
      </c>
      <c r="D390">
        <f>IF($N390="","",IF(INDEX('Per Invoice'!$D$2:$D$801,$N390)="","",INDEX('Per Invoice'!$D$2:$D$801,$N390)))</f>
        <v/>
      </c>
      <c r="E390">
        <f>IF($N390="","",IF(INDEX('Per Invoice'!$E$2:$E$801,$N390)="","",INDEX('Per Invoice'!$E$2:$E$801,$N390)))</f>
        <v/>
      </c>
      <c r="F390">
        <f>IF($N390="","",IF(INDEX('Per Invoice'!$F$2:$F$801,$N390)="","",INDEX('Per Invoice'!$F$2:$F$801,$N390)))</f>
        <v/>
      </c>
      <c r="G390">
        <f>IF($N390="","",IF(INDEX('Per Invoice'!$G$2:$G$801,$N390)="","",INDEX('Per Invoice'!$G$2:$G$801,$N390)))</f>
        <v/>
      </c>
      <c r="H390">
        <f>IF($N390="","",IF(INDEX('Per Invoice'!$H$2:$H$801,$N390)="","",INDEX('Per Invoice'!$H$2:$H$801,$N390)))</f>
        <v/>
      </c>
      <c r="I390" s="5">
        <f>IF($N390="","",IF(INDEX('Per Invoice'!$I$2:$I$801,$N390)="","",INDEX('Per Invoice'!$I$2:$I$801,$N390)))</f>
        <v/>
      </c>
      <c r="J390" s="5">
        <f>IF($N390="","",IF(INDEX('Per Invoice'!$J$2:$J$801,$N390)="","",INDEX('Per Invoice'!$J$2:$J$801,$N390)))</f>
        <v/>
      </c>
      <c r="K390" s="5">
        <f>IF($N390="","",IF(INDEX('Per Invoice'!$K$2:$K$801,$N390)="","",INDEX('Per Invoice'!$K$2:$K$801,$N390)))</f>
        <v/>
      </c>
      <c r="L390" s="5">
        <f>IF($N390="","",IF(INDEX('Per Invoice'!$L$2:$L$801,$N390)="","",INDEX('Per Invoice'!$L$2:$L$801,$N390)))</f>
        <v/>
      </c>
      <c r="M390" s="5">
        <f>IF($N390="","",IF(INDEX('Per Invoice'!$M$2:$M$801,$N390)="","",INDEX('Per Invoice'!$M$2:$M$801,$N390)))</f>
        <v/>
      </c>
      <c r="N390">
        <f>IF(ROWS($N$2:$N390)&lt;=COUNT('Per Invoice'!$O$2:$O$801),MATCH(ROWS($N$2:$N390),'Per Invoice'!$O$2:$O$801,0),"")</f>
        <v/>
      </c>
    </row>
    <row r="391">
      <c r="A391">
        <f>IF($N391="","",IF(INDEX('Per Invoice'!$A$2:$A$801,$N391)="","",INDEX('Per Invoice'!$A$2:$A$801,$N391)))</f>
        <v/>
      </c>
      <c r="B391">
        <f>IF($N391="","",IF(INDEX('Per Invoice'!$B$2:$B$801,$N391)="","",INDEX('Per Invoice'!$B$2:$B$801,$N391)))</f>
        <v/>
      </c>
      <c r="C391">
        <f>IF($N391="","",IF(INDEX('Per Invoice'!$C$2:$C$801,$N391)="","",INDEX('Per Invoice'!$C$2:$C$801,$N391)))</f>
        <v/>
      </c>
      <c r="D391">
        <f>IF($N391="","",IF(INDEX('Per Invoice'!$D$2:$D$801,$N391)="","",INDEX('Per Invoice'!$D$2:$D$801,$N391)))</f>
        <v/>
      </c>
      <c r="E391">
        <f>IF($N391="","",IF(INDEX('Per Invoice'!$E$2:$E$801,$N391)="","",INDEX('Per Invoice'!$E$2:$E$801,$N391)))</f>
        <v/>
      </c>
      <c r="F391">
        <f>IF($N391="","",IF(INDEX('Per Invoice'!$F$2:$F$801,$N391)="","",INDEX('Per Invoice'!$F$2:$F$801,$N391)))</f>
        <v/>
      </c>
      <c r="G391">
        <f>IF($N391="","",IF(INDEX('Per Invoice'!$G$2:$G$801,$N391)="","",INDEX('Per Invoice'!$G$2:$G$801,$N391)))</f>
        <v/>
      </c>
      <c r="H391">
        <f>IF($N391="","",IF(INDEX('Per Invoice'!$H$2:$H$801,$N391)="","",INDEX('Per Invoice'!$H$2:$H$801,$N391)))</f>
        <v/>
      </c>
      <c r="I391" s="5">
        <f>IF($N391="","",IF(INDEX('Per Invoice'!$I$2:$I$801,$N391)="","",INDEX('Per Invoice'!$I$2:$I$801,$N391)))</f>
        <v/>
      </c>
      <c r="J391" s="5">
        <f>IF($N391="","",IF(INDEX('Per Invoice'!$J$2:$J$801,$N391)="","",INDEX('Per Invoice'!$J$2:$J$801,$N391)))</f>
        <v/>
      </c>
      <c r="K391" s="5">
        <f>IF($N391="","",IF(INDEX('Per Invoice'!$K$2:$K$801,$N391)="","",INDEX('Per Invoice'!$K$2:$K$801,$N391)))</f>
        <v/>
      </c>
      <c r="L391" s="5">
        <f>IF($N391="","",IF(INDEX('Per Invoice'!$L$2:$L$801,$N391)="","",INDEX('Per Invoice'!$L$2:$L$801,$N391)))</f>
        <v/>
      </c>
      <c r="M391" s="5">
        <f>IF($N391="","",IF(INDEX('Per Invoice'!$M$2:$M$801,$N391)="","",INDEX('Per Invoice'!$M$2:$M$801,$N391)))</f>
        <v/>
      </c>
      <c r="N391">
        <f>IF(ROWS($N$2:$N391)&lt;=COUNT('Per Invoice'!$O$2:$O$801),MATCH(ROWS($N$2:$N391),'Per Invoice'!$O$2:$O$801,0),"")</f>
        <v/>
      </c>
    </row>
    <row r="392">
      <c r="A392">
        <f>IF($N392="","",IF(INDEX('Per Invoice'!$A$2:$A$801,$N392)="","",INDEX('Per Invoice'!$A$2:$A$801,$N392)))</f>
        <v/>
      </c>
      <c r="B392">
        <f>IF($N392="","",IF(INDEX('Per Invoice'!$B$2:$B$801,$N392)="","",INDEX('Per Invoice'!$B$2:$B$801,$N392)))</f>
        <v/>
      </c>
      <c r="C392">
        <f>IF($N392="","",IF(INDEX('Per Invoice'!$C$2:$C$801,$N392)="","",INDEX('Per Invoice'!$C$2:$C$801,$N392)))</f>
        <v/>
      </c>
      <c r="D392">
        <f>IF($N392="","",IF(INDEX('Per Invoice'!$D$2:$D$801,$N392)="","",INDEX('Per Invoice'!$D$2:$D$801,$N392)))</f>
        <v/>
      </c>
      <c r="E392">
        <f>IF($N392="","",IF(INDEX('Per Invoice'!$E$2:$E$801,$N392)="","",INDEX('Per Invoice'!$E$2:$E$801,$N392)))</f>
        <v/>
      </c>
      <c r="F392">
        <f>IF($N392="","",IF(INDEX('Per Invoice'!$F$2:$F$801,$N392)="","",INDEX('Per Invoice'!$F$2:$F$801,$N392)))</f>
        <v/>
      </c>
      <c r="G392">
        <f>IF($N392="","",IF(INDEX('Per Invoice'!$G$2:$G$801,$N392)="","",INDEX('Per Invoice'!$G$2:$G$801,$N392)))</f>
        <v/>
      </c>
      <c r="H392">
        <f>IF($N392="","",IF(INDEX('Per Invoice'!$H$2:$H$801,$N392)="","",INDEX('Per Invoice'!$H$2:$H$801,$N392)))</f>
        <v/>
      </c>
      <c r="I392" s="5">
        <f>IF($N392="","",IF(INDEX('Per Invoice'!$I$2:$I$801,$N392)="","",INDEX('Per Invoice'!$I$2:$I$801,$N392)))</f>
        <v/>
      </c>
      <c r="J392" s="5">
        <f>IF($N392="","",IF(INDEX('Per Invoice'!$J$2:$J$801,$N392)="","",INDEX('Per Invoice'!$J$2:$J$801,$N392)))</f>
        <v/>
      </c>
      <c r="K392" s="5">
        <f>IF($N392="","",IF(INDEX('Per Invoice'!$K$2:$K$801,$N392)="","",INDEX('Per Invoice'!$K$2:$K$801,$N392)))</f>
        <v/>
      </c>
      <c r="L392" s="5">
        <f>IF($N392="","",IF(INDEX('Per Invoice'!$L$2:$L$801,$N392)="","",INDEX('Per Invoice'!$L$2:$L$801,$N392)))</f>
        <v/>
      </c>
      <c r="M392" s="5">
        <f>IF($N392="","",IF(INDEX('Per Invoice'!$M$2:$M$801,$N392)="","",INDEX('Per Invoice'!$M$2:$M$801,$N392)))</f>
        <v/>
      </c>
      <c r="N392">
        <f>IF(ROWS($N$2:$N392)&lt;=COUNT('Per Invoice'!$O$2:$O$801),MATCH(ROWS($N$2:$N392),'Per Invoice'!$O$2:$O$801,0),"")</f>
        <v/>
      </c>
    </row>
    <row r="393">
      <c r="A393">
        <f>IF($N393="","",IF(INDEX('Per Invoice'!$A$2:$A$801,$N393)="","",INDEX('Per Invoice'!$A$2:$A$801,$N393)))</f>
        <v/>
      </c>
      <c r="B393">
        <f>IF($N393="","",IF(INDEX('Per Invoice'!$B$2:$B$801,$N393)="","",INDEX('Per Invoice'!$B$2:$B$801,$N393)))</f>
        <v/>
      </c>
      <c r="C393">
        <f>IF($N393="","",IF(INDEX('Per Invoice'!$C$2:$C$801,$N393)="","",INDEX('Per Invoice'!$C$2:$C$801,$N393)))</f>
        <v/>
      </c>
      <c r="D393">
        <f>IF($N393="","",IF(INDEX('Per Invoice'!$D$2:$D$801,$N393)="","",INDEX('Per Invoice'!$D$2:$D$801,$N393)))</f>
        <v/>
      </c>
      <c r="E393">
        <f>IF($N393="","",IF(INDEX('Per Invoice'!$E$2:$E$801,$N393)="","",INDEX('Per Invoice'!$E$2:$E$801,$N393)))</f>
        <v/>
      </c>
      <c r="F393">
        <f>IF($N393="","",IF(INDEX('Per Invoice'!$F$2:$F$801,$N393)="","",INDEX('Per Invoice'!$F$2:$F$801,$N393)))</f>
        <v/>
      </c>
      <c r="G393">
        <f>IF($N393="","",IF(INDEX('Per Invoice'!$G$2:$G$801,$N393)="","",INDEX('Per Invoice'!$G$2:$G$801,$N393)))</f>
        <v/>
      </c>
      <c r="H393">
        <f>IF($N393="","",IF(INDEX('Per Invoice'!$H$2:$H$801,$N393)="","",INDEX('Per Invoice'!$H$2:$H$801,$N393)))</f>
        <v/>
      </c>
      <c r="I393" s="5">
        <f>IF($N393="","",IF(INDEX('Per Invoice'!$I$2:$I$801,$N393)="","",INDEX('Per Invoice'!$I$2:$I$801,$N393)))</f>
        <v/>
      </c>
      <c r="J393" s="5">
        <f>IF($N393="","",IF(INDEX('Per Invoice'!$J$2:$J$801,$N393)="","",INDEX('Per Invoice'!$J$2:$J$801,$N393)))</f>
        <v/>
      </c>
      <c r="K393" s="5">
        <f>IF($N393="","",IF(INDEX('Per Invoice'!$K$2:$K$801,$N393)="","",INDEX('Per Invoice'!$K$2:$K$801,$N393)))</f>
        <v/>
      </c>
      <c r="L393" s="5">
        <f>IF($N393="","",IF(INDEX('Per Invoice'!$L$2:$L$801,$N393)="","",INDEX('Per Invoice'!$L$2:$L$801,$N393)))</f>
        <v/>
      </c>
      <c r="M393" s="5">
        <f>IF($N393="","",IF(INDEX('Per Invoice'!$M$2:$M$801,$N393)="","",INDEX('Per Invoice'!$M$2:$M$801,$N393)))</f>
        <v/>
      </c>
      <c r="N393">
        <f>IF(ROWS($N$2:$N393)&lt;=COUNT('Per Invoice'!$O$2:$O$801),MATCH(ROWS($N$2:$N393),'Per Invoice'!$O$2:$O$801,0),"")</f>
        <v/>
      </c>
    </row>
    <row r="394">
      <c r="A394">
        <f>IF($N394="","",IF(INDEX('Per Invoice'!$A$2:$A$801,$N394)="","",INDEX('Per Invoice'!$A$2:$A$801,$N394)))</f>
        <v/>
      </c>
      <c r="B394">
        <f>IF($N394="","",IF(INDEX('Per Invoice'!$B$2:$B$801,$N394)="","",INDEX('Per Invoice'!$B$2:$B$801,$N394)))</f>
        <v/>
      </c>
      <c r="C394">
        <f>IF($N394="","",IF(INDEX('Per Invoice'!$C$2:$C$801,$N394)="","",INDEX('Per Invoice'!$C$2:$C$801,$N394)))</f>
        <v/>
      </c>
      <c r="D394">
        <f>IF($N394="","",IF(INDEX('Per Invoice'!$D$2:$D$801,$N394)="","",INDEX('Per Invoice'!$D$2:$D$801,$N394)))</f>
        <v/>
      </c>
      <c r="E394">
        <f>IF($N394="","",IF(INDEX('Per Invoice'!$E$2:$E$801,$N394)="","",INDEX('Per Invoice'!$E$2:$E$801,$N394)))</f>
        <v/>
      </c>
      <c r="F394">
        <f>IF($N394="","",IF(INDEX('Per Invoice'!$F$2:$F$801,$N394)="","",INDEX('Per Invoice'!$F$2:$F$801,$N394)))</f>
        <v/>
      </c>
      <c r="G394">
        <f>IF($N394="","",IF(INDEX('Per Invoice'!$G$2:$G$801,$N394)="","",INDEX('Per Invoice'!$G$2:$G$801,$N394)))</f>
        <v/>
      </c>
      <c r="H394">
        <f>IF($N394="","",IF(INDEX('Per Invoice'!$H$2:$H$801,$N394)="","",INDEX('Per Invoice'!$H$2:$H$801,$N394)))</f>
        <v/>
      </c>
      <c r="I394" s="5">
        <f>IF($N394="","",IF(INDEX('Per Invoice'!$I$2:$I$801,$N394)="","",INDEX('Per Invoice'!$I$2:$I$801,$N394)))</f>
        <v/>
      </c>
      <c r="J394" s="5">
        <f>IF($N394="","",IF(INDEX('Per Invoice'!$J$2:$J$801,$N394)="","",INDEX('Per Invoice'!$J$2:$J$801,$N394)))</f>
        <v/>
      </c>
      <c r="K394" s="5">
        <f>IF($N394="","",IF(INDEX('Per Invoice'!$K$2:$K$801,$N394)="","",INDEX('Per Invoice'!$K$2:$K$801,$N394)))</f>
        <v/>
      </c>
      <c r="L394" s="5">
        <f>IF($N394="","",IF(INDEX('Per Invoice'!$L$2:$L$801,$N394)="","",INDEX('Per Invoice'!$L$2:$L$801,$N394)))</f>
        <v/>
      </c>
      <c r="M394" s="5">
        <f>IF($N394="","",IF(INDEX('Per Invoice'!$M$2:$M$801,$N394)="","",INDEX('Per Invoice'!$M$2:$M$801,$N394)))</f>
        <v/>
      </c>
      <c r="N394">
        <f>IF(ROWS($N$2:$N394)&lt;=COUNT('Per Invoice'!$O$2:$O$801),MATCH(ROWS($N$2:$N394),'Per Invoice'!$O$2:$O$801,0),"")</f>
        <v/>
      </c>
    </row>
    <row r="395">
      <c r="A395">
        <f>IF($N395="","",IF(INDEX('Per Invoice'!$A$2:$A$801,$N395)="","",INDEX('Per Invoice'!$A$2:$A$801,$N395)))</f>
        <v/>
      </c>
      <c r="B395">
        <f>IF($N395="","",IF(INDEX('Per Invoice'!$B$2:$B$801,$N395)="","",INDEX('Per Invoice'!$B$2:$B$801,$N395)))</f>
        <v/>
      </c>
      <c r="C395">
        <f>IF($N395="","",IF(INDEX('Per Invoice'!$C$2:$C$801,$N395)="","",INDEX('Per Invoice'!$C$2:$C$801,$N395)))</f>
        <v/>
      </c>
      <c r="D395">
        <f>IF($N395="","",IF(INDEX('Per Invoice'!$D$2:$D$801,$N395)="","",INDEX('Per Invoice'!$D$2:$D$801,$N395)))</f>
        <v/>
      </c>
      <c r="E395">
        <f>IF($N395="","",IF(INDEX('Per Invoice'!$E$2:$E$801,$N395)="","",INDEX('Per Invoice'!$E$2:$E$801,$N395)))</f>
        <v/>
      </c>
      <c r="F395">
        <f>IF($N395="","",IF(INDEX('Per Invoice'!$F$2:$F$801,$N395)="","",INDEX('Per Invoice'!$F$2:$F$801,$N395)))</f>
        <v/>
      </c>
      <c r="G395">
        <f>IF($N395="","",IF(INDEX('Per Invoice'!$G$2:$G$801,$N395)="","",INDEX('Per Invoice'!$G$2:$G$801,$N395)))</f>
        <v/>
      </c>
      <c r="H395">
        <f>IF($N395="","",IF(INDEX('Per Invoice'!$H$2:$H$801,$N395)="","",INDEX('Per Invoice'!$H$2:$H$801,$N395)))</f>
        <v/>
      </c>
      <c r="I395" s="5">
        <f>IF($N395="","",IF(INDEX('Per Invoice'!$I$2:$I$801,$N395)="","",INDEX('Per Invoice'!$I$2:$I$801,$N395)))</f>
        <v/>
      </c>
      <c r="J395" s="5">
        <f>IF($N395="","",IF(INDEX('Per Invoice'!$J$2:$J$801,$N395)="","",INDEX('Per Invoice'!$J$2:$J$801,$N395)))</f>
        <v/>
      </c>
      <c r="K395" s="5">
        <f>IF($N395="","",IF(INDEX('Per Invoice'!$K$2:$K$801,$N395)="","",INDEX('Per Invoice'!$K$2:$K$801,$N395)))</f>
        <v/>
      </c>
      <c r="L395" s="5">
        <f>IF($N395="","",IF(INDEX('Per Invoice'!$L$2:$L$801,$N395)="","",INDEX('Per Invoice'!$L$2:$L$801,$N395)))</f>
        <v/>
      </c>
      <c r="M395" s="5">
        <f>IF($N395="","",IF(INDEX('Per Invoice'!$M$2:$M$801,$N395)="","",INDEX('Per Invoice'!$M$2:$M$801,$N395)))</f>
        <v/>
      </c>
      <c r="N395">
        <f>IF(ROWS($N$2:$N395)&lt;=COUNT('Per Invoice'!$O$2:$O$801),MATCH(ROWS($N$2:$N395),'Per Invoice'!$O$2:$O$801,0),"")</f>
        <v/>
      </c>
    </row>
    <row r="396">
      <c r="A396">
        <f>IF($N396="","",IF(INDEX('Per Invoice'!$A$2:$A$801,$N396)="","",INDEX('Per Invoice'!$A$2:$A$801,$N396)))</f>
        <v/>
      </c>
      <c r="B396">
        <f>IF($N396="","",IF(INDEX('Per Invoice'!$B$2:$B$801,$N396)="","",INDEX('Per Invoice'!$B$2:$B$801,$N396)))</f>
        <v/>
      </c>
      <c r="C396">
        <f>IF($N396="","",IF(INDEX('Per Invoice'!$C$2:$C$801,$N396)="","",INDEX('Per Invoice'!$C$2:$C$801,$N396)))</f>
        <v/>
      </c>
      <c r="D396">
        <f>IF($N396="","",IF(INDEX('Per Invoice'!$D$2:$D$801,$N396)="","",INDEX('Per Invoice'!$D$2:$D$801,$N396)))</f>
        <v/>
      </c>
      <c r="E396">
        <f>IF($N396="","",IF(INDEX('Per Invoice'!$E$2:$E$801,$N396)="","",INDEX('Per Invoice'!$E$2:$E$801,$N396)))</f>
        <v/>
      </c>
      <c r="F396">
        <f>IF($N396="","",IF(INDEX('Per Invoice'!$F$2:$F$801,$N396)="","",INDEX('Per Invoice'!$F$2:$F$801,$N396)))</f>
        <v/>
      </c>
      <c r="G396">
        <f>IF($N396="","",IF(INDEX('Per Invoice'!$G$2:$G$801,$N396)="","",INDEX('Per Invoice'!$G$2:$G$801,$N396)))</f>
        <v/>
      </c>
      <c r="H396">
        <f>IF($N396="","",IF(INDEX('Per Invoice'!$H$2:$H$801,$N396)="","",INDEX('Per Invoice'!$H$2:$H$801,$N396)))</f>
        <v/>
      </c>
      <c r="I396" s="5">
        <f>IF($N396="","",IF(INDEX('Per Invoice'!$I$2:$I$801,$N396)="","",INDEX('Per Invoice'!$I$2:$I$801,$N396)))</f>
        <v/>
      </c>
      <c r="J396" s="5">
        <f>IF($N396="","",IF(INDEX('Per Invoice'!$J$2:$J$801,$N396)="","",INDEX('Per Invoice'!$J$2:$J$801,$N396)))</f>
        <v/>
      </c>
      <c r="K396" s="5">
        <f>IF($N396="","",IF(INDEX('Per Invoice'!$K$2:$K$801,$N396)="","",INDEX('Per Invoice'!$K$2:$K$801,$N396)))</f>
        <v/>
      </c>
      <c r="L396" s="5">
        <f>IF($N396="","",IF(INDEX('Per Invoice'!$L$2:$L$801,$N396)="","",INDEX('Per Invoice'!$L$2:$L$801,$N396)))</f>
        <v/>
      </c>
      <c r="M396" s="5">
        <f>IF($N396="","",IF(INDEX('Per Invoice'!$M$2:$M$801,$N396)="","",INDEX('Per Invoice'!$M$2:$M$801,$N396)))</f>
        <v/>
      </c>
      <c r="N396">
        <f>IF(ROWS($N$2:$N396)&lt;=COUNT('Per Invoice'!$O$2:$O$801),MATCH(ROWS($N$2:$N396),'Per Invoice'!$O$2:$O$801,0),"")</f>
        <v/>
      </c>
    </row>
    <row r="397">
      <c r="A397">
        <f>IF($N397="","",IF(INDEX('Per Invoice'!$A$2:$A$801,$N397)="","",INDEX('Per Invoice'!$A$2:$A$801,$N397)))</f>
        <v/>
      </c>
      <c r="B397">
        <f>IF($N397="","",IF(INDEX('Per Invoice'!$B$2:$B$801,$N397)="","",INDEX('Per Invoice'!$B$2:$B$801,$N397)))</f>
        <v/>
      </c>
      <c r="C397">
        <f>IF($N397="","",IF(INDEX('Per Invoice'!$C$2:$C$801,$N397)="","",INDEX('Per Invoice'!$C$2:$C$801,$N397)))</f>
        <v/>
      </c>
      <c r="D397">
        <f>IF($N397="","",IF(INDEX('Per Invoice'!$D$2:$D$801,$N397)="","",INDEX('Per Invoice'!$D$2:$D$801,$N397)))</f>
        <v/>
      </c>
      <c r="E397">
        <f>IF($N397="","",IF(INDEX('Per Invoice'!$E$2:$E$801,$N397)="","",INDEX('Per Invoice'!$E$2:$E$801,$N397)))</f>
        <v/>
      </c>
      <c r="F397">
        <f>IF($N397="","",IF(INDEX('Per Invoice'!$F$2:$F$801,$N397)="","",INDEX('Per Invoice'!$F$2:$F$801,$N397)))</f>
        <v/>
      </c>
      <c r="G397">
        <f>IF($N397="","",IF(INDEX('Per Invoice'!$G$2:$G$801,$N397)="","",INDEX('Per Invoice'!$G$2:$G$801,$N397)))</f>
        <v/>
      </c>
      <c r="H397">
        <f>IF($N397="","",IF(INDEX('Per Invoice'!$H$2:$H$801,$N397)="","",INDEX('Per Invoice'!$H$2:$H$801,$N397)))</f>
        <v/>
      </c>
      <c r="I397" s="5">
        <f>IF($N397="","",IF(INDEX('Per Invoice'!$I$2:$I$801,$N397)="","",INDEX('Per Invoice'!$I$2:$I$801,$N397)))</f>
        <v/>
      </c>
      <c r="J397" s="5">
        <f>IF($N397="","",IF(INDEX('Per Invoice'!$J$2:$J$801,$N397)="","",INDEX('Per Invoice'!$J$2:$J$801,$N397)))</f>
        <v/>
      </c>
      <c r="K397" s="5">
        <f>IF($N397="","",IF(INDEX('Per Invoice'!$K$2:$K$801,$N397)="","",INDEX('Per Invoice'!$K$2:$K$801,$N397)))</f>
        <v/>
      </c>
      <c r="L397" s="5">
        <f>IF($N397="","",IF(INDEX('Per Invoice'!$L$2:$L$801,$N397)="","",INDEX('Per Invoice'!$L$2:$L$801,$N397)))</f>
        <v/>
      </c>
      <c r="M397" s="5">
        <f>IF($N397="","",IF(INDEX('Per Invoice'!$M$2:$M$801,$N397)="","",INDEX('Per Invoice'!$M$2:$M$801,$N397)))</f>
        <v/>
      </c>
      <c r="N397">
        <f>IF(ROWS($N$2:$N397)&lt;=COUNT('Per Invoice'!$O$2:$O$801),MATCH(ROWS($N$2:$N397),'Per Invoice'!$O$2:$O$801,0),"")</f>
        <v/>
      </c>
    </row>
    <row r="398">
      <c r="A398">
        <f>IF($N398="","",IF(INDEX('Per Invoice'!$A$2:$A$801,$N398)="","",INDEX('Per Invoice'!$A$2:$A$801,$N398)))</f>
        <v/>
      </c>
      <c r="B398">
        <f>IF($N398="","",IF(INDEX('Per Invoice'!$B$2:$B$801,$N398)="","",INDEX('Per Invoice'!$B$2:$B$801,$N398)))</f>
        <v/>
      </c>
      <c r="C398">
        <f>IF($N398="","",IF(INDEX('Per Invoice'!$C$2:$C$801,$N398)="","",INDEX('Per Invoice'!$C$2:$C$801,$N398)))</f>
        <v/>
      </c>
      <c r="D398">
        <f>IF($N398="","",IF(INDEX('Per Invoice'!$D$2:$D$801,$N398)="","",INDEX('Per Invoice'!$D$2:$D$801,$N398)))</f>
        <v/>
      </c>
      <c r="E398">
        <f>IF($N398="","",IF(INDEX('Per Invoice'!$E$2:$E$801,$N398)="","",INDEX('Per Invoice'!$E$2:$E$801,$N398)))</f>
        <v/>
      </c>
      <c r="F398">
        <f>IF($N398="","",IF(INDEX('Per Invoice'!$F$2:$F$801,$N398)="","",INDEX('Per Invoice'!$F$2:$F$801,$N398)))</f>
        <v/>
      </c>
      <c r="G398">
        <f>IF($N398="","",IF(INDEX('Per Invoice'!$G$2:$G$801,$N398)="","",INDEX('Per Invoice'!$G$2:$G$801,$N398)))</f>
        <v/>
      </c>
      <c r="H398">
        <f>IF($N398="","",IF(INDEX('Per Invoice'!$H$2:$H$801,$N398)="","",INDEX('Per Invoice'!$H$2:$H$801,$N398)))</f>
        <v/>
      </c>
      <c r="I398" s="5">
        <f>IF($N398="","",IF(INDEX('Per Invoice'!$I$2:$I$801,$N398)="","",INDEX('Per Invoice'!$I$2:$I$801,$N398)))</f>
        <v/>
      </c>
      <c r="J398" s="5">
        <f>IF($N398="","",IF(INDEX('Per Invoice'!$J$2:$J$801,$N398)="","",INDEX('Per Invoice'!$J$2:$J$801,$N398)))</f>
        <v/>
      </c>
      <c r="K398" s="5">
        <f>IF($N398="","",IF(INDEX('Per Invoice'!$K$2:$K$801,$N398)="","",INDEX('Per Invoice'!$K$2:$K$801,$N398)))</f>
        <v/>
      </c>
      <c r="L398" s="5">
        <f>IF($N398="","",IF(INDEX('Per Invoice'!$L$2:$L$801,$N398)="","",INDEX('Per Invoice'!$L$2:$L$801,$N398)))</f>
        <v/>
      </c>
      <c r="M398" s="5">
        <f>IF($N398="","",IF(INDEX('Per Invoice'!$M$2:$M$801,$N398)="","",INDEX('Per Invoice'!$M$2:$M$801,$N398)))</f>
        <v/>
      </c>
      <c r="N398">
        <f>IF(ROWS($N$2:$N398)&lt;=COUNT('Per Invoice'!$O$2:$O$801),MATCH(ROWS($N$2:$N398),'Per Invoice'!$O$2:$O$801,0),"")</f>
        <v/>
      </c>
    </row>
    <row r="399">
      <c r="A399">
        <f>IF($N399="","",IF(INDEX('Per Invoice'!$A$2:$A$801,$N399)="","",INDEX('Per Invoice'!$A$2:$A$801,$N399)))</f>
        <v/>
      </c>
      <c r="B399">
        <f>IF($N399="","",IF(INDEX('Per Invoice'!$B$2:$B$801,$N399)="","",INDEX('Per Invoice'!$B$2:$B$801,$N399)))</f>
        <v/>
      </c>
      <c r="C399">
        <f>IF($N399="","",IF(INDEX('Per Invoice'!$C$2:$C$801,$N399)="","",INDEX('Per Invoice'!$C$2:$C$801,$N399)))</f>
        <v/>
      </c>
      <c r="D399">
        <f>IF($N399="","",IF(INDEX('Per Invoice'!$D$2:$D$801,$N399)="","",INDEX('Per Invoice'!$D$2:$D$801,$N399)))</f>
        <v/>
      </c>
      <c r="E399">
        <f>IF($N399="","",IF(INDEX('Per Invoice'!$E$2:$E$801,$N399)="","",INDEX('Per Invoice'!$E$2:$E$801,$N399)))</f>
        <v/>
      </c>
      <c r="F399">
        <f>IF($N399="","",IF(INDEX('Per Invoice'!$F$2:$F$801,$N399)="","",INDEX('Per Invoice'!$F$2:$F$801,$N399)))</f>
        <v/>
      </c>
      <c r="G399">
        <f>IF($N399="","",IF(INDEX('Per Invoice'!$G$2:$G$801,$N399)="","",INDEX('Per Invoice'!$G$2:$G$801,$N399)))</f>
        <v/>
      </c>
      <c r="H399">
        <f>IF($N399="","",IF(INDEX('Per Invoice'!$H$2:$H$801,$N399)="","",INDEX('Per Invoice'!$H$2:$H$801,$N399)))</f>
        <v/>
      </c>
      <c r="I399" s="5">
        <f>IF($N399="","",IF(INDEX('Per Invoice'!$I$2:$I$801,$N399)="","",INDEX('Per Invoice'!$I$2:$I$801,$N399)))</f>
        <v/>
      </c>
      <c r="J399" s="5">
        <f>IF($N399="","",IF(INDEX('Per Invoice'!$J$2:$J$801,$N399)="","",INDEX('Per Invoice'!$J$2:$J$801,$N399)))</f>
        <v/>
      </c>
      <c r="K399" s="5">
        <f>IF($N399="","",IF(INDEX('Per Invoice'!$K$2:$K$801,$N399)="","",INDEX('Per Invoice'!$K$2:$K$801,$N399)))</f>
        <v/>
      </c>
      <c r="L399" s="5">
        <f>IF($N399="","",IF(INDEX('Per Invoice'!$L$2:$L$801,$N399)="","",INDEX('Per Invoice'!$L$2:$L$801,$N399)))</f>
        <v/>
      </c>
      <c r="M399" s="5">
        <f>IF($N399="","",IF(INDEX('Per Invoice'!$M$2:$M$801,$N399)="","",INDEX('Per Invoice'!$M$2:$M$801,$N399)))</f>
        <v/>
      </c>
      <c r="N399">
        <f>IF(ROWS($N$2:$N399)&lt;=COUNT('Per Invoice'!$O$2:$O$801),MATCH(ROWS($N$2:$N399),'Per Invoice'!$O$2:$O$801,0),"")</f>
        <v/>
      </c>
    </row>
    <row r="400">
      <c r="A400">
        <f>IF($N400="","",IF(INDEX('Per Invoice'!$A$2:$A$801,$N400)="","",INDEX('Per Invoice'!$A$2:$A$801,$N400)))</f>
        <v/>
      </c>
      <c r="B400">
        <f>IF($N400="","",IF(INDEX('Per Invoice'!$B$2:$B$801,$N400)="","",INDEX('Per Invoice'!$B$2:$B$801,$N400)))</f>
        <v/>
      </c>
      <c r="C400">
        <f>IF($N400="","",IF(INDEX('Per Invoice'!$C$2:$C$801,$N400)="","",INDEX('Per Invoice'!$C$2:$C$801,$N400)))</f>
        <v/>
      </c>
      <c r="D400">
        <f>IF($N400="","",IF(INDEX('Per Invoice'!$D$2:$D$801,$N400)="","",INDEX('Per Invoice'!$D$2:$D$801,$N400)))</f>
        <v/>
      </c>
      <c r="E400">
        <f>IF($N400="","",IF(INDEX('Per Invoice'!$E$2:$E$801,$N400)="","",INDEX('Per Invoice'!$E$2:$E$801,$N400)))</f>
        <v/>
      </c>
      <c r="F400">
        <f>IF($N400="","",IF(INDEX('Per Invoice'!$F$2:$F$801,$N400)="","",INDEX('Per Invoice'!$F$2:$F$801,$N400)))</f>
        <v/>
      </c>
      <c r="G400">
        <f>IF($N400="","",IF(INDEX('Per Invoice'!$G$2:$G$801,$N400)="","",INDEX('Per Invoice'!$G$2:$G$801,$N400)))</f>
        <v/>
      </c>
      <c r="H400">
        <f>IF($N400="","",IF(INDEX('Per Invoice'!$H$2:$H$801,$N400)="","",INDEX('Per Invoice'!$H$2:$H$801,$N400)))</f>
        <v/>
      </c>
      <c r="I400" s="5">
        <f>IF($N400="","",IF(INDEX('Per Invoice'!$I$2:$I$801,$N400)="","",INDEX('Per Invoice'!$I$2:$I$801,$N400)))</f>
        <v/>
      </c>
      <c r="J400" s="5">
        <f>IF($N400="","",IF(INDEX('Per Invoice'!$J$2:$J$801,$N400)="","",INDEX('Per Invoice'!$J$2:$J$801,$N400)))</f>
        <v/>
      </c>
      <c r="K400" s="5">
        <f>IF($N400="","",IF(INDEX('Per Invoice'!$K$2:$K$801,$N400)="","",INDEX('Per Invoice'!$K$2:$K$801,$N400)))</f>
        <v/>
      </c>
      <c r="L400" s="5">
        <f>IF($N400="","",IF(INDEX('Per Invoice'!$L$2:$L$801,$N400)="","",INDEX('Per Invoice'!$L$2:$L$801,$N400)))</f>
        <v/>
      </c>
      <c r="M400" s="5">
        <f>IF($N400="","",IF(INDEX('Per Invoice'!$M$2:$M$801,$N400)="","",INDEX('Per Invoice'!$M$2:$M$801,$N400)))</f>
        <v/>
      </c>
      <c r="N400">
        <f>IF(ROWS($N$2:$N400)&lt;=COUNT('Per Invoice'!$O$2:$O$801),MATCH(ROWS($N$2:$N400),'Per Invoice'!$O$2:$O$801,0),"")</f>
        <v/>
      </c>
    </row>
    <row r="401">
      <c r="A401">
        <f>IF($N401="","",IF(INDEX('Per Invoice'!$A$2:$A$801,$N401)="","",INDEX('Per Invoice'!$A$2:$A$801,$N401)))</f>
        <v/>
      </c>
      <c r="B401">
        <f>IF($N401="","",IF(INDEX('Per Invoice'!$B$2:$B$801,$N401)="","",INDEX('Per Invoice'!$B$2:$B$801,$N401)))</f>
        <v/>
      </c>
      <c r="C401">
        <f>IF($N401="","",IF(INDEX('Per Invoice'!$C$2:$C$801,$N401)="","",INDEX('Per Invoice'!$C$2:$C$801,$N401)))</f>
        <v/>
      </c>
      <c r="D401">
        <f>IF($N401="","",IF(INDEX('Per Invoice'!$D$2:$D$801,$N401)="","",INDEX('Per Invoice'!$D$2:$D$801,$N401)))</f>
        <v/>
      </c>
      <c r="E401">
        <f>IF($N401="","",IF(INDEX('Per Invoice'!$E$2:$E$801,$N401)="","",INDEX('Per Invoice'!$E$2:$E$801,$N401)))</f>
        <v/>
      </c>
      <c r="F401">
        <f>IF($N401="","",IF(INDEX('Per Invoice'!$F$2:$F$801,$N401)="","",INDEX('Per Invoice'!$F$2:$F$801,$N401)))</f>
        <v/>
      </c>
      <c r="G401">
        <f>IF($N401="","",IF(INDEX('Per Invoice'!$G$2:$G$801,$N401)="","",INDEX('Per Invoice'!$G$2:$G$801,$N401)))</f>
        <v/>
      </c>
      <c r="H401">
        <f>IF($N401="","",IF(INDEX('Per Invoice'!$H$2:$H$801,$N401)="","",INDEX('Per Invoice'!$H$2:$H$801,$N401)))</f>
        <v/>
      </c>
      <c r="I401" s="5">
        <f>IF($N401="","",IF(INDEX('Per Invoice'!$I$2:$I$801,$N401)="","",INDEX('Per Invoice'!$I$2:$I$801,$N401)))</f>
        <v/>
      </c>
      <c r="J401" s="5">
        <f>IF($N401="","",IF(INDEX('Per Invoice'!$J$2:$J$801,$N401)="","",INDEX('Per Invoice'!$J$2:$J$801,$N401)))</f>
        <v/>
      </c>
      <c r="K401" s="5">
        <f>IF($N401="","",IF(INDEX('Per Invoice'!$K$2:$K$801,$N401)="","",INDEX('Per Invoice'!$K$2:$K$801,$N401)))</f>
        <v/>
      </c>
      <c r="L401" s="5">
        <f>IF($N401="","",IF(INDEX('Per Invoice'!$L$2:$L$801,$N401)="","",INDEX('Per Invoice'!$L$2:$L$801,$N401)))</f>
        <v/>
      </c>
      <c r="M401" s="5">
        <f>IF($N401="","",IF(INDEX('Per Invoice'!$M$2:$M$801,$N401)="","",INDEX('Per Invoice'!$M$2:$M$801,$N401)))</f>
        <v/>
      </c>
      <c r="N401">
        <f>IF(ROWS($N$2:$N401)&lt;=COUNT('Per Invoice'!$O$2:$O$801),MATCH(ROWS($N$2:$N401),'Per Invoice'!$O$2:$O$801,0),"")</f>
        <v/>
      </c>
    </row>
    <row r="402">
      <c r="A402">
        <f>IF($N402="","",IF(INDEX('Per Invoice'!$A$2:$A$801,$N402)="","",INDEX('Per Invoice'!$A$2:$A$801,$N402)))</f>
        <v/>
      </c>
      <c r="B402">
        <f>IF($N402="","",IF(INDEX('Per Invoice'!$B$2:$B$801,$N402)="","",INDEX('Per Invoice'!$B$2:$B$801,$N402)))</f>
        <v/>
      </c>
      <c r="C402">
        <f>IF($N402="","",IF(INDEX('Per Invoice'!$C$2:$C$801,$N402)="","",INDEX('Per Invoice'!$C$2:$C$801,$N402)))</f>
        <v/>
      </c>
      <c r="D402">
        <f>IF($N402="","",IF(INDEX('Per Invoice'!$D$2:$D$801,$N402)="","",INDEX('Per Invoice'!$D$2:$D$801,$N402)))</f>
        <v/>
      </c>
      <c r="E402">
        <f>IF($N402="","",IF(INDEX('Per Invoice'!$E$2:$E$801,$N402)="","",INDEX('Per Invoice'!$E$2:$E$801,$N402)))</f>
        <v/>
      </c>
      <c r="F402">
        <f>IF($N402="","",IF(INDEX('Per Invoice'!$F$2:$F$801,$N402)="","",INDEX('Per Invoice'!$F$2:$F$801,$N402)))</f>
        <v/>
      </c>
      <c r="G402">
        <f>IF($N402="","",IF(INDEX('Per Invoice'!$G$2:$G$801,$N402)="","",INDEX('Per Invoice'!$G$2:$G$801,$N402)))</f>
        <v/>
      </c>
      <c r="H402">
        <f>IF($N402="","",IF(INDEX('Per Invoice'!$H$2:$H$801,$N402)="","",INDEX('Per Invoice'!$H$2:$H$801,$N402)))</f>
        <v/>
      </c>
      <c r="I402" s="5">
        <f>IF($N402="","",IF(INDEX('Per Invoice'!$I$2:$I$801,$N402)="","",INDEX('Per Invoice'!$I$2:$I$801,$N402)))</f>
        <v/>
      </c>
      <c r="J402" s="5">
        <f>IF($N402="","",IF(INDEX('Per Invoice'!$J$2:$J$801,$N402)="","",INDEX('Per Invoice'!$J$2:$J$801,$N402)))</f>
        <v/>
      </c>
      <c r="K402" s="5">
        <f>IF($N402="","",IF(INDEX('Per Invoice'!$K$2:$K$801,$N402)="","",INDEX('Per Invoice'!$K$2:$K$801,$N402)))</f>
        <v/>
      </c>
      <c r="L402" s="5">
        <f>IF($N402="","",IF(INDEX('Per Invoice'!$L$2:$L$801,$N402)="","",INDEX('Per Invoice'!$L$2:$L$801,$N402)))</f>
        <v/>
      </c>
      <c r="M402" s="5">
        <f>IF($N402="","",IF(INDEX('Per Invoice'!$M$2:$M$801,$N402)="","",INDEX('Per Invoice'!$M$2:$M$801,$N402)))</f>
        <v/>
      </c>
      <c r="N402">
        <f>IF(ROWS($N$2:$N402)&lt;=COUNT('Per Invoice'!$O$2:$O$801),MATCH(ROWS($N$2:$N402),'Per Invoice'!$O$2:$O$801,0),"")</f>
        <v/>
      </c>
    </row>
    <row r="403">
      <c r="A403">
        <f>IF($N403="","",IF(INDEX('Per Invoice'!$A$2:$A$801,$N403)="","",INDEX('Per Invoice'!$A$2:$A$801,$N403)))</f>
        <v/>
      </c>
      <c r="B403">
        <f>IF($N403="","",IF(INDEX('Per Invoice'!$B$2:$B$801,$N403)="","",INDEX('Per Invoice'!$B$2:$B$801,$N403)))</f>
        <v/>
      </c>
      <c r="C403">
        <f>IF($N403="","",IF(INDEX('Per Invoice'!$C$2:$C$801,$N403)="","",INDEX('Per Invoice'!$C$2:$C$801,$N403)))</f>
        <v/>
      </c>
      <c r="D403">
        <f>IF($N403="","",IF(INDEX('Per Invoice'!$D$2:$D$801,$N403)="","",INDEX('Per Invoice'!$D$2:$D$801,$N403)))</f>
        <v/>
      </c>
      <c r="E403">
        <f>IF($N403="","",IF(INDEX('Per Invoice'!$E$2:$E$801,$N403)="","",INDEX('Per Invoice'!$E$2:$E$801,$N403)))</f>
        <v/>
      </c>
      <c r="F403">
        <f>IF($N403="","",IF(INDEX('Per Invoice'!$F$2:$F$801,$N403)="","",INDEX('Per Invoice'!$F$2:$F$801,$N403)))</f>
        <v/>
      </c>
      <c r="G403">
        <f>IF($N403="","",IF(INDEX('Per Invoice'!$G$2:$G$801,$N403)="","",INDEX('Per Invoice'!$G$2:$G$801,$N403)))</f>
        <v/>
      </c>
      <c r="H403">
        <f>IF($N403="","",IF(INDEX('Per Invoice'!$H$2:$H$801,$N403)="","",INDEX('Per Invoice'!$H$2:$H$801,$N403)))</f>
        <v/>
      </c>
      <c r="I403" s="5">
        <f>IF($N403="","",IF(INDEX('Per Invoice'!$I$2:$I$801,$N403)="","",INDEX('Per Invoice'!$I$2:$I$801,$N403)))</f>
        <v/>
      </c>
      <c r="J403" s="5">
        <f>IF($N403="","",IF(INDEX('Per Invoice'!$J$2:$J$801,$N403)="","",INDEX('Per Invoice'!$J$2:$J$801,$N403)))</f>
        <v/>
      </c>
      <c r="K403" s="5">
        <f>IF($N403="","",IF(INDEX('Per Invoice'!$K$2:$K$801,$N403)="","",INDEX('Per Invoice'!$K$2:$K$801,$N403)))</f>
        <v/>
      </c>
      <c r="L403" s="5">
        <f>IF($N403="","",IF(INDEX('Per Invoice'!$L$2:$L$801,$N403)="","",INDEX('Per Invoice'!$L$2:$L$801,$N403)))</f>
        <v/>
      </c>
      <c r="M403" s="5">
        <f>IF($N403="","",IF(INDEX('Per Invoice'!$M$2:$M$801,$N403)="","",INDEX('Per Invoice'!$M$2:$M$801,$N403)))</f>
        <v/>
      </c>
      <c r="N403">
        <f>IF(ROWS($N$2:$N403)&lt;=COUNT('Per Invoice'!$O$2:$O$801),MATCH(ROWS($N$2:$N403),'Per Invoice'!$O$2:$O$801,0),"")</f>
        <v/>
      </c>
    </row>
    <row r="404">
      <c r="A404">
        <f>IF($N404="","",IF(INDEX('Per Invoice'!$A$2:$A$801,$N404)="","",INDEX('Per Invoice'!$A$2:$A$801,$N404)))</f>
        <v/>
      </c>
      <c r="B404">
        <f>IF($N404="","",IF(INDEX('Per Invoice'!$B$2:$B$801,$N404)="","",INDEX('Per Invoice'!$B$2:$B$801,$N404)))</f>
        <v/>
      </c>
      <c r="C404">
        <f>IF($N404="","",IF(INDEX('Per Invoice'!$C$2:$C$801,$N404)="","",INDEX('Per Invoice'!$C$2:$C$801,$N404)))</f>
        <v/>
      </c>
      <c r="D404">
        <f>IF($N404="","",IF(INDEX('Per Invoice'!$D$2:$D$801,$N404)="","",INDEX('Per Invoice'!$D$2:$D$801,$N404)))</f>
        <v/>
      </c>
      <c r="E404">
        <f>IF($N404="","",IF(INDEX('Per Invoice'!$E$2:$E$801,$N404)="","",INDEX('Per Invoice'!$E$2:$E$801,$N404)))</f>
        <v/>
      </c>
      <c r="F404">
        <f>IF($N404="","",IF(INDEX('Per Invoice'!$F$2:$F$801,$N404)="","",INDEX('Per Invoice'!$F$2:$F$801,$N404)))</f>
        <v/>
      </c>
      <c r="G404">
        <f>IF($N404="","",IF(INDEX('Per Invoice'!$G$2:$G$801,$N404)="","",INDEX('Per Invoice'!$G$2:$G$801,$N404)))</f>
        <v/>
      </c>
      <c r="H404">
        <f>IF($N404="","",IF(INDEX('Per Invoice'!$H$2:$H$801,$N404)="","",INDEX('Per Invoice'!$H$2:$H$801,$N404)))</f>
        <v/>
      </c>
      <c r="I404" s="5">
        <f>IF($N404="","",IF(INDEX('Per Invoice'!$I$2:$I$801,$N404)="","",INDEX('Per Invoice'!$I$2:$I$801,$N404)))</f>
        <v/>
      </c>
      <c r="J404" s="5">
        <f>IF($N404="","",IF(INDEX('Per Invoice'!$J$2:$J$801,$N404)="","",INDEX('Per Invoice'!$J$2:$J$801,$N404)))</f>
        <v/>
      </c>
      <c r="K404" s="5">
        <f>IF($N404="","",IF(INDEX('Per Invoice'!$K$2:$K$801,$N404)="","",INDEX('Per Invoice'!$K$2:$K$801,$N404)))</f>
        <v/>
      </c>
      <c r="L404" s="5">
        <f>IF($N404="","",IF(INDEX('Per Invoice'!$L$2:$L$801,$N404)="","",INDEX('Per Invoice'!$L$2:$L$801,$N404)))</f>
        <v/>
      </c>
      <c r="M404" s="5">
        <f>IF($N404="","",IF(INDEX('Per Invoice'!$M$2:$M$801,$N404)="","",INDEX('Per Invoice'!$M$2:$M$801,$N404)))</f>
        <v/>
      </c>
      <c r="N404">
        <f>IF(ROWS($N$2:$N404)&lt;=COUNT('Per Invoice'!$O$2:$O$801),MATCH(ROWS($N$2:$N404),'Per Invoice'!$O$2:$O$801,0),"")</f>
        <v/>
      </c>
    </row>
    <row r="405">
      <c r="A405">
        <f>IF($N405="","",IF(INDEX('Per Invoice'!$A$2:$A$801,$N405)="","",INDEX('Per Invoice'!$A$2:$A$801,$N405)))</f>
        <v/>
      </c>
      <c r="B405">
        <f>IF($N405="","",IF(INDEX('Per Invoice'!$B$2:$B$801,$N405)="","",INDEX('Per Invoice'!$B$2:$B$801,$N405)))</f>
        <v/>
      </c>
      <c r="C405">
        <f>IF($N405="","",IF(INDEX('Per Invoice'!$C$2:$C$801,$N405)="","",INDEX('Per Invoice'!$C$2:$C$801,$N405)))</f>
        <v/>
      </c>
      <c r="D405">
        <f>IF($N405="","",IF(INDEX('Per Invoice'!$D$2:$D$801,$N405)="","",INDEX('Per Invoice'!$D$2:$D$801,$N405)))</f>
        <v/>
      </c>
      <c r="E405">
        <f>IF($N405="","",IF(INDEX('Per Invoice'!$E$2:$E$801,$N405)="","",INDEX('Per Invoice'!$E$2:$E$801,$N405)))</f>
        <v/>
      </c>
      <c r="F405">
        <f>IF($N405="","",IF(INDEX('Per Invoice'!$F$2:$F$801,$N405)="","",INDEX('Per Invoice'!$F$2:$F$801,$N405)))</f>
        <v/>
      </c>
      <c r="G405">
        <f>IF($N405="","",IF(INDEX('Per Invoice'!$G$2:$G$801,$N405)="","",INDEX('Per Invoice'!$G$2:$G$801,$N405)))</f>
        <v/>
      </c>
      <c r="H405">
        <f>IF($N405="","",IF(INDEX('Per Invoice'!$H$2:$H$801,$N405)="","",INDEX('Per Invoice'!$H$2:$H$801,$N405)))</f>
        <v/>
      </c>
      <c r="I405" s="5">
        <f>IF($N405="","",IF(INDEX('Per Invoice'!$I$2:$I$801,$N405)="","",INDEX('Per Invoice'!$I$2:$I$801,$N405)))</f>
        <v/>
      </c>
      <c r="J405" s="5">
        <f>IF($N405="","",IF(INDEX('Per Invoice'!$J$2:$J$801,$N405)="","",INDEX('Per Invoice'!$J$2:$J$801,$N405)))</f>
        <v/>
      </c>
      <c r="K405" s="5">
        <f>IF($N405="","",IF(INDEX('Per Invoice'!$K$2:$K$801,$N405)="","",INDEX('Per Invoice'!$K$2:$K$801,$N405)))</f>
        <v/>
      </c>
      <c r="L405" s="5">
        <f>IF($N405="","",IF(INDEX('Per Invoice'!$L$2:$L$801,$N405)="","",INDEX('Per Invoice'!$L$2:$L$801,$N405)))</f>
        <v/>
      </c>
      <c r="M405" s="5">
        <f>IF($N405="","",IF(INDEX('Per Invoice'!$M$2:$M$801,$N405)="","",INDEX('Per Invoice'!$M$2:$M$801,$N405)))</f>
        <v/>
      </c>
      <c r="N405">
        <f>IF(ROWS($N$2:$N405)&lt;=COUNT('Per Invoice'!$O$2:$O$801),MATCH(ROWS($N$2:$N405),'Per Invoice'!$O$2:$O$801,0),"")</f>
        <v/>
      </c>
    </row>
    <row r="406">
      <c r="A406">
        <f>IF($N406="","",IF(INDEX('Per Invoice'!$A$2:$A$801,$N406)="","",INDEX('Per Invoice'!$A$2:$A$801,$N406)))</f>
        <v/>
      </c>
      <c r="B406">
        <f>IF($N406="","",IF(INDEX('Per Invoice'!$B$2:$B$801,$N406)="","",INDEX('Per Invoice'!$B$2:$B$801,$N406)))</f>
        <v/>
      </c>
      <c r="C406">
        <f>IF($N406="","",IF(INDEX('Per Invoice'!$C$2:$C$801,$N406)="","",INDEX('Per Invoice'!$C$2:$C$801,$N406)))</f>
        <v/>
      </c>
      <c r="D406">
        <f>IF($N406="","",IF(INDEX('Per Invoice'!$D$2:$D$801,$N406)="","",INDEX('Per Invoice'!$D$2:$D$801,$N406)))</f>
        <v/>
      </c>
      <c r="E406">
        <f>IF($N406="","",IF(INDEX('Per Invoice'!$E$2:$E$801,$N406)="","",INDEX('Per Invoice'!$E$2:$E$801,$N406)))</f>
        <v/>
      </c>
      <c r="F406">
        <f>IF($N406="","",IF(INDEX('Per Invoice'!$F$2:$F$801,$N406)="","",INDEX('Per Invoice'!$F$2:$F$801,$N406)))</f>
        <v/>
      </c>
      <c r="G406">
        <f>IF($N406="","",IF(INDEX('Per Invoice'!$G$2:$G$801,$N406)="","",INDEX('Per Invoice'!$G$2:$G$801,$N406)))</f>
        <v/>
      </c>
      <c r="H406">
        <f>IF($N406="","",IF(INDEX('Per Invoice'!$H$2:$H$801,$N406)="","",INDEX('Per Invoice'!$H$2:$H$801,$N406)))</f>
        <v/>
      </c>
      <c r="I406" s="5">
        <f>IF($N406="","",IF(INDEX('Per Invoice'!$I$2:$I$801,$N406)="","",INDEX('Per Invoice'!$I$2:$I$801,$N406)))</f>
        <v/>
      </c>
      <c r="J406" s="5">
        <f>IF($N406="","",IF(INDEX('Per Invoice'!$J$2:$J$801,$N406)="","",INDEX('Per Invoice'!$J$2:$J$801,$N406)))</f>
        <v/>
      </c>
      <c r="K406" s="5">
        <f>IF($N406="","",IF(INDEX('Per Invoice'!$K$2:$K$801,$N406)="","",INDEX('Per Invoice'!$K$2:$K$801,$N406)))</f>
        <v/>
      </c>
      <c r="L406" s="5">
        <f>IF($N406="","",IF(INDEX('Per Invoice'!$L$2:$L$801,$N406)="","",INDEX('Per Invoice'!$L$2:$L$801,$N406)))</f>
        <v/>
      </c>
      <c r="M406" s="5">
        <f>IF($N406="","",IF(INDEX('Per Invoice'!$M$2:$M$801,$N406)="","",INDEX('Per Invoice'!$M$2:$M$801,$N406)))</f>
        <v/>
      </c>
      <c r="N406">
        <f>IF(ROWS($N$2:$N406)&lt;=COUNT('Per Invoice'!$O$2:$O$801),MATCH(ROWS($N$2:$N406),'Per Invoice'!$O$2:$O$801,0),"")</f>
        <v/>
      </c>
    </row>
    <row r="407">
      <c r="A407">
        <f>IF($N407="","",IF(INDEX('Per Invoice'!$A$2:$A$801,$N407)="","",INDEX('Per Invoice'!$A$2:$A$801,$N407)))</f>
        <v/>
      </c>
      <c r="B407">
        <f>IF($N407="","",IF(INDEX('Per Invoice'!$B$2:$B$801,$N407)="","",INDEX('Per Invoice'!$B$2:$B$801,$N407)))</f>
        <v/>
      </c>
      <c r="C407">
        <f>IF($N407="","",IF(INDEX('Per Invoice'!$C$2:$C$801,$N407)="","",INDEX('Per Invoice'!$C$2:$C$801,$N407)))</f>
        <v/>
      </c>
      <c r="D407">
        <f>IF($N407="","",IF(INDEX('Per Invoice'!$D$2:$D$801,$N407)="","",INDEX('Per Invoice'!$D$2:$D$801,$N407)))</f>
        <v/>
      </c>
      <c r="E407">
        <f>IF($N407="","",IF(INDEX('Per Invoice'!$E$2:$E$801,$N407)="","",INDEX('Per Invoice'!$E$2:$E$801,$N407)))</f>
        <v/>
      </c>
      <c r="F407">
        <f>IF($N407="","",IF(INDEX('Per Invoice'!$F$2:$F$801,$N407)="","",INDEX('Per Invoice'!$F$2:$F$801,$N407)))</f>
        <v/>
      </c>
      <c r="G407">
        <f>IF($N407="","",IF(INDEX('Per Invoice'!$G$2:$G$801,$N407)="","",INDEX('Per Invoice'!$G$2:$G$801,$N407)))</f>
        <v/>
      </c>
      <c r="H407">
        <f>IF($N407="","",IF(INDEX('Per Invoice'!$H$2:$H$801,$N407)="","",INDEX('Per Invoice'!$H$2:$H$801,$N407)))</f>
        <v/>
      </c>
      <c r="I407" s="5">
        <f>IF($N407="","",IF(INDEX('Per Invoice'!$I$2:$I$801,$N407)="","",INDEX('Per Invoice'!$I$2:$I$801,$N407)))</f>
        <v/>
      </c>
      <c r="J407" s="5">
        <f>IF($N407="","",IF(INDEX('Per Invoice'!$J$2:$J$801,$N407)="","",INDEX('Per Invoice'!$J$2:$J$801,$N407)))</f>
        <v/>
      </c>
      <c r="K407" s="5">
        <f>IF($N407="","",IF(INDEX('Per Invoice'!$K$2:$K$801,$N407)="","",INDEX('Per Invoice'!$K$2:$K$801,$N407)))</f>
        <v/>
      </c>
      <c r="L407" s="5">
        <f>IF($N407="","",IF(INDEX('Per Invoice'!$L$2:$L$801,$N407)="","",INDEX('Per Invoice'!$L$2:$L$801,$N407)))</f>
        <v/>
      </c>
      <c r="M407" s="5">
        <f>IF($N407="","",IF(INDEX('Per Invoice'!$M$2:$M$801,$N407)="","",INDEX('Per Invoice'!$M$2:$M$801,$N407)))</f>
        <v/>
      </c>
      <c r="N407">
        <f>IF(ROWS($N$2:$N407)&lt;=COUNT('Per Invoice'!$O$2:$O$801),MATCH(ROWS($N$2:$N407),'Per Invoice'!$O$2:$O$801,0),"")</f>
        <v/>
      </c>
    </row>
    <row r="408">
      <c r="A408">
        <f>IF($N408="","",IF(INDEX('Per Invoice'!$A$2:$A$801,$N408)="","",INDEX('Per Invoice'!$A$2:$A$801,$N408)))</f>
        <v/>
      </c>
      <c r="B408">
        <f>IF($N408="","",IF(INDEX('Per Invoice'!$B$2:$B$801,$N408)="","",INDEX('Per Invoice'!$B$2:$B$801,$N408)))</f>
        <v/>
      </c>
      <c r="C408">
        <f>IF($N408="","",IF(INDEX('Per Invoice'!$C$2:$C$801,$N408)="","",INDEX('Per Invoice'!$C$2:$C$801,$N408)))</f>
        <v/>
      </c>
      <c r="D408">
        <f>IF($N408="","",IF(INDEX('Per Invoice'!$D$2:$D$801,$N408)="","",INDEX('Per Invoice'!$D$2:$D$801,$N408)))</f>
        <v/>
      </c>
      <c r="E408">
        <f>IF($N408="","",IF(INDEX('Per Invoice'!$E$2:$E$801,$N408)="","",INDEX('Per Invoice'!$E$2:$E$801,$N408)))</f>
        <v/>
      </c>
      <c r="F408">
        <f>IF($N408="","",IF(INDEX('Per Invoice'!$F$2:$F$801,$N408)="","",INDEX('Per Invoice'!$F$2:$F$801,$N408)))</f>
        <v/>
      </c>
      <c r="G408">
        <f>IF($N408="","",IF(INDEX('Per Invoice'!$G$2:$G$801,$N408)="","",INDEX('Per Invoice'!$G$2:$G$801,$N408)))</f>
        <v/>
      </c>
      <c r="H408">
        <f>IF($N408="","",IF(INDEX('Per Invoice'!$H$2:$H$801,$N408)="","",INDEX('Per Invoice'!$H$2:$H$801,$N408)))</f>
        <v/>
      </c>
      <c r="I408" s="5">
        <f>IF($N408="","",IF(INDEX('Per Invoice'!$I$2:$I$801,$N408)="","",INDEX('Per Invoice'!$I$2:$I$801,$N408)))</f>
        <v/>
      </c>
      <c r="J408" s="5">
        <f>IF($N408="","",IF(INDEX('Per Invoice'!$J$2:$J$801,$N408)="","",INDEX('Per Invoice'!$J$2:$J$801,$N408)))</f>
        <v/>
      </c>
      <c r="K408" s="5">
        <f>IF($N408="","",IF(INDEX('Per Invoice'!$K$2:$K$801,$N408)="","",INDEX('Per Invoice'!$K$2:$K$801,$N408)))</f>
        <v/>
      </c>
      <c r="L408" s="5">
        <f>IF($N408="","",IF(INDEX('Per Invoice'!$L$2:$L$801,$N408)="","",INDEX('Per Invoice'!$L$2:$L$801,$N408)))</f>
        <v/>
      </c>
      <c r="M408" s="5">
        <f>IF($N408="","",IF(INDEX('Per Invoice'!$M$2:$M$801,$N408)="","",INDEX('Per Invoice'!$M$2:$M$801,$N408)))</f>
        <v/>
      </c>
      <c r="N408">
        <f>IF(ROWS($N$2:$N408)&lt;=COUNT('Per Invoice'!$O$2:$O$801),MATCH(ROWS($N$2:$N408),'Per Invoice'!$O$2:$O$801,0),"")</f>
        <v/>
      </c>
    </row>
    <row r="409">
      <c r="A409">
        <f>IF($N409="","",IF(INDEX('Per Invoice'!$A$2:$A$801,$N409)="","",INDEX('Per Invoice'!$A$2:$A$801,$N409)))</f>
        <v/>
      </c>
      <c r="B409">
        <f>IF($N409="","",IF(INDEX('Per Invoice'!$B$2:$B$801,$N409)="","",INDEX('Per Invoice'!$B$2:$B$801,$N409)))</f>
        <v/>
      </c>
      <c r="C409">
        <f>IF($N409="","",IF(INDEX('Per Invoice'!$C$2:$C$801,$N409)="","",INDEX('Per Invoice'!$C$2:$C$801,$N409)))</f>
        <v/>
      </c>
      <c r="D409">
        <f>IF($N409="","",IF(INDEX('Per Invoice'!$D$2:$D$801,$N409)="","",INDEX('Per Invoice'!$D$2:$D$801,$N409)))</f>
        <v/>
      </c>
      <c r="E409">
        <f>IF($N409="","",IF(INDEX('Per Invoice'!$E$2:$E$801,$N409)="","",INDEX('Per Invoice'!$E$2:$E$801,$N409)))</f>
        <v/>
      </c>
      <c r="F409">
        <f>IF($N409="","",IF(INDEX('Per Invoice'!$F$2:$F$801,$N409)="","",INDEX('Per Invoice'!$F$2:$F$801,$N409)))</f>
        <v/>
      </c>
      <c r="G409">
        <f>IF($N409="","",IF(INDEX('Per Invoice'!$G$2:$G$801,$N409)="","",INDEX('Per Invoice'!$G$2:$G$801,$N409)))</f>
        <v/>
      </c>
      <c r="H409">
        <f>IF($N409="","",IF(INDEX('Per Invoice'!$H$2:$H$801,$N409)="","",INDEX('Per Invoice'!$H$2:$H$801,$N409)))</f>
        <v/>
      </c>
      <c r="I409" s="5">
        <f>IF($N409="","",IF(INDEX('Per Invoice'!$I$2:$I$801,$N409)="","",INDEX('Per Invoice'!$I$2:$I$801,$N409)))</f>
        <v/>
      </c>
      <c r="J409" s="5">
        <f>IF($N409="","",IF(INDEX('Per Invoice'!$J$2:$J$801,$N409)="","",INDEX('Per Invoice'!$J$2:$J$801,$N409)))</f>
        <v/>
      </c>
      <c r="K409" s="5">
        <f>IF($N409="","",IF(INDEX('Per Invoice'!$K$2:$K$801,$N409)="","",INDEX('Per Invoice'!$K$2:$K$801,$N409)))</f>
        <v/>
      </c>
      <c r="L409" s="5">
        <f>IF($N409="","",IF(INDEX('Per Invoice'!$L$2:$L$801,$N409)="","",INDEX('Per Invoice'!$L$2:$L$801,$N409)))</f>
        <v/>
      </c>
      <c r="M409" s="5">
        <f>IF($N409="","",IF(INDEX('Per Invoice'!$M$2:$M$801,$N409)="","",INDEX('Per Invoice'!$M$2:$M$801,$N409)))</f>
        <v/>
      </c>
      <c r="N409">
        <f>IF(ROWS($N$2:$N409)&lt;=COUNT('Per Invoice'!$O$2:$O$801),MATCH(ROWS($N$2:$N409),'Per Invoice'!$O$2:$O$801,0),"")</f>
        <v/>
      </c>
    </row>
    <row r="410">
      <c r="A410">
        <f>IF($N410="","",IF(INDEX('Per Invoice'!$A$2:$A$801,$N410)="","",INDEX('Per Invoice'!$A$2:$A$801,$N410)))</f>
        <v/>
      </c>
      <c r="B410">
        <f>IF($N410="","",IF(INDEX('Per Invoice'!$B$2:$B$801,$N410)="","",INDEX('Per Invoice'!$B$2:$B$801,$N410)))</f>
        <v/>
      </c>
      <c r="C410">
        <f>IF($N410="","",IF(INDEX('Per Invoice'!$C$2:$C$801,$N410)="","",INDEX('Per Invoice'!$C$2:$C$801,$N410)))</f>
        <v/>
      </c>
      <c r="D410">
        <f>IF($N410="","",IF(INDEX('Per Invoice'!$D$2:$D$801,$N410)="","",INDEX('Per Invoice'!$D$2:$D$801,$N410)))</f>
        <v/>
      </c>
      <c r="E410">
        <f>IF($N410="","",IF(INDEX('Per Invoice'!$E$2:$E$801,$N410)="","",INDEX('Per Invoice'!$E$2:$E$801,$N410)))</f>
        <v/>
      </c>
      <c r="F410">
        <f>IF($N410="","",IF(INDEX('Per Invoice'!$F$2:$F$801,$N410)="","",INDEX('Per Invoice'!$F$2:$F$801,$N410)))</f>
        <v/>
      </c>
      <c r="G410">
        <f>IF($N410="","",IF(INDEX('Per Invoice'!$G$2:$G$801,$N410)="","",INDEX('Per Invoice'!$G$2:$G$801,$N410)))</f>
        <v/>
      </c>
      <c r="H410">
        <f>IF($N410="","",IF(INDEX('Per Invoice'!$H$2:$H$801,$N410)="","",INDEX('Per Invoice'!$H$2:$H$801,$N410)))</f>
        <v/>
      </c>
      <c r="I410" s="5">
        <f>IF($N410="","",IF(INDEX('Per Invoice'!$I$2:$I$801,$N410)="","",INDEX('Per Invoice'!$I$2:$I$801,$N410)))</f>
        <v/>
      </c>
      <c r="J410" s="5">
        <f>IF($N410="","",IF(INDEX('Per Invoice'!$J$2:$J$801,$N410)="","",INDEX('Per Invoice'!$J$2:$J$801,$N410)))</f>
        <v/>
      </c>
      <c r="K410" s="5">
        <f>IF($N410="","",IF(INDEX('Per Invoice'!$K$2:$K$801,$N410)="","",INDEX('Per Invoice'!$K$2:$K$801,$N410)))</f>
        <v/>
      </c>
      <c r="L410" s="5">
        <f>IF($N410="","",IF(INDEX('Per Invoice'!$L$2:$L$801,$N410)="","",INDEX('Per Invoice'!$L$2:$L$801,$N410)))</f>
        <v/>
      </c>
      <c r="M410" s="5">
        <f>IF($N410="","",IF(INDEX('Per Invoice'!$M$2:$M$801,$N410)="","",INDEX('Per Invoice'!$M$2:$M$801,$N410)))</f>
        <v/>
      </c>
      <c r="N410">
        <f>IF(ROWS($N$2:$N410)&lt;=COUNT('Per Invoice'!$O$2:$O$801),MATCH(ROWS($N$2:$N410),'Per Invoice'!$O$2:$O$801,0),"")</f>
        <v/>
      </c>
    </row>
    <row r="411">
      <c r="A411">
        <f>IF($N411="","",IF(INDEX('Per Invoice'!$A$2:$A$801,$N411)="","",INDEX('Per Invoice'!$A$2:$A$801,$N411)))</f>
        <v/>
      </c>
      <c r="B411">
        <f>IF($N411="","",IF(INDEX('Per Invoice'!$B$2:$B$801,$N411)="","",INDEX('Per Invoice'!$B$2:$B$801,$N411)))</f>
        <v/>
      </c>
      <c r="C411">
        <f>IF($N411="","",IF(INDEX('Per Invoice'!$C$2:$C$801,$N411)="","",INDEX('Per Invoice'!$C$2:$C$801,$N411)))</f>
        <v/>
      </c>
      <c r="D411">
        <f>IF($N411="","",IF(INDEX('Per Invoice'!$D$2:$D$801,$N411)="","",INDEX('Per Invoice'!$D$2:$D$801,$N411)))</f>
        <v/>
      </c>
      <c r="E411">
        <f>IF($N411="","",IF(INDEX('Per Invoice'!$E$2:$E$801,$N411)="","",INDEX('Per Invoice'!$E$2:$E$801,$N411)))</f>
        <v/>
      </c>
      <c r="F411">
        <f>IF($N411="","",IF(INDEX('Per Invoice'!$F$2:$F$801,$N411)="","",INDEX('Per Invoice'!$F$2:$F$801,$N411)))</f>
        <v/>
      </c>
      <c r="G411">
        <f>IF($N411="","",IF(INDEX('Per Invoice'!$G$2:$G$801,$N411)="","",INDEX('Per Invoice'!$G$2:$G$801,$N411)))</f>
        <v/>
      </c>
      <c r="H411">
        <f>IF($N411="","",IF(INDEX('Per Invoice'!$H$2:$H$801,$N411)="","",INDEX('Per Invoice'!$H$2:$H$801,$N411)))</f>
        <v/>
      </c>
      <c r="I411" s="5">
        <f>IF($N411="","",IF(INDEX('Per Invoice'!$I$2:$I$801,$N411)="","",INDEX('Per Invoice'!$I$2:$I$801,$N411)))</f>
        <v/>
      </c>
      <c r="J411" s="5">
        <f>IF($N411="","",IF(INDEX('Per Invoice'!$J$2:$J$801,$N411)="","",INDEX('Per Invoice'!$J$2:$J$801,$N411)))</f>
        <v/>
      </c>
      <c r="K411" s="5">
        <f>IF($N411="","",IF(INDEX('Per Invoice'!$K$2:$K$801,$N411)="","",INDEX('Per Invoice'!$K$2:$K$801,$N411)))</f>
        <v/>
      </c>
      <c r="L411" s="5">
        <f>IF($N411="","",IF(INDEX('Per Invoice'!$L$2:$L$801,$N411)="","",INDEX('Per Invoice'!$L$2:$L$801,$N411)))</f>
        <v/>
      </c>
      <c r="M411" s="5">
        <f>IF($N411="","",IF(INDEX('Per Invoice'!$M$2:$M$801,$N411)="","",INDEX('Per Invoice'!$M$2:$M$801,$N411)))</f>
        <v/>
      </c>
      <c r="N411">
        <f>IF(ROWS($N$2:$N411)&lt;=COUNT('Per Invoice'!$O$2:$O$801),MATCH(ROWS($N$2:$N411),'Per Invoice'!$O$2:$O$801,0),"")</f>
        <v/>
      </c>
    </row>
    <row r="412">
      <c r="A412">
        <f>IF($N412="","",IF(INDEX('Per Invoice'!$A$2:$A$801,$N412)="","",INDEX('Per Invoice'!$A$2:$A$801,$N412)))</f>
        <v/>
      </c>
      <c r="B412">
        <f>IF($N412="","",IF(INDEX('Per Invoice'!$B$2:$B$801,$N412)="","",INDEX('Per Invoice'!$B$2:$B$801,$N412)))</f>
        <v/>
      </c>
      <c r="C412">
        <f>IF($N412="","",IF(INDEX('Per Invoice'!$C$2:$C$801,$N412)="","",INDEX('Per Invoice'!$C$2:$C$801,$N412)))</f>
        <v/>
      </c>
      <c r="D412">
        <f>IF($N412="","",IF(INDEX('Per Invoice'!$D$2:$D$801,$N412)="","",INDEX('Per Invoice'!$D$2:$D$801,$N412)))</f>
        <v/>
      </c>
      <c r="E412">
        <f>IF($N412="","",IF(INDEX('Per Invoice'!$E$2:$E$801,$N412)="","",INDEX('Per Invoice'!$E$2:$E$801,$N412)))</f>
        <v/>
      </c>
      <c r="F412">
        <f>IF($N412="","",IF(INDEX('Per Invoice'!$F$2:$F$801,$N412)="","",INDEX('Per Invoice'!$F$2:$F$801,$N412)))</f>
        <v/>
      </c>
      <c r="G412">
        <f>IF($N412="","",IF(INDEX('Per Invoice'!$G$2:$G$801,$N412)="","",INDEX('Per Invoice'!$G$2:$G$801,$N412)))</f>
        <v/>
      </c>
      <c r="H412">
        <f>IF($N412="","",IF(INDEX('Per Invoice'!$H$2:$H$801,$N412)="","",INDEX('Per Invoice'!$H$2:$H$801,$N412)))</f>
        <v/>
      </c>
      <c r="I412" s="5">
        <f>IF($N412="","",IF(INDEX('Per Invoice'!$I$2:$I$801,$N412)="","",INDEX('Per Invoice'!$I$2:$I$801,$N412)))</f>
        <v/>
      </c>
      <c r="J412" s="5">
        <f>IF($N412="","",IF(INDEX('Per Invoice'!$J$2:$J$801,$N412)="","",INDEX('Per Invoice'!$J$2:$J$801,$N412)))</f>
        <v/>
      </c>
      <c r="K412" s="5">
        <f>IF($N412="","",IF(INDEX('Per Invoice'!$K$2:$K$801,$N412)="","",INDEX('Per Invoice'!$K$2:$K$801,$N412)))</f>
        <v/>
      </c>
      <c r="L412" s="5">
        <f>IF($N412="","",IF(INDEX('Per Invoice'!$L$2:$L$801,$N412)="","",INDEX('Per Invoice'!$L$2:$L$801,$N412)))</f>
        <v/>
      </c>
      <c r="M412" s="5">
        <f>IF($N412="","",IF(INDEX('Per Invoice'!$M$2:$M$801,$N412)="","",INDEX('Per Invoice'!$M$2:$M$801,$N412)))</f>
        <v/>
      </c>
      <c r="N412">
        <f>IF(ROWS($N$2:$N412)&lt;=COUNT('Per Invoice'!$O$2:$O$801),MATCH(ROWS($N$2:$N412),'Per Invoice'!$O$2:$O$801,0),"")</f>
        <v/>
      </c>
    </row>
    <row r="413">
      <c r="A413">
        <f>IF($N413="","",IF(INDEX('Per Invoice'!$A$2:$A$801,$N413)="","",INDEX('Per Invoice'!$A$2:$A$801,$N413)))</f>
        <v/>
      </c>
      <c r="B413">
        <f>IF($N413="","",IF(INDEX('Per Invoice'!$B$2:$B$801,$N413)="","",INDEX('Per Invoice'!$B$2:$B$801,$N413)))</f>
        <v/>
      </c>
      <c r="C413">
        <f>IF($N413="","",IF(INDEX('Per Invoice'!$C$2:$C$801,$N413)="","",INDEX('Per Invoice'!$C$2:$C$801,$N413)))</f>
        <v/>
      </c>
      <c r="D413">
        <f>IF($N413="","",IF(INDEX('Per Invoice'!$D$2:$D$801,$N413)="","",INDEX('Per Invoice'!$D$2:$D$801,$N413)))</f>
        <v/>
      </c>
      <c r="E413">
        <f>IF($N413="","",IF(INDEX('Per Invoice'!$E$2:$E$801,$N413)="","",INDEX('Per Invoice'!$E$2:$E$801,$N413)))</f>
        <v/>
      </c>
      <c r="F413">
        <f>IF($N413="","",IF(INDEX('Per Invoice'!$F$2:$F$801,$N413)="","",INDEX('Per Invoice'!$F$2:$F$801,$N413)))</f>
        <v/>
      </c>
      <c r="G413">
        <f>IF($N413="","",IF(INDEX('Per Invoice'!$G$2:$G$801,$N413)="","",INDEX('Per Invoice'!$G$2:$G$801,$N413)))</f>
        <v/>
      </c>
      <c r="H413">
        <f>IF($N413="","",IF(INDEX('Per Invoice'!$H$2:$H$801,$N413)="","",INDEX('Per Invoice'!$H$2:$H$801,$N413)))</f>
        <v/>
      </c>
      <c r="I413" s="5">
        <f>IF($N413="","",IF(INDEX('Per Invoice'!$I$2:$I$801,$N413)="","",INDEX('Per Invoice'!$I$2:$I$801,$N413)))</f>
        <v/>
      </c>
      <c r="J413" s="5">
        <f>IF($N413="","",IF(INDEX('Per Invoice'!$J$2:$J$801,$N413)="","",INDEX('Per Invoice'!$J$2:$J$801,$N413)))</f>
        <v/>
      </c>
      <c r="K413" s="5">
        <f>IF($N413="","",IF(INDEX('Per Invoice'!$K$2:$K$801,$N413)="","",INDEX('Per Invoice'!$K$2:$K$801,$N413)))</f>
        <v/>
      </c>
      <c r="L413" s="5">
        <f>IF($N413="","",IF(INDEX('Per Invoice'!$L$2:$L$801,$N413)="","",INDEX('Per Invoice'!$L$2:$L$801,$N413)))</f>
        <v/>
      </c>
      <c r="M413" s="5">
        <f>IF($N413="","",IF(INDEX('Per Invoice'!$M$2:$M$801,$N413)="","",INDEX('Per Invoice'!$M$2:$M$801,$N413)))</f>
        <v/>
      </c>
      <c r="N413">
        <f>IF(ROWS($N$2:$N413)&lt;=COUNT('Per Invoice'!$O$2:$O$801),MATCH(ROWS($N$2:$N413),'Per Invoice'!$O$2:$O$801,0),"")</f>
        <v/>
      </c>
    </row>
    <row r="414">
      <c r="A414">
        <f>IF($N414="","",IF(INDEX('Per Invoice'!$A$2:$A$801,$N414)="","",INDEX('Per Invoice'!$A$2:$A$801,$N414)))</f>
        <v/>
      </c>
      <c r="B414">
        <f>IF($N414="","",IF(INDEX('Per Invoice'!$B$2:$B$801,$N414)="","",INDEX('Per Invoice'!$B$2:$B$801,$N414)))</f>
        <v/>
      </c>
      <c r="C414">
        <f>IF($N414="","",IF(INDEX('Per Invoice'!$C$2:$C$801,$N414)="","",INDEX('Per Invoice'!$C$2:$C$801,$N414)))</f>
        <v/>
      </c>
      <c r="D414">
        <f>IF($N414="","",IF(INDEX('Per Invoice'!$D$2:$D$801,$N414)="","",INDEX('Per Invoice'!$D$2:$D$801,$N414)))</f>
        <v/>
      </c>
      <c r="E414">
        <f>IF($N414="","",IF(INDEX('Per Invoice'!$E$2:$E$801,$N414)="","",INDEX('Per Invoice'!$E$2:$E$801,$N414)))</f>
        <v/>
      </c>
      <c r="F414">
        <f>IF($N414="","",IF(INDEX('Per Invoice'!$F$2:$F$801,$N414)="","",INDEX('Per Invoice'!$F$2:$F$801,$N414)))</f>
        <v/>
      </c>
      <c r="G414">
        <f>IF($N414="","",IF(INDEX('Per Invoice'!$G$2:$G$801,$N414)="","",INDEX('Per Invoice'!$G$2:$G$801,$N414)))</f>
        <v/>
      </c>
      <c r="H414">
        <f>IF($N414="","",IF(INDEX('Per Invoice'!$H$2:$H$801,$N414)="","",INDEX('Per Invoice'!$H$2:$H$801,$N414)))</f>
        <v/>
      </c>
      <c r="I414" s="5">
        <f>IF($N414="","",IF(INDEX('Per Invoice'!$I$2:$I$801,$N414)="","",INDEX('Per Invoice'!$I$2:$I$801,$N414)))</f>
        <v/>
      </c>
      <c r="J414" s="5">
        <f>IF($N414="","",IF(INDEX('Per Invoice'!$J$2:$J$801,$N414)="","",INDEX('Per Invoice'!$J$2:$J$801,$N414)))</f>
        <v/>
      </c>
      <c r="K414" s="5">
        <f>IF($N414="","",IF(INDEX('Per Invoice'!$K$2:$K$801,$N414)="","",INDEX('Per Invoice'!$K$2:$K$801,$N414)))</f>
        <v/>
      </c>
      <c r="L414" s="5">
        <f>IF($N414="","",IF(INDEX('Per Invoice'!$L$2:$L$801,$N414)="","",INDEX('Per Invoice'!$L$2:$L$801,$N414)))</f>
        <v/>
      </c>
      <c r="M414" s="5">
        <f>IF($N414="","",IF(INDEX('Per Invoice'!$M$2:$M$801,$N414)="","",INDEX('Per Invoice'!$M$2:$M$801,$N414)))</f>
        <v/>
      </c>
      <c r="N414">
        <f>IF(ROWS($N$2:$N414)&lt;=COUNT('Per Invoice'!$O$2:$O$801),MATCH(ROWS($N$2:$N414),'Per Invoice'!$O$2:$O$801,0),"")</f>
        <v/>
      </c>
    </row>
    <row r="415">
      <c r="A415">
        <f>IF($N415="","",IF(INDEX('Per Invoice'!$A$2:$A$801,$N415)="","",INDEX('Per Invoice'!$A$2:$A$801,$N415)))</f>
        <v/>
      </c>
      <c r="B415">
        <f>IF($N415="","",IF(INDEX('Per Invoice'!$B$2:$B$801,$N415)="","",INDEX('Per Invoice'!$B$2:$B$801,$N415)))</f>
        <v/>
      </c>
      <c r="C415">
        <f>IF($N415="","",IF(INDEX('Per Invoice'!$C$2:$C$801,$N415)="","",INDEX('Per Invoice'!$C$2:$C$801,$N415)))</f>
        <v/>
      </c>
      <c r="D415">
        <f>IF($N415="","",IF(INDEX('Per Invoice'!$D$2:$D$801,$N415)="","",INDEX('Per Invoice'!$D$2:$D$801,$N415)))</f>
        <v/>
      </c>
      <c r="E415">
        <f>IF($N415="","",IF(INDEX('Per Invoice'!$E$2:$E$801,$N415)="","",INDEX('Per Invoice'!$E$2:$E$801,$N415)))</f>
        <v/>
      </c>
      <c r="F415">
        <f>IF($N415="","",IF(INDEX('Per Invoice'!$F$2:$F$801,$N415)="","",INDEX('Per Invoice'!$F$2:$F$801,$N415)))</f>
        <v/>
      </c>
      <c r="G415">
        <f>IF($N415="","",IF(INDEX('Per Invoice'!$G$2:$G$801,$N415)="","",INDEX('Per Invoice'!$G$2:$G$801,$N415)))</f>
        <v/>
      </c>
      <c r="H415">
        <f>IF($N415="","",IF(INDEX('Per Invoice'!$H$2:$H$801,$N415)="","",INDEX('Per Invoice'!$H$2:$H$801,$N415)))</f>
        <v/>
      </c>
      <c r="I415" s="5">
        <f>IF($N415="","",IF(INDEX('Per Invoice'!$I$2:$I$801,$N415)="","",INDEX('Per Invoice'!$I$2:$I$801,$N415)))</f>
        <v/>
      </c>
      <c r="J415" s="5">
        <f>IF($N415="","",IF(INDEX('Per Invoice'!$J$2:$J$801,$N415)="","",INDEX('Per Invoice'!$J$2:$J$801,$N415)))</f>
        <v/>
      </c>
      <c r="K415" s="5">
        <f>IF($N415="","",IF(INDEX('Per Invoice'!$K$2:$K$801,$N415)="","",INDEX('Per Invoice'!$K$2:$K$801,$N415)))</f>
        <v/>
      </c>
      <c r="L415" s="5">
        <f>IF($N415="","",IF(INDEX('Per Invoice'!$L$2:$L$801,$N415)="","",INDEX('Per Invoice'!$L$2:$L$801,$N415)))</f>
        <v/>
      </c>
      <c r="M415" s="5">
        <f>IF($N415="","",IF(INDEX('Per Invoice'!$M$2:$M$801,$N415)="","",INDEX('Per Invoice'!$M$2:$M$801,$N415)))</f>
        <v/>
      </c>
      <c r="N415">
        <f>IF(ROWS($N$2:$N415)&lt;=COUNT('Per Invoice'!$O$2:$O$801),MATCH(ROWS($N$2:$N415),'Per Invoice'!$O$2:$O$801,0),"")</f>
        <v/>
      </c>
    </row>
    <row r="416">
      <c r="A416">
        <f>IF($N416="","",IF(INDEX('Per Invoice'!$A$2:$A$801,$N416)="","",INDEX('Per Invoice'!$A$2:$A$801,$N416)))</f>
        <v/>
      </c>
      <c r="B416">
        <f>IF($N416="","",IF(INDEX('Per Invoice'!$B$2:$B$801,$N416)="","",INDEX('Per Invoice'!$B$2:$B$801,$N416)))</f>
        <v/>
      </c>
      <c r="C416">
        <f>IF($N416="","",IF(INDEX('Per Invoice'!$C$2:$C$801,$N416)="","",INDEX('Per Invoice'!$C$2:$C$801,$N416)))</f>
        <v/>
      </c>
      <c r="D416">
        <f>IF($N416="","",IF(INDEX('Per Invoice'!$D$2:$D$801,$N416)="","",INDEX('Per Invoice'!$D$2:$D$801,$N416)))</f>
        <v/>
      </c>
      <c r="E416">
        <f>IF($N416="","",IF(INDEX('Per Invoice'!$E$2:$E$801,$N416)="","",INDEX('Per Invoice'!$E$2:$E$801,$N416)))</f>
        <v/>
      </c>
      <c r="F416">
        <f>IF($N416="","",IF(INDEX('Per Invoice'!$F$2:$F$801,$N416)="","",INDEX('Per Invoice'!$F$2:$F$801,$N416)))</f>
        <v/>
      </c>
      <c r="G416">
        <f>IF($N416="","",IF(INDEX('Per Invoice'!$G$2:$G$801,$N416)="","",INDEX('Per Invoice'!$G$2:$G$801,$N416)))</f>
        <v/>
      </c>
      <c r="H416">
        <f>IF($N416="","",IF(INDEX('Per Invoice'!$H$2:$H$801,$N416)="","",INDEX('Per Invoice'!$H$2:$H$801,$N416)))</f>
        <v/>
      </c>
      <c r="I416" s="5">
        <f>IF($N416="","",IF(INDEX('Per Invoice'!$I$2:$I$801,$N416)="","",INDEX('Per Invoice'!$I$2:$I$801,$N416)))</f>
        <v/>
      </c>
      <c r="J416" s="5">
        <f>IF($N416="","",IF(INDEX('Per Invoice'!$J$2:$J$801,$N416)="","",INDEX('Per Invoice'!$J$2:$J$801,$N416)))</f>
        <v/>
      </c>
      <c r="K416" s="5">
        <f>IF($N416="","",IF(INDEX('Per Invoice'!$K$2:$K$801,$N416)="","",INDEX('Per Invoice'!$K$2:$K$801,$N416)))</f>
        <v/>
      </c>
      <c r="L416" s="5">
        <f>IF($N416="","",IF(INDEX('Per Invoice'!$L$2:$L$801,$N416)="","",INDEX('Per Invoice'!$L$2:$L$801,$N416)))</f>
        <v/>
      </c>
      <c r="M416" s="5">
        <f>IF($N416="","",IF(INDEX('Per Invoice'!$M$2:$M$801,$N416)="","",INDEX('Per Invoice'!$M$2:$M$801,$N416)))</f>
        <v/>
      </c>
      <c r="N416">
        <f>IF(ROWS($N$2:$N416)&lt;=COUNT('Per Invoice'!$O$2:$O$801),MATCH(ROWS($N$2:$N416),'Per Invoice'!$O$2:$O$801,0),"")</f>
        <v/>
      </c>
    </row>
    <row r="417">
      <c r="A417">
        <f>IF($N417="","",IF(INDEX('Per Invoice'!$A$2:$A$801,$N417)="","",INDEX('Per Invoice'!$A$2:$A$801,$N417)))</f>
        <v/>
      </c>
      <c r="B417">
        <f>IF($N417="","",IF(INDEX('Per Invoice'!$B$2:$B$801,$N417)="","",INDEX('Per Invoice'!$B$2:$B$801,$N417)))</f>
        <v/>
      </c>
      <c r="C417">
        <f>IF($N417="","",IF(INDEX('Per Invoice'!$C$2:$C$801,$N417)="","",INDEX('Per Invoice'!$C$2:$C$801,$N417)))</f>
        <v/>
      </c>
      <c r="D417">
        <f>IF($N417="","",IF(INDEX('Per Invoice'!$D$2:$D$801,$N417)="","",INDEX('Per Invoice'!$D$2:$D$801,$N417)))</f>
        <v/>
      </c>
      <c r="E417">
        <f>IF($N417="","",IF(INDEX('Per Invoice'!$E$2:$E$801,$N417)="","",INDEX('Per Invoice'!$E$2:$E$801,$N417)))</f>
        <v/>
      </c>
      <c r="F417">
        <f>IF($N417="","",IF(INDEX('Per Invoice'!$F$2:$F$801,$N417)="","",INDEX('Per Invoice'!$F$2:$F$801,$N417)))</f>
        <v/>
      </c>
      <c r="G417">
        <f>IF($N417="","",IF(INDEX('Per Invoice'!$G$2:$G$801,$N417)="","",INDEX('Per Invoice'!$G$2:$G$801,$N417)))</f>
        <v/>
      </c>
      <c r="H417">
        <f>IF($N417="","",IF(INDEX('Per Invoice'!$H$2:$H$801,$N417)="","",INDEX('Per Invoice'!$H$2:$H$801,$N417)))</f>
        <v/>
      </c>
      <c r="I417" s="5">
        <f>IF($N417="","",IF(INDEX('Per Invoice'!$I$2:$I$801,$N417)="","",INDEX('Per Invoice'!$I$2:$I$801,$N417)))</f>
        <v/>
      </c>
      <c r="J417" s="5">
        <f>IF($N417="","",IF(INDEX('Per Invoice'!$J$2:$J$801,$N417)="","",INDEX('Per Invoice'!$J$2:$J$801,$N417)))</f>
        <v/>
      </c>
      <c r="K417" s="5">
        <f>IF($N417="","",IF(INDEX('Per Invoice'!$K$2:$K$801,$N417)="","",INDEX('Per Invoice'!$K$2:$K$801,$N417)))</f>
        <v/>
      </c>
      <c r="L417" s="5">
        <f>IF($N417="","",IF(INDEX('Per Invoice'!$L$2:$L$801,$N417)="","",INDEX('Per Invoice'!$L$2:$L$801,$N417)))</f>
        <v/>
      </c>
      <c r="M417" s="5">
        <f>IF($N417="","",IF(INDEX('Per Invoice'!$M$2:$M$801,$N417)="","",INDEX('Per Invoice'!$M$2:$M$801,$N417)))</f>
        <v/>
      </c>
      <c r="N417">
        <f>IF(ROWS($N$2:$N417)&lt;=COUNT('Per Invoice'!$O$2:$O$801),MATCH(ROWS($N$2:$N417),'Per Invoice'!$O$2:$O$801,0),"")</f>
        <v/>
      </c>
    </row>
    <row r="418">
      <c r="A418">
        <f>IF($N418="","",IF(INDEX('Per Invoice'!$A$2:$A$801,$N418)="","",INDEX('Per Invoice'!$A$2:$A$801,$N418)))</f>
        <v/>
      </c>
      <c r="B418">
        <f>IF($N418="","",IF(INDEX('Per Invoice'!$B$2:$B$801,$N418)="","",INDEX('Per Invoice'!$B$2:$B$801,$N418)))</f>
        <v/>
      </c>
      <c r="C418">
        <f>IF($N418="","",IF(INDEX('Per Invoice'!$C$2:$C$801,$N418)="","",INDEX('Per Invoice'!$C$2:$C$801,$N418)))</f>
        <v/>
      </c>
      <c r="D418">
        <f>IF($N418="","",IF(INDEX('Per Invoice'!$D$2:$D$801,$N418)="","",INDEX('Per Invoice'!$D$2:$D$801,$N418)))</f>
        <v/>
      </c>
      <c r="E418">
        <f>IF($N418="","",IF(INDEX('Per Invoice'!$E$2:$E$801,$N418)="","",INDEX('Per Invoice'!$E$2:$E$801,$N418)))</f>
        <v/>
      </c>
      <c r="F418">
        <f>IF($N418="","",IF(INDEX('Per Invoice'!$F$2:$F$801,$N418)="","",INDEX('Per Invoice'!$F$2:$F$801,$N418)))</f>
        <v/>
      </c>
      <c r="G418">
        <f>IF($N418="","",IF(INDEX('Per Invoice'!$G$2:$G$801,$N418)="","",INDEX('Per Invoice'!$G$2:$G$801,$N418)))</f>
        <v/>
      </c>
      <c r="H418">
        <f>IF($N418="","",IF(INDEX('Per Invoice'!$H$2:$H$801,$N418)="","",INDEX('Per Invoice'!$H$2:$H$801,$N418)))</f>
        <v/>
      </c>
      <c r="I418" s="5">
        <f>IF($N418="","",IF(INDEX('Per Invoice'!$I$2:$I$801,$N418)="","",INDEX('Per Invoice'!$I$2:$I$801,$N418)))</f>
        <v/>
      </c>
      <c r="J418" s="5">
        <f>IF($N418="","",IF(INDEX('Per Invoice'!$J$2:$J$801,$N418)="","",INDEX('Per Invoice'!$J$2:$J$801,$N418)))</f>
        <v/>
      </c>
      <c r="K418" s="5">
        <f>IF($N418="","",IF(INDEX('Per Invoice'!$K$2:$K$801,$N418)="","",INDEX('Per Invoice'!$K$2:$K$801,$N418)))</f>
        <v/>
      </c>
      <c r="L418" s="5">
        <f>IF($N418="","",IF(INDEX('Per Invoice'!$L$2:$L$801,$N418)="","",INDEX('Per Invoice'!$L$2:$L$801,$N418)))</f>
        <v/>
      </c>
      <c r="M418" s="5">
        <f>IF($N418="","",IF(INDEX('Per Invoice'!$M$2:$M$801,$N418)="","",INDEX('Per Invoice'!$M$2:$M$801,$N418)))</f>
        <v/>
      </c>
      <c r="N418">
        <f>IF(ROWS($N$2:$N418)&lt;=COUNT('Per Invoice'!$O$2:$O$801),MATCH(ROWS($N$2:$N418),'Per Invoice'!$O$2:$O$801,0),"")</f>
        <v/>
      </c>
    </row>
    <row r="419">
      <c r="A419">
        <f>IF($N419="","",IF(INDEX('Per Invoice'!$A$2:$A$801,$N419)="","",INDEX('Per Invoice'!$A$2:$A$801,$N419)))</f>
        <v/>
      </c>
      <c r="B419">
        <f>IF($N419="","",IF(INDEX('Per Invoice'!$B$2:$B$801,$N419)="","",INDEX('Per Invoice'!$B$2:$B$801,$N419)))</f>
        <v/>
      </c>
      <c r="C419">
        <f>IF($N419="","",IF(INDEX('Per Invoice'!$C$2:$C$801,$N419)="","",INDEX('Per Invoice'!$C$2:$C$801,$N419)))</f>
        <v/>
      </c>
      <c r="D419">
        <f>IF($N419="","",IF(INDEX('Per Invoice'!$D$2:$D$801,$N419)="","",INDEX('Per Invoice'!$D$2:$D$801,$N419)))</f>
        <v/>
      </c>
      <c r="E419">
        <f>IF($N419="","",IF(INDEX('Per Invoice'!$E$2:$E$801,$N419)="","",INDEX('Per Invoice'!$E$2:$E$801,$N419)))</f>
        <v/>
      </c>
      <c r="F419">
        <f>IF($N419="","",IF(INDEX('Per Invoice'!$F$2:$F$801,$N419)="","",INDEX('Per Invoice'!$F$2:$F$801,$N419)))</f>
        <v/>
      </c>
      <c r="G419">
        <f>IF($N419="","",IF(INDEX('Per Invoice'!$G$2:$G$801,$N419)="","",INDEX('Per Invoice'!$G$2:$G$801,$N419)))</f>
        <v/>
      </c>
      <c r="H419">
        <f>IF($N419="","",IF(INDEX('Per Invoice'!$H$2:$H$801,$N419)="","",INDEX('Per Invoice'!$H$2:$H$801,$N419)))</f>
        <v/>
      </c>
      <c r="I419" s="5">
        <f>IF($N419="","",IF(INDEX('Per Invoice'!$I$2:$I$801,$N419)="","",INDEX('Per Invoice'!$I$2:$I$801,$N419)))</f>
        <v/>
      </c>
      <c r="J419" s="5">
        <f>IF($N419="","",IF(INDEX('Per Invoice'!$J$2:$J$801,$N419)="","",INDEX('Per Invoice'!$J$2:$J$801,$N419)))</f>
        <v/>
      </c>
      <c r="K419" s="5">
        <f>IF($N419="","",IF(INDEX('Per Invoice'!$K$2:$K$801,$N419)="","",INDEX('Per Invoice'!$K$2:$K$801,$N419)))</f>
        <v/>
      </c>
      <c r="L419" s="5">
        <f>IF($N419="","",IF(INDEX('Per Invoice'!$L$2:$L$801,$N419)="","",INDEX('Per Invoice'!$L$2:$L$801,$N419)))</f>
        <v/>
      </c>
      <c r="M419" s="5">
        <f>IF($N419="","",IF(INDEX('Per Invoice'!$M$2:$M$801,$N419)="","",INDEX('Per Invoice'!$M$2:$M$801,$N419)))</f>
        <v/>
      </c>
      <c r="N419">
        <f>IF(ROWS($N$2:$N419)&lt;=COUNT('Per Invoice'!$O$2:$O$801),MATCH(ROWS($N$2:$N419),'Per Invoice'!$O$2:$O$801,0),"")</f>
        <v/>
      </c>
    </row>
    <row r="420">
      <c r="A420">
        <f>IF($N420="","",IF(INDEX('Per Invoice'!$A$2:$A$801,$N420)="","",INDEX('Per Invoice'!$A$2:$A$801,$N420)))</f>
        <v/>
      </c>
      <c r="B420">
        <f>IF($N420="","",IF(INDEX('Per Invoice'!$B$2:$B$801,$N420)="","",INDEX('Per Invoice'!$B$2:$B$801,$N420)))</f>
        <v/>
      </c>
      <c r="C420">
        <f>IF($N420="","",IF(INDEX('Per Invoice'!$C$2:$C$801,$N420)="","",INDEX('Per Invoice'!$C$2:$C$801,$N420)))</f>
        <v/>
      </c>
      <c r="D420">
        <f>IF($N420="","",IF(INDEX('Per Invoice'!$D$2:$D$801,$N420)="","",INDEX('Per Invoice'!$D$2:$D$801,$N420)))</f>
        <v/>
      </c>
      <c r="E420">
        <f>IF($N420="","",IF(INDEX('Per Invoice'!$E$2:$E$801,$N420)="","",INDEX('Per Invoice'!$E$2:$E$801,$N420)))</f>
        <v/>
      </c>
      <c r="F420">
        <f>IF($N420="","",IF(INDEX('Per Invoice'!$F$2:$F$801,$N420)="","",INDEX('Per Invoice'!$F$2:$F$801,$N420)))</f>
        <v/>
      </c>
      <c r="G420">
        <f>IF($N420="","",IF(INDEX('Per Invoice'!$G$2:$G$801,$N420)="","",INDEX('Per Invoice'!$G$2:$G$801,$N420)))</f>
        <v/>
      </c>
      <c r="H420">
        <f>IF($N420="","",IF(INDEX('Per Invoice'!$H$2:$H$801,$N420)="","",INDEX('Per Invoice'!$H$2:$H$801,$N420)))</f>
        <v/>
      </c>
      <c r="I420" s="5">
        <f>IF($N420="","",IF(INDEX('Per Invoice'!$I$2:$I$801,$N420)="","",INDEX('Per Invoice'!$I$2:$I$801,$N420)))</f>
        <v/>
      </c>
      <c r="J420" s="5">
        <f>IF($N420="","",IF(INDEX('Per Invoice'!$J$2:$J$801,$N420)="","",INDEX('Per Invoice'!$J$2:$J$801,$N420)))</f>
        <v/>
      </c>
      <c r="K420" s="5">
        <f>IF($N420="","",IF(INDEX('Per Invoice'!$K$2:$K$801,$N420)="","",INDEX('Per Invoice'!$K$2:$K$801,$N420)))</f>
        <v/>
      </c>
      <c r="L420" s="5">
        <f>IF($N420="","",IF(INDEX('Per Invoice'!$L$2:$L$801,$N420)="","",INDEX('Per Invoice'!$L$2:$L$801,$N420)))</f>
        <v/>
      </c>
      <c r="M420" s="5">
        <f>IF($N420="","",IF(INDEX('Per Invoice'!$M$2:$M$801,$N420)="","",INDEX('Per Invoice'!$M$2:$M$801,$N420)))</f>
        <v/>
      </c>
      <c r="N420">
        <f>IF(ROWS($N$2:$N420)&lt;=COUNT('Per Invoice'!$O$2:$O$801),MATCH(ROWS($N$2:$N420),'Per Invoice'!$O$2:$O$801,0),"")</f>
        <v/>
      </c>
    </row>
    <row r="421">
      <c r="A421">
        <f>IF($N421="","",IF(INDEX('Per Invoice'!$A$2:$A$801,$N421)="","",INDEX('Per Invoice'!$A$2:$A$801,$N421)))</f>
        <v/>
      </c>
      <c r="B421">
        <f>IF($N421="","",IF(INDEX('Per Invoice'!$B$2:$B$801,$N421)="","",INDEX('Per Invoice'!$B$2:$B$801,$N421)))</f>
        <v/>
      </c>
      <c r="C421">
        <f>IF($N421="","",IF(INDEX('Per Invoice'!$C$2:$C$801,$N421)="","",INDEX('Per Invoice'!$C$2:$C$801,$N421)))</f>
        <v/>
      </c>
      <c r="D421">
        <f>IF($N421="","",IF(INDEX('Per Invoice'!$D$2:$D$801,$N421)="","",INDEX('Per Invoice'!$D$2:$D$801,$N421)))</f>
        <v/>
      </c>
      <c r="E421">
        <f>IF($N421="","",IF(INDEX('Per Invoice'!$E$2:$E$801,$N421)="","",INDEX('Per Invoice'!$E$2:$E$801,$N421)))</f>
        <v/>
      </c>
      <c r="F421">
        <f>IF($N421="","",IF(INDEX('Per Invoice'!$F$2:$F$801,$N421)="","",INDEX('Per Invoice'!$F$2:$F$801,$N421)))</f>
        <v/>
      </c>
      <c r="G421">
        <f>IF($N421="","",IF(INDEX('Per Invoice'!$G$2:$G$801,$N421)="","",INDEX('Per Invoice'!$G$2:$G$801,$N421)))</f>
        <v/>
      </c>
      <c r="H421">
        <f>IF($N421="","",IF(INDEX('Per Invoice'!$H$2:$H$801,$N421)="","",INDEX('Per Invoice'!$H$2:$H$801,$N421)))</f>
        <v/>
      </c>
      <c r="I421" s="5">
        <f>IF($N421="","",IF(INDEX('Per Invoice'!$I$2:$I$801,$N421)="","",INDEX('Per Invoice'!$I$2:$I$801,$N421)))</f>
        <v/>
      </c>
      <c r="J421" s="5">
        <f>IF($N421="","",IF(INDEX('Per Invoice'!$J$2:$J$801,$N421)="","",INDEX('Per Invoice'!$J$2:$J$801,$N421)))</f>
        <v/>
      </c>
      <c r="K421" s="5">
        <f>IF($N421="","",IF(INDEX('Per Invoice'!$K$2:$K$801,$N421)="","",INDEX('Per Invoice'!$K$2:$K$801,$N421)))</f>
        <v/>
      </c>
      <c r="L421" s="5">
        <f>IF($N421="","",IF(INDEX('Per Invoice'!$L$2:$L$801,$N421)="","",INDEX('Per Invoice'!$L$2:$L$801,$N421)))</f>
        <v/>
      </c>
      <c r="M421" s="5">
        <f>IF($N421="","",IF(INDEX('Per Invoice'!$M$2:$M$801,$N421)="","",INDEX('Per Invoice'!$M$2:$M$801,$N421)))</f>
        <v/>
      </c>
      <c r="N421">
        <f>IF(ROWS($N$2:$N421)&lt;=COUNT('Per Invoice'!$O$2:$O$801),MATCH(ROWS($N$2:$N421),'Per Invoice'!$O$2:$O$801,0),"")</f>
        <v/>
      </c>
    </row>
    <row r="422">
      <c r="A422">
        <f>IF($N422="","",IF(INDEX('Per Invoice'!$A$2:$A$801,$N422)="","",INDEX('Per Invoice'!$A$2:$A$801,$N422)))</f>
        <v/>
      </c>
      <c r="B422">
        <f>IF($N422="","",IF(INDEX('Per Invoice'!$B$2:$B$801,$N422)="","",INDEX('Per Invoice'!$B$2:$B$801,$N422)))</f>
        <v/>
      </c>
      <c r="C422">
        <f>IF($N422="","",IF(INDEX('Per Invoice'!$C$2:$C$801,$N422)="","",INDEX('Per Invoice'!$C$2:$C$801,$N422)))</f>
        <v/>
      </c>
      <c r="D422">
        <f>IF($N422="","",IF(INDEX('Per Invoice'!$D$2:$D$801,$N422)="","",INDEX('Per Invoice'!$D$2:$D$801,$N422)))</f>
        <v/>
      </c>
      <c r="E422">
        <f>IF($N422="","",IF(INDEX('Per Invoice'!$E$2:$E$801,$N422)="","",INDEX('Per Invoice'!$E$2:$E$801,$N422)))</f>
        <v/>
      </c>
      <c r="F422">
        <f>IF($N422="","",IF(INDEX('Per Invoice'!$F$2:$F$801,$N422)="","",INDEX('Per Invoice'!$F$2:$F$801,$N422)))</f>
        <v/>
      </c>
      <c r="G422">
        <f>IF($N422="","",IF(INDEX('Per Invoice'!$G$2:$G$801,$N422)="","",INDEX('Per Invoice'!$G$2:$G$801,$N422)))</f>
        <v/>
      </c>
      <c r="H422">
        <f>IF($N422="","",IF(INDEX('Per Invoice'!$H$2:$H$801,$N422)="","",INDEX('Per Invoice'!$H$2:$H$801,$N422)))</f>
        <v/>
      </c>
      <c r="I422" s="5">
        <f>IF($N422="","",IF(INDEX('Per Invoice'!$I$2:$I$801,$N422)="","",INDEX('Per Invoice'!$I$2:$I$801,$N422)))</f>
        <v/>
      </c>
      <c r="J422" s="5">
        <f>IF($N422="","",IF(INDEX('Per Invoice'!$J$2:$J$801,$N422)="","",INDEX('Per Invoice'!$J$2:$J$801,$N422)))</f>
        <v/>
      </c>
      <c r="K422" s="5">
        <f>IF($N422="","",IF(INDEX('Per Invoice'!$K$2:$K$801,$N422)="","",INDEX('Per Invoice'!$K$2:$K$801,$N422)))</f>
        <v/>
      </c>
      <c r="L422" s="5">
        <f>IF($N422="","",IF(INDEX('Per Invoice'!$L$2:$L$801,$N422)="","",INDEX('Per Invoice'!$L$2:$L$801,$N422)))</f>
        <v/>
      </c>
      <c r="M422" s="5">
        <f>IF($N422="","",IF(INDEX('Per Invoice'!$M$2:$M$801,$N422)="","",INDEX('Per Invoice'!$M$2:$M$801,$N422)))</f>
        <v/>
      </c>
      <c r="N422">
        <f>IF(ROWS($N$2:$N422)&lt;=COUNT('Per Invoice'!$O$2:$O$801),MATCH(ROWS($N$2:$N422),'Per Invoice'!$O$2:$O$801,0),"")</f>
        <v/>
      </c>
    </row>
    <row r="423">
      <c r="A423">
        <f>IF($N423="","",IF(INDEX('Per Invoice'!$A$2:$A$801,$N423)="","",INDEX('Per Invoice'!$A$2:$A$801,$N423)))</f>
        <v/>
      </c>
      <c r="B423">
        <f>IF($N423="","",IF(INDEX('Per Invoice'!$B$2:$B$801,$N423)="","",INDEX('Per Invoice'!$B$2:$B$801,$N423)))</f>
        <v/>
      </c>
      <c r="C423">
        <f>IF($N423="","",IF(INDEX('Per Invoice'!$C$2:$C$801,$N423)="","",INDEX('Per Invoice'!$C$2:$C$801,$N423)))</f>
        <v/>
      </c>
      <c r="D423">
        <f>IF($N423="","",IF(INDEX('Per Invoice'!$D$2:$D$801,$N423)="","",INDEX('Per Invoice'!$D$2:$D$801,$N423)))</f>
        <v/>
      </c>
      <c r="E423">
        <f>IF($N423="","",IF(INDEX('Per Invoice'!$E$2:$E$801,$N423)="","",INDEX('Per Invoice'!$E$2:$E$801,$N423)))</f>
        <v/>
      </c>
      <c r="F423">
        <f>IF($N423="","",IF(INDEX('Per Invoice'!$F$2:$F$801,$N423)="","",INDEX('Per Invoice'!$F$2:$F$801,$N423)))</f>
        <v/>
      </c>
      <c r="G423">
        <f>IF($N423="","",IF(INDEX('Per Invoice'!$G$2:$G$801,$N423)="","",INDEX('Per Invoice'!$G$2:$G$801,$N423)))</f>
        <v/>
      </c>
      <c r="H423">
        <f>IF($N423="","",IF(INDEX('Per Invoice'!$H$2:$H$801,$N423)="","",INDEX('Per Invoice'!$H$2:$H$801,$N423)))</f>
        <v/>
      </c>
      <c r="I423" s="5">
        <f>IF($N423="","",IF(INDEX('Per Invoice'!$I$2:$I$801,$N423)="","",INDEX('Per Invoice'!$I$2:$I$801,$N423)))</f>
        <v/>
      </c>
      <c r="J423" s="5">
        <f>IF($N423="","",IF(INDEX('Per Invoice'!$J$2:$J$801,$N423)="","",INDEX('Per Invoice'!$J$2:$J$801,$N423)))</f>
        <v/>
      </c>
      <c r="K423" s="5">
        <f>IF($N423="","",IF(INDEX('Per Invoice'!$K$2:$K$801,$N423)="","",INDEX('Per Invoice'!$K$2:$K$801,$N423)))</f>
        <v/>
      </c>
      <c r="L423" s="5">
        <f>IF($N423="","",IF(INDEX('Per Invoice'!$L$2:$L$801,$N423)="","",INDEX('Per Invoice'!$L$2:$L$801,$N423)))</f>
        <v/>
      </c>
      <c r="M423" s="5">
        <f>IF($N423="","",IF(INDEX('Per Invoice'!$M$2:$M$801,$N423)="","",INDEX('Per Invoice'!$M$2:$M$801,$N423)))</f>
        <v/>
      </c>
      <c r="N423">
        <f>IF(ROWS($N$2:$N423)&lt;=COUNT('Per Invoice'!$O$2:$O$801),MATCH(ROWS($N$2:$N423),'Per Invoice'!$O$2:$O$801,0),"")</f>
        <v/>
      </c>
    </row>
    <row r="424">
      <c r="A424">
        <f>IF($N424="","",IF(INDEX('Per Invoice'!$A$2:$A$801,$N424)="","",INDEX('Per Invoice'!$A$2:$A$801,$N424)))</f>
        <v/>
      </c>
      <c r="B424">
        <f>IF($N424="","",IF(INDEX('Per Invoice'!$B$2:$B$801,$N424)="","",INDEX('Per Invoice'!$B$2:$B$801,$N424)))</f>
        <v/>
      </c>
      <c r="C424">
        <f>IF($N424="","",IF(INDEX('Per Invoice'!$C$2:$C$801,$N424)="","",INDEX('Per Invoice'!$C$2:$C$801,$N424)))</f>
        <v/>
      </c>
      <c r="D424">
        <f>IF($N424="","",IF(INDEX('Per Invoice'!$D$2:$D$801,$N424)="","",INDEX('Per Invoice'!$D$2:$D$801,$N424)))</f>
        <v/>
      </c>
      <c r="E424">
        <f>IF($N424="","",IF(INDEX('Per Invoice'!$E$2:$E$801,$N424)="","",INDEX('Per Invoice'!$E$2:$E$801,$N424)))</f>
        <v/>
      </c>
      <c r="F424">
        <f>IF($N424="","",IF(INDEX('Per Invoice'!$F$2:$F$801,$N424)="","",INDEX('Per Invoice'!$F$2:$F$801,$N424)))</f>
        <v/>
      </c>
      <c r="G424">
        <f>IF($N424="","",IF(INDEX('Per Invoice'!$G$2:$G$801,$N424)="","",INDEX('Per Invoice'!$G$2:$G$801,$N424)))</f>
        <v/>
      </c>
      <c r="H424">
        <f>IF($N424="","",IF(INDEX('Per Invoice'!$H$2:$H$801,$N424)="","",INDEX('Per Invoice'!$H$2:$H$801,$N424)))</f>
        <v/>
      </c>
      <c r="I424" s="5">
        <f>IF($N424="","",IF(INDEX('Per Invoice'!$I$2:$I$801,$N424)="","",INDEX('Per Invoice'!$I$2:$I$801,$N424)))</f>
        <v/>
      </c>
      <c r="J424" s="5">
        <f>IF($N424="","",IF(INDEX('Per Invoice'!$J$2:$J$801,$N424)="","",INDEX('Per Invoice'!$J$2:$J$801,$N424)))</f>
        <v/>
      </c>
      <c r="K424" s="5">
        <f>IF($N424="","",IF(INDEX('Per Invoice'!$K$2:$K$801,$N424)="","",INDEX('Per Invoice'!$K$2:$K$801,$N424)))</f>
        <v/>
      </c>
      <c r="L424" s="5">
        <f>IF($N424="","",IF(INDEX('Per Invoice'!$L$2:$L$801,$N424)="","",INDEX('Per Invoice'!$L$2:$L$801,$N424)))</f>
        <v/>
      </c>
      <c r="M424" s="5">
        <f>IF($N424="","",IF(INDEX('Per Invoice'!$M$2:$M$801,$N424)="","",INDEX('Per Invoice'!$M$2:$M$801,$N424)))</f>
        <v/>
      </c>
      <c r="N424">
        <f>IF(ROWS($N$2:$N424)&lt;=COUNT('Per Invoice'!$O$2:$O$801),MATCH(ROWS($N$2:$N424),'Per Invoice'!$O$2:$O$801,0),"")</f>
        <v/>
      </c>
    </row>
    <row r="425">
      <c r="A425">
        <f>IF($N425="","",IF(INDEX('Per Invoice'!$A$2:$A$801,$N425)="","",INDEX('Per Invoice'!$A$2:$A$801,$N425)))</f>
        <v/>
      </c>
      <c r="B425">
        <f>IF($N425="","",IF(INDEX('Per Invoice'!$B$2:$B$801,$N425)="","",INDEX('Per Invoice'!$B$2:$B$801,$N425)))</f>
        <v/>
      </c>
      <c r="C425">
        <f>IF($N425="","",IF(INDEX('Per Invoice'!$C$2:$C$801,$N425)="","",INDEX('Per Invoice'!$C$2:$C$801,$N425)))</f>
        <v/>
      </c>
      <c r="D425">
        <f>IF($N425="","",IF(INDEX('Per Invoice'!$D$2:$D$801,$N425)="","",INDEX('Per Invoice'!$D$2:$D$801,$N425)))</f>
        <v/>
      </c>
      <c r="E425">
        <f>IF($N425="","",IF(INDEX('Per Invoice'!$E$2:$E$801,$N425)="","",INDEX('Per Invoice'!$E$2:$E$801,$N425)))</f>
        <v/>
      </c>
      <c r="F425">
        <f>IF($N425="","",IF(INDEX('Per Invoice'!$F$2:$F$801,$N425)="","",INDEX('Per Invoice'!$F$2:$F$801,$N425)))</f>
        <v/>
      </c>
      <c r="G425">
        <f>IF($N425="","",IF(INDEX('Per Invoice'!$G$2:$G$801,$N425)="","",INDEX('Per Invoice'!$G$2:$G$801,$N425)))</f>
        <v/>
      </c>
      <c r="H425">
        <f>IF($N425="","",IF(INDEX('Per Invoice'!$H$2:$H$801,$N425)="","",INDEX('Per Invoice'!$H$2:$H$801,$N425)))</f>
        <v/>
      </c>
      <c r="I425" s="5">
        <f>IF($N425="","",IF(INDEX('Per Invoice'!$I$2:$I$801,$N425)="","",INDEX('Per Invoice'!$I$2:$I$801,$N425)))</f>
        <v/>
      </c>
      <c r="J425" s="5">
        <f>IF($N425="","",IF(INDEX('Per Invoice'!$J$2:$J$801,$N425)="","",INDEX('Per Invoice'!$J$2:$J$801,$N425)))</f>
        <v/>
      </c>
      <c r="K425" s="5">
        <f>IF($N425="","",IF(INDEX('Per Invoice'!$K$2:$K$801,$N425)="","",INDEX('Per Invoice'!$K$2:$K$801,$N425)))</f>
        <v/>
      </c>
      <c r="L425" s="5">
        <f>IF($N425="","",IF(INDEX('Per Invoice'!$L$2:$L$801,$N425)="","",INDEX('Per Invoice'!$L$2:$L$801,$N425)))</f>
        <v/>
      </c>
      <c r="M425" s="5">
        <f>IF($N425="","",IF(INDEX('Per Invoice'!$M$2:$M$801,$N425)="","",INDEX('Per Invoice'!$M$2:$M$801,$N425)))</f>
        <v/>
      </c>
      <c r="N425">
        <f>IF(ROWS($N$2:$N425)&lt;=COUNT('Per Invoice'!$O$2:$O$801),MATCH(ROWS($N$2:$N425),'Per Invoice'!$O$2:$O$801,0),"")</f>
        <v/>
      </c>
    </row>
    <row r="426">
      <c r="A426">
        <f>IF($N426="","",IF(INDEX('Per Invoice'!$A$2:$A$801,$N426)="","",INDEX('Per Invoice'!$A$2:$A$801,$N426)))</f>
        <v/>
      </c>
      <c r="B426">
        <f>IF($N426="","",IF(INDEX('Per Invoice'!$B$2:$B$801,$N426)="","",INDEX('Per Invoice'!$B$2:$B$801,$N426)))</f>
        <v/>
      </c>
      <c r="C426">
        <f>IF($N426="","",IF(INDEX('Per Invoice'!$C$2:$C$801,$N426)="","",INDEX('Per Invoice'!$C$2:$C$801,$N426)))</f>
        <v/>
      </c>
      <c r="D426">
        <f>IF($N426="","",IF(INDEX('Per Invoice'!$D$2:$D$801,$N426)="","",INDEX('Per Invoice'!$D$2:$D$801,$N426)))</f>
        <v/>
      </c>
      <c r="E426">
        <f>IF($N426="","",IF(INDEX('Per Invoice'!$E$2:$E$801,$N426)="","",INDEX('Per Invoice'!$E$2:$E$801,$N426)))</f>
        <v/>
      </c>
      <c r="F426">
        <f>IF($N426="","",IF(INDEX('Per Invoice'!$F$2:$F$801,$N426)="","",INDEX('Per Invoice'!$F$2:$F$801,$N426)))</f>
        <v/>
      </c>
      <c r="G426">
        <f>IF($N426="","",IF(INDEX('Per Invoice'!$G$2:$G$801,$N426)="","",INDEX('Per Invoice'!$G$2:$G$801,$N426)))</f>
        <v/>
      </c>
      <c r="H426">
        <f>IF($N426="","",IF(INDEX('Per Invoice'!$H$2:$H$801,$N426)="","",INDEX('Per Invoice'!$H$2:$H$801,$N426)))</f>
        <v/>
      </c>
      <c r="I426" s="5">
        <f>IF($N426="","",IF(INDEX('Per Invoice'!$I$2:$I$801,$N426)="","",INDEX('Per Invoice'!$I$2:$I$801,$N426)))</f>
        <v/>
      </c>
      <c r="J426" s="5">
        <f>IF($N426="","",IF(INDEX('Per Invoice'!$J$2:$J$801,$N426)="","",INDEX('Per Invoice'!$J$2:$J$801,$N426)))</f>
        <v/>
      </c>
      <c r="K426" s="5">
        <f>IF($N426="","",IF(INDEX('Per Invoice'!$K$2:$K$801,$N426)="","",INDEX('Per Invoice'!$K$2:$K$801,$N426)))</f>
        <v/>
      </c>
      <c r="L426" s="5">
        <f>IF($N426="","",IF(INDEX('Per Invoice'!$L$2:$L$801,$N426)="","",INDEX('Per Invoice'!$L$2:$L$801,$N426)))</f>
        <v/>
      </c>
      <c r="M426" s="5">
        <f>IF($N426="","",IF(INDEX('Per Invoice'!$M$2:$M$801,$N426)="","",INDEX('Per Invoice'!$M$2:$M$801,$N426)))</f>
        <v/>
      </c>
      <c r="N426">
        <f>IF(ROWS($N$2:$N426)&lt;=COUNT('Per Invoice'!$O$2:$O$801),MATCH(ROWS($N$2:$N426),'Per Invoice'!$O$2:$O$801,0),"")</f>
        <v/>
      </c>
    </row>
    <row r="427">
      <c r="A427">
        <f>IF($N427="","",IF(INDEX('Per Invoice'!$A$2:$A$801,$N427)="","",INDEX('Per Invoice'!$A$2:$A$801,$N427)))</f>
        <v/>
      </c>
      <c r="B427">
        <f>IF($N427="","",IF(INDEX('Per Invoice'!$B$2:$B$801,$N427)="","",INDEX('Per Invoice'!$B$2:$B$801,$N427)))</f>
        <v/>
      </c>
      <c r="C427">
        <f>IF($N427="","",IF(INDEX('Per Invoice'!$C$2:$C$801,$N427)="","",INDEX('Per Invoice'!$C$2:$C$801,$N427)))</f>
        <v/>
      </c>
      <c r="D427">
        <f>IF($N427="","",IF(INDEX('Per Invoice'!$D$2:$D$801,$N427)="","",INDEX('Per Invoice'!$D$2:$D$801,$N427)))</f>
        <v/>
      </c>
      <c r="E427">
        <f>IF($N427="","",IF(INDEX('Per Invoice'!$E$2:$E$801,$N427)="","",INDEX('Per Invoice'!$E$2:$E$801,$N427)))</f>
        <v/>
      </c>
      <c r="F427">
        <f>IF($N427="","",IF(INDEX('Per Invoice'!$F$2:$F$801,$N427)="","",INDEX('Per Invoice'!$F$2:$F$801,$N427)))</f>
        <v/>
      </c>
      <c r="G427">
        <f>IF($N427="","",IF(INDEX('Per Invoice'!$G$2:$G$801,$N427)="","",INDEX('Per Invoice'!$G$2:$G$801,$N427)))</f>
        <v/>
      </c>
      <c r="H427">
        <f>IF($N427="","",IF(INDEX('Per Invoice'!$H$2:$H$801,$N427)="","",INDEX('Per Invoice'!$H$2:$H$801,$N427)))</f>
        <v/>
      </c>
      <c r="I427" s="5">
        <f>IF($N427="","",IF(INDEX('Per Invoice'!$I$2:$I$801,$N427)="","",INDEX('Per Invoice'!$I$2:$I$801,$N427)))</f>
        <v/>
      </c>
      <c r="J427" s="5">
        <f>IF($N427="","",IF(INDEX('Per Invoice'!$J$2:$J$801,$N427)="","",INDEX('Per Invoice'!$J$2:$J$801,$N427)))</f>
        <v/>
      </c>
      <c r="K427" s="5">
        <f>IF($N427="","",IF(INDEX('Per Invoice'!$K$2:$K$801,$N427)="","",INDEX('Per Invoice'!$K$2:$K$801,$N427)))</f>
        <v/>
      </c>
      <c r="L427" s="5">
        <f>IF($N427="","",IF(INDEX('Per Invoice'!$L$2:$L$801,$N427)="","",INDEX('Per Invoice'!$L$2:$L$801,$N427)))</f>
        <v/>
      </c>
      <c r="M427" s="5">
        <f>IF($N427="","",IF(INDEX('Per Invoice'!$M$2:$M$801,$N427)="","",INDEX('Per Invoice'!$M$2:$M$801,$N427)))</f>
        <v/>
      </c>
      <c r="N427">
        <f>IF(ROWS($N$2:$N427)&lt;=COUNT('Per Invoice'!$O$2:$O$801),MATCH(ROWS($N$2:$N427),'Per Invoice'!$O$2:$O$801,0),"")</f>
        <v/>
      </c>
    </row>
    <row r="428">
      <c r="A428">
        <f>IF($N428="","",IF(INDEX('Per Invoice'!$A$2:$A$801,$N428)="","",INDEX('Per Invoice'!$A$2:$A$801,$N428)))</f>
        <v/>
      </c>
      <c r="B428">
        <f>IF($N428="","",IF(INDEX('Per Invoice'!$B$2:$B$801,$N428)="","",INDEX('Per Invoice'!$B$2:$B$801,$N428)))</f>
        <v/>
      </c>
      <c r="C428">
        <f>IF($N428="","",IF(INDEX('Per Invoice'!$C$2:$C$801,$N428)="","",INDEX('Per Invoice'!$C$2:$C$801,$N428)))</f>
        <v/>
      </c>
      <c r="D428">
        <f>IF($N428="","",IF(INDEX('Per Invoice'!$D$2:$D$801,$N428)="","",INDEX('Per Invoice'!$D$2:$D$801,$N428)))</f>
        <v/>
      </c>
      <c r="E428">
        <f>IF($N428="","",IF(INDEX('Per Invoice'!$E$2:$E$801,$N428)="","",INDEX('Per Invoice'!$E$2:$E$801,$N428)))</f>
        <v/>
      </c>
      <c r="F428">
        <f>IF($N428="","",IF(INDEX('Per Invoice'!$F$2:$F$801,$N428)="","",INDEX('Per Invoice'!$F$2:$F$801,$N428)))</f>
        <v/>
      </c>
      <c r="G428">
        <f>IF($N428="","",IF(INDEX('Per Invoice'!$G$2:$G$801,$N428)="","",INDEX('Per Invoice'!$G$2:$G$801,$N428)))</f>
        <v/>
      </c>
      <c r="H428">
        <f>IF($N428="","",IF(INDEX('Per Invoice'!$H$2:$H$801,$N428)="","",INDEX('Per Invoice'!$H$2:$H$801,$N428)))</f>
        <v/>
      </c>
      <c r="I428" s="5">
        <f>IF($N428="","",IF(INDEX('Per Invoice'!$I$2:$I$801,$N428)="","",INDEX('Per Invoice'!$I$2:$I$801,$N428)))</f>
        <v/>
      </c>
      <c r="J428" s="5">
        <f>IF($N428="","",IF(INDEX('Per Invoice'!$J$2:$J$801,$N428)="","",INDEX('Per Invoice'!$J$2:$J$801,$N428)))</f>
        <v/>
      </c>
      <c r="K428" s="5">
        <f>IF($N428="","",IF(INDEX('Per Invoice'!$K$2:$K$801,$N428)="","",INDEX('Per Invoice'!$K$2:$K$801,$N428)))</f>
        <v/>
      </c>
      <c r="L428" s="5">
        <f>IF($N428="","",IF(INDEX('Per Invoice'!$L$2:$L$801,$N428)="","",INDEX('Per Invoice'!$L$2:$L$801,$N428)))</f>
        <v/>
      </c>
      <c r="M428" s="5">
        <f>IF($N428="","",IF(INDEX('Per Invoice'!$M$2:$M$801,$N428)="","",INDEX('Per Invoice'!$M$2:$M$801,$N428)))</f>
        <v/>
      </c>
      <c r="N428">
        <f>IF(ROWS($N$2:$N428)&lt;=COUNT('Per Invoice'!$O$2:$O$801),MATCH(ROWS($N$2:$N428),'Per Invoice'!$O$2:$O$801,0),"")</f>
        <v/>
      </c>
    </row>
    <row r="429">
      <c r="A429">
        <f>IF($N429="","",IF(INDEX('Per Invoice'!$A$2:$A$801,$N429)="","",INDEX('Per Invoice'!$A$2:$A$801,$N429)))</f>
        <v/>
      </c>
      <c r="B429">
        <f>IF($N429="","",IF(INDEX('Per Invoice'!$B$2:$B$801,$N429)="","",INDEX('Per Invoice'!$B$2:$B$801,$N429)))</f>
        <v/>
      </c>
      <c r="C429">
        <f>IF($N429="","",IF(INDEX('Per Invoice'!$C$2:$C$801,$N429)="","",INDEX('Per Invoice'!$C$2:$C$801,$N429)))</f>
        <v/>
      </c>
      <c r="D429">
        <f>IF($N429="","",IF(INDEX('Per Invoice'!$D$2:$D$801,$N429)="","",INDEX('Per Invoice'!$D$2:$D$801,$N429)))</f>
        <v/>
      </c>
      <c r="E429">
        <f>IF($N429="","",IF(INDEX('Per Invoice'!$E$2:$E$801,$N429)="","",INDEX('Per Invoice'!$E$2:$E$801,$N429)))</f>
        <v/>
      </c>
      <c r="F429">
        <f>IF($N429="","",IF(INDEX('Per Invoice'!$F$2:$F$801,$N429)="","",INDEX('Per Invoice'!$F$2:$F$801,$N429)))</f>
        <v/>
      </c>
      <c r="G429">
        <f>IF($N429="","",IF(INDEX('Per Invoice'!$G$2:$G$801,$N429)="","",INDEX('Per Invoice'!$G$2:$G$801,$N429)))</f>
        <v/>
      </c>
      <c r="H429">
        <f>IF($N429="","",IF(INDEX('Per Invoice'!$H$2:$H$801,$N429)="","",INDEX('Per Invoice'!$H$2:$H$801,$N429)))</f>
        <v/>
      </c>
      <c r="I429" s="5">
        <f>IF($N429="","",IF(INDEX('Per Invoice'!$I$2:$I$801,$N429)="","",INDEX('Per Invoice'!$I$2:$I$801,$N429)))</f>
        <v/>
      </c>
      <c r="J429" s="5">
        <f>IF($N429="","",IF(INDEX('Per Invoice'!$J$2:$J$801,$N429)="","",INDEX('Per Invoice'!$J$2:$J$801,$N429)))</f>
        <v/>
      </c>
      <c r="K429" s="5">
        <f>IF($N429="","",IF(INDEX('Per Invoice'!$K$2:$K$801,$N429)="","",INDEX('Per Invoice'!$K$2:$K$801,$N429)))</f>
        <v/>
      </c>
      <c r="L429" s="5">
        <f>IF($N429="","",IF(INDEX('Per Invoice'!$L$2:$L$801,$N429)="","",INDEX('Per Invoice'!$L$2:$L$801,$N429)))</f>
        <v/>
      </c>
      <c r="M429" s="5">
        <f>IF($N429="","",IF(INDEX('Per Invoice'!$M$2:$M$801,$N429)="","",INDEX('Per Invoice'!$M$2:$M$801,$N429)))</f>
        <v/>
      </c>
      <c r="N429">
        <f>IF(ROWS($N$2:$N429)&lt;=COUNT('Per Invoice'!$O$2:$O$801),MATCH(ROWS($N$2:$N429),'Per Invoice'!$O$2:$O$801,0),"")</f>
        <v/>
      </c>
    </row>
    <row r="430">
      <c r="A430">
        <f>IF($N430="","",IF(INDEX('Per Invoice'!$A$2:$A$801,$N430)="","",INDEX('Per Invoice'!$A$2:$A$801,$N430)))</f>
        <v/>
      </c>
      <c r="B430">
        <f>IF($N430="","",IF(INDEX('Per Invoice'!$B$2:$B$801,$N430)="","",INDEX('Per Invoice'!$B$2:$B$801,$N430)))</f>
        <v/>
      </c>
      <c r="C430">
        <f>IF($N430="","",IF(INDEX('Per Invoice'!$C$2:$C$801,$N430)="","",INDEX('Per Invoice'!$C$2:$C$801,$N430)))</f>
        <v/>
      </c>
      <c r="D430">
        <f>IF($N430="","",IF(INDEX('Per Invoice'!$D$2:$D$801,$N430)="","",INDEX('Per Invoice'!$D$2:$D$801,$N430)))</f>
        <v/>
      </c>
      <c r="E430">
        <f>IF($N430="","",IF(INDEX('Per Invoice'!$E$2:$E$801,$N430)="","",INDEX('Per Invoice'!$E$2:$E$801,$N430)))</f>
        <v/>
      </c>
      <c r="F430">
        <f>IF($N430="","",IF(INDEX('Per Invoice'!$F$2:$F$801,$N430)="","",INDEX('Per Invoice'!$F$2:$F$801,$N430)))</f>
        <v/>
      </c>
      <c r="G430">
        <f>IF($N430="","",IF(INDEX('Per Invoice'!$G$2:$G$801,$N430)="","",INDEX('Per Invoice'!$G$2:$G$801,$N430)))</f>
        <v/>
      </c>
      <c r="H430">
        <f>IF($N430="","",IF(INDEX('Per Invoice'!$H$2:$H$801,$N430)="","",INDEX('Per Invoice'!$H$2:$H$801,$N430)))</f>
        <v/>
      </c>
      <c r="I430" s="5">
        <f>IF($N430="","",IF(INDEX('Per Invoice'!$I$2:$I$801,$N430)="","",INDEX('Per Invoice'!$I$2:$I$801,$N430)))</f>
        <v/>
      </c>
      <c r="J430" s="5">
        <f>IF($N430="","",IF(INDEX('Per Invoice'!$J$2:$J$801,$N430)="","",INDEX('Per Invoice'!$J$2:$J$801,$N430)))</f>
        <v/>
      </c>
      <c r="K430" s="5">
        <f>IF($N430="","",IF(INDEX('Per Invoice'!$K$2:$K$801,$N430)="","",INDEX('Per Invoice'!$K$2:$K$801,$N430)))</f>
        <v/>
      </c>
      <c r="L430" s="5">
        <f>IF($N430="","",IF(INDEX('Per Invoice'!$L$2:$L$801,$N430)="","",INDEX('Per Invoice'!$L$2:$L$801,$N430)))</f>
        <v/>
      </c>
      <c r="M430" s="5">
        <f>IF($N430="","",IF(INDEX('Per Invoice'!$M$2:$M$801,$N430)="","",INDEX('Per Invoice'!$M$2:$M$801,$N430)))</f>
        <v/>
      </c>
      <c r="N430">
        <f>IF(ROWS($N$2:$N430)&lt;=COUNT('Per Invoice'!$O$2:$O$801),MATCH(ROWS($N$2:$N430),'Per Invoice'!$O$2:$O$801,0),"")</f>
        <v/>
      </c>
    </row>
    <row r="431">
      <c r="A431">
        <f>IF($N431="","",IF(INDEX('Per Invoice'!$A$2:$A$801,$N431)="","",INDEX('Per Invoice'!$A$2:$A$801,$N431)))</f>
        <v/>
      </c>
      <c r="B431">
        <f>IF($N431="","",IF(INDEX('Per Invoice'!$B$2:$B$801,$N431)="","",INDEX('Per Invoice'!$B$2:$B$801,$N431)))</f>
        <v/>
      </c>
      <c r="C431">
        <f>IF($N431="","",IF(INDEX('Per Invoice'!$C$2:$C$801,$N431)="","",INDEX('Per Invoice'!$C$2:$C$801,$N431)))</f>
        <v/>
      </c>
      <c r="D431">
        <f>IF($N431="","",IF(INDEX('Per Invoice'!$D$2:$D$801,$N431)="","",INDEX('Per Invoice'!$D$2:$D$801,$N431)))</f>
        <v/>
      </c>
      <c r="E431">
        <f>IF($N431="","",IF(INDEX('Per Invoice'!$E$2:$E$801,$N431)="","",INDEX('Per Invoice'!$E$2:$E$801,$N431)))</f>
        <v/>
      </c>
      <c r="F431">
        <f>IF($N431="","",IF(INDEX('Per Invoice'!$F$2:$F$801,$N431)="","",INDEX('Per Invoice'!$F$2:$F$801,$N431)))</f>
        <v/>
      </c>
      <c r="G431">
        <f>IF($N431="","",IF(INDEX('Per Invoice'!$G$2:$G$801,$N431)="","",INDEX('Per Invoice'!$G$2:$G$801,$N431)))</f>
        <v/>
      </c>
      <c r="H431">
        <f>IF($N431="","",IF(INDEX('Per Invoice'!$H$2:$H$801,$N431)="","",INDEX('Per Invoice'!$H$2:$H$801,$N431)))</f>
        <v/>
      </c>
      <c r="I431" s="5">
        <f>IF($N431="","",IF(INDEX('Per Invoice'!$I$2:$I$801,$N431)="","",INDEX('Per Invoice'!$I$2:$I$801,$N431)))</f>
        <v/>
      </c>
      <c r="J431" s="5">
        <f>IF($N431="","",IF(INDEX('Per Invoice'!$J$2:$J$801,$N431)="","",INDEX('Per Invoice'!$J$2:$J$801,$N431)))</f>
        <v/>
      </c>
      <c r="K431" s="5">
        <f>IF($N431="","",IF(INDEX('Per Invoice'!$K$2:$K$801,$N431)="","",INDEX('Per Invoice'!$K$2:$K$801,$N431)))</f>
        <v/>
      </c>
      <c r="L431" s="5">
        <f>IF($N431="","",IF(INDEX('Per Invoice'!$L$2:$L$801,$N431)="","",INDEX('Per Invoice'!$L$2:$L$801,$N431)))</f>
        <v/>
      </c>
      <c r="M431" s="5">
        <f>IF($N431="","",IF(INDEX('Per Invoice'!$M$2:$M$801,$N431)="","",INDEX('Per Invoice'!$M$2:$M$801,$N431)))</f>
        <v/>
      </c>
      <c r="N431">
        <f>IF(ROWS($N$2:$N431)&lt;=COUNT('Per Invoice'!$O$2:$O$801),MATCH(ROWS($N$2:$N431),'Per Invoice'!$O$2:$O$801,0),"")</f>
        <v/>
      </c>
    </row>
    <row r="432">
      <c r="A432">
        <f>IF($N432="","",IF(INDEX('Per Invoice'!$A$2:$A$801,$N432)="","",INDEX('Per Invoice'!$A$2:$A$801,$N432)))</f>
        <v/>
      </c>
      <c r="B432">
        <f>IF($N432="","",IF(INDEX('Per Invoice'!$B$2:$B$801,$N432)="","",INDEX('Per Invoice'!$B$2:$B$801,$N432)))</f>
        <v/>
      </c>
      <c r="C432">
        <f>IF($N432="","",IF(INDEX('Per Invoice'!$C$2:$C$801,$N432)="","",INDEX('Per Invoice'!$C$2:$C$801,$N432)))</f>
        <v/>
      </c>
      <c r="D432">
        <f>IF($N432="","",IF(INDEX('Per Invoice'!$D$2:$D$801,$N432)="","",INDEX('Per Invoice'!$D$2:$D$801,$N432)))</f>
        <v/>
      </c>
      <c r="E432">
        <f>IF($N432="","",IF(INDEX('Per Invoice'!$E$2:$E$801,$N432)="","",INDEX('Per Invoice'!$E$2:$E$801,$N432)))</f>
        <v/>
      </c>
      <c r="F432">
        <f>IF($N432="","",IF(INDEX('Per Invoice'!$F$2:$F$801,$N432)="","",INDEX('Per Invoice'!$F$2:$F$801,$N432)))</f>
        <v/>
      </c>
      <c r="G432">
        <f>IF($N432="","",IF(INDEX('Per Invoice'!$G$2:$G$801,$N432)="","",INDEX('Per Invoice'!$G$2:$G$801,$N432)))</f>
        <v/>
      </c>
      <c r="H432">
        <f>IF($N432="","",IF(INDEX('Per Invoice'!$H$2:$H$801,$N432)="","",INDEX('Per Invoice'!$H$2:$H$801,$N432)))</f>
        <v/>
      </c>
      <c r="I432" s="5">
        <f>IF($N432="","",IF(INDEX('Per Invoice'!$I$2:$I$801,$N432)="","",INDEX('Per Invoice'!$I$2:$I$801,$N432)))</f>
        <v/>
      </c>
      <c r="J432" s="5">
        <f>IF($N432="","",IF(INDEX('Per Invoice'!$J$2:$J$801,$N432)="","",INDEX('Per Invoice'!$J$2:$J$801,$N432)))</f>
        <v/>
      </c>
      <c r="K432" s="5">
        <f>IF($N432="","",IF(INDEX('Per Invoice'!$K$2:$K$801,$N432)="","",INDEX('Per Invoice'!$K$2:$K$801,$N432)))</f>
        <v/>
      </c>
      <c r="L432" s="5">
        <f>IF($N432="","",IF(INDEX('Per Invoice'!$L$2:$L$801,$N432)="","",INDEX('Per Invoice'!$L$2:$L$801,$N432)))</f>
        <v/>
      </c>
      <c r="M432" s="5">
        <f>IF($N432="","",IF(INDEX('Per Invoice'!$M$2:$M$801,$N432)="","",INDEX('Per Invoice'!$M$2:$M$801,$N432)))</f>
        <v/>
      </c>
      <c r="N432">
        <f>IF(ROWS($N$2:$N432)&lt;=COUNT('Per Invoice'!$O$2:$O$801),MATCH(ROWS($N$2:$N432),'Per Invoice'!$O$2:$O$801,0),"")</f>
        <v/>
      </c>
    </row>
    <row r="433">
      <c r="A433">
        <f>IF($N433="","",IF(INDEX('Per Invoice'!$A$2:$A$801,$N433)="","",INDEX('Per Invoice'!$A$2:$A$801,$N433)))</f>
        <v/>
      </c>
      <c r="B433">
        <f>IF($N433="","",IF(INDEX('Per Invoice'!$B$2:$B$801,$N433)="","",INDEX('Per Invoice'!$B$2:$B$801,$N433)))</f>
        <v/>
      </c>
      <c r="C433">
        <f>IF($N433="","",IF(INDEX('Per Invoice'!$C$2:$C$801,$N433)="","",INDEX('Per Invoice'!$C$2:$C$801,$N433)))</f>
        <v/>
      </c>
      <c r="D433">
        <f>IF($N433="","",IF(INDEX('Per Invoice'!$D$2:$D$801,$N433)="","",INDEX('Per Invoice'!$D$2:$D$801,$N433)))</f>
        <v/>
      </c>
      <c r="E433">
        <f>IF($N433="","",IF(INDEX('Per Invoice'!$E$2:$E$801,$N433)="","",INDEX('Per Invoice'!$E$2:$E$801,$N433)))</f>
        <v/>
      </c>
      <c r="F433">
        <f>IF($N433="","",IF(INDEX('Per Invoice'!$F$2:$F$801,$N433)="","",INDEX('Per Invoice'!$F$2:$F$801,$N433)))</f>
        <v/>
      </c>
      <c r="G433">
        <f>IF($N433="","",IF(INDEX('Per Invoice'!$G$2:$G$801,$N433)="","",INDEX('Per Invoice'!$G$2:$G$801,$N433)))</f>
        <v/>
      </c>
      <c r="H433">
        <f>IF($N433="","",IF(INDEX('Per Invoice'!$H$2:$H$801,$N433)="","",INDEX('Per Invoice'!$H$2:$H$801,$N433)))</f>
        <v/>
      </c>
      <c r="I433" s="5">
        <f>IF($N433="","",IF(INDEX('Per Invoice'!$I$2:$I$801,$N433)="","",INDEX('Per Invoice'!$I$2:$I$801,$N433)))</f>
        <v/>
      </c>
      <c r="J433" s="5">
        <f>IF($N433="","",IF(INDEX('Per Invoice'!$J$2:$J$801,$N433)="","",INDEX('Per Invoice'!$J$2:$J$801,$N433)))</f>
        <v/>
      </c>
      <c r="K433" s="5">
        <f>IF($N433="","",IF(INDEX('Per Invoice'!$K$2:$K$801,$N433)="","",INDEX('Per Invoice'!$K$2:$K$801,$N433)))</f>
        <v/>
      </c>
      <c r="L433" s="5">
        <f>IF($N433="","",IF(INDEX('Per Invoice'!$L$2:$L$801,$N433)="","",INDEX('Per Invoice'!$L$2:$L$801,$N433)))</f>
        <v/>
      </c>
      <c r="M433" s="5">
        <f>IF($N433="","",IF(INDEX('Per Invoice'!$M$2:$M$801,$N433)="","",INDEX('Per Invoice'!$M$2:$M$801,$N433)))</f>
        <v/>
      </c>
      <c r="N433">
        <f>IF(ROWS($N$2:$N433)&lt;=COUNT('Per Invoice'!$O$2:$O$801),MATCH(ROWS($N$2:$N433),'Per Invoice'!$O$2:$O$801,0),"")</f>
        <v/>
      </c>
    </row>
    <row r="434">
      <c r="A434">
        <f>IF($N434="","",IF(INDEX('Per Invoice'!$A$2:$A$801,$N434)="","",INDEX('Per Invoice'!$A$2:$A$801,$N434)))</f>
        <v/>
      </c>
      <c r="B434">
        <f>IF($N434="","",IF(INDEX('Per Invoice'!$B$2:$B$801,$N434)="","",INDEX('Per Invoice'!$B$2:$B$801,$N434)))</f>
        <v/>
      </c>
      <c r="C434">
        <f>IF($N434="","",IF(INDEX('Per Invoice'!$C$2:$C$801,$N434)="","",INDEX('Per Invoice'!$C$2:$C$801,$N434)))</f>
        <v/>
      </c>
      <c r="D434">
        <f>IF($N434="","",IF(INDEX('Per Invoice'!$D$2:$D$801,$N434)="","",INDEX('Per Invoice'!$D$2:$D$801,$N434)))</f>
        <v/>
      </c>
      <c r="E434">
        <f>IF($N434="","",IF(INDEX('Per Invoice'!$E$2:$E$801,$N434)="","",INDEX('Per Invoice'!$E$2:$E$801,$N434)))</f>
        <v/>
      </c>
      <c r="F434">
        <f>IF($N434="","",IF(INDEX('Per Invoice'!$F$2:$F$801,$N434)="","",INDEX('Per Invoice'!$F$2:$F$801,$N434)))</f>
        <v/>
      </c>
      <c r="G434">
        <f>IF($N434="","",IF(INDEX('Per Invoice'!$G$2:$G$801,$N434)="","",INDEX('Per Invoice'!$G$2:$G$801,$N434)))</f>
        <v/>
      </c>
      <c r="H434">
        <f>IF($N434="","",IF(INDEX('Per Invoice'!$H$2:$H$801,$N434)="","",INDEX('Per Invoice'!$H$2:$H$801,$N434)))</f>
        <v/>
      </c>
      <c r="I434" s="5">
        <f>IF($N434="","",IF(INDEX('Per Invoice'!$I$2:$I$801,$N434)="","",INDEX('Per Invoice'!$I$2:$I$801,$N434)))</f>
        <v/>
      </c>
      <c r="J434" s="5">
        <f>IF($N434="","",IF(INDEX('Per Invoice'!$J$2:$J$801,$N434)="","",INDEX('Per Invoice'!$J$2:$J$801,$N434)))</f>
        <v/>
      </c>
      <c r="K434" s="5">
        <f>IF($N434="","",IF(INDEX('Per Invoice'!$K$2:$K$801,$N434)="","",INDEX('Per Invoice'!$K$2:$K$801,$N434)))</f>
        <v/>
      </c>
      <c r="L434" s="5">
        <f>IF($N434="","",IF(INDEX('Per Invoice'!$L$2:$L$801,$N434)="","",INDEX('Per Invoice'!$L$2:$L$801,$N434)))</f>
        <v/>
      </c>
      <c r="M434" s="5">
        <f>IF($N434="","",IF(INDEX('Per Invoice'!$M$2:$M$801,$N434)="","",INDEX('Per Invoice'!$M$2:$M$801,$N434)))</f>
        <v/>
      </c>
      <c r="N434">
        <f>IF(ROWS($N$2:$N434)&lt;=COUNT('Per Invoice'!$O$2:$O$801),MATCH(ROWS($N$2:$N434),'Per Invoice'!$O$2:$O$801,0),"")</f>
        <v/>
      </c>
    </row>
    <row r="435">
      <c r="A435">
        <f>IF($N435="","",IF(INDEX('Per Invoice'!$A$2:$A$801,$N435)="","",INDEX('Per Invoice'!$A$2:$A$801,$N435)))</f>
        <v/>
      </c>
      <c r="B435">
        <f>IF($N435="","",IF(INDEX('Per Invoice'!$B$2:$B$801,$N435)="","",INDEX('Per Invoice'!$B$2:$B$801,$N435)))</f>
        <v/>
      </c>
      <c r="C435">
        <f>IF($N435="","",IF(INDEX('Per Invoice'!$C$2:$C$801,$N435)="","",INDEX('Per Invoice'!$C$2:$C$801,$N435)))</f>
        <v/>
      </c>
      <c r="D435">
        <f>IF($N435="","",IF(INDEX('Per Invoice'!$D$2:$D$801,$N435)="","",INDEX('Per Invoice'!$D$2:$D$801,$N435)))</f>
        <v/>
      </c>
      <c r="E435">
        <f>IF($N435="","",IF(INDEX('Per Invoice'!$E$2:$E$801,$N435)="","",INDEX('Per Invoice'!$E$2:$E$801,$N435)))</f>
        <v/>
      </c>
      <c r="F435">
        <f>IF($N435="","",IF(INDEX('Per Invoice'!$F$2:$F$801,$N435)="","",INDEX('Per Invoice'!$F$2:$F$801,$N435)))</f>
        <v/>
      </c>
      <c r="G435">
        <f>IF($N435="","",IF(INDEX('Per Invoice'!$G$2:$G$801,$N435)="","",INDEX('Per Invoice'!$G$2:$G$801,$N435)))</f>
        <v/>
      </c>
      <c r="H435">
        <f>IF($N435="","",IF(INDEX('Per Invoice'!$H$2:$H$801,$N435)="","",INDEX('Per Invoice'!$H$2:$H$801,$N435)))</f>
        <v/>
      </c>
      <c r="I435" s="5">
        <f>IF($N435="","",IF(INDEX('Per Invoice'!$I$2:$I$801,$N435)="","",INDEX('Per Invoice'!$I$2:$I$801,$N435)))</f>
        <v/>
      </c>
      <c r="J435" s="5">
        <f>IF($N435="","",IF(INDEX('Per Invoice'!$J$2:$J$801,$N435)="","",INDEX('Per Invoice'!$J$2:$J$801,$N435)))</f>
        <v/>
      </c>
      <c r="K435" s="5">
        <f>IF($N435="","",IF(INDEX('Per Invoice'!$K$2:$K$801,$N435)="","",INDEX('Per Invoice'!$K$2:$K$801,$N435)))</f>
        <v/>
      </c>
      <c r="L435" s="5">
        <f>IF($N435="","",IF(INDEX('Per Invoice'!$L$2:$L$801,$N435)="","",INDEX('Per Invoice'!$L$2:$L$801,$N435)))</f>
        <v/>
      </c>
      <c r="M435" s="5">
        <f>IF($N435="","",IF(INDEX('Per Invoice'!$M$2:$M$801,$N435)="","",INDEX('Per Invoice'!$M$2:$M$801,$N435)))</f>
        <v/>
      </c>
      <c r="N435">
        <f>IF(ROWS($N$2:$N435)&lt;=COUNT('Per Invoice'!$O$2:$O$801),MATCH(ROWS($N$2:$N435),'Per Invoice'!$O$2:$O$801,0),"")</f>
        <v/>
      </c>
    </row>
    <row r="436">
      <c r="A436">
        <f>IF($N436="","",IF(INDEX('Per Invoice'!$A$2:$A$801,$N436)="","",INDEX('Per Invoice'!$A$2:$A$801,$N436)))</f>
        <v/>
      </c>
      <c r="B436">
        <f>IF($N436="","",IF(INDEX('Per Invoice'!$B$2:$B$801,$N436)="","",INDEX('Per Invoice'!$B$2:$B$801,$N436)))</f>
        <v/>
      </c>
      <c r="C436">
        <f>IF($N436="","",IF(INDEX('Per Invoice'!$C$2:$C$801,$N436)="","",INDEX('Per Invoice'!$C$2:$C$801,$N436)))</f>
        <v/>
      </c>
      <c r="D436">
        <f>IF($N436="","",IF(INDEX('Per Invoice'!$D$2:$D$801,$N436)="","",INDEX('Per Invoice'!$D$2:$D$801,$N436)))</f>
        <v/>
      </c>
      <c r="E436">
        <f>IF($N436="","",IF(INDEX('Per Invoice'!$E$2:$E$801,$N436)="","",INDEX('Per Invoice'!$E$2:$E$801,$N436)))</f>
        <v/>
      </c>
      <c r="F436">
        <f>IF($N436="","",IF(INDEX('Per Invoice'!$F$2:$F$801,$N436)="","",INDEX('Per Invoice'!$F$2:$F$801,$N436)))</f>
        <v/>
      </c>
      <c r="G436">
        <f>IF($N436="","",IF(INDEX('Per Invoice'!$G$2:$G$801,$N436)="","",INDEX('Per Invoice'!$G$2:$G$801,$N436)))</f>
        <v/>
      </c>
      <c r="H436">
        <f>IF($N436="","",IF(INDEX('Per Invoice'!$H$2:$H$801,$N436)="","",INDEX('Per Invoice'!$H$2:$H$801,$N436)))</f>
        <v/>
      </c>
      <c r="I436" s="5">
        <f>IF($N436="","",IF(INDEX('Per Invoice'!$I$2:$I$801,$N436)="","",INDEX('Per Invoice'!$I$2:$I$801,$N436)))</f>
        <v/>
      </c>
      <c r="J436" s="5">
        <f>IF($N436="","",IF(INDEX('Per Invoice'!$J$2:$J$801,$N436)="","",INDEX('Per Invoice'!$J$2:$J$801,$N436)))</f>
        <v/>
      </c>
      <c r="K436" s="5">
        <f>IF($N436="","",IF(INDEX('Per Invoice'!$K$2:$K$801,$N436)="","",INDEX('Per Invoice'!$K$2:$K$801,$N436)))</f>
        <v/>
      </c>
      <c r="L436" s="5">
        <f>IF($N436="","",IF(INDEX('Per Invoice'!$L$2:$L$801,$N436)="","",INDEX('Per Invoice'!$L$2:$L$801,$N436)))</f>
        <v/>
      </c>
      <c r="M436" s="5">
        <f>IF($N436="","",IF(INDEX('Per Invoice'!$M$2:$M$801,$N436)="","",INDEX('Per Invoice'!$M$2:$M$801,$N436)))</f>
        <v/>
      </c>
      <c r="N436">
        <f>IF(ROWS($N$2:$N436)&lt;=COUNT('Per Invoice'!$O$2:$O$801),MATCH(ROWS($N$2:$N436),'Per Invoice'!$O$2:$O$801,0),"")</f>
        <v/>
      </c>
    </row>
    <row r="437">
      <c r="A437">
        <f>IF($N437="","",IF(INDEX('Per Invoice'!$A$2:$A$801,$N437)="","",INDEX('Per Invoice'!$A$2:$A$801,$N437)))</f>
        <v/>
      </c>
      <c r="B437">
        <f>IF($N437="","",IF(INDEX('Per Invoice'!$B$2:$B$801,$N437)="","",INDEX('Per Invoice'!$B$2:$B$801,$N437)))</f>
        <v/>
      </c>
      <c r="C437">
        <f>IF($N437="","",IF(INDEX('Per Invoice'!$C$2:$C$801,$N437)="","",INDEX('Per Invoice'!$C$2:$C$801,$N437)))</f>
        <v/>
      </c>
      <c r="D437">
        <f>IF($N437="","",IF(INDEX('Per Invoice'!$D$2:$D$801,$N437)="","",INDEX('Per Invoice'!$D$2:$D$801,$N437)))</f>
        <v/>
      </c>
      <c r="E437">
        <f>IF($N437="","",IF(INDEX('Per Invoice'!$E$2:$E$801,$N437)="","",INDEX('Per Invoice'!$E$2:$E$801,$N437)))</f>
        <v/>
      </c>
      <c r="F437">
        <f>IF($N437="","",IF(INDEX('Per Invoice'!$F$2:$F$801,$N437)="","",INDEX('Per Invoice'!$F$2:$F$801,$N437)))</f>
        <v/>
      </c>
      <c r="G437">
        <f>IF($N437="","",IF(INDEX('Per Invoice'!$G$2:$G$801,$N437)="","",INDEX('Per Invoice'!$G$2:$G$801,$N437)))</f>
        <v/>
      </c>
      <c r="H437">
        <f>IF($N437="","",IF(INDEX('Per Invoice'!$H$2:$H$801,$N437)="","",INDEX('Per Invoice'!$H$2:$H$801,$N437)))</f>
        <v/>
      </c>
      <c r="I437" s="5">
        <f>IF($N437="","",IF(INDEX('Per Invoice'!$I$2:$I$801,$N437)="","",INDEX('Per Invoice'!$I$2:$I$801,$N437)))</f>
        <v/>
      </c>
      <c r="J437" s="5">
        <f>IF($N437="","",IF(INDEX('Per Invoice'!$J$2:$J$801,$N437)="","",INDEX('Per Invoice'!$J$2:$J$801,$N437)))</f>
        <v/>
      </c>
      <c r="K437" s="5">
        <f>IF($N437="","",IF(INDEX('Per Invoice'!$K$2:$K$801,$N437)="","",INDEX('Per Invoice'!$K$2:$K$801,$N437)))</f>
        <v/>
      </c>
      <c r="L437" s="5">
        <f>IF($N437="","",IF(INDEX('Per Invoice'!$L$2:$L$801,$N437)="","",INDEX('Per Invoice'!$L$2:$L$801,$N437)))</f>
        <v/>
      </c>
      <c r="M437" s="5">
        <f>IF($N437="","",IF(INDEX('Per Invoice'!$M$2:$M$801,$N437)="","",INDEX('Per Invoice'!$M$2:$M$801,$N437)))</f>
        <v/>
      </c>
      <c r="N437">
        <f>IF(ROWS($N$2:$N437)&lt;=COUNT('Per Invoice'!$O$2:$O$801),MATCH(ROWS($N$2:$N437),'Per Invoice'!$O$2:$O$801,0),"")</f>
        <v/>
      </c>
    </row>
    <row r="438">
      <c r="A438">
        <f>IF($N438="","",IF(INDEX('Per Invoice'!$A$2:$A$801,$N438)="","",INDEX('Per Invoice'!$A$2:$A$801,$N438)))</f>
        <v/>
      </c>
      <c r="B438">
        <f>IF($N438="","",IF(INDEX('Per Invoice'!$B$2:$B$801,$N438)="","",INDEX('Per Invoice'!$B$2:$B$801,$N438)))</f>
        <v/>
      </c>
      <c r="C438">
        <f>IF($N438="","",IF(INDEX('Per Invoice'!$C$2:$C$801,$N438)="","",INDEX('Per Invoice'!$C$2:$C$801,$N438)))</f>
        <v/>
      </c>
      <c r="D438">
        <f>IF($N438="","",IF(INDEX('Per Invoice'!$D$2:$D$801,$N438)="","",INDEX('Per Invoice'!$D$2:$D$801,$N438)))</f>
        <v/>
      </c>
      <c r="E438">
        <f>IF($N438="","",IF(INDEX('Per Invoice'!$E$2:$E$801,$N438)="","",INDEX('Per Invoice'!$E$2:$E$801,$N438)))</f>
        <v/>
      </c>
      <c r="F438">
        <f>IF($N438="","",IF(INDEX('Per Invoice'!$F$2:$F$801,$N438)="","",INDEX('Per Invoice'!$F$2:$F$801,$N438)))</f>
        <v/>
      </c>
      <c r="G438">
        <f>IF($N438="","",IF(INDEX('Per Invoice'!$G$2:$G$801,$N438)="","",INDEX('Per Invoice'!$G$2:$G$801,$N438)))</f>
        <v/>
      </c>
      <c r="H438">
        <f>IF($N438="","",IF(INDEX('Per Invoice'!$H$2:$H$801,$N438)="","",INDEX('Per Invoice'!$H$2:$H$801,$N438)))</f>
        <v/>
      </c>
      <c r="I438" s="5">
        <f>IF($N438="","",IF(INDEX('Per Invoice'!$I$2:$I$801,$N438)="","",INDEX('Per Invoice'!$I$2:$I$801,$N438)))</f>
        <v/>
      </c>
      <c r="J438" s="5">
        <f>IF($N438="","",IF(INDEX('Per Invoice'!$J$2:$J$801,$N438)="","",INDEX('Per Invoice'!$J$2:$J$801,$N438)))</f>
        <v/>
      </c>
      <c r="K438" s="5">
        <f>IF($N438="","",IF(INDEX('Per Invoice'!$K$2:$K$801,$N438)="","",INDEX('Per Invoice'!$K$2:$K$801,$N438)))</f>
        <v/>
      </c>
      <c r="L438" s="5">
        <f>IF($N438="","",IF(INDEX('Per Invoice'!$L$2:$L$801,$N438)="","",INDEX('Per Invoice'!$L$2:$L$801,$N438)))</f>
        <v/>
      </c>
      <c r="M438" s="5">
        <f>IF($N438="","",IF(INDEX('Per Invoice'!$M$2:$M$801,$N438)="","",INDEX('Per Invoice'!$M$2:$M$801,$N438)))</f>
        <v/>
      </c>
      <c r="N438">
        <f>IF(ROWS($N$2:$N438)&lt;=COUNT('Per Invoice'!$O$2:$O$801),MATCH(ROWS($N$2:$N438),'Per Invoice'!$O$2:$O$801,0),"")</f>
        <v/>
      </c>
    </row>
    <row r="439">
      <c r="A439">
        <f>IF($N439="","",IF(INDEX('Per Invoice'!$A$2:$A$801,$N439)="","",INDEX('Per Invoice'!$A$2:$A$801,$N439)))</f>
        <v/>
      </c>
      <c r="B439">
        <f>IF($N439="","",IF(INDEX('Per Invoice'!$B$2:$B$801,$N439)="","",INDEX('Per Invoice'!$B$2:$B$801,$N439)))</f>
        <v/>
      </c>
      <c r="C439">
        <f>IF($N439="","",IF(INDEX('Per Invoice'!$C$2:$C$801,$N439)="","",INDEX('Per Invoice'!$C$2:$C$801,$N439)))</f>
        <v/>
      </c>
      <c r="D439">
        <f>IF($N439="","",IF(INDEX('Per Invoice'!$D$2:$D$801,$N439)="","",INDEX('Per Invoice'!$D$2:$D$801,$N439)))</f>
        <v/>
      </c>
      <c r="E439">
        <f>IF($N439="","",IF(INDEX('Per Invoice'!$E$2:$E$801,$N439)="","",INDEX('Per Invoice'!$E$2:$E$801,$N439)))</f>
        <v/>
      </c>
      <c r="F439">
        <f>IF($N439="","",IF(INDEX('Per Invoice'!$F$2:$F$801,$N439)="","",INDEX('Per Invoice'!$F$2:$F$801,$N439)))</f>
        <v/>
      </c>
      <c r="G439">
        <f>IF($N439="","",IF(INDEX('Per Invoice'!$G$2:$G$801,$N439)="","",INDEX('Per Invoice'!$G$2:$G$801,$N439)))</f>
        <v/>
      </c>
      <c r="H439">
        <f>IF($N439="","",IF(INDEX('Per Invoice'!$H$2:$H$801,$N439)="","",INDEX('Per Invoice'!$H$2:$H$801,$N439)))</f>
        <v/>
      </c>
      <c r="I439" s="5">
        <f>IF($N439="","",IF(INDEX('Per Invoice'!$I$2:$I$801,$N439)="","",INDEX('Per Invoice'!$I$2:$I$801,$N439)))</f>
        <v/>
      </c>
      <c r="J439" s="5">
        <f>IF($N439="","",IF(INDEX('Per Invoice'!$J$2:$J$801,$N439)="","",INDEX('Per Invoice'!$J$2:$J$801,$N439)))</f>
        <v/>
      </c>
      <c r="K439" s="5">
        <f>IF($N439="","",IF(INDEX('Per Invoice'!$K$2:$K$801,$N439)="","",INDEX('Per Invoice'!$K$2:$K$801,$N439)))</f>
        <v/>
      </c>
      <c r="L439" s="5">
        <f>IF($N439="","",IF(INDEX('Per Invoice'!$L$2:$L$801,$N439)="","",INDEX('Per Invoice'!$L$2:$L$801,$N439)))</f>
        <v/>
      </c>
      <c r="M439" s="5">
        <f>IF($N439="","",IF(INDEX('Per Invoice'!$M$2:$M$801,$N439)="","",INDEX('Per Invoice'!$M$2:$M$801,$N439)))</f>
        <v/>
      </c>
      <c r="N439">
        <f>IF(ROWS($N$2:$N439)&lt;=COUNT('Per Invoice'!$O$2:$O$801),MATCH(ROWS($N$2:$N439),'Per Invoice'!$O$2:$O$801,0),"")</f>
        <v/>
      </c>
    </row>
    <row r="440">
      <c r="A440">
        <f>IF($N440="","",IF(INDEX('Per Invoice'!$A$2:$A$801,$N440)="","",INDEX('Per Invoice'!$A$2:$A$801,$N440)))</f>
        <v/>
      </c>
      <c r="B440">
        <f>IF($N440="","",IF(INDEX('Per Invoice'!$B$2:$B$801,$N440)="","",INDEX('Per Invoice'!$B$2:$B$801,$N440)))</f>
        <v/>
      </c>
      <c r="C440">
        <f>IF($N440="","",IF(INDEX('Per Invoice'!$C$2:$C$801,$N440)="","",INDEX('Per Invoice'!$C$2:$C$801,$N440)))</f>
        <v/>
      </c>
      <c r="D440">
        <f>IF($N440="","",IF(INDEX('Per Invoice'!$D$2:$D$801,$N440)="","",INDEX('Per Invoice'!$D$2:$D$801,$N440)))</f>
        <v/>
      </c>
      <c r="E440">
        <f>IF($N440="","",IF(INDEX('Per Invoice'!$E$2:$E$801,$N440)="","",INDEX('Per Invoice'!$E$2:$E$801,$N440)))</f>
        <v/>
      </c>
      <c r="F440">
        <f>IF($N440="","",IF(INDEX('Per Invoice'!$F$2:$F$801,$N440)="","",INDEX('Per Invoice'!$F$2:$F$801,$N440)))</f>
        <v/>
      </c>
      <c r="G440">
        <f>IF($N440="","",IF(INDEX('Per Invoice'!$G$2:$G$801,$N440)="","",INDEX('Per Invoice'!$G$2:$G$801,$N440)))</f>
        <v/>
      </c>
      <c r="H440">
        <f>IF($N440="","",IF(INDEX('Per Invoice'!$H$2:$H$801,$N440)="","",INDEX('Per Invoice'!$H$2:$H$801,$N440)))</f>
        <v/>
      </c>
      <c r="I440" s="5">
        <f>IF($N440="","",IF(INDEX('Per Invoice'!$I$2:$I$801,$N440)="","",INDEX('Per Invoice'!$I$2:$I$801,$N440)))</f>
        <v/>
      </c>
      <c r="J440" s="5">
        <f>IF($N440="","",IF(INDEX('Per Invoice'!$J$2:$J$801,$N440)="","",INDEX('Per Invoice'!$J$2:$J$801,$N440)))</f>
        <v/>
      </c>
      <c r="K440" s="5">
        <f>IF($N440="","",IF(INDEX('Per Invoice'!$K$2:$K$801,$N440)="","",INDEX('Per Invoice'!$K$2:$K$801,$N440)))</f>
        <v/>
      </c>
      <c r="L440" s="5">
        <f>IF($N440="","",IF(INDEX('Per Invoice'!$L$2:$L$801,$N440)="","",INDEX('Per Invoice'!$L$2:$L$801,$N440)))</f>
        <v/>
      </c>
      <c r="M440" s="5">
        <f>IF($N440="","",IF(INDEX('Per Invoice'!$M$2:$M$801,$N440)="","",INDEX('Per Invoice'!$M$2:$M$801,$N440)))</f>
        <v/>
      </c>
      <c r="N440">
        <f>IF(ROWS($N$2:$N440)&lt;=COUNT('Per Invoice'!$O$2:$O$801),MATCH(ROWS($N$2:$N440),'Per Invoice'!$O$2:$O$801,0),"")</f>
        <v/>
      </c>
    </row>
    <row r="441">
      <c r="A441">
        <f>IF($N441="","",IF(INDEX('Per Invoice'!$A$2:$A$801,$N441)="","",INDEX('Per Invoice'!$A$2:$A$801,$N441)))</f>
        <v/>
      </c>
      <c r="B441">
        <f>IF($N441="","",IF(INDEX('Per Invoice'!$B$2:$B$801,$N441)="","",INDEX('Per Invoice'!$B$2:$B$801,$N441)))</f>
        <v/>
      </c>
      <c r="C441">
        <f>IF($N441="","",IF(INDEX('Per Invoice'!$C$2:$C$801,$N441)="","",INDEX('Per Invoice'!$C$2:$C$801,$N441)))</f>
        <v/>
      </c>
      <c r="D441">
        <f>IF($N441="","",IF(INDEX('Per Invoice'!$D$2:$D$801,$N441)="","",INDEX('Per Invoice'!$D$2:$D$801,$N441)))</f>
        <v/>
      </c>
      <c r="E441">
        <f>IF($N441="","",IF(INDEX('Per Invoice'!$E$2:$E$801,$N441)="","",INDEX('Per Invoice'!$E$2:$E$801,$N441)))</f>
        <v/>
      </c>
      <c r="F441">
        <f>IF($N441="","",IF(INDEX('Per Invoice'!$F$2:$F$801,$N441)="","",INDEX('Per Invoice'!$F$2:$F$801,$N441)))</f>
        <v/>
      </c>
      <c r="G441">
        <f>IF($N441="","",IF(INDEX('Per Invoice'!$G$2:$G$801,$N441)="","",INDEX('Per Invoice'!$G$2:$G$801,$N441)))</f>
        <v/>
      </c>
      <c r="H441">
        <f>IF($N441="","",IF(INDEX('Per Invoice'!$H$2:$H$801,$N441)="","",INDEX('Per Invoice'!$H$2:$H$801,$N441)))</f>
        <v/>
      </c>
      <c r="I441" s="5">
        <f>IF($N441="","",IF(INDEX('Per Invoice'!$I$2:$I$801,$N441)="","",INDEX('Per Invoice'!$I$2:$I$801,$N441)))</f>
        <v/>
      </c>
      <c r="J441" s="5">
        <f>IF($N441="","",IF(INDEX('Per Invoice'!$J$2:$J$801,$N441)="","",INDEX('Per Invoice'!$J$2:$J$801,$N441)))</f>
        <v/>
      </c>
      <c r="K441" s="5">
        <f>IF($N441="","",IF(INDEX('Per Invoice'!$K$2:$K$801,$N441)="","",INDEX('Per Invoice'!$K$2:$K$801,$N441)))</f>
        <v/>
      </c>
      <c r="L441" s="5">
        <f>IF($N441="","",IF(INDEX('Per Invoice'!$L$2:$L$801,$N441)="","",INDEX('Per Invoice'!$L$2:$L$801,$N441)))</f>
        <v/>
      </c>
      <c r="M441" s="5">
        <f>IF($N441="","",IF(INDEX('Per Invoice'!$M$2:$M$801,$N441)="","",INDEX('Per Invoice'!$M$2:$M$801,$N441)))</f>
        <v/>
      </c>
      <c r="N441">
        <f>IF(ROWS($N$2:$N441)&lt;=COUNT('Per Invoice'!$O$2:$O$801),MATCH(ROWS($N$2:$N441),'Per Invoice'!$O$2:$O$801,0),"")</f>
        <v/>
      </c>
    </row>
    <row r="442">
      <c r="A442">
        <f>IF($N442="","",IF(INDEX('Per Invoice'!$A$2:$A$801,$N442)="","",INDEX('Per Invoice'!$A$2:$A$801,$N442)))</f>
        <v/>
      </c>
      <c r="B442">
        <f>IF($N442="","",IF(INDEX('Per Invoice'!$B$2:$B$801,$N442)="","",INDEX('Per Invoice'!$B$2:$B$801,$N442)))</f>
        <v/>
      </c>
      <c r="C442">
        <f>IF($N442="","",IF(INDEX('Per Invoice'!$C$2:$C$801,$N442)="","",INDEX('Per Invoice'!$C$2:$C$801,$N442)))</f>
        <v/>
      </c>
      <c r="D442">
        <f>IF($N442="","",IF(INDEX('Per Invoice'!$D$2:$D$801,$N442)="","",INDEX('Per Invoice'!$D$2:$D$801,$N442)))</f>
        <v/>
      </c>
      <c r="E442">
        <f>IF($N442="","",IF(INDEX('Per Invoice'!$E$2:$E$801,$N442)="","",INDEX('Per Invoice'!$E$2:$E$801,$N442)))</f>
        <v/>
      </c>
      <c r="F442">
        <f>IF($N442="","",IF(INDEX('Per Invoice'!$F$2:$F$801,$N442)="","",INDEX('Per Invoice'!$F$2:$F$801,$N442)))</f>
        <v/>
      </c>
      <c r="G442">
        <f>IF($N442="","",IF(INDEX('Per Invoice'!$G$2:$G$801,$N442)="","",INDEX('Per Invoice'!$G$2:$G$801,$N442)))</f>
        <v/>
      </c>
      <c r="H442">
        <f>IF($N442="","",IF(INDEX('Per Invoice'!$H$2:$H$801,$N442)="","",INDEX('Per Invoice'!$H$2:$H$801,$N442)))</f>
        <v/>
      </c>
      <c r="I442" s="5">
        <f>IF($N442="","",IF(INDEX('Per Invoice'!$I$2:$I$801,$N442)="","",INDEX('Per Invoice'!$I$2:$I$801,$N442)))</f>
        <v/>
      </c>
      <c r="J442" s="5">
        <f>IF($N442="","",IF(INDEX('Per Invoice'!$J$2:$J$801,$N442)="","",INDEX('Per Invoice'!$J$2:$J$801,$N442)))</f>
        <v/>
      </c>
      <c r="K442" s="5">
        <f>IF($N442="","",IF(INDEX('Per Invoice'!$K$2:$K$801,$N442)="","",INDEX('Per Invoice'!$K$2:$K$801,$N442)))</f>
        <v/>
      </c>
      <c r="L442" s="5">
        <f>IF($N442="","",IF(INDEX('Per Invoice'!$L$2:$L$801,$N442)="","",INDEX('Per Invoice'!$L$2:$L$801,$N442)))</f>
        <v/>
      </c>
      <c r="M442" s="5">
        <f>IF($N442="","",IF(INDEX('Per Invoice'!$M$2:$M$801,$N442)="","",INDEX('Per Invoice'!$M$2:$M$801,$N442)))</f>
        <v/>
      </c>
      <c r="N442">
        <f>IF(ROWS($N$2:$N442)&lt;=COUNT('Per Invoice'!$O$2:$O$801),MATCH(ROWS($N$2:$N442),'Per Invoice'!$O$2:$O$801,0),"")</f>
        <v/>
      </c>
    </row>
    <row r="443">
      <c r="A443">
        <f>IF($N443="","",IF(INDEX('Per Invoice'!$A$2:$A$801,$N443)="","",INDEX('Per Invoice'!$A$2:$A$801,$N443)))</f>
        <v/>
      </c>
      <c r="B443">
        <f>IF($N443="","",IF(INDEX('Per Invoice'!$B$2:$B$801,$N443)="","",INDEX('Per Invoice'!$B$2:$B$801,$N443)))</f>
        <v/>
      </c>
      <c r="C443">
        <f>IF($N443="","",IF(INDEX('Per Invoice'!$C$2:$C$801,$N443)="","",INDEX('Per Invoice'!$C$2:$C$801,$N443)))</f>
        <v/>
      </c>
      <c r="D443">
        <f>IF($N443="","",IF(INDEX('Per Invoice'!$D$2:$D$801,$N443)="","",INDEX('Per Invoice'!$D$2:$D$801,$N443)))</f>
        <v/>
      </c>
      <c r="E443">
        <f>IF($N443="","",IF(INDEX('Per Invoice'!$E$2:$E$801,$N443)="","",INDEX('Per Invoice'!$E$2:$E$801,$N443)))</f>
        <v/>
      </c>
      <c r="F443">
        <f>IF($N443="","",IF(INDEX('Per Invoice'!$F$2:$F$801,$N443)="","",INDEX('Per Invoice'!$F$2:$F$801,$N443)))</f>
        <v/>
      </c>
      <c r="G443">
        <f>IF($N443="","",IF(INDEX('Per Invoice'!$G$2:$G$801,$N443)="","",INDEX('Per Invoice'!$G$2:$G$801,$N443)))</f>
        <v/>
      </c>
      <c r="H443">
        <f>IF($N443="","",IF(INDEX('Per Invoice'!$H$2:$H$801,$N443)="","",INDEX('Per Invoice'!$H$2:$H$801,$N443)))</f>
        <v/>
      </c>
      <c r="I443" s="5">
        <f>IF($N443="","",IF(INDEX('Per Invoice'!$I$2:$I$801,$N443)="","",INDEX('Per Invoice'!$I$2:$I$801,$N443)))</f>
        <v/>
      </c>
      <c r="J443" s="5">
        <f>IF($N443="","",IF(INDEX('Per Invoice'!$J$2:$J$801,$N443)="","",INDEX('Per Invoice'!$J$2:$J$801,$N443)))</f>
        <v/>
      </c>
      <c r="K443" s="5">
        <f>IF($N443="","",IF(INDEX('Per Invoice'!$K$2:$K$801,$N443)="","",INDEX('Per Invoice'!$K$2:$K$801,$N443)))</f>
        <v/>
      </c>
      <c r="L443" s="5">
        <f>IF($N443="","",IF(INDEX('Per Invoice'!$L$2:$L$801,$N443)="","",INDEX('Per Invoice'!$L$2:$L$801,$N443)))</f>
        <v/>
      </c>
      <c r="M443" s="5">
        <f>IF($N443="","",IF(INDEX('Per Invoice'!$M$2:$M$801,$N443)="","",INDEX('Per Invoice'!$M$2:$M$801,$N443)))</f>
        <v/>
      </c>
      <c r="N443">
        <f>IF(ROWS($N$2:$N443)&lt;=COUNT('Per Invoice'!$O$2:$O$801),MATCH(ROWS($N$2:$N443),'Per Invoice'!$O$2:$O$801,0),"")</f>
        <v/>
      </c>
    </row>
    <row r="444">
      <c r="A444">
        <f>IF($N444="","",IF(INDEX('Per Invoice'!$A$2:$A$801,$N444)="","",INDEX('Per Invoice'!$A$2:$A$801,$N444)))</f>
        <v/>
      </c>
      <c r="B444">
        <f>IF($N444="","",IF(INDEX('Per Invoice'!$B$2:$B$801,$N444)="","",INDEX('Per Invoice'!$B$2:$B$801,$N444)))</f>
        <v/>
      </c>
      <c r="C444">
        <f>IF($N444="","",IF(INDEX('Per Invoice'!$C$2:$C$801,$N444)="","",INDEX('Per Invoice'!$C$2:$C$801,$N444)))</f>
        <v/>
      </c>
      <c r="D444">
        <f>IF($N444="","",IF(INDEX('Per Invoice'!$D$2:$D$801,$N444)="","",INDEX('Per Invoice'!$D$2:$D$801,$N444)))</f>
        <v/>
      </c>
      <c r="E444">
        <f>IF($N444="","",IF(INDEX('Per Invoice'!$E$2:$E$801,$N444)="","",INDEX('Per Invoice'!$E$2:$E$801,$N444)))</f>
        <v/>
      </c>
      <c r="F444">
        <f>IF($N444="","",IF(INDEX('Per Invoice'!$F$2:$F$801,$N444)="","",INDEX('Per Invoice'!$F$2:$F$801,$N444)))</f>
        <v/>
      </c>
      <c r="G444">
        <f>IF($N444="","",IF(INDEX('Per Invoice'!$G$2:$G$801,$N444)="","",INDEX('Per Invoice'!$G$2:$G$801,$N444)))</f>
        <v/>
      </c>
      <c r="H444">
        <f>IF($N444="","",IF(INDEX('Per Invoice'!$H$2:$H$801,$N444)="","",INDEX('Per Invoice'!$H$2:$H$801,$N444)))</f>
        <v/>
      </c>
      <c r="I444" s="5">
        <f>IF($N444="","",IF(INDEX('Per Invoice'!$I$2:$I$801,$N444)="","",INDEX('Per Invoice'!$I$2:$I$801,$N444)))</f>
        <v/>
      </c>
      <c r="J444" s="5">
        <f>IF($N444="","",IF(INDEX('Per Invoice'!$J$2:$J$801,$N444)="","",INDEX('Per Invoice'!$J$2:$J$801,$N444)))</f>
        <v/>
      </c>
      <c r="K444" s="5">
        <f>IF($N444="","",IF(INDEX('Per Invoice'!$K$2:$K$801,$N444)="","",INDEX('Per Invoice'!$K$2:$K$801,$N444)))</f>
        <v/>
      </c>
      <c r="L444" s="5">
        <f>IF($N444="","",IF(INDEX('Per Invoice'!$L$2:$L$801,$N444)="","",INDEX('Per Invoice'!$L$2:$L$801,$N444)))</f>
        <v/>
      </c>
      <c r="M444" s="5">
        <f>IF($N444="","",IF(INDEX('Per Invoice'!$M$2:$M$801,$N444)="","",INDEX('Per Invoice'!$M$2:$M$801,$N444)))</f>
        <v/>
      </c>
      <c r="N444">
        <f>IF(ROWS($N$2:$N444)&lt;=COUNT('Per Invoice'!$O$2:$O$801),MATCH(ROWS($N$2:$N444),'Per Invoice'!$O$2:$O$801,0),"")</f>
        <v/>
      </c>
    </row>
    <row r="445">
      <c r="A445">
        <f>IF($N445="","",IF(INDEX('Per Invoice'!$A$2:$A$801,$N445)="","",INDEX('Per Invoice'!$A$2:$A$801,$N445)))</f>
        <v/>
      </c>
      <c r="B445">
        <f>IF($N445="","",IF(INDEX('Per Invoice'!$B$2:$B$801,$N445)="","",INDEX('Per Invoice'!$B$2:$B$801,$N445)))</f>
        <v/>
      </c>
      <c r="C445">
        <f>IF($N445="","",IF(INDEX('Per Invoice'!$C$2:$C$801,$N445)="","",INDEX('Per Invoice'!$C$2:$C$801,$N445)))</f>
        <v/>
      </c>
      <c r="D445">
        <f>IF($N445="","",IF(INDEX('Per Invoice'!$D$2:$D$801,$N445)="","",INDEX('Per Invoice'!$D$2:$D$801,$N445)))</f>
        <v/>
      </c>
      <c r="E445">
        <f>IF($N445="","",IF(INDEX('Per Invoice'!$E$2:$E$801,$N445)="","",INDEX('Per Invoice'!$E$2:$E$801,$N445)))</f>
        <v/>
      </c>
      <c r="F445">
        <f>IF($N445="","",IF(INDEX('Per Invoice'!$F$2:$F$801,$N445)="","",INDEX('Per Invoice'!$F$2:$F$801,$N445)))</f>
        <v/>
      </c>
      <c r="G445">
        <f>IF($N445="","",IF(INDEX('Per Invoice'!$G$2:$G$801,$N445)="","",INDEX('Per Invoice'!$G$2:$G$801,$N445)))</f>
        <v/>
      </c>
      <c r="H445">
        <f>IF($N445="","",IF(INDEX('Per Invoice'!$H$2:$H$801,$N445)="","",INDEX('Per Invoice'!$H$2:$H$801,$N445)))</f>
        <v/>
      </c>
      <c r="I445" s="5">
        <f>IF($N445="","",IF(INDEX('Per Invoice'!$I$2:$I$801,$N445)="","",INDEX('Per Invoice'!$I$2:$I$801,$N445)))</f>
        <v/>
      </c>
      <c r="J445" s="5">
        <f>IF($N445="","",IF(INDEX('Per Invoice'!$J$2:$J$801,$N445)="","",INDEX('Per Invoice'!$J$2:$J$801,$N445)))</f>
        <v/>
      </c>
      <c r="K445" s="5">
        <f>IF($N445="","",IF(INDEX('Per Invoice'!$K$2:$K$801,$N445)="","",INDEX('Per Invoice'!$K$2:$K$801,$N445)))</f>
        <v/>
      </c>
      <c r="L445" s="5">
        <f>IF($N445="","",IF(INDEX('Per Invoice'!$L$2:$L$801,$N445)="","",INDEX('Per Invoice'!$L$2:$L$801,$N445)))</f>
        <v/>
      </c>
      <c r="M445" s="5">
        <f>IF($N445="","",IF(INDEX('Per Invoice'!$M$2:$M$801,$N445)="","",INDEX('Per Invoice'!$M$2:$M$801,$N445)))</f>
        <v/>
      </c>
      <c r="N445">
        <f>IF(ROWS($N$2:$N445)&lt;=COUNT('Per Invoice'!$O$2:$O$801),MATCH(ROWS($N$2:$N445),'Per Invoice'!$O$2:$O$801,0),"")</f>
        <v/>
      </c>
    </row>
    <row r="446">
      <c r="A446">
        <f>IF($N446="","",IF(INDEX('Per Invoice'!$A$2:$A$801,$N446)="","",INDEX('Per Invoice'!$A$2:$A$801,$N446)))</f>
        <v/>
      </c>
      <c r="B446">
        <f>IF($N446="","",IF(INDEX('Per Invoice'!$B$2:$B$801,$N446)="","",INDEX('Per Invoice'!$B$2:$B$801,$N446)))</f>
        <v/>
      </c>
      <c r="C446">
        <f>IF($N446="","",IF(INDEX('Per Invoice'!$C$2:$C$801,$N446)="","",INDEX('Per Invoice'!$C$2:$C$801,$N446)))</f>
        <v/>
      </c>
      <c r="D446">
        <f>IF($N446="","",IF(INDEX('Per Invoice'!$D$2:$D$801,$N446)="","",INDEX('Per Invoice'!$D$2:$D$801,$N446)))</f>
        <v/>
      </c>
      <c r="E446">
        <f>IF($N446="","",IF(INDEX('Per Invoice'!$E$2:$E$801,$N446)="","",INDEX('Per Invoice'!$E$2:$E$801,$N446)))</f>
        <v/>
      </c>
      <c r="F446">
        <f>IF($N446="","",IF(INDEX('Per Invoice'!$F$2:$F$801,$N446)="","",INDEX('Per Invoice'!$F$2:$F$801,$N446)))</f>
        <v/>
      </c>
      <c r="G446">
        <f>IF($N446="","",IF(INDEX('Per Invoice'!$G$2:$G$801,$N446)="","",INDEX('Per Invoice'!$G$2:$G$801,$N446)))</f>
        <v/>
      </c>
      <c r="H446">
        <f>IF($N446="","",IF(INDEX('Per Invoice'!$H$2:$H$801,$N446)="","",INDEX('Per Invoice'!$H$2:$H$801,$N446)))</f>
        <v/>
      </c>
      <c r="I446" s="5">
        <f>IF($N446="","",IF(INDEX('Per Invoice'!$I$2:$I$801,$N446)="","",INDEX('Per Invoice'!$I$2:$I$801,$N446)))</f>
        <v/>
      </c>
      <c r="J446" s="5">
        <f>IF($N446="","",IF(INDEX('Per Invoice'!$J$2:$J$801,$N446)="","",INDEX('Per Invoice'!$J$2:$J$801,$N446)))</f>
        <v/>
      </c>
      <c r="K446" s="5">
        <f>IF($N446="","",IF(INDEX('Per Invoice'!$K$2:$K$801,$N446)="","",INDEX('Per Invoice'!$K$2:$K$801,$N446)))</f>
        <v/>
      </c>
      <c r="L446" s="5">
        <f>IF($N446="","",IF(INDEX('Per Invoice'!$L$2:$L$801,$N446)="","",INDEX('Per Invoice'!$L$2:$L$801,$N446)))</f>
        <v/>
      </c>
      <c r="M446" s="5">
        <f>IF($N446="","",IF(INDEX('Per Invoice'!$M$2:$M$801,$N446)="","",INDEX('Per Invoice'!$M$2:$M$801,$N446)))</f>
        <v/>
      </c>
      <c r="N446">
        <f>IF(ROWS($N$2:$N446)&lt;=COUNT('Per Invoice'!$O$2:$O$801),MATCH(ROWS($N$2:$N446),'Per Invoice'!$O$2:$O$801,0),"")</f>
        <v/>
      </c>
    </row>
    <row r="447">
      <c r="A447">
        <f>IF($N447="","",IF(INDEX('Per Invoice'!$A$2:$A$801,$N447)="","",INDEX('Per Invoice'!$A$2:$A$801,$N447)))</f>
        <v/>
      </c>
      <c r="B447">
        <f>IF($N447="","",IF(INDEX('Per Invoice'!$B$2:$B$801,$N447)="","",INDEX('Per Invoice'!$B$2:$B$801,$N447)))</f>
        <v/>
      </c>
      <c r="C447">
        <f>IF($N447="","",IF(INDEX('Per Invoice'!$C$2:$C$801,$N447)="","",INDEX('Per Invoice'!$C$2:$C$801,$N447)))</f>
        <v/>
      </c>
      <c r="D447">
        <f>IF($N447="","",IF(INDEX('Per Invoice'!$D$2:$D$801,$N447)="","",INDEX('Per Invoice'!$D$2:$D$801,$N447)))</f>
        <v/>
      </c>
      <c r="E447">
        <f>IF($N447="","",IF(INDEX('Per Invoice'!$E$2:$E$801,$N447)="","",INDEX('Per Invoice'!$E$2:$E$801,$N447)))</f>
        <v/>
      </c>
      <c r="F447">
        <f>IF($N447="","",IF(INDEX('Per Invoice'!$F$2:$F$801,$N447)="","",INDEX('Per Invoice'!$F$2:$F$801,$N447)))</f>
        <v/>
      </c>
      <c r="G447">
        <f>IF($N447="","",IF(INDEX('Per Invoice'!$G$2:$G$801,$N447)="","",INDEX('Per Invoice'!$G$2:$G$801,$N447)))</f>
        <v/>
      </c>
      <c r="H447">
        <f>IF($N447="","",IF(INDEX('Per Invoice'!$H$2:$H$801,$N447)="","",INDEX('Per Invoice'!$H$2:$H$801,$N447)))</f>
        <v/>
      </c>
      <c r="I447" s="5">
        <f>IF($N447="","",IF(INDEX('Per Invoice'!$I$2:$I$801,$N447)="","",INDEX('Per Invoice'!$I$2:$I$801,$N447)))</f>
        <v/>
      </c>
      <c r="J447" s="5">
        <f>IF($N447="","",IF(INDEX('Per Invoice'!$J$2:$J$801,$N447)="","",INDEX('Per Invoice'!$J$2:$J$801,$N447)))</f>
        <v/>
      </c>
      <c r="K447" s="5">
        <f>IF($N447="","",IF(INDEX('Per Invoice'!$K$2:$K$801,$N447)="","",INDEX('Per Invoice'!$K$2:$K$801,$N447)))</f>
        <v/>
      </c>
      <c r="L447" s="5">
        <f>IF($N447="","",IF(INDEX('Per Invoice'!$L$2:$L$801,$N447)="","",INDEX('Per Invoice'!$L$2:$L$801,$N447)))</f>
        <v/>
      </c>
      <c r="M447" s="5">
        <f>IF($N447="","",IF(INDEX('Per Invoice'!$M$2:$M$801,$N447)="","",INDEX('Per Invoice'!$M$2:$M$801,$N447)))</f>
        <v/>
      </c>
      <c r="N447">
        <f>IF(ROWS($N$2:$N447)&lt;=COUNT('Per Invoice'!$O$2:$O$801),MATCH(ROWS($N$2:$N447),'Per Invoice'!$O$2:$O$801,0),"")</f>
        <v/>
      </c>
    </row>
    <row r="448">
      <c r="A448">
        <f>IF($N448="","",IF(INDEX('Per Invoice'!$A$2:$A$801,$N448)="","",INDEX('Per Invoice'!$A$2:$A$801,$N448)))</f>
        <v/>
      </c>
      <c r="B448">
        <f>IF($N448="","",IF(INDEX('Per Invoice'!$B$2:$B$801,$N448)="","",INDEX('Per Invoice'!$B$2:$B$801,$N448)))</f>
        <v/>
      </c>
      <c r="C448">
        <f>IF($N448="","",IF(INDEX('Per Invoice'!$C$2:$C$801,$N448)="","",INDEX('Per Invoice'!$C$2:$C$801,$N448)))</f>
        <v/>
      </c>
      <c r="D448">
        <f>IF($N448="","",IF(INDEX('Per Invoice'!$D$2:$D$801,$N448)="","",INDEX('Per Invoice'!$D$2:$D$801,$N448)))</f>
        <v/>
      </c>
      <c r="E448">
        <f>IF($N448="","",IF(INDEX('Per Invoice'!$E$2:$E$801,$N448)="","",INDEX('Per Invoice'!$E$2:$E$801,$N448)))</f>
        <v/>
      </c>
      <c r="F448">
        <f>IF($N448="","",IF(INDEX('Per Invoice'!$F$2:$F$801,$N448)="","",INDEX('Per Invoice'!$F$2:$F$801,$N448)))</f>
        <v/>
      </c>
      <c r="G448">
        <f>IF($N448="","",IF(INDEX('Per Invoice'!$G$2:$G$801,$N448)="","",INDEX('Per Invoice'!$G$2:$G$801,$N448)))</f>
        <v/>
      </c>
      <c r="H448">
        <f>IF($N448="","",IF(INDEX('Per Invoice'!$H$2:$H$801,$N448)="","",INDEX('Per Invoice'!$H$2:$H$801,$N448)))</f>
        <v/>
      </c>
      <c r="I448" s="5">
        <f>IF($N448="","",IF(INDEX('Per Invoice'!$I$2:$I$801,$N448)="","",INDEX('Per Invoice'!$I$2:$I$801,$N448)))</f>
        <v/>
      </c>
      <c r="J448" s="5">
        <f>IF($N448="","",IF(INDEX('Per Invoice'!$J$2:$J$801,$N448)="","",INDEX('Per Invoice'!$J$2:$J$801,$N448)))</f>
        <v/>
      </c>
      <c r="K448" s="5">
        <f>IF($N448="","",IF(INDEX('Per Invoice'!$K$2:$K$801,$N448)="","",INDEX('Per Invoice'!$K$2:$K$801,$N448)))</f>
        <v/>
      </c>
      <c r="L448" s="5">
        <f>IF($N448="","",IF(INDEX('Per Invoice'!$L$2:$L$801,$N448)="","",INDEX('Per Invoice'!$L$2:$L$801,$N448)))</f>
        <v/>
      </c>
      <c r="M448" s="5">
        <f>IF($N448="","",IF(INDEX('Per Invoice'!$M$2:$M$801,$N448)="","",INDEX('Per Invoice'!$M$2:$M$801,$N448)))</f>
        <v/>
      </c>
      <c r="N448">
        <f>IF(ROWS($N$2:$N448)&lt;=COUNT('Per Invoice'!$O$2:$O$801),MATCH(ROWS($N$2:$N448),'Per Invoice'!$O$2:$O$801,0),"")</f>
        <v/>
      </c>
    </row>
    <row r="449">
      <c r="A449">
        <f>IF($N449="","",IF(INDEX('Per Invoice'!$A$2:$A$801,$N449)="","",INDEX('Per Invoice'!$A$2:$A$801,$N449)))</f>
        <v/>
      </c>
      <c r="B449">
        <f>IF($N449="","",IF(INDEX('Per Invoice'!$B$2:$B$801,$N449)="","",INDEX('Per Invoice'!$B$2:$B$801,$N449)))</f>
        <v/>
      </c>
      <c r="C449">
        <f>IF($N449="","",IF(INDEX('Per Invoice'!$C$2:$C$801,$N449)="","",INDEX('Per Invoice'!$C$2:$C$801,$N449)))</f>
        <v/>
      </c>
      <c r="D449">
        <f>IF($N449="","",IF(INDEX('Per Invoice'!$D$2:$D$801,$N449)="","",INDEX('Per Invoice'!$D$2:$D$801,$N449)))</f>
        <v/>
      </c>
      <c r="E449">
        <f>IF($N449="","",IF(INDEX('Per Invoice'!$E$2:$E$801,$N449)="","",INDEX('Per Invoice'!$E$2:$E$801,$N449)))</f>
        <v/>
      </c>
      <c r="F449">
        <f>IF($N449="","",IF(INDEX('Per Invoice'!$F$2:$F$801,$N449)="","",INDEX('Per Invoice'!$F$2:$F$801,$N449)))</f>
        <v/>
      </c>
      <c r="G449">
        <f>IF($N449="","",IF(INDEX('Per Invoice'!$G$2:$G$801,$N449)="","",INDEX('Per Invoice'!$G$2:$G$801,$N449)))</f>
        <v/>
      </c>
      <c r="H449">
        <f>IF($N449="","",IF(INDEX('Per Invoice'!$H$2:$H$801,$N449)="","",INDEX('Per Invoice'!$H$2:$H$801,$N449)))</f>
        <v/>
      </c>
      <c r="I449" s="5">
        <f>IF($N449="","",IF(INDEX('Per Invoice'!$I$2:$I$801,$N449)="","",INDEX('Per Invoice'!$I$2:$I$801,$N449)))</f>
        <v/>
      </c>
      <c r="J449" s="5">
        <f>IF($N449="","",IF(INDEX('Per Invoice'!$J$2:$J$801,$N449)="","",INDEX('Per Invoice'!$J$2:$J$801,$N449)))</f>
        <v/>
      </c>
      <c r="K449" s="5">
        <f>IF($N449="","",IF(INDEX('Per Invoice'!$K$2:$K$801,$N449)="","",INDEX('Per Invoice'!$K$2:$K$801,$N449)))</f>
        <v/>
      </c>
      <c r="L449" s="5">
        <f>IF($N449="","",IF(INDEX('Per Invoice'!$L$2:$L$801,$N449)="","",INDEX('Per Invoice'!$L$2:$L$801,$N449)))</f>
        <v/>
      </c>
      <c r="M449" s="5">
        <f>IF($N449="","",IF(INDEX('Per Invoice'!$M$2:$M$801,$N449)="","",INDEX('Per Invoice'!$M$2:$M$801,$N449)))</f>
        <v/>
      </c>
      <c r="N449">
        <f>IF(ROWS($N$2:$N449)&lt;=COUNT('Per Invoice'!$O$2:$O$801),MATCH(ROWS($N$2:$N449),'Per Invoice'!$O$2:$O$801,0),"")</f>
        <v/>
      </c>
    </row>
    <row r="450">
      <c r="A450">
        <f>IF($N450="","",IF(INDEX('Per Invoice'!$A$2:$A$801,$N450)="","",INDEX('Per Invoice'!$A$2:$A$801,$N450)))</f>
        <v/>
      </c>
      <c r="B450">
        <f>IF($N450="","",IF(INDEX('Per Invoice'!$B$2:$B$801,$N450)="","",INDEX('Per Invoice'!$B$2:$B$801,$N450)))</f>
        <v/>
      </c>
      <c r="C450">
        <f>IF($N450="","",IF(INDEX('Per Invoice'!$C$2:$C$801,$N450)="","",INDEX('Per Invoice'!$C$2:$C$801,$N450)))</f>
        <v/>
      </c>
      <c r="D450">
        <f>IF($N450="","",IF(INDEX('Per Invoice'!$D$2:$D$801,$N450)="","",INDEX('Per Invoice'!$D$2:$D$801,$N450)))</f>
        <v/>
      </c>
      <c r="E450">
        <f>IF($N450="","",IF(INDEX('Per Invoice'!$E$2:$E$801,$N450)="","",INDEX('Per Invoice'!$E$2:$E$801,$N450)))</f>
        <v/>
      </c>
      <c r="F450">
        <f>IF($N450="","",IF(INDEX('Per Invoice'!$F$2:$F$801,$N450)="","",INDEX('Per Invoice'!$F$2:$F$801,$N450)))</f>
        <v/>
      </c>
      <c r="G450">
        <f>IF($N450="","",IF(INDEX('Per Invoice'!$G$2:$G$801,$N450)="","",INDEX('Per Invoice'!$G$2:$G$801,$N450)))</f>
        <v/>
      </c>
      <c r="H450">
        <f>IF($N450="","",IF(INDEX('Per Invoice'!$H$2:$H$801,$N450)="","",INDEX('Per Invoice'!$H$2:$H$801,$N450)))</f>
        <v/>
      </c>
      <c r="I450" s="5">
        <f>IF($N450="","",IF(INDEX('Per Invoice'!$I$2:$I$801,$N450)="","",INDEX('Per Invoice'!$I$2:$I$801,$N450)))</f>
        <v/>
      </c>
      <c r="J450" s="5">
        <f>IF($N450="","",IF(INDEX('Per Invoice'!$J$2:$J$801,$N450)="","",INDEX('Per Invoice'!$J$2:$J$801,$N450)))</f>
        <v/>
      </c>
      <c r="K450" s="5">
        <f>IF($N450="","",IF(INDEX('Per Invoice'!$K$2:$K$801,$N450)="","",INDEX('Per Invoice'!$K$2:$K$801,$N450)))</f>
        <v/>
      </c>
      <c r="L450" s="5">
        <f>IF($N450="","",IF(INDEX('Per Invoice'!$L$2:$L$801,$N450)="","",INDEX('Per Invoice'!$L$2:$L$801,$N450)))</f>
        <v/>
      </c>
      <c r="M450" s="5">
        <f>IF($N450="","",IF(INDEX('Per Invoice'!$M$2:$M$801,$N450)="","",INDEX('Per Invoice'!$M$2:$M$801,$N450)))</f>
        <v/>
      </c>
      <c r="N450">
        <f>IF(ROWS($N$2:$N450)&lt;=COUNT('Per Invoice'!$O$2:$O$801),MATCH(ROWS($N$2:$N450),'Per Invoice'!$O$2:$O$801,0),"")</f>
        <v/>
      </c>
    </row>
    <row r="451">
      <c r="A451">
        <f>IF($N451="","",IF(INDEX('Per Invoice'!$A$2:$A$801,$N451)="","",INDEX('Per Invoice'!$A$2:$A$801,$N451)))</f>
        <v/>
      </c>
      <c r="B451">
        <f>IF($N451="","",IF(INDEX('Per Invoice'!$B$2:$B$801,$N451)="","",INDEX('Per Invoice'!$B$2:$B$801,$N451)))</f>
        <v/>
      </c>
      <c r="C451">
        <f>IF($N451="","",IF(INDEX('Per Invoice'!$C$2:$C$801,$N451)="","",INDEX('Per Invoice'!$C$2:$C$801,$N451)))</f>
        <v/>
      </c>
      <c r="D451">
        <f>IF($N451="","",IF(INDEX('Per Invoice'!$D$2:$D$801,$N451)="","",INDEX('Per Invoice'!$D$2:$D$801,$N451)))</f>
        <v/>
      </c>
      <c r="E451">
        <f>IF($N451="","",IF(INDEX('Per Invoice'!$E$2:$E$801,$N451)="","",INDEX('Per Invoice'!$E$2:$E$801,$N451)))</f>
        <v/>
      </c>
      <c r="F451">
        <f>IF($N451="","",IF(INDEX('Per Invoice'!$F$2:$F$801,$N451)="","",INDEX('Per Invoice'!$F$2:$F$801,$N451)))</f>
        <v/>
      </c>
      <c r="G451">
        <f>IF($N451="","",IF(INDEX('Per Invoice'!$G$2:$G$801,$N451)="","",INDEX('Per Invoice'!$G$2:$G$801,$N451)))</f>
        <v/>
      </c>
      <c r="H451">
        <f>IF($N451="","",IF(INDEX('Per Invoice'!$H$2:$H$801,$N451)="","",INDEX('Per Invoice'!$H$2:$H$801,$N451)))</f>
        <v/>
      </c>
      <c r="I451" s="5">
        <f>IF($N451="","",IF(INDEX('Per Invoice'!$I$2:$I$801,$N451)="","",INDEX('Per Invoice'!$I$2:$I$801,$N451)))</f>
        <v/>
      </c>
      <c r="J451" s="5">
        <f>IF($N451="","",IF(INDEX('Per Invoice'!$J$2:$J$801,$N451)="","",INDEX('Per Invoice'!$J$2:$J$801,$N451)))</f>
        <v/>
      </c>
      <c r="K451" s="5">
        <f>IF($N451="","",IF(INDEX('Per Invoice'!$K$2:$K$801,$N451)="","",INDEX('Per Invoice'!$K$2:$K$801,$N451)))</f>
        <v/>
      </c>
      <c r="L451" s="5">
        <f>IF($N451="","",IF(INDEX('Per Invoice'!$L$2:$L$801,$N451)="","",INDEX('Per Invoice'!$L$2:$L$801,$N451)))</f>
        <v/>
      </c>
      <c r="M451" s="5">
        <f>IF($N451="","",IF(INDEX('Per Invoice'!$M$2:$M$801,$N451)="","",INDEX('Per Invoice'!$M$2:$M$801,$N451)))</f>
        <v/>
      </c>
      <c r="N451">
        <f>IF(ROWS($N$2:$N451)&lt;=COUNT('Per Invoice'!$O$2:$O$801),MATCH(ROWS($N$2:$N451),'Per Invoice'!$O$2:$O$801,0),"")</f>
        <v/>
      </c>
    </row>
    <row r="452">
      <c r="A452">
        <f>IF($N452="","",IF(INDEX('Per Invoice'!$A$2:$A$801,$N452)="","",INDEX('Per Invoice'!$A$2:$A$801,$N452)))</f>
        <v/>
      </c>
      <c r="B452">
        <f>IF($N452="","",IF(INDEX('Per Invoice'!$B$2:$B$801,$N452)="","",INDEX('Per Invoice'!$B$2:$B$801,$N452)))</f>
        <v/>
      </c>
      <c r="C452">
        <f>IF($N452="","",IF(INDEX('Per Invoice'!$C$2:$C$801,$N452)="","",INDEX('Per Invoice'!$C$2:$C$801,$N452)))</f>
        <v/>
      </c>
      <c r="D452">
        <f>IF($N452="","",IF(INDEX('Per Invoice'!$D$2:$D$801,$N452)="","",INDEX('Per Invoice'!$D$2:$D$801,$N452)))</f>
        <v/>
      </c>
      <c r="E452">
        <f>IF($N452="","",IF(INDEX('Per Invoice'!$E$2:$E$801,$N452)="","",INDEX('Per Invoice'!$E$2:$E$801,$N452)))</f>
        <v/>
      </c>
      <c r="F452">
        <f>IF($N452="","",IF(INDEX('Per Invoice'!$F$2:$F$801,$N452)="","",INDEX('Per Invoice'!$F$2:$F$801,$N452)))</f>
        <v/>
      </c>
      <c r="G452">
        <f>IF($N452="","",IF(INDEX('Per Invoice'!$G$2:$G$801,$N452)="","",INDEX('Per Invoice'!$G$2:$G$801,$N452)))</f>
        <v/>
      </c>
      <c r="H452">
        <f>IF($N452="","",IF(INDEX('Per Invoice'!$H$2:$H$801,$N452)="","",INDEX('Per Invoice'!$H$2:$H$801,$N452)))</f>
        <v/>
      </c>
      <c r="I452" s="5">
        <f>IF($N452="","",IF(INDEX('Per Invoice'!$I$2:$I$801,$N452)="","",INDEX('Per Invoice'!$I$2:$I$801,$N452)))</f>
        <v/>
      </c>
      <c r="J452" s="5">
        <f>IF($N452="","",IF(INDEX('Per Invoice'!$J$2:$J$801,$N452)="","",INDEX('Per Invoice'!$J$2:$J$801,$N452)))</f>
        <v/>
      </c>
      <c r="K452" s="5">
        <f>IF($N452="","",IF(INDEX('Per Invoice'!$K$2:$K$801,$N452)="","",INDEX('Per Invoice'!$K$2:$K$801,$N452)))</f>
        <v/>
      </c>
      <c r="L452" s="5">
        <f>IF($N452="","",IF(INDEX('Per Invoice'!$L$2:$L$801,$N452)="","",INDEX('Per Invoice'!$L$2:$L$801,$N452)))</f>
        <v/>
      </c>
      <c r="M452" s="5">
        <f>IF($N452="","",IF(INDEX('Per Invoice'!$M$2:$M$801,$N452)="","",INDEX('Per Invoice'!$M$2:$M$801,$N452)))</f>
        <v/>
      </c>
      <c r="N452">
        <f>IF(ROWS($N$2:$N452)&lt;=COUNT('Per Invoice'!$O$2:$O$801),MATCH(ROWS($N$2:$N452),'Per Invoice'!$O$2:$O$801,0),"")</f>
        <v/>
      </c>
    </row>
    <row r="453">
      <c r="A453">
        <f>IF($N453="","",IF(INDEX('Per Invoice'!$A$2:$A$801,$N453)="","",INDEX('Per Invoice'!$A$2:$A$801,$N453)))</f>
        <v/>
      </c>
      <c r="B453">
        <f>IF($N453="","",IF(INDEX('Per Invoice'!$B$2:$B$801,$N453)="","",INDEX('Per Invoice'!$B$2:$B$801,$N453)))</f>
        <v/>
      </c>
      <c r="C453">
        <f>IF($N453="","",IF(INDEX('Per Invoice'!$C$2:$C$801,$N453)="","",INDEX('Per Invoice'!$C$2:$C$801,$N453)))</f>
        <v/>
      </c>
      <c r="D453">
        <f>IF($N453="","",IF(INDEX('Per Invoice'!$D$2:$D$801,$N453)="","",INDEX('Per Invoice'!$D$2:$D$801,$N453)))</f>
        <v/>
      </c>
      <c r="E453">
        <f>IF($N453="","",IF(INDEX('Per Invoice'!$E$2:$E$801,$N453)="","",INDEX('Per Invoice'!$E$2:$E$801,$N453)))</f>
        <v/>
      </c>
      <c r="F453">
        <f>IF($N453="","",IF(INDEX('Per Invoice'!$F$2:$F$801,$N453)="","",INDEX('Per Invoice'!$F$2:$F$801,$N453)))</f>
        <v/>
      </c>
      <c r="G453">
        <f>IF($N453="","",IF(INDEX('Per Invoice'!$G$2:$G$801,$N453)="","",INDEX('Per Invoice'!$G$2:$G$801,$N453)))</f>
        <v/>
      </c>
      <c r="H453">
        <f>IF($N453="","",IF(INDEX('Per Invoice'!$H$2:$H$801,$N453)="","",INDEX('Per Invoice'!$H$2:$H$801,$N453)))</f>
        <v/>
      </c>
      <c r="I453" s="5">
        <f>IF($N453="","",IF(INDEX('Per Invoice'!$I$2:$I$801,$N453)="","",INDEX('Per Invoice'!$I$2:$I$801,$N453)))</f>
        <v/>
      </c>
      <c r="J453" s="5">
        <f>IF($N453="","",IF(INDEX('Per Invoice'!$J$2:$J$801,$N453)="","",INDEX('Per Invoice'!$J$2:$J$801,$N453)))</f>
        <v/>
      </c>
      <c r="K453" s="5">
        <f>IF($N453="","",IF(INDEX('Per Invoice'!$K$2:$K$801,$N453)="","",INDEX('Per Invoice'!$K$2:$K$801,$N453)))</f>
        <v/>
      </c>
      <c r="L453" s="5">
        <f>IF($N453="","",IF(INDEX('Per Invoice'!$L$2:$L$801,$N453)="","",INDEX('Per Invoice'!$L$2:$L$801,$N453)))</f>
        <v/>
      </c>
      <c r="M453" s="5">
        <f>IF($N453="","",IF(INDEX('Per Invoice'!$M$2:$M$801,$N453)="","",INDEX('Per Invoice'!$M$2:$M$801,$N453)))</f>
        <v/>
      </c>
      <c r="N453">
        <f>IF(ROWS($N$2:$N453)&lt;=COUNT('Per Invoice'!$O$2:$O$801),MATCH(ROWS($N$2:$N453),'Per Invoice'!$O$2:$O$801,0),"")</f>
        <v/>
      </c>
    </row>
    <row r="454">
      <c r="A454">
        <f>IF($N454="","",IF(INDEX('Per Invoice'!$A$2:$A$801,$N454)="","",INDEX('Per Invoice'!$A$2:$A$801,$N454)))</f>
        <v/>
      </c>
      <c r="B454">
        <f>IF($N454="","",IF(INDEX('Per Invoice'!$B$2:$B$801,$N454)="","",INDEX('Per Invoice'!$B$2:$B$801,$N454)))</f>
        <v/>
      </c>
      <c r="C454">
        <f>IF($N454="","",IF(INDEX('Per Invoice'!$C$2:$C$801,$N454)="","",INDEX('Per Invoice'!$C$2:$C$801,$N454)))</f>
        <v/>
      </c>
      <c r="D454">
        <f>IF($N454="","",IF(INDEX('Per Invoice'!$D$2:$D$801,$N454)="","",INDEX('Per Invoice'!$D$2:$D$801,$N454)))</f>
        <v/>
      </c>
      <c r="E454">
        <f>IF($N454="","",IF(INDEX('Per Invoice'!$E$2:$E$801,$N454)="","",INDEX('Per Invoice'!$E$2:$E$801,$N454)))</f>
        <v/>
      </c>
      <c r="F454">
        <f>IF($N454="","",IF(INDEX('Per Invoice'!$F$2:$F$801,$N454)="","",INDEX('Per Invoice'!$F$2:$F$801,$N454)))</f>
        <v/>
      </c>
      <c r="G454">
        <f>IF($N454="","",IF(INDEX('Per Invoice'!$G$2:$G$801,$N454)="","",INDEX('Per Invoice'!$G$2:$G$801,$N454)))</f>
        <v/>
      </c>
      <c r="H454">
        <f>IF($N454="","",IF(INDEX('Per Invoice'!$H$2:$H$801,$N454)="","",INDEX('Per Invoice'!$H$2:$H$801,$N454)))</f>
        <v/>
      </c>
      <c r="I454" s="5">
        <f>IF($N454="","",IF(INDEX('Per Invoice'!$I$2:$I$801,$N454)="","",INDEX('Per Invoice'!$I$2:$I$801,$N454)))</f>
        <v/>
      </c>
      <c r="J454" s="5">
        <f>IF($N454="","",IF(INDEX('Per Invoice'!$J$2:$J$801,$N454)="","",INDEX('Per Invoice'!$J$2:$J$801,$N454)))</f>
        <v/>
      </c>
      <c r="K454" s="5">
        <f>IF($N454="","",IF(INDEX('Per Invoice'!$K$2:$K$801,$N454)="","",INDEX('Per Invoice'!$K$2:$K$801,$N454)))</f>
        <v/>
      </c>
      <c r="L454" s="5">
        <f>IF($N454="","",IF(INDEX('Per Invoice'!$L$2:$L$801,$N454)="","",INDEX('Per Invoice'!$L$2:$L$801,$N454)))</f>
        <v/>
      </c>
      <c r="M454" s="5">
        <f>IF($N454="","",IF(INDEX('Per Invoice'!$M$2:$M$801,$N454)="","",INDEX('Per Invoice'!$M$2:$M$801,$N454)))</f>
        <v/>
      </c>
      <c r="N454">
        <f>IF(ROWS($N$2:$N454)&lt;=COUNT('Per Invoice'!$O$2:$O$801),MATCH(ROWS($N$2:$N454),'Per Invoice'!$O$2:$O$801,0),"")</f>
        <v/>
      </c>
    </row>
    <row r="455">
      <c r="A455">
        <f>IF($N455="","",IF(INDEX('Per Invoice'!$A$2:$A$801,$N455)="","",INDEX('Per Invoice'!$A$2:$A$801,$N455)))</f>
        <v/>
      </c>
      <c r="B455">
        <f>IF($N455="","",IF(INDEX('Per Invoice'!$B$2:$B$801,$N455)="","",INDEX('Per Invoice'!$B$2:$B$801,$N455)))</f>
        <v/>
      </c>
      <c r="C455">
        <f>IF($N455="","",IF(INDEX('Per Invoice'!$C$2:$C$801,$N455)="","",INDEX('Per Invoice'!$C$2:$C$801,$N455)))</f>
        <v/>
      </c>
      <c r="D455">
        <f>IF($N455="","",IF(INDEX('Per Invoice'!$D$2:$D$801,$N455)="","",INDEX('Per Invoice'!$D$2:$D$801,$N455)))</f>
        <v/>
      </c>
      <c r="E455">
        <f>IF($N455="","",IF(INDEX('Per Invoice'!$E$2:$E$801,$N455)="","",INDEX('Per Invoice'!$E$2:$E$801,$N455)))</f>
        <v/>
      </c>
      <c r="F455">
        <f>IF($N455="","",IF(INDEX('Per Invoice'!$F$2:$F$801,$N455)="","",INDEX('Per Invoice'!$F$2:$F$801,$N455)))</f>
        <v/>
      </c>
      <c r="G455">
        <f>IF($N455="","",IF(INDEX('Per Invoice'!$G$2:$G$801,$N455)="","",INDEX('Per Invoice'!$G$2:$G$801,$N455)))</f>
        <v/>
      </c>
      <c r="H455">
        <f>IF($N455="","",IF(INDEX('Per Invoice'!$H$2:$H$801,$N455)="","",INDEX('Per Invoice'!$H$2:$H$801,$N455)))</f>
        <v/>
      </c>
      <c r="I455" s="5">
        <f>IF($N455="","",IF(INDEX('Per Invoice'!$I$2:$I$801,$N455)="","",INDEX('Per Invoice'!$I$2:$I$801,$N455)))</f>
        <v/>
      </c>
      <c r="J455" s="5">
        <f>IF($N455="","",IF(INDEX('Per Invoice'!$J$2:$J$801,$N455)="","",INDEX('Per Invoice'!$J$2:$J$801,$N455)))</f>
        <v/>
      </c>
      <c r="K455" s="5">
        <f>IF($N455="","",IF(INDEX('Per Invoice'!$K$2:$K$801,$N455)="","",INDEX('Per Invoice'!$K$2:$K$801,$N455)))</f>
        <v/>
      </c>
      <c r="L455" s="5">
        <f>IF($N455="","",IF(INDEX('Per Invoice'!$L$2:$L$801,$N455)="","",INDEX('Per Invoice'!$L$2:$L$801,$N455)))</f>
        <v/>
      </c>
      <c r="M455" s="5">
        <f>IF($N455="","",IF(INDEX('Per Invoice'!$M$2:$M$801,$N455)="","",INDEX('Per Invoice'!$M$2:$M$801,$N455)))</f>
        <v/>
      </c>
      <c r="N455">
        <f>IF(ROWS($N$2:$N455)&lt;=COUNT('Per Invoice'!$O$2:$O$801),MATCH(ROWS($N$2:$N455),'Per Invoice'!$O$2:$O$801,0),"")</f>
        <v/>
      </c>
    </row>
    <row r="456">
      <c r="A456">
        <f>IF($N456="","",IF(INDEX('Per Invoice'!$A$2:$A$801,$N456)="","",INDEX('Per Invoice'!$A$2:$A$801,$N456)))</f>
        <v/>
      </c>
      <c r="B456">
        <f>IF($N456="","",IF(INDEX('Per Invoice'!$B$2:$B$801,$N456)="","",INDEX('Per Invoice'!$B$2:$B$801,$N456)))</f>
        <v/>
      </c>
      <c r="C456">
        <f>IF($N456="","",IF(INDEX('Per Invoice'!$C$2:$C$801,$N456)="","",INDEX('Per Invoice'!$C$2:$C$801,$N456)))</f>
        <v/>
      </c>
      <c r="D456">
        <f>IF($N456="","",IF(INDEX('Per Invoice'!$D$2:$D$801,$N456)="","",INDEX('Per Invoice'!$D$2:$D$801,$N456)))</f>
        <v/>
      </c>
      <c r="E456">
        <f>IF($N456="","",IF(INDEX('Per Invoice'!$E$2:$E$801,$N456)="","",INDEX('Per Invoice'!$E$2:$E$801,$N456)))</f>
        <v/>
      </c>
      <c r="F456">
        <f>IF($N456="","",IF(INDEX('Per Invoice'!$F$2:$F$801,$N456)="","",INDEX('Per Invoice'!$F$2:$F$801,$N456)))</f>
        <v/>
      </c>
      <c r="G456">
        <f>IF($N456="","",IF(INDEX('Per Invoice'!$G$2:$G$801,$N456)="","",INDEX('Per Invoice'!$G$2:$G$801,$N456)))</f>
        <v/>
      </c>
      <c r="H456">
        <f>IF($N456="","",IF(INDEX('Per Invoice'!$H$2:$H$801,$N456)="","",INDEX('Per Invoice'!$H$2:$H$801,$N456)))</f>
        <v/>
      </c>
      <c r="I456" s="5">
        <f>IF($N456="","",IF(INDEX('Per Invoice'!$I$2:$I$801,$N456)="","",INDEX('Per Invoice'!$I$2:$I$801,$N456)))</f>
        <v/>
      </c>
      <c r="J456" s="5">
        <f>IF($N456="","",IF(INDEX('Per Invoice'!$J$2:$J$801,$N456)="","",INDEX('Per Invoice'!$J$2:$J$801,$N456)))</f>
        <v/>
      </c>
      <c r="K456" s="5">
        <f>IF($N456="","",IF(INDEX('Per Invoice'!$K$2:$K$801,$N456)="","",INDEX('Per Invoice'!$K$2:$K$801,$N456)))</f>
        <v/>
      </c>
      <c r="L456" s="5">
        <f>IF($N456="","",IF(INDEX('Per Invoice'!$L$2:$L$801,$N456)="","",INDEX('Per Invoice'!$L$2:$L$801,$N456)))</f>
        <v/>
      </c>
      <c r="M456" s="5">
        <f>IF($N456="","",IF(INDEX('Per Invoice'!$M$2:$M$801,$N456)="","",INDEX('Per Invoice'!$M$2:$M$801,$N456)))</f>
        <v/>
      </c>
      <c r="N456">
        <f>IF(ROWS($N$2:$N456)&lt;=COUNT('Per Invoice'!$O$2:$O$801),MATCH(ROWS($N$2:$N456),'Per Invoice'!$O$2:$O$801,0),"")</f>
        <v/>
      </c>
    </row>
    <row r="457">
      <c r="A457">
        <f>IF($N457="","",IF(INDEX('Per Invoice'!$A$2:$A$801,$N457)="","",INDEX('Per Invoice'!$A$2:$A$801,$N457)))</f>
        <v/>
      </c>
      <c r="B457">
        <f>IF($N457="","",IF(INDEX('Per Invoice'!$B$2:$B$801,$N457)="","",INDEX('Per Invoice'!$B$2:$B$801,$N457)))</f>
        <v/>
      </c>
      <c r="C457">
        <f>IF($N457="","",IF(INDEX('Per Invoice'!$C$2:$C$801,$N457)="","",INDEX('Per Invoice'!$C$2:$C$801,$N457)))</f>
        <v/>
      </c>
      <c r="D457">
        <f>IF($N457="","",IF(INDEX('Per Invoice'!$D$2:$D$801,$N457)="","",INDEX('Per Invoice'!$D$2:$D$801,$N457)))</f>
        <v/>
      </c>
      <c r="E457">
        <f>IF($N457="","",IF(INDEX('Per Invoice'!$E$2:$E$801,$N457)="","",INDEX('Per Invoice'!$E$2:$E$801,$N457)))</f>
        <v/>
      </c>
      <c r="F457">
        <f>IF($N457="","",IF(INDEX('Per Invoice'!$F$2:$F$801,$N457)="","",INDEX('Per Invoice'!$F$2:$F$801,$N457)))</f>
        <v/>
      </c>
      <c r="G457">
        <f>IF($N457="","",IF(INDEX('Per Invoice'!$G$2:$G$801,$N457)="","",INDEX('Per Invoice'!$G$2:$G$801,$N457)))</f>
        <v/>
      </c>
      <c r="H457">
        <f>IF($N457="","",IF(INDEX('Per Invoice'!$H$2:$H$801,$N457)="","",INDEX('Per Invoice'!$H$2:$H$801,$N457)))</f>
        <v/>
      </c>
      <c r="I457" s="5">
        <f>IF($N457="","",IF(INDEX('Per Invoice'!$I$2:$I$801,$N457)="","",INDEX('Per Invoice'!$I$2:$I$801,$N457)))</f>
        <v/>
      </c>
      <c r="J457" s="5">
        <f>IF($N457="","",IF(INDEX('Per Invoice'!$J$2:$J$801,$N457)="","",INDEX('Per Invoice'!$J$2:$J$801,$N457)))</f>
        <v/>
      </c>
      <c r="K457" s="5">
        <f>IF($N457="","",IF(INDEX('Per Invoice'!$K$2:$K$801,$N457)="","",INDEX('Per Invoice'!$K$2:$K$801,$N457)))</f>
        <v/>
      </c>
      <c r="L457" s="5">
        <f>IF($N457="","",IF(INDEX('Per Invoice'!$L$2:$L$801,$N457)="","",INDEX('Per Invoice'!$L$2:$L$801,$N457)))</f>
        <v/>
      </c>
      <c r="M457" s="5">
        <f>IF($N457="","",IF(INDEX('Per Invoice'!$M$2:$M$801,$N457)="","",INDEX('Per Invoice'!$M$2:$M$801,$N457)))</f>
        <v/>
      </c>
      <c r="N457">
        <f>IF(ROWS($N$2:$N457)&lt;=COUNT('Per Invoice'!$O$2:$O$801),MATCH(ROWS($N$2:$N457),'Per Invoice'!$O$2:$O$801,0),"")</f>
        <v/>
      </c>
    </row>
    <row r="458">
      <c r="A458">
        <f>IF($N458="","",IF(INDEX('Per Invoice'!$A$2:$A$801,$N458)="","",INDEX('Per Invoice'!$A$2:$A$801,$N458)))</f>
        <v/>
      </c>
      <c r="B458">
        <f>IF($N458="","",IF(INDEX('Per Invoice'!$B$2:$B$801,$N458)="","",INDEX('Per Invoice'!$B$2:$B$801,$N458)))</f>
        <v/>
      </c>
      <c r="C458">
        <f>IF($N458="","",IF(INDEX('Per Invoice'!$C$2:$C$801,$N458)="","",INDEX('Per Invoice'!$C$2:$C$801,$N458)))</f>
        <v/>
      </c>
      <c r="D458">
        <f>IF($N458="","",IF(INDEX('Per Invoice'!$D$2:$D$801,$N458)="","",INDEX('Per Invoice'!$D$2:$D$801,$N458)))</f>
        <v/>
      </c>
      <c r="E458">
        <f>IF($N458="","",IF(INDEX('Per Invoice'!$E$2:$E$801,$N458)="","",INDEX('Per Invoice'!$E$2:$E$801,$N458)))</f>
        <v/>
      </c>
      <c r="F458">
        <f>IF($N458="","",IF(INDEX('Per Invoice'!$F$2:$F$801,$N458)="","",INDEX('Per Invoice'!$F$2:$F$801,$N458)))</f>
        <v/>
      </c>
      <c r="G458">
        <f>IF($N458="","",IF(INDEX('Per Invoice'!$G$2:$G$801,$N458)="","",INDEX('Per Invoice'!$G$2:$G$801,$N458)))</f>
        <v/>
      </c>
      <c r="H458">
        <f>IF($N458="","",IF(INDEX('Per Invoice'!$H$2:$H$801,$N458)="","",INDEX('Per Invoice'!$H$2:$H$801,$N458)))</f>
        <v/>
      </c>
      <c r="I458" s="5">
        <f>IF($N458="","",IF(INDEX('Per Invoice'!$I$2:$I$801,$N458)="","",INDEX('Per Invoice'!$I$2:$I$801,$N458)))</f>
        <v/>
      </c>
      <c r="J458" s="5">
        <f>IF($N458="","",IF(INDEX('Per Invoice'!$J$2:$J$801,$N458)="","",INDEX('Per Invoice'!$J$2:$J$801,$N458)))</f>
        <v/>
      </c>
      <c r="K458" s="5">
        <f>IF($N458="","",IF(INDEX('Per Invoice'!$K$2:$K$801,$N458)="","",INDEX('Per Invoice'!$K$2:$K$801,$N458)))</f>
        <v/>
      </c>
      <c r="L458" s="5">
        <f>IF($N458="","",IF(INDEX('Per Invoice'!$L$2:$L$801,$N458)="","",INDEX('Per Invoice'!$L$2:$L$801,$N458)))</f>
        <v/>
      </c>
      <c r="M458" s="5">
        <f>IF($N458="","",IF(INDEX('Per Invoice'!$M$2:$M$801,$N458)="","",INDEX('Per Invoice'!$M$2:$M$801,$N458)))</f>
        <v/>
      </c>
      <c r="N458">
        <f>IF(ROWS($N$2:$N458)&lt;=COUNT('Per Invoice'!$O$2:$O$801),MATCH(ROWS($N$2:$N458),'Per Invoice'!$O$2:$O$801,0),"")</f>
        <v/>
      </c>
    </row>
    <row r="459">
      <c r="A459">
        <f>IF($N459="","",IF(INDEX('Per Invoice'!$A$2:$A$801,$N459)="","",INDEX('Per Invoice'!$A$2:$A$801,$N459)))</f>
        <v/>
      </c>
      <c r="B459">
        <f>IF($N459="","",IF(INDEX('Per Invoice'!$B$2:$B$801,$N459)="","",INDEX('Per Invoice'!$B$2:$B$801,$N459)))</f>
        <v/>
      </c>
      <c r="C459">
        <f>IF($N459="","",IF(INDEX('Per Invoice'!$C$2:$C$801,$N459)="","",INDEX('Per Invoice'!$C$2:$C$801,$N459)))</f>
        <v/>
      </c>
      <c r="D459">
        <f>IF($N459="","",IF(INDEX('Per Invoice'!$D$2:$D$801,$N459)="","",INDEX('Per Invoice'!$D$2:$D$801,$N459)))</f>
        <v/>
      </c>
      <c r="E459">
        <f>IF($N459="","",IF(INDEX('Per Invoice'!$E$2:$E$801,$N459)="","",INDEX('Per Invoice'!$E$2:$E$801,$N459)))</f>
        <v/>
      </c>
      <c r="F459">
        <f>IF($N459="","",IF(INDEX('Per Invoice'!$F$2:$F$801,$N459)="","",INDEX('Per Invoice'!$F$2:$F$801,$N459)))</f>
        <v/>
      </c>
      <c r="G459">
        <f>IF($N459="","",IF(INDEX('Per Invoice'!$G$2:$G$801,$N459)="","",INDEX('Per Invoice'!$G$2:$G$801,$N459)))</f>
        <v/>
      </c>
      <c r="H459">
        <f>IF($N459="","",IF(INDEX('Per Invoice'!$H$2:$H$801,$N459)="","",INDEX('Per Invoice'!$H$2:$H$801,$N459)))</f>
        <v/>
      </c>
      <c r="I459" s="5">
        <f>IF($N459="","",IF(INDEX('Per Invoice'!$I$2:$I$801,$N459)="","",INDEX('Per Invoice'!$I$2:$I$801,$N459)))</f>
        <v/>
      </c>
      <c r="J459" s="5">
        <f>IF($N459="","",IF(INDEX('Per Invoice'!$J$2:$J$801,$N459)="","",INDEX('Per Invoice'!$J$2:$J$801,$N459)))</f>
        <v/>
      </c>
      <c r="K459" s="5">
        <f>IF($N459="","",IF(INDEX('Per Invoice'!$K$2:$K$801,$N459)="","",INDEX('Per Invoice'!$K$2:$K$801,$N459)))</f>
        <v/>
      </c>
      <c r="L459" s="5">
        <f>IF($N459="","",IF(INDEX('Per Invoice'!$L$2:$L$801,$N459)="","",INDEX('Per Invoice'!$L$2:$L$801,$N459)))</f>
        <v/>
      </c>
      <c r="M459" s="5">
        <f>IF($N459="","",IF(INDEX('Per Invoice'!$M$2:$M$801,$N459)="","",INDEX('Per Invoice'!$M$2:$M$801,$N459)))</f>
        <v/>
      </c>
      <c r="N459">
        <f>IF(ROWS($N$2:$N459)&lt;=COUNT('Per Invoice'!$O$2:$O$801),MATCH(ROWS($N$2:$N459),'Per Invoice'!$O$2:$O$801,0),"")</f>
        <v/>
      </c>
    </row>
    <row r="460">
      <c r="A460">
        <f>IF($N460="","",IF(INDEX('Per Invoice'!$A$2:$A$801,$N460)="","",INDEX('Per Invoice'!$A$2:$A$801,$N460)))</f>
        <v/>
      </c>
      <c r="B460">
        <f>IF($N460="","",IF(INDEX('Per Invoice'!$B$2:$B$801,$N460)="","",INDEX('Per Invoice'!$B$2:$B$801,$N460)))</f>
        <v/>
      </c>
      <c r="C460">
        <f>IF($N460="","",IF(INDEX('Per Invoice'!$C$2:$C$801,$N460)="","",INDEX('Per Invoice'!$C$2:$C$801,$N460)))</f>
        <v/>
      </c>
      <c r="D460">
        <f>IF($N460="","",IF(INDEX('Per Invoice'!$D$2:$D$801,$N460)="","",INDEX('Per Invoice'!$D$2:$D$801,$N460)))</f>
        <v/>
      </c>
      <c r="E460">
        <f>IF($N460="","",IF(INDEX('Per Invoice'!$E$2:$E$801,$N460)="","",INDEX('Per Invoice'!$E$2:$E$801,$N460)))</f>
        <v/>
      </c>
      <c r="F460">
        <f>IF($N460="","",IF(INDEX('Per Invoice'!$F$2:$F$801,$N460)="","",INDEX('Per Invoice'!$F$2:$F$801,$N460)))</f>
        <v/>
      </c>
      <c r="G460">
        <f>IF($N460="","",IF(INDEX('Per Invoice'!$G$2:$G$801,$N460)="","",INDEX('Per Invoice'!$G$2:$G$801,$N460)))</f>
        <v/>
      </c>
      <c r="H460">
        <f>IF($N460="","",IF(INDEX('Per Invoice'!$H$2:$H$801,$N460)="","",INDEX('Per Invoice'!$H$2:$H$801,$N460)))</f>
        <v/>
      </c>
      <c r="I460" s="5">
        <f>IF($N460="","",IF(INDEX('Per Invoice'!$I$2:$I$801,$N460)="","",INDEX('Per Invoice'!$I$2:$I$801,$N460)))</f>
        <v/>
      </c>
      <c r="J460" s="5">
        <f>IF($N460="","",IF(INDEX('Per Invoice'!$J$2:$J$801,$N460)="","",INDEX('Per Invoice'!$J$2:$J$801,$N460)))</f>
        <v/>
      </c>
      <c r="K460" s="5">
        <f>IF($N460="","",IF(INDEX('Per Invoice'!$K$2:$K$801,$N460)="","",INDEX('Per Invoice'!$K$2:$K$801,$N460)))</f>
        <v/>
      </c>
      <c r="L460" s="5">
        <f>IF($N460="","",IF(INDEX('Per Invoice'!$L$2:$L$801,$N460)="","",INDEX('Per Invoice'!$L$2:$L$801,$N460)))</f>
        <v/>
      </c>
      <c r="M460" s="5">
        <f>IF($N460="","",IF(INDEX('Per Invoice'!$M$2:$M$801,$N460)="","",INDEX('Per Invoice'!$M$2:$M$801,$N460)))</f>
        <v/>
      </c>
      <c r="N460">
        <f>IF(ROWS($N$2:$N460)&lt;=COUNT('Per Invoice'!$O$2:$O$801),MATCH(ROWS($N$2:$N460),'Per Invoice'!$O$2:$O$801,0),"")</f>
        <v/>
      </c>
    </row>
    <row r="461">
      <c r="A461">
        <f>IF($N461="","",IF(INDEX('Per Invoice'!$A$2:$A$801,$N461)="","",INDEX('Per Invoice'!$A$2:$A$801,$N461)))</f>
        <v/>
      </c>
      <c r="B461">
        <f>IF($N461="","",IF(INDEX('Per Invoice'!$B$2:$B$801,$N461)="","",INDEX('Per Invoice'!$B$2:$B$801,$N461)))</f>
        <v/>
      </c>
      <c r="C461">
        <f>IF($N461="","",IF(INDEX('Per Invoice'!$C$2:$C$801,$N461)="","",INDEX('Per Invoice'!$C$2:$C$801,$N461)))</f>
        <v/>
      </c>
      <c r="D461">
        <f>IF($N461="","",IF(INDEX('Per Invoice'!$D$2:$D$801,$N461)="","",INDEX('Per Invoice'!$D$2:$D$801,$N461)))</f>
        <v/>
      </c>
      <c r="E461">
        <f>IF($N461="","",IF(INDEX('Per Invoice'!$E$2:$E$801,$N461)="","",INDEX('Per Invoice'!$E$2:$E$801,$N461)))</f>
        <v/>
      </c>
      <c r="F461">
        <f>IF($N461="","",IF(INDEX('Per Invoice'!$F$2:$F$801,$N461)="","",INDEX('Per Invoice'!$F$2:$F$801,$N461)))</f>
        <v/>
      </c>
      <c r="G461">
        <f>IF($N461="","",IF(INDEX('Per Invoice'!$G$2:$G$801,$N461)="","",INDEX('Per Invoice'!$G$2:$G$801,$N461)))</f>
        <v/>
      </c>
      <c r="H461">
        <f>IF($N461="","",IF(INDEX('Per Invoice'!$H$2:$H$801,$N461)="","",INDEX('Per Invoice'!$H$2:$H$801,$N461)))</f>
        <v/>
      </c>
      <c r="I461" s="5">
        <f>IF($N461="","",IF(INDEX('Per Invoice'!$I$2:$I$801,$N461)="","",INDEX('Per Invoice'!$I$2:$I$801,$N461)))</f>
        <v/>
      </c>
      <c r="J461" s="5">
        <f>IF($N461="","",IF(INDEX('Per Invoice'!$J$2:$J$801,$N461)="","",INDEX('Per Invoice'!$J$2:$J$801,$N461)))</f>
        <v/>
      </c>
      <c r="K461" s="5">
        <f>IF($N461="","",IF(INDEX('Per Invoice'!$K$2:$K$801,$N461)="","",INDEX('Per Invoice'!$K$2:$K$801,$N461)))</f>
        <v/>
      </c>
      <c r="L461" s="5">
        <f>IF($N461="","",IF(INDEX('Per Invoice'!$L$2:$L$801,$N461)="","",INDEX('Per Invoice'!$L$2:$L$801,$N461)))</f>
        <v/>
      </c>
      <c r="M461" s="5">
        <f>IF($N461="","",IF(INDEX('Per Invoice'!$M$2:$M$801,$N461)="","",INDEX('Per Invoice'!$M$2:$M$801,$N461)))</f>
        <v/>
      </c>
      <c r="N461">
        <f>IF(ROWS($N$2:$N461)&lt;=COUNT('Per Invoice'!$O$2:$O$801),MATCH(ROWS($N$2:$N461),'Per Invoice'!$O$2:$O$801,0),"")</f>
        <v/>
      </c>
    </row>
    <row r="462">
      <c r="A462">
        <f>IF($N462="","",IF(INDEX('Per Invoice'!$A$2:$A$801,$N462)="","",INDEX('Per Invoice'!$A$2:$A$801,$N462)))</f>
        <v/>
      </c>
      <c r="B462">
        <f>IF($N462="","",IF(INDEX('Per Invoice'!$B$2:$B$801,$N462)="","",INDEX('Per Invoice'!$B$2:$B$801,$N462)))</f>
        <v/>
      </c>
      <c r="C462">
        <f>IF($N462="","",IF(INDEX('Per Invoice'!$C$2:$C$801,$N462)="","",INDEX('Per Invoice'!$C$2:$C$801,$N462)))</f>
        <v/>
      </c>
      <c r="D462">
        <f>IF($N462="","",IF(INDEX('Per Invoice'!$D$2:$D$801,$N462)="","",INDEX('Per Invoice'!$D$2:$D$801,$N462)))</f>
        <v/>
      </c>
      <c r="E462">
        <f>IF($N462="","",IF(INDEX('Per Invoice'!$E$2:$E$801,$N462)="","",INDEX('Per Invoice'!$E$2:$E$801,$N462)))</f>
        <v/>
      </c>
      <c r="F462">
        <f>IF($N462="","",IF(INDEX('Per Invoice'!$F$2:$F$801,$N462)="","",INDEX('Per Invoice'!$F$2:$F$801,$N462)))</f>
        <v/>
      </c>
      <c r="G462">
        <f>IF($N462="","",IF(INDEX('Per Invoice'!$G$2:$G$801,$N462)="","",INDEX('Per Invoice'!$G$2:$G$801,$N462)))</f>
        <v/>
      </c>
      <c r="H462">
        <f>IF($N462="","",IF(INDEX('Per Invoice'!$H$2:$H$801,$N462)="","",INDEX('Per Invoice'!$H$2:$H$801,$N462)))</f>
        <v/>
      </c>
      <c r="I462" s="5">
        <f>IF($N462="","",IF(INDEX('Per Invoice'!$I$2:$I$801,$N462)="","",INDEX('Per Invoice'!$I$2:$I$801,$N462)))</f>
        <v/>
      </c>
      <c r="J462" s="5">
        <f>IF($N462="","",IF(INDEX('Per Invoice'!$J$2:$J$801,$N462)="","",INDEX('Per Invoice'!$J$2:$J$801,$N462)))</f>
        <v/>
      </c>
      <c r="K462" s="5">
        <f>IF($N462="","",IF(INDEX('Per Invoice'!$K$2:$K$801,$N462)="","",INDEX('Per Invoice'!$K$2:$K$801,$N462)))</f>
        <v/>
      </c>
      <c r="L462" s="5">
        <f>IF($N462="","",IF(INDEX('Per Invoice'!$L$2:$L$801,$N462)="","",INDEX('Per Invoice'!$L$2:$L$801,$N462)))</f>
        <v/>
      </c>
      <c r="M462" s="5">
        <f>IF($N462="","",IF(INDEX('Per Invoice'!$M$2:$M$801,$N462)="","",INDEX('Per Invoice'!$M$2:$M$801,$N462)))</f>
        <v/>
      </c>
      <c r="N462">
        <f>IF(ROWS($N$2:$N462)&lt;=COUNT('Per Invoice'!$O$2:$O$801),MATCH(ROWS($N$2:$N462),'Per Invoice'!$O$2:$O$801,0),"")</f>
        <v/>
      </c>
    </row>
    <row r="463">
      <c r="A463">
        <f>IF($N463="","",IF(INDEX('Per Invoice'!$A$2:$A$801,$N463)="","",INDEX('Per Invoice'!$A$2:$A$801,$N463)))</f>
        <v/>
      </c>
      <c r="B463">
        <f>IF($N463="","",IF(INDEX('Per Invoice'!$B$2:$B$801,$N463)="","",INDEX('Per Invoice'!$B$2:$B$801,$N463)))</f>
        <v/>
      </c>
      <c r="C463">
        <f>IF($N463="","",IF(INDEX('Per Invoice'!$C$2:$C$801,$N463)="","",INDEX('Per Invoice'!$C$2:$C$801,$N463)))</f>
        <v/>
      </c>
      <c r="D463">
        <f>IF($N463="","",IF(INDEX('Per Invoice'!$D$2:$D$801,$N463)="","",INDEX('Per Invoice'!$D$2:$D$801,$N463)))</f>
        <v/>
      </c>
      <c r="E463">
        <f>IF($N463="","",IF(INDEX('Per Invoice'!$E$2:$E$801,$N463)="","",INDEX('Per Invoice'!$E$2:$E$801,$N463)))</f>
        <v/>
      </c>
      <c r="F463">
        <f>IF($N463="","",IF(INDEX('Per Invoice'!$F$2:$F$801,$N463)="","",INDEX('Per Invoice'!$F$2:$F$801,$N463)))</f>
        <v/>
      </c>
      <c r="G463">
        <f>IF($N463="","",IF(INDEX('Per Invoice'!$G$2:$G$801,$N463)="","",INDEX('Per Invoice'!$G$2:$G$801,$N463)))</f>
        <v/>
      </c>
      <c r="H463">
        <f>IF($N463="","",IF(INDEX('Per Invoice'!$H$2:$H$801,$N463)="","",INDEX('Per Invoice'!$H$2:$H$801,$N463)))</f>
        <v/>
      </c>
      <c r="I463" s="5">
        <f>IF($N463="","",IF(INDEX('Per Invoice'!$I$2:$I$801,$N463)="","",INDEX('Per Invoice'!$I$2:$I$801,$N463)))</f>
        <v/>
      </c>
      <c r="J463" s="5">
        <f>IF($N463="","",IF(INDEX('Per Invoice'!$J$2:$J$801,$N463)="","",INDEX('Per Invoice'!$J$2:$J$801,$N463)))</f>
        <v/>
      </c>
      <c r="K463" s="5">
        <f>IF($N463="","",IF(INDEX('Per Invoice'!$K$2:$K$801,$N463)="","",INDEX('Per Invoice'!$K$2:$K$801,$N463)))</f>
        <v/>
      </c>
      <c r="L463" s="5">
        <f>IF($N463="","",IF(INDEX('Per Invoice'!$L$2:$L$801,$N463)="","",INDEX('Per Invoice'!$L$2:$L$801,$N463)))</f>
        <v/>
      </c>
      <c r="M463" s="5">
        <f>IF($N463="","",IF(INDEX('Per Invoice'!$M$2:$M$801,$N463)="","",INDEX('Per Invoice'!$M$2:$M$801,$N463)))</f>
        <v/>
      </c>
      <c r="N463">
        <f>IF(ROWS($N$2:$N463)&lt;=COUNT('Per Invoice'!$O$2:$O$801),MATCH(ROWS($N$2:$N463),'Per Invoice'!$O$2:$O$801,0),"")</f>
        <v/>
      </c>
    </row>
    <row r="464">
      <c r="A464">
        <f>IF($N464="","",IF(INDEX('Per Invoice'!$A$2:$A$801,$N464)="","",INDEX('Per Invoice'!$A$2:$A$801,$N464)))</f>
        <v/>
      </c>
      <c r="B464">
        <f>IF($N464="","",IF(INDEX('Per Invoice'!$B$2:$B$801,$N464)="","",INDEX('Per Invoice'!$B$2:$B$801,$N464)))</f>
        <v/>
      </c>
      <c r="C464">
        <f>IF($N464="","",IF(INDEX('Per Invoice'!$C$2:$C$801,$N464)="","",INDEX('Per Invoice'!$C$2:$C$801,$N464)))</f>
        <v/>
      </c>
      <c r="D464">
        <f>IF($N464="","",IF(INDEX('Per Invoice'!$D$2:$D$801,$N464)="","",INDEX('Per Invoice'!$D$2:$D$801,$N464)))</f>
        <v/>
      </c>
      <c r="E464">
        <f>IF($N464="","",IF(INDEX('Per Invoice'!$E$2:$E$801,$N464)="","",INDEX('Per Invoice'!$E$2:$E$801,$N464)))</f>
        <v/>
      </c>
      <c r="F464">
        <f>IF($N464="","",IF(INDEX('Per Invoice'!$F$2:$F$801,$N464)="","",INDEX('Per Invoice'!$F$2:$F$801,$N464)))</f>
        <v/>
      </c>
      <c r="G464">
        <f>IF($N464="","",IF(INDEX('Per Invoice'!$G$2:$G$801,$N464)="","",INDEX('Per Invoice'!$G$2:$G$801,$N464)))</f>
        <v/>
      </c>
      <c r="H464">
        <f>IF($N464="","",IF(INDEX('Per Invoice'!$H$2:$H$801,$N464)="","",INDEX('Per Invoice'!$H$2:$H$801,$N464)))</f>
        <v/>
      </c>
      <c r="I464" s="5">
        <f>IF($N464="","",IF(INDEX('Per Invoice'!$I$2:$I$801,$N464)="","",INDEX('Per Invoice'!$I$2:$I$801,$N464)))</f>
        <v/>
      </c>
      <c r="J464" s="5">
        <f>IF($N464="","",IF(INDEX('Per Invoice'!$J$2:$J$801,$N464)="","",INDEX('Per Invoice'!$J$2:$J$801,$N464)))</f>
        <v/>
      </c>
      <c r="K464" s="5">
        <f>IF($N464="","",IF(INDEX('Per Invoice'!$K$2:$K$801,$N464)="","",INDEX('Per Invoice'!$K$2:$K$801,$N464)))</f>
        <v/>
      </c>
      <c r="L464" s="5">
        <f>IF($N464="","",IF(INDEX('Per Invoice'!$L$2:$L$801,$N464)="","",INDEX('Per Invoice'!$L$2:$L$801,$N464)))</f>
        <v/>
      </c>
      <c r="M464" s="5">
        <f>IF($N464="","",IF(INDEX('Per Invoice'!$M$2:$M$801,$N464)="","",INDEX('Per Invoice'!$M$2:$M$801,$N464)))</f>
        <v/>
      </c>
      <c r="N464">
        <f>IF(ROWS($N$2:$N464)&lt;=COUNT('Per Invoice'!$O$2:$O$801),MATCH(ROWS($N$2:$N464),'Per Invoice'!$O$2:$O$801,0),"")</f>
        <v/>
      </c>
    </row>
    <row r="465">
      <c r="A465">
        <f>IF($N465="","",IF(INDEX('Per Invoice'!$A$2:$A$801,$N465)="","",INDEX('Per Invoice'!$A$2:$A$801,$N465)))</f>
        <v/>
      </c>
      <c r="B465">
        <f>IF($N465="","",IF(INDEX('Per Invoice'!$B$2:$B$801,$N465)="","",INDEX('Per Invoice'!$B$2:$B$801,$N465)))</f>
        <v/>
      </c>
      <c r="C465">
        <f>IF($N465="","",IF(INDEX('Per Invoice'!$C$2:$C$801,$N465)="","",INDEX('Per Invoice'!$C$2:$C$801,$N465)))</f>
        <v/>
      </c>
      <c r="D465">
        <f>IF($N465="","",IF(INDEX('Per Invoice'!$D$2:$D$801,$N465)="","",INDEX('Per Invoice'!$D$2:$D$801,$N465)))</f>
        <v/>
      </c>
      <c r="E465">
        <f>IF($N465="","",IF(INDEX('Per Invoice'!$E$2:$E$801,$N465)="","",INDEX('Per Invoice'!$E$2:$E$801,$N465)))</f>
        <v/>
      </c>
      <c r="F465">
        <f>IF($N465="","",IF(INDEX('Per Invoice'!$F$2:$F$801,$N465)="","",INDEX('Per Invoice'!$F$2:$F$801,$N465)))</f>
        <v/>
      </c>
      <c r="G465">
        <f>IF($N465="","",IF(INDEX('Per Invoice'!$G$2:$G$801,$N465)="","",INDEX('Per Invoice'!$G$2:$G$801,$N465)))</f>
        <v/>
      </c>
      <c r="H465">
        <f>IF($N465="","",IF(INDEX('Per Invoice'!$H$2:$H$801,$N465)="","",INDEX('Per Invoice'!$H$2:$H$801,$N465)))</f>
        <v/>
      </c>
      <c r="I465" s="5">
        <f>IF($N465="","",IF(INDEX('Per Invoice'!$I$2:$I$801,$N465)="","",INDEX('Per Invoice'!$I$2:$I$801,$N465)))</f>
        <v/>
      </c>
      <c r="J465" s="5">
        <f>IF($N465="","",IF(INDEX('Per Invoice'!$J$2:$J$801,$N465)="","",INDEX('Per Invoice'!$J$2:$J$801,$N465)))</f>
        <v/>
      </c>
      <c r="K465" s="5">
        <f>IF($N465="","",IF(INDEX('Per Invoice'!$K$2:$K$801,$N465)="","",INDEX('Per Invoice'!$K$2:$K$801,$N465)))</f>
        <v/>
      </c>
      <c r="L465" s="5">
        <f>IF($N465="","",IF(INDEX('Per Invoice'!$L$2:$L$801,$N465)="","",INDEX('Per Invoice'!$L$2:$L$801,$N465)))</f>
        <v/>
      </c>
      <c r="M465" s="5">
        <f>IF($N465="","",IF(INDEX('Per Invoice'!$M$2:$M$801,$N465)="","",INDEX('Per Invoice'!$M$2:$M$801,$N465)))</f>
        <v/>
      </c>
      <c r="N465">
        <f>IF(ROWS($N$2:$N465)&lt;=COUNT('Per Invoice'!$O$2:$O$801),MATCH(ROWS($N$2:$N465),'Per Invoice'!$O$2:$O$801,0),"")</f>
        <v/>
      </c>
    </row>
    <row r="466">
      <c r="A466">
        <f>IF($N466="","",IF(INDEX('Per Invoice'!$A$2:$A$801,$N466)="","",INDEX('Per Invoice'!$A$2:$A$801,$N466)))</f>
        <v/>
      </c>
      <c r="B466">
        <f>IF($N466="","",IF(INDEX('Per Invoice'!$B$2:$B$801,$N466)="","",INDEX('Per Invoice'!$B$2:$B$801,$N466)))</f>
        <v/>
      </c>
      <c r="C466">
        <f>IF($N466="","",IF(INDEX('Per Invoice'!$C$2:$C$801,$N466)="","",INDEX('Per Invoice'!$C$2:$C$801,$N466)))</f>
        <v/>
      </c>
      <c r="D466">
        <f>IF($N466="","",IF(INDEX('Per Invoice'!$D$2:$D$801,$N466)="","",INDEX('Per Invoice'!$D$2:$D$801,$N466)))</f>
        <v/>
      </c>
      <c r="E466">
        <f>IF($N466="","",IF(INDEX('Per Invoice'!$E$2:$E$801,$N466)="","",INDEX('Per Invoice'!$E$2:$E$801,$N466)))</f>
        <v/>
      </c>
      <c r="F466">
        <f>IF($N466="","",IF(INDEX('Per Invoice'!$F$2:$F$801,$N466)="","",INDEX('Per Invoice'!$F$2:$F$801,$N466)))</f>
        <v/>
      </c>
      <c r="G466">
        <f>IF($N466="","",IF(INDEX('Per Invoice'!$G$2:$G$801,$N466)="","",INDEX('Per Invoice'!$G$2:$G$801,$N466)))</f>
        <v/>
      </c>
      <c r="H466">
        <f>IF($N466="","",IF(INDEX('Per Invoice'!$H$2:$H$801,$N466)="","",INDEX('Per Invoice'!$H$2:$H$801,$N466)))</f>
        <v/>
      </c>
      <c r="I466" s="5">
        <f>IF($N466="","",IF(INDEX('Per Invoice'!$I$2:$I$801,$N466)="","",INDEX('Per Invoice'!$I$2:$I$801,$N466)))</f>
        <v/>
      </c>
      <c r="J466" s="5">
        <f>IF($N466="","",IF(INDEX('Per Invoice'!$J$2:$J$801,$N466)="","",INDEX('Per Invoice'!$J$2:$J$801,$N466)))</f>
        <v/>
      </c>
      <c r="K466" s="5">
        <f>IF($N466="","",IF(INDEX('Per Invoice'!$K$2:$K$801,$N466)="","",INDEX('Per Invoice'!$K$2:$K$801,$N466)))</f>
        <v/>
      </c>
      <c r="L466" s="5">
        <f>IF($N466="","",IF(INDEX('Per Invoice'!$L$2:$L$801,$N466)="","",INDEX('Per Invoice'!$L$2:$L$801,$N466)))</f>
        <v/>
      </c>
      <c r="M466" s="5">
        <f>IF($N466="","",IF(INDEX('Per Invoice'!$M$2:$M$801,$N466)="","",INDEX('Per Invoice'!$M$2:$M$801,$N466)))</f>
        <v/>
      </c>
      <c r="N466">
        <f>IF(ROWS($N$2:$N466)&lt;=COUNT('Per Invoice'!$O$2:$O$801),MATCH(ROWS($N$2:$N466),'Per Invoice'!$O$2:$O$801,0),"")</f>
        <v/>
      </c>
    </row>
    <row r="467">
      <c r="A467">
        <f>IF($N467="","",IF(INDEX('Per Invoice'!$A$2:$A$801,$N467)="","",INDEX('Per Invoice'!$A$2:$A$801,$N467)))</f>
        <v/>
      </c>
      <c r="B467">
        <f>IF($N467="","",IF(INDEX('Per Invoice'!$B$2:$B$801,$N467)="","",INDEX('Per Invoice'!$B$2:$B$801,$N467)))</f>
        <v/>
      </c>
      <c r="C467">
        <f>IF($N467="","",IF(INDEX('Per Invoice'!$C$2:$C$801,$N467)="","",INDEX('Per Invoice'!$C$2:$C$801,$N467)))</f>
        <v/>
      </c>
      <c r="D467">
        <f>IF($N467="","",IF(INDEX('Per Invoice'!$D$2:$D$801,$N467)="","",INDEX('Per Invoice'!$D$2:$D$801,$N467)))</f>
        <v/>
      </c>
      <c r="E467">
        <f>IF($N467="","",IF(INDEX('Per Invoice'!$E$2:$E$801,$N467)="","",INDEX('Per Invoice'!$E$2:$E$801,$N467)))</f>
        <v/>
      </c>
      <c r="F467">
        <f>IF($N467="","",IF(INDEX('Per Invoice'!$F$2:$F$801,$N467)="","",INDEX('Per Invoice'!$F$2:$F$801,$N467)))</f>
        <v/>
      </c>
      <c r="G467">
        <f>IF($N467="","",IF(INDEX('Per Invoice'!$G$2:$G$801,$N467)="","",INDEX('Per Invoice'!$G$2:$G$801,$N467)))</f>
        <v/>
      </c>
      <c r="H467">
        <f>IF($N467="","",IF(INDEX('Per Invoice'!$H$2:$H$801,$N467)="","",INDEX('Per Invoice'!$H$2:$H$801,$N467)))</f>
        <v/>
      </c>
      <c r="I467" s="5">
        <f>IF($N467="","",IF(INDEX('Per Invoice'!$I$2:$I$801,$N467)="","",INDEX('Per Invoice'!$I$2:$I$801,$N467)))</f>
        <v/>
      </c>
      <c r="J467" s="5">
        <f>IF($N467="","",IF(INDEX('Per Invoice'!$J$2:$J$801,$N467)="","",INDEX('Per Invoice'!$J$2:$J$801,$N467)))</f>
        <v/>
      </c>
      <c r="K467" s="5">
        <f>IF($N467="","",IF(INDEX('Per Invoice'!$K$2:$K$801,$N467)="","",INDEX('Per Invoice'!$K$2:$K$801,$N467)))</f>
        <v/>
      </c>
      <c r="L467" s="5">
        <f>IF($N467="","",IF(INDEX('Per Invoice'!$L$2:$L$801,$N467)="","",INDEX('Per Invoice'!$L$2:$L$801,$N467)))</f>
        <v/>
      </c>
      <c r="M467" s="5">
        <f>IF($N467="","",IF(INDEX('Per Invoice'!$M$2:$M$801,$N467)="","",INDEX('Per Invoice'!$M$2:$M$801,$N467)))</f>
        <v/>
      </c>
      <c r="N467">
        <f>IF(ROWS($N$2:$N467)&lt;=COUNT('Per Invoice'!$O$2:$O$801),MATCH(ROWS($N$2:$N467),'Per Invoice'!$O$2:$O$801,0),"")</f>
        <v/>
      </c>
    </row>
    <row r="468">
      <c r="A468">
        <f>IF($N468="","",IF(INDEX('Per Invoice'!$A$2:$A$801,$N468)="","",INDEX('Per Invoice'!$A$2:$A$801,$N468)))</f>
        <v/>
      </c>
      <c r="B468">
        <f>IF($N468="","",IF(INDEX('Per Invoice'!$B$2:$B$801,$N468)="","",INDEX('Per Invoice'!$B$2:$B$801,$N468)))</f>
        <v/>
      </c>
      <c r="C468">
        <f>IF($N468="","",IF(INDEX('Per Invoice'!$C$2:$C$801,$N468)="","",INDEX('Per Invoice'!$C$2:$C$801,$N468)))</f>
        <v/>
      </c>
      <c r="D468">
        <f>IF($N468="","",IF(INDEX('Per Invoice'!$D$2:$D$801,$N468)="","",INDEX('Per Invoice'!$D$2:$D$801,$N468)))</f>
        <v/>
      </c>
      <c r="E468">
        <f>IF($N468="","",IF(INDEX('Per Invoice'!$E$2:$E$801,$N468)="","",INDEX('Per Invoice'!$E$2:$E$801,$N468)))</f>
        <v/>
      </c>
      <c r="F468">
        <f>IF($N468="","",IF(INDEX('Per Invoice'!$F$2:$F$801,$N468)="","",INDEX('Per Invoice'!$F$2:$F$801,$N468)))</f>
        <v/>
      </c>
      <c r="G468">
        <f>IF($N468="","",IF(INDEX('Per Invoice'!$G$2:$G$801,$N468)="","",INDEX('Per Invoice'!$G$2:$G$801,$N468)))</f>
        <v/>
      </c>
      <c r="H468">
        <f>IF($N468="","",IF(INDEX('Per Invoice'!$H$2:$H$801,$N468)="","",INDEX('Per Invoice'!$H$2:$H$801,$N468)))</f>
        <v/>
      </c>
      <c r="I468" s="5">
        <f>IF($N468="","",IF(INDEX('Per Invoice'!$I$2:$I$801,$N468)="","",INDEX('Per Invoice'!$I$2:$I$801,$N468)))</f>
        <v/>
      </c>
      <c r="J468" s="5">
        <f>IF($N468="","",IF(INDEX('Per Invoice'!$J$2:$J$801,$N468)="","",INDEX('Per Invoice'!$J$2:$J$801,$N468)))</f>
        <v/>
      </c>
      <c r="K468" s="5">
        <f>IF($N468="","",IF(INDEX('Per Invoice'!$K$2:$K$801,$N468)="","",INDEX('Per Invoice'!$K$2:$K$801,$N468)))</f>
        <v/>
      </c>
      <c r="L468" s="5">
        <f>IF($N468="","",IF(INDEX('Per Invoice'!$L$2:$L$801,$N468)="","",INDEX('Per Invoice'!$L$2:$L$801,$N468)))</f>
        <v/>
      </c>
      <c r="M468" s="5">
        <f>IF($N468="","",IF(INDEX('Per Invoice'!$M$2:$M$801,$N468)="","",INDEX('Per Invoice'!$M$2:$M$801,$N468)))</f>
        <v/>
      </c>
      <c r="N468">
        <f>IF(ROWS($N$2:$N468)&lt;=COUNT('Per Invoice'!$O$2:$O$801),MATCH(ROWS($N$2:$N468),'Per Invoice'!$O$2:$O$801,0),"")</f>
        <v/>
      </c>
    </row>
    <row r="469">
      <c r="A469">
        <f>IF($N469="","",IF(INDEX('Per Invoice'!$A$2:$A$801,$N469)="","",INDEX('Per Invoice'!$A$2:$A$801,$N469)))</f>
        <v/>
      </c>
      <c r="B469">
        <f>IF($N469="","",IF(INDEX('Per Invoice'!$B$2:$B$801,$N469)="","",INDEX('Per Invoice'!$B$2:$B$801,$N469)))</f>
        <v/>
      </c>
      <c r="C469">
        <f>IF($N469="","",IF(INDEX('Per Invoice'!$C$2:$C$801,$N469)="","",INDEX('Per Invoice'!$C$2:$C$801,$N469)))</f>
        <v/>
      </c>
      <c r="D469">
        <f>IF($N469="","",IF(INDEX('Per Invoice'!$D$2:$D$801,$N469)="","",INDEX('Per Invoice'!$D$2:$D$801,$N469)))</f>
        <v/>
      </c>
      <c r="E469">
        <f>IF($N469="","",IF(INDEX('Per Invoice'!$E$2:$E$801,$N469)="","",INDEX('Per Invoice'!$E$2:$E$801,$N469)))</f>
        <v/>
      </c>
      <c r="F469">
        <f>IF($N469="","",IF(INDEX('Per Invoice'!$F$2:$F$801,$N469)="","",INDEX('Per Invoice'!$F$2:$F$801,$N469)))</f>
        <v/>
      </c>
      <c r="G469">
        <f>IF($N469="","",IF(INDEX('Per Invoice'!$G$2:$G$801,$N469)="","",INDEX('Per Invoice'!$G$2:$G$801,$N469)))</f>
        <v/>
      </c>
      <c r="H469">
        <f>IF($N469="","",IF(INDEX('Per Invoice'!$H$2:$H$801,$N469)="","",INDEX('Per Invoice'!$H$2:$H$801,$N469)))</f>
        <v/>
      </c>
      <c r="I469" s="5">
        <f>IF($N469="","",IF(INDEX('Per Invoice'!$I$2:$I$801,$N469)="","",INDEX('Per Invoice'!$I$2:$I$801,$N469)))</f>
        <v/>
      </c>
      <c r="J469" s="5">
        <f>IF($N469="","",IF(INDEX('Per Invoice'!$J$2:$J$801,$N469)="","",INDEX('Per Invoice'!$J$2:$J$801,$N469)))</f>
        <v/>
      </c>
      <c r="K469" s="5">
        <f>IF($N469="","",IF(INDEX('Per Invoice'!$K$2:$K$801,$N469)="","",INDEX('Per Invoice'!$K$2:$K$801,$N469)))</f>
        <v/>
      </c>
      <c r="L469" s="5">
        <f>IF($N469="","",IF(INDEX('Per Invoice'!$L$2:$L$801,$N469)="","",INDEX('Per Invoice'!$L$2:$L$801,$N469)))</f>
        <v/>
      </c>
      <c r="M469" s="5">
        <f>IF($N469="","",IF(INDEX('Per Invoice'!$M$2:$M$801,$N469)="","",INDEX('Per Invoice'!$M$2:$M$801,$N469)))</f>
        <v/>
      </c>
      <c r="N469">
        <f>IF(ROWS($N$2:$N469)&lt;=COUNT('Per Invoice'!$O$2:$O$801),MATCH(ROWS($N$2:$N469),'Per Invoice'!$O$2:$O$801,0),"")</f>
        <v/>
      </c>
    </row>
    <row r="470">
      <c r="A470">
        <f>IF($N470="","",IF(INDEX('Per Invoice'!$A$2:$A$801,$N470)="","",INDEX('Per Invoice'!$A$2:$A$801,$N470)))</f>
        <v/>
      </c>
      <c r="B470">
        <f>IF($N470="","",IF(INDEX('Per Invoice'!$B$2:$B$801,$N470)="","",INDEX('Per Invoice'!$B$2:$B$801,$N470)))</f>
        <v/>
      </c>
      <c r="C470">
        <f>IF($N470="","",IF(INDEX('Per Invoice'!$C$2:$C$801,$N470)="","",INDEX('Per Invoice'!$C$2:$C$801,$N470)))</f>
        <v/>
      </c>
      <c r="D470">
        <f>IF($N470="","",IF(INDEX('Per Invoice'!$D$2:$D$801,$N470)="","",INDEX('Per Invoice'!$D$2:$D$801,$N470)))</f>
        <v/>
      </c>
      <c r="E470">
        <f>IF($N470="","",IF(INDEX('Per Invoice'!$E$2:$E$801,$N470)="","",INDEX('Per Invoice'!$E$2:$E$801,$N470)))</f>
        <v/>
      </c>
      <c r="F470">
        <f>IF($N470="","",IF(INDEX('Per Invoice'!$F$2:$F$801,$N470)="","",INDEX('Per Invoice'!$F$2:$F$801,$N470)))</f>
        <v/>
      </c>
      <c r="G470">
        <f>IF($N470="","",IF(INDEX('Per Invoice'!$G$2:$G$801,$N470)="","",INDEX('Per Invoice'!$G$2:$G$801,$N470)))</f>
        <v/>
      </c>
      <c r="H470">
        <f>IF($N470="","",IF(INDEX('Per Invoice'!$H$2:$H$801,$N470)="","",INDEX('Per Invoice'!$H$2:$H$801,$N470)))</f>
        <v/>
      </c>
      <c r="I470" s="5">
        <f>IF($N470="","",IF(INDEX('Per Invoice'!$I$2:$I$801,$N470)="","",INDEX('Per Invoice'!$I$2:$I$801,$N470)))</f>
        <v/>
      </c>
      <c r="J470" s="5">
        <f>IF($N470="","",IF(INDEX('Per Invoice'!$J$2:$J$801,$N470)="","",INDEX('Per Invoice'!$J$2:$J$801,$N470)))</f>
        <v/>
      </c>
      <c r="K470" s="5">
        <f>IF($N470="","",IF(INDEX('Per Invoice'!$K$2:$K$801,$N470)="","",INDEX('Per Invoice'!$K$2:$K$801,$N470)))</f>
        <v/>
      </c>
      <c r="L470" s="5">
        <f>IF($N470="","",IF(INDEX('Per Invoice'!$L$2:$L$801,$N470)="","",INDEX('Per Invoice'!$L$2:$L$801,$N470)))</f>
        <v/>
      </c>
      <c r="M470" s="5">
        <f>IF($N470="","",IF(INDEX('Per Invoice'!$M$2:$M$801,$N470)="","",INDEX('Per Invoice'!$M$2:$M$801,$N470)))</f>
        <v/>
      </c>
      <c r="N470">
        <f>IF(ROWS($N$2:$N470)&lt;=COUNT('Per Invoice'!$O$2:$O$801),MATCH(ROWS($N$2:$N470),'Per Invoice'!$O$2:$O$801,0),"")</f>
        <v/>
      </c>
    </row>
    <row r="471">
      <c r="A471">
        <f>IF($N471="","",IF(INDEX('Per Invoice'!$A$2:$A$801,$N471)="","",INDEX('Per Invoice'!$A$2:$A$801,$N471)))</f>
        <v/>
      </c>
      <c r="B471">
        <f>IF($N471="","",IF(INDEX('Per Invoice'!$B$2:$B$801,$N471)="","",INDEX('Per Invoice'!$B$2:$B$801,$N471)))</f>
        <v/>
      </c>
      <c r="C471">
        <f>IF($N471="","",IF(INDEX('Per Invoice'!$C$2:$C$801,$N471)="","",INDEX('Per Invoice'!$C$2:$C$801,$N471)))</f>
        <v/>
      </c>
      <c r="D471">
        <f>IF($N471="","",IF(INDEX('Per Invoice'!$D$2:$D$801,$N471)="","",INDEX('Per Invoice'!$D$2:$D$801,$N471)))</f>
        <v/>
      </c>
      <c r="E471">
        <f>IF($N471="","",IF(INDEX('Per Invoice'!$E$2:$E$801,$N471)="","",INDEX('Per Invoice'!$E$2:$E$801,$N471)))</f>
        <v/>
      </c>
      <c r="F471">
        <f>IF($N471="","",IF(INDEX('Per Invoice'!$F$2:$F$801,$N471)="","",INDEX('Per Invoice'!$F$2:$F$801,$N471)))</f>
        <v/>
      </c>
      <c r="G471">
        <f>IF($N471="","",IF(INDEX('Per Invoice'!$G$2:$G$801,$N471)="","",INDEX('Per Invoice'!$G$2:$G$801,$N471)))</f>
        <v/>
      </c>
      <c r="H471">
        <f>IF($N471="","",IF(INDEX('Per Invoice'!$H$2:$H$801,$N471)="","",INDEX('Per Invoice'!$H$2:$H$801,$N471)))</f>
        <v/>
      </c>
      <c r="I471" s="5">
        <f>IF($N471="","",IF(INDEX('Per Invoice'!$I$2:$I$801,$N471)="","",INDEX('Per Invoice'!$I$2:$I$801,$N471)))</f>
        <v/>
      </c>
      <c r="J471" s="5">
        <f>IF($N471="","",IF(INDEX('Per Invoice'!$J$2:$J$801,$N471)="","",INDEX('Per Invoice'!$J$2:$J$801,$N471)))</f>
        <v/>
      </c>
      <c r="K471" s="5">
        <f>IF($N471="","",IF(INDEX('Per Invoice'!$K$2:$K$801,$N471)="","",INDEX('Per Invoice'!$K$2:$K$801,$N471)))</f>
        <v/>
      </c>
      <c r="L471" s="5">
        <f>IF($N471="","",IF(INDEX('Per Invoice'!$L$2:$L$801,$N471)="","",INDEX('Per Invoice'!$L$2:$L$801,$N471)))</f>
        <v/>
      </c>
      <c r="M471" s="5">
        <f>IF($N471="","",IF(INDEX('Per Invoice'!$M$2:$M$801,$N471)="","",INDEX('Per Invoice'!$M$2:$M$801,$N471)))</f>
        <v/>
      </c>
      <c r="N471">
        <f>IF(ROWS($N$2:$N471)&lt;=COUNT('Per Invoice'!$O$2:$O$801),MATCH(ROWS($N$2:$N471),'Per Invoice'!$O$2:$O$801,0),"")</f>
        <v/>
      </c>
    </row>
    <row r="472">
      <c r="A472">
        <f>IF($N472="","",IF(INDEX('Per Invoice'!$A$2:$A$801,$N472)="","",INDEX('Per Invoice'!$A$2:$A$801,$N472)))</f>
        <v/>
      </c>
      <c r="B472">
        <f>IF($N472="","",IF(INDEX('Per Invoice'!$B$2:$B$801,$N472)="","",INDEX('Per Invoice'!$B$2:$B$801,$N472)))</f>
        <v/>
      </c>
      <c r="C472">
        <f>IF($N472="","",IF(INDEX('Per Invoice'!$C$2:$C$801,$N472)="","",INDEX('Per Invoice'!$C$2:$C$801,$N472)))</f>
        <v/>
      </c>
      <c r="D472">
        <f>IF($N472="","",IF(INDEX('Per Invoice'!$D$2:$D$801,$N472)="","",INDEX('Per Invoice'!$D$2:$D$801,$N472)))</f>
        <v/>
      </c>
      <c r="E472">
        <f>IF($N472="","",IF(INDEX('Per Invoice'!$E$2:$E$801,$N472)="","",INDEX('Per Invoice'!$E$2:$E$801,$N472)))</f>
        <v/>
      </c>
      <c r="F472">
        <f>IF($N472="","",IF(INDEX('Per Invoice'!$F$2:$F$801,$N472)="","",INDEX('Per Invoice'!$F$2:$F$801,$N472)))</f>
        <v/>
      </c>
      <c r="G472">
        <f>IF($N472="","",IF(INDEX('Per Invoice'!$G$2:$G$801,$N472)="","",INDEX('Per Invoice'!$G$2:$G$801,$N472)))</f>
        <v/>
      </c>
      <c r="H472">
        <f>IF($N472="","",IF(INDEX('Per Invoice'!$H$2:$H$801,$N472)="","",INDEX('Per Invoice'!$H$2:$H$801,$N472)))</f>
        <v/>
      </c>
      <c r="I472" s="5">
        <f>IF($N472="","",IF(INDEX('Per Invoice'!$I$2:$I$801,$N472)="","",INDEX('Per Invoice'!$I$2:$I$801,$N472)))</f>
        <v/>
      </c>
      <c r="J472" s="5">
        <f>IF($N472="","",IF(INDEX('Per Invoice'!$J$2:$J$801,$N472)="","",INDEX('Per Invoice'!$J$2:$J$801,$N472)))</f>
        <v/>
      </c>
      <c r="K472" s="5">
        <f>IF($N472="","",IF(INDEX('Per Invoice'!$K$2:$K$801,$N472)="","",INDEX('Per Invoice'!$K$2:$K$801,$N472)))</f>
        <v/>
      </c>
      <c r="L472" s="5">
        <f>IF($N472="","",IF(INDEX('Per Invoice'!$L$2:$L$801,$N472)="","",INDEX('Per Invoice'!$L$2:$L$801,$N472)))</f>
        <v/>
      </c>
      <c r="M472" s="5">
        <f>IF($N472="","",IF(INDEX('Per Invoice'!$M$2:$M$801,$N472)="","",INDEX('Per Invoice'!$M$2:$M$801,$N472)))</f>
        <v/>
      </c>
      <c r="N472">
        <f>IF(ROWS($N$2:$N472)&lt;=COUNT('Per Invoice'!$O$2:$O$801),MATCH(ROWS($N$2:$N472),'Per Invoice'!$O$2:$O$801,0),"")</f>
        <v/>
      </c>
    </row>
    <row r="473">
      <c r="A473">
        <f>IF($N473="","",IF(INDEX('Per Invoice'!$A$2:$A$801,$N473)="","",INDEX('Per Invoice'!$A$2:$A$801,$N473)))</f>
        <v/>
      </c>
      <c r="B473">
        <f>IF($N473="","",IF(INDEX('Per Invoice'!$B$2:$B$801,$N473)="","",INDEX('Per Invoice'!$B$2:$B$801,$N473)))</f>
        <v/>
      </c>
      <c r="C473">
        <f>IF($N473="","",IF(INDEX('Per Invoice'!$C$2:$C$801,$N473)="","",INDEX('Per Invoice'!$C$2:$C$801,$N473)))</f>
        <v/>
      </c>
      <c r="D473">
        <f>IF($N473="","",IF(INDEX('Per Invoice'!$D$2:$D$801,$N473)="","",INDEX('Per Invoice'!$D$2:$D$801,$N473)))</f>
        <v/>
      </c>
      <c r="E473">
        <f>IF($N473="","",IF(INDEX('Per Invoice'!$E$2:$E$801,$N473)="","",INDEX('Per Invoice'!$E$2:$E$801,$N473)))</f>
        <v/>
      </c>
      <c r="F473">
        <f>IF($N473="","",IF(INDEX('Per Invoice'!$F$2:$F$801,$N473)="","",INDEX('Per Invoice'!$F$2:$F$801,$N473)))</f>
        <v/>
      </c>
      <c r="G473">
        <f>IF($N473="","",IF(INDEX('Per Invoice'!$G$2:$G$801,$N473)="","",INDEX('Per Invoice'!$G$2:$G$801,$N473)))</f>
        <v/>
      </c>
      <c r="H473">
        <f>IF($N473="","",IF(INDEX('Per Invoice'!$H$2:$H$801,$N473)="","",INDEX('Per Invoice'!$H$2:$H$801,$N473)))</f>
        <v/>
      </c>
      <c r="I473" s="5">
        <f>IF($N473="","",IF(INDEX('Per Invoice'!$I$2:$I$801,$N473)="","",INDEX('Per Invoice'!$I$2:$I$801,$N473)))</f>
        <v/>
      </c>
      <c r="J473" s="5">
        <f>IF($N473="","",IF(INDEX('Per Invoice'!$J$2:$J$801,$N473)="","",INDEX('Per Invoice'!$J$2:$J$801,$N473)))</f>
        <v/>
      </c>
      <c r="K473" s="5">
        <f>IF($N473="","",IF(INDEX('Per Invoice'!$K$2:$K$801,$N473)="","",INDEX('Per Invoice'!$K$2:$K$801,$N473)))</f>
        <v/>
      </c>
      <c r="L473" s="5">
        <f>IF($N473="","",IF(INDEX('Per Invoice'!$L$2:$L$801,$N473)="","",INDEX('Per Invoice'!$L$2:$L$801,$N473)))</f>
        <v/>
      </c>
      <c r="M473" s="5">
        <f>IF($N473="","",IF(INDEX('Per Invoice'!$M$2:$M$801,$N473)="","",INDEX('Per Invoice'!$M$2:$M$801,$N473)))</f>
        <v/>
      </c>
      <c r="N473">
        <f>IF(ROWS($N$2:$N473)&lt;=COUNT('Per Invoice'!$O$2:$O$801),MATCH(ROWS($N$2:$N473),'Per Invoice'!$O$2:$O$801,0),"")</f>
        <v/>
      </c>
    </row>
    <row r="474">
      <c r="A474">
        <f>IF($N474="","",IF(INDEX('Per Invoice'!$A$2:$A$801,$N474)="","",INDEX('Per Invoice'!$A$2:$A$801,$N474)))</f>
        <v/>
      </c>
      <c r="B474">
        <f>IF($N474="","",IF(INDEX('Per Invoice'!$B$2:$B$801,$N474)="","",INDEX('Per Invoice'!$B$2:$B$801,$N474)))</f>
        <v/>
      </c>
      <c r="C474">
        <f>IF($N474="","",IF(INDEX('Per Invoice'!$C$2:$C$801,$N474)="","",INDEX('Per Invoice'!$C$2:$C$801,$N474)))</f>
        <v/>
      </c>
      <c r="D474">
        <f>IF($N474="","",IF(INDEX('Per Invoice'!$D$2:$D$801,$N474)="","",INDEX('Per Invoice'!$D$2:$D$801,$N474)))</f>
        <v/>
      </c>
      <c r="E474">
        <f>IF($N474="","",IF(INDEX('Per Invoice'!$E$2:$E$801,$N474)="","",INDEX('Per Invoice'!$E$2:$E$801,$N474)))</f>
        <v/>
      </c>
      <c r="F474">
        <f>IF($N474="","",IF(INDEX('Per Invoice'!$F$2:$F$801,$N474)="","",INDEX('Per Invoice'!$F$2:$F$801,$N474)))</f>
        <v/>
      </c>
      <c r="G474">
        <f>IF($N474="","",IF(INDEX('Per Invoice'!$G$2:$G$801,$N474)="","",INDEX('Per Invoice'!$G$2:$G$801,$N474)))</f>
        <v/>
      </c>
      <c r="H474">
        <f>IF($N474="","",IF(INDEX('Per Invoice'!$H$2:$H$801,$N474)="","",INDEX('Per Invoice'!$H$2:$H$801,$N474)))</f>
        <v/>
      </c>
      <c r="I474" s="5">
        <f>IF($N474="","",IF(INDEX('Per Invoice'!$I$2:$I$801,$N474)="","",INDEX('Per Invoice'!$I$2:$I$801,$N474)))</f>
        <v/>
      </c>
      <c r="J474" s="5">
        <f>IF($N474="","",IF(INDEX('Per Invoice'!$J$2:$J$801,$N474)="","",INDEX('Per Invoice'!$J$2:$J$801,$N474)))</f>
        <v/>
      </c>
      <c r="K474" s="5">
        <f>IF($N474="","",IF(INDEX('Per Invoice'!$K$2:$K$801,$N474)="","",INDEX('Per Invoice'!$K$2:$K$801,$N474)))</f>
        <v/>
      </c>
      <c r="L474" s="5">
        <f>IF($N474="","",IF(INDEX('Per Invoice'!$L$2:$L$801,$N474)="","",INDEX('Per Invoice'!$L$2:$L$801,$N474)))</f>
        <v/>
      </c>
      <c r="M474" s="5">
        <f>IF($N474="","",IF(INDEX('Per Invoice'!$M$2:$M$801,$N474)="","",INDEX('Per Invoice'!$M$2:$M$801,$N474)))</f>
        <v/>
      </c>
      <c r="N474">
        <f>IF(ROWS($N$2:$N474)&lt;=COUNT('Per Invoice'!$O$2:$O$801),MATCH(ROWS($N$2:$N474),'Per Invoice'!$O$2:$O$801,0),"")</f>
        <v/>
      </c>
    </row>
    <row r="475">
      <c r="A475">
        <f>IF($N475="","",IF(INDEX('Per Invoice'!$A$2:$A$801,$N475)="","",INDEX('Per Invoice'!$A$2:$A$801,$N475)))</f>
        <v/>
      </c>
      <c r="B475">
        <f>IF($N475="","",IF(INDEX('Per Invoice'!$B$2:$B$801,$N475)="","",INDEX('Per Invoice'!$B$2:$B$801,$N475)))</f>
        <v/>
      </c>
      <c r="C475">
        <f>IF($N475="","",IF(INDEX('Per Invoice'!$C$2:$C$801,$N475)="","",INDEX('Per Invoice'!$C$2:$C$801,$N475)))</f>
        <v/>
      </c>
      <c r="D475">
        <f>IF($N475="","",IF(INDEX('Per Invoice'!$D$2:$D$801,$N475)="","",INDEX('Per Invoice'!$D$2:$D$801,$N475)))</f>
        <v/>
      </c>
      <c r="E475">
        <f>IF($N475="","",IF(INDEX('Per Invoice'!$E$2:$E$801,$N475)="","",INDEX('Per Invoice'!$E$2:$E$801,$N475)))</f>
        <v/>
      </c>
      <c r="F475">
        <f>IF($N475="","",IF(INDEX('Per Invoice'!$F$2:$F$801,$N475)="","",INDEX('Per Invoice'!$F$2:$F$801,$N475)))</f>
        <v/>
      </c>
      <c r="G475">
        <f>IF($N475="","",IF(INDEX('Per Invoice'!$G$2:$G$801,$N475)="","",INDEX('Per Invoice'!$G$2:$G$801,$N475)))</f>
        <v/>
      </c>
      <c r="H475">
        <f>IF($N475="","",IF(INDEX('Per Invoice'!$H$2:$H$801,$N475)="","",INDEX('Per Invoice'!$H$2:$H$801,$N475)))</f>
        <v/>
      </c>
      <c r="I475" s="5">
        <f>IF($N475="","",IF(INDEX('Per Invoice'!$I$2:$I$801,$N475)="","",INDEX('Per Invoice'!$I$2:$I$801,$N475)))</f>
        <v/>
      </c>
      <c r="J475" s="5">
        <f>IF($N475="","",IF(INDEX('Per Invoice'!$J$2:$J$801,$N475)="","",INDEX('Per Invoice'!$J$2:$J$801,$N475)))</f>
        <v/>
      </c>
      <c r="K475" s="5">
        <f>IF($N475="","",IF(INDEX('Per Invoice'!$K$2:$K$801,$N475)="","",INDEX('Per Invoice'!$K$2:$K$801,$N475)))</f>
        <v/>
      </c>
      <c r="L475" s="5">
        <f>IF($N475="","",IF(INDEX('Per Invoice'!$L$2:$L$801,$N475)="","",INDEX('Per Invoice'!$L$2:$L$801,$N475)))</f>
        <v/>
      </c>
      <c r="M475" s="5">
        <f>IF($N475="","",IF(INDEX('Per Invoice'!$M$2:$M$801,$N475)="","",INDEX('Per Invoice'!$M$2:$M$801,$N475)))</f>
        <v/>
      </c>
      <c r="N475">
        <f>IF(ROWS($N$2:$N475)&lt;=COUNT('Per Invoice'!$O$2:$O$801),MATCH(ROWS($N$2:$N475),'Per Invoice'!$O$2:$O$801,0),"")</f>
        <v/>
      </c>
    </row>
    <row r="476">
      <c r="A476">
        <f>IF($N476="","",IF(INDEX('Per Invoice'!$A$2:$A$801,$N476)="","",INDEX('Per Invoice'!$A$2:$A$801,$N476)))</f>
        <v/>
      </c>
      <c r="B476">
        <f>IF($N476="","",IF(INDEX('Per Invoice'!$B$2:$B$801,$N476)="","",INDEX('Per Invoice'!$B$2:$B$801,$N476)))</f>
        <v/>
      </c>
      <c r="C476">
        <f>IF($N476="","",IF(INDEX('Per Invoice'!$C$2:$C$801,$N476)="","",INDEX('Per Invoice'!$C$2:$C$801,$N476)))</f>
        <v/>
      </c>
      <c r="D476">
        <f>IF($N476="","",IF(INDEX('Per Invoice'!$D$2:$D$801,$N476)="","",INDEX('Per Invoice'!$D$2:$D$801,$N476)))</f>
        <v/>
      </c>
      <c r="E476">
        <f>IF($N476="","",IF(INDEX('Per Invoice'!$E$2:$E$801,$N476)="","",INDEX('Per Invoice'!$E$2:$E$801,$N476)))</f>
        <v/>
      </c>
      <c r="F476">
        <f>IF($N476="","",IF(INDEX('Per Invoice'!$F$2:$F$801,$N476)="","",INDEX('Per Invoice'!$F$2:$F$801,$N476)))</f>
        <v/>
      </c>
      <c r="G476">
        <f>IF($N476="","",IF(INDEX('Per Invoice'!$G$2:$G$801,$N476)="","",INDEX('Per Invoice'!$G$2:$G$801,$N476)))</f>
        <v/>
      </c>
      <c r="H476">
        <f>IF($N476="","",IF(INDEX('Per Invoice'!$H$2:$H$801,$N476)="","",INDEX('Per Invoice'!$H$2:$H$801,$N476)))</f>
        <v/>
      </c>
      <c r="I476" s="5">
        <f>IF($N476="","",IF(INDEX('Per Invoice'!$I$2:$I$801,$N476)="","",INDEX('Per Invoice'!$I$2:$I$801,$N476)))</f>
        <v/>
      </c>
      <c r="J476" s="5">
        <f>IF($N476="","",IF(INDEX('Per Invoice'!$J$2:$J$801,$N476)="","",INDEX('Per Invoice'!$J$2:$J$801,$N476)))</f>
        <v/>
      </c>
      <c r="K476" s="5">
        <f>IF($N476="","",IF(INDEX('Per Invoice'!$K$2:$K$801,$N476)="","",INDEX('Per Invoice'!$K$2:$K$801,$N476)))</f>
        <v/>
      </c>
      <c r="L476" s="5">
        <f>IF($N476="","",IF(INDEX('Per Invoice'!$L$2:$L$801,$N476)="","",INDEX('Per Invoice'!$L$2:$L$801,$N476)))</f>
        <v/>
      </c>
      <c r="M476" s="5">
        <f>IF($N476="","",IF(INDEX('Per Invoice'!$M$2:$M$801,$N476)="","",INDEX('Per Invoice'!$M$2:$M$801,$N476)))</f>
        <v/>
      </c>
      <c r="N476">
        <f>IF(ROWS($N$2:$N476)&lt;=COUNT('Per Invoice'!$O$2:$O$801),MATCH(ROWS($N$2:$N476),'Per Invoice'!$O$2:$O$801,0),"")</f>
        <v/>
      </c>
    </row>
    <row r="477">
      <c r="A477">
        <f>IF($N477="","",IF(INDEX('Per Invoice'!$A$2:$A$801,$N477)="","",INDEX('Per Invoice'!$A$2:$A$801,$N477)))</f>
        <v/>
      </c>
      <c r="B477">
        <f>IF($N477="","",IF(INDEX('Per Invoice'!$B$2:$B$801,$N477)="","",INDEX('Per Invoice'!$B$2:$B$801,$N477)))</f>
        <v/>
      </c>
      <c r="C477">
        <f>IF($N477="","",IF(INDEX('Per Invoice'!$C$2:$C$801,$N477)="","",INDEX('Per Invoice'!$C$2:$C$801,$N477)))</f>
        <v/>
      </c>
      <c r="D477">
        <f>IF($N477="","",IF(INDEX('Per Invoice'!$D$2:$D$801,$N477)="","",INDEX('Per Invoice'!$D$2:$D$801,$N477)))</f>
        <v/>
      </c>
      <c r="E477">
        <f>IF($N477="","",IF(INDEX('Per Invoice'!$E$2:$E$801,$N477)="","",INDEX('Per Invoice'!$E$2:$E$801,$N477)))</f>
        <v/>
      </c>
      <c r="F477">
        <f>IF($N477="","",IF(INDEX('Per Invoice'!$F$2:$F$801,$N477)="","",INDEX('Per Invoice'!$F$2:$F$801,$N477)))</f>
        <v/>
      </c>
      <c r="G477">
        <f>IF($N477="","",IF(INDEX('Per Invoice'!$G$2:$G$801,$N477)="","",INDEX('Per Invoice'!$G$2:$G$801,$N477)))</f>
        <v/>
      </c>
      <c r="H477">
        <f>IF($N477="","",IF(INDEX('Per Invoice'!$H$2:$H$801,$N477)="","",INDEX('Per Invoice'!$H$2:$H$801,$N477)))</f>
        <v/>
      </c>
      <c r="I477" s="5">
        <f>IF($N477="","",IF(INDEX('Per Invoice'!$I$2:$I$801,$N477)="","",INDEX('Per Invoice'!$I$2:$I$801,$N477)))</f>
        <v/>
      </c>
      <c r="J477" s="5">
        <f>IF($N477="","",IF(INDEX('Per Invoice'!$J$2:$J$801,$N477)="","",INDEX('Per Invoice'!$J$2:$J$801,$N477)))</f>
        <v/>
      </c>
      <c r="K477" s="5">
        <f>IF($N477="","",IF(INDEX('Per Invoice'!$K$2:$K$801,$N477)="","",INDEX('Per Invoice'!$K$2:$K$801,$N477)))</f>
        <v/>
      </c>
      <c r="L477" s="5">
        <f>IF($N477="","",IF(INDEX('Per Invoice'!$L$2:$L$801,$N477)="","",INDEX('Per Invoice'!$L$2:$L$801,$N477)))</f>
        <v/>
      </c>
      <c r="M477" s="5">
        <f>IF($N477="","",IF(INDEX('Per Invoice'!$M$2:$M$801,$N477)="","",INDEX('Per Invoice'!$M$2:$M$801,$N477)))</f>
        <v/>
      </c>
      <c r="N477">
        <f>IF(ROWS($N$2:$N477)&lt;=COUNT('Per Invoice'!$O$2:$O$801),MATCH(ROWS($N$2:$N477),'Per Invoice'!$O$2:$O$801,0),"")</f>
        <v/>
      </c>
    </row>
    <row r="478">
      <c r="A478">
        <f>IF($N478="","",IF(INDEX('Per Invoice'!$A$2:$A$801,$N478)="","",INDEX('Per Invoice'!$A$2:$A$801,$N478)))</f>
        <v/>
      </c>
      <c r="B478">
        <f>IF($N478="","",IF(INDEX('Per Invoice'!$B$2:$B$801,$N478)="","",INDEX('Per Invoice'!$B$2:$B$801,$N478)))</f>
        <v/>
      </c>
      <c r="C478">
        <f>IF($N478="","",IF(INDEX('Per Invoice'!$C$2:$C$801,$N478)="","",INDEX('Per Invoice'!$C$2:$C$801,$N478)))</f>
        <v/>
      </c>
      <c r="D478">
        <f>IF($N478="","",IF(INDEX('Per Invoice'!$D$2:$D$801,$N478)="","",INDEX('Per Invoice'!$D$2:$D$801,$N478)))</f>
        <v/>
      </c>
      <c r="E478">
        <f>IF($N478="","",IF(INDEX('Per Invoice'!$E$2:$E$801,$N478)="","",INDEX('Per Invoice'!$E$2:$E$801,$N478)))</f>
        <v/>
      </c>
      <c r="F478">
        <f>IF($N478="","",IF(INDEX('Per Invoice'!$F$2:$F$801,$N478)="","",INDEX('Per Invoice'!$F$2:$F$801,$N478)))</f>
        <v/>
      </c>
      <c r="G478">
        <f>IF($N478="","",IF(INDEX('Per Invoice'!$G$2:$G$801,$N478)="","",INDEX('Per Invoice'!$G$2:$G$801,$N478)))</f>
        <v/>
      </c>
      <c r="H478">
        <f>IF($N478="","",IF(INDEX('Per Invoice'!$H$2:$H$801,$N478)="","",INDEX('Per Invoice'!$H$2:$H$801,$N478)))</f>
        <v/>
      </c>
      <c r="I478" s="5">
        <f>IF($N478="","",IF(INDEX('Per Invoice'!$I$2:$I$801,$N478)="","",INDEX('Per Invoice'!$I$2:$I$801,$N478)))</f>
        <v/>
      </c>
      <c r="J478" s="5">
        <f>IF($N478="","",IF(INDEX('Per Invoice'!$J$2:$J$801,$N478)="","",INDEX('Per Invoice'!$J$2:$J$801,$N478)))</f>
        <v/>
      </c>
      <c r="K478" s="5">
        <f>IF($N478="","",IF(INDEX('Per Invoice'!$K$2:$K$801,$N478)="","",INDEX('Per Invoice'!$K$2:$K$801,$N478)))</f>
        <v/>
      </c>
      <c r="L478" s="5">
        <f>IF($N478="","",IF(INDEX('Per Invoice'!$L$2:$L$801,$N478)="","",INDEX('Per Invoice'!$L$2:$L$801,$N478)))</f>
        <v/>
      </c>
      <c r="M478" s="5">
        <f>IF($N478="","",IF(INDEX('Per Invoice'!$M$2:$M$801,$N478)="","",INDEX('Per Invoice'!$M$2:$M$801,$N478)))</f>
        <v/>
      </c>
      <c r="N478">
        <f>IF(ROWS($N$2:$N478)&lt;=COUNT('Per Invoice'!$O$2:$O$801),MATCH(ROWS($N$2:$N478),'Per Invoice'!$O$2:$O$801,0),"")</f>
        <v/>
      </c>
    </row>
    <row r="479">
      <c r="A479">
        <f>IF($N479="","",IF(INDEX('Per Invoice'!$A$2:$A$801,$N479)="","",INDEX('Per Invoice'!$A$2:$A$801,$N479)))</f>
        <v/>
      </c>
      <c r="B479">
        <f>IF($N479="","",IF(INDEX('Per Invoice'!$B$2:$B$801,$N479)="","",INDEX('Per Invoice'!$B$2:$B$801,$N479)))</f>
        <v/>
      </c>
      <c r="C479">
        <f>IF($N479="","",IF(INDEX('Per Invoice'!$C$2:$C$801,$N479)="","",INDEX('Per Invoice'!$C$2:$C$801,$N479)))</f>
        <v/>
      </c>
      <c r="D479">
        <f>IF($N479="","",IF(INDEX('Per Invoice'!$D$2:$D$801,$N479)="","",INDEX('Per Invoice'!$D$2:$D$801,$N479)))</f>
        <v/>
      </c>
      <c r="E479">
        <f>IF($N479="","",IF(INDEX('Per Invoice'!$E$2:$E$801,$N479)="","",INDEX('Per Invoice'!$E$2:$E$801,$N479)))</f>
        <v/>
      </c>
      <c r="F479">
        <f>IF($N479="","",IF(INDEX('Per Invoice'!$F$2:$F$801,$N479)="","",INDEX('Per Invoice'!$F$2:$F$801,$N479)))</f>
        <v/>
      </c>
      <c r="G479">
        <f>IF($N479="","",IF(INDEX('Per Invoice'!$G$2:$G$801,$N479)="","",INDEX('Per Invoice'!$G$2:$G$801,$N479)))</f>
        <v/>
      </c>
      <c r="H479">
        <f>IF($N479="","",IF(INDEX('Per Invoice'!$H$2:$H$801,$N479)="","",INDEX('Per Invoice'!$H$2:$H$801,$N479)))</f>
        <v/>
      </c>
      <c r="I479" s="5">
        <f>IF($N479="","",IF(INDEX('Per Invoice'!$I$2:$I$801,$N479)="","",INDEX('Per Invoice'!$I$2:$I$801,$N479)))</f>
        <v/>
      </c>
      <c r="J479" s="5">
        <f>IF($N479="","",IF(INDEX('Per Invoice'!$J$2:$J$801,$N479)="","",INDEX('Per Invoice'!$J$2:$J$801,$N479)))</f>
        <v/>
      </c>
      <c r="K479" s="5">
        <f>IF($N479="","",IF(INDEX('Per Invoice'!$K$2:$K$801,$N479)="","",INDEX('Per Invoice'!$K$2:$K$801,$N479)))</f>
        <v/>
      </c>
      <c r="L479" s="5">
        <f>IF($N479="","",IF(INDEX('Per Invoice'!$L$2:$L$801,$N479)="","",INDEX('Per Invoice'!$L$2:$L$801,$N479)))</f>
        <v/>
      </c>
      <c r="M479" s="5">
        <f>IF($N479="","",IF(INDEX('Per Invoice'!$M$2:$M$801,$N479)="","",INDEX('Per Invoice'!$M$2:$M$801,$N479)))</f>
        <v/>
      </c>
      <c r="N479">
        <f>IF(ROWS($N$2:$N479)&lt;=COUNT('Per Invoice'!$O$2:$O$801),MATCH(ROWS($N$2:$N479),'Per Invoice'!$O$2:$O$801,0),"")</f>
        <v/>
      </c>
    </row>
    <row r="480">
      <c r="A480">
        <f>IF($N480="","",IF(INDEX('Per Invoice'!$A$2:$A$801,$N480)="","",INDEX('Per Invoice'!$A$2:$A$801,$N480)))</f>
        <v/>
      </c>
      <c r="B480">
        <f>IF($N480="","",IF(INDEX('Per Invoice'!$B$2:$B$801,$N480)="","",INDEX('Per Invoice'!$B$2:$B$801,$N480)))</f>
        <v/>
      </c>
      <c r="C480">
        <f>IF($N480="","",IF(INDEX('Per Invoice'!$C$2:$C$801,$N480)="","",INDEX('Per Invoice'!$C$2:$C$801,$N480)))</f>
        <v/>
      </c>
      <c r="D480">
        <f>IF($N480="","",IF(INDEX('Per Invoice'!$D$2:$D$801,$N480)="","",INDEX('Per Invoice'!$D$2:$D$801,$N480)))</f>
        <v/>
      </c>
      <c r="E480">
        <f>IF($N480="","",IF(INDEX('Per Invoice'!$E$2:$E$801,$N480)="","",INDEX('Per Invoice'!$E$2:$E$801,$N480)))</f>
        <v/>
      </c>
      <c r="F480">
        <f>IF($N480="","",IF(INDEX('Per Invoice'!$F$2:$F$801,$N480)="","",INDEX('Per Invoice'!$F$2:$F$801,$N480)))</f>
        <v/>
      </c>
      <c r="G480">
        <f>IF($N480="","",IF(INDEX('Per Invoice'!$G$2:$G$801,$N480)="","",INDEX('Per Invoice'!$G$2:$G$801,$N480)))</f>
        <v/>
      </c>
      <c r="H480">
        <f>IF($N480="","",IF(INDEX('Per Invoice'!$H$2:$H$801,$N480)="","",INDEX('Per Invoice'!$H$2:$H$801,$N480)))</f>
        <v/>
      </c>
      <c r="I480" s="5">
        <f>IF($N480="","",IF(INDEX('Per Invoice'!$I$2:$I$801,$N480)="","",INDEX('Per Invoice'!$I$2:$I$801,$N480)))</f>
        <v/>
      </c>
      <c r="J480" s="5">
        <f>IF($N480="","",IF(INDEX('Per Invoice'!$J$2:$J$801,$N480)="","",INDEX('Per Invoice'!$J$2:$J$801,$N480)))</f>
        <v/>
      </c>
      <c r="K480" s="5">
        <f>IF($N480="","",IF(INDEX('Per Invoice'!$K$2:$K$801,$N480)="","",INDEX('Per Invoice'!$K$2:$K$801,$N480)))</f>
        <v/>
      </c>
      <c r="L480" s="5">
        <f>IF($N480="","",IF(INDEX('Per Invoice'!$L$2:$L$801,$N480)="","",INDEX('Per Invoice'!$L$2:$L$801,$N480)))</f>
        <v/>
      </c>
      <c r="M480" s="5">
        <f>IF($N480="","",IF(INDEX('Per Invoice'!$M$2:$M$801,$N480)="","",INDEX('Per Invoice'!$M$2:$M$801,$N480)))</f>
        <v/>
      </c>
      <c r="N480">
        <f>IF(ROWS($N$2:$N480)&lt;=COUNT('Per Invoice'!$O$2:$O$801),MATCH(ROWS($N$2:$N480),'Per Invoice'!$O$2:$O$801,0),"")</f>
        <v/>
      </c>
    </row>
    <row r="481">
      <c r="A481">
        <f>IF($N481="","",IF(INDEX('Per Invoice'!$A$2:$A$801,$N481)="","",INDEX('Per Invoice'!$A$2:$A$801,$N481)))</f>
        <v/>
      </c>
      <c r="B481">
        <f>IF($N481="","",IF(INDEX('Per Invoice'!$B$2:$B$801,$N481)="","",INDEX('Per Invoice'!$B$2:$B$801,$N481)))</f>
        <v/>
      </c>
      <c r="C481">
        <f>IF($N481="","",IF(INDEX('Per Invoice'!$C$2:$C$801,$N481)="","",INDEX('Per Invoice'!$C$2:$C$801,$N481)))</f>
        <v/>
      </c>
      <c r="D481">
        <f>IF($N481="","",IF(INDEX('Per Invoice'!$D$2:$D$801,$N481)="","",INDEX('Per Invoice'!$D$2:$D$801,$N481)))</f>
        <v/>
      </c>
      <c r="E481">
        <f>IF($N481="","",IF(INDEX('Per Invoice'!$E$2:$E$801,$N481)="","",INDEX('Per Invoice'!$E$2:$E$801,$N481)))</f>
        <v/>
      </c>
      <c r="F481">
        <f>IF($N481="","",IF(INDEX('Per Invoice'!$F$2:$F$801,$N481)="","",INDEX('Per Invoice'!$F$2:$F$801,$N481)))</f>
        <v/>
      </c>
      <c r="G481">
        <f>IF($N481="","",IF(INDEX('Per Invoice'!$G$2:$G$801,$N481)="","",INDEX('Per Invoice'!$G$2:$G$801,$N481)))</f>
        <v/>
      </c>
      <c r="H481">
        <f>IF($N481="","",IF(INDEX('Per Invoice'!$H$2:$H$801,$N481)="","",INDEX('Per Invoice'!$H$2:$H$801,$N481)))</f>
        <v/>
      </c>
      <c r="I481" s="5">
        <f>IF($N481="","",IF(INDEX('Per Invoice'!$I$2:$I$801,$N481)="","",INDEX('Per Invoice'!$I$2:$I$801,$N481)))</f>
        <v/>
      </c>
      <c r="J481" s="5">
        <f>IF($N481="","",IF(INDEX('Per Invoice'!$J$2:$J$801,$N481)="","",INDEX('Per Invoice'!$J$2:$J$801,$N481)))</f>
        <v/>
      </c>
      <c r="K481" s="5">
        <f>IF($N481="","",IF(INDEX('Per Invoice'!$K$2:$K$801,$N481)="","",INDEX('Per Invoice'!$K$2:$K$801,$N481)))</f>
        <v/>
      </c>
      <c r="L481" s="5">
        <f>IF($N481="","",IF(INDEX('Per Invoice'!$L$2:$L$801,$N481)="","",INDEX('Per Invoice'!$L$2:$L$801,$N481)))</f>
        <v/>
      </c>
      <c r="M481" s="5">
        <f>IF($N481="","",IF(INDEX('Per Invoice'!$M$2:$M$801,$N481)="","",INDEX('Per Invoice'!$M$2:$M$801,$N481)))</f>
        <v/>
      </c>
      <c r="N481">
        <f>IF(ROWS($N$2:$N481)&lt;=COUNT('Per Invoice'!$O$2:$O$801),MATCH(ROWS($N$2:$N481),'Per Invoice'!$O$2:$O$801,0),"")</f>
        <v/>
      </c>
    </row>
    <row r="482">
      <c r="A482">
        <f>IF($N482="","",IF(INDEX('Per Invoice'!$A$2:$A$801,$N482)="","",INDEX('Per Invoice'!$A$2:$A$801,$N482)))</f>
        <v/>
      </c>
      <c r="B482">
        <f>IF($N482="","",IF(INDEX('Per Invoice'!$B$2:$B$801,$N482)="","",INDEX('Per Invoice'!$B$2:$B$801,$N482)))</f>
        <v/>
      </c>
      <c r="C482">
        <f>IF($N482="","",IF(INDEX('Per Invoice'!$C$2:$C$801,$N482)="","",INDEX('Per Invoice'!$C$2:$C$801,$N482)))</f>
        <v/>
      </c>
      <c r="D482">
        <f>IF($N482="","",IF(INDEX('Per Invoice'!$D$2:$D$801,$N482)="","",INDEX('Per Invoice'!$D$2:$D$801,$N482)))</f>
        <v/>
      </c>
      <c r="E482">
        <f>IF($N482="","",IF(INDEX('Per Invoice'!$E$2:$E$801,$N482)="","",INDEX('Per Invoice'!$E$2:$E$801,$N482)))</f>
        <v/>
      </c>
      <c r="F482">
        <f>IF($N482="","",IF(INDEX('Per Invoice'!$F$2:$F$801,$N482)="","",INDEX('Per Invoice'!$F$2:$F$801,$N482)))</f>
        <v/>
      </c>
      <c r="G482">
        <f>IF($N482="","",IF(INDEX('Per Invoice'!$G$2:$G$801,$N482)="","",INDEX('Per Invoice'!$G$2:$G$801,$N482)))</f>
        <v/>
      </c>
      <c r="H482">
        <f>IF($N482="","",IF(INDEX('Per Invoice'!$H$2:$H$801,$N482)="","",INDEX('Per Invoice'!$H$2:$H$801,$N482)))</f>
        <v/>
      </c>
      <c r="I482" s="5">
        <f>IF($N482="","",IF(INDEX('Per Invoice'!$I$2:$I$801,$N482)="","",INDEX('Per Invoice'!$I$2:$I$801,$N482)))</f>
        <v/>
      </c>
      <c r="J482" s="5">
        <f>IF($N482="","",IF(INDEX('Per Invoice'!$J$2:$J$801,$N482)="","",INDEX('Per Invoice'!$J$2:$J$801,$N482)))</f>
        <v/>
      </c>
      <c r="K482" s="5">
        <f>IF($N482="","",IF(INDEX('Per Invoice'!$K$2:$K$801,$N482)="","",INDEX('Per Invoice'!$K$2:$K$801,$N482)))</f>
        <v/>
      </c>
      <c r="L482" s="5">
        <f>IF($N482="","",IF(INDEX('Per Invoice'!$L$2:$L$801,$N482)="","",INDEX('Per Invoice'!$L$2:$L$801,$N482)))</f>
        <v/>
      </c>
      <c r="M482" s="5">
        <f>IF($N482="","",IF(INDEX('Per Invoice'!$M$2:$M$801,$N482)="","",INDEX('Per Invoice'!$M$2:$M$801,$N482)))</f>
        <v/>
      </c>
      <c r="N482">
        <f>IF(ROWS($N$2:$N482)&lt;=COUNT('Per Invoice'!$O$2:$O$801),MATCH(ROWS($N$2:$N482),'Per Invoice'!$O$2:$O$801,0),"")</f>
        <v/>
      </c>
    </row>
    <row r="483">
      <c r="A483">
        <f>IF($N483="","",IF(INDEX('Per Invoice'!$A$2:$A$801,$N483)="","",INDEX('Per Invoice'!$A$2:$A$801,$N483)))</f>
        <v/>
      </c>
      <c r="B483">
        <f>IF($N483="","",IF(INDEX('Per Invoice'!$B$2:$B$801,$N483)="","",INDEX('Per Invoice'!$B$2:$B$801,$N483)))</f>
        <v/>
      </c>
      <c r="C483">
        <f>IF($N483="","",IF(INDEX('Per Invoice'!$C$2:$C$801,$N483)="","",INDEX('Per Invoice'!$C$2:$C$801,$N483)))</f>
        <v/>
      </c>
      <c r="D483">
        <f>IF($N483="","",IF(INDEX('Per Invoice'!$D$2:$D$801,$N483)="","",INDEX('Per Invoice'!$D$2:$D$801,$N483)))</f>
        <v/>
      </c>
      <c r="E483">
        <f>IF($N483="","",IF(INDEX('Per Invoice'!$E$2:$E$801,$N483)="","",INDEX('Per Invoice'!$E$2:$E$801,$N483)))</f>
        <v/>
      </c>
      <c r="F483">
        <f>IF($N483="","",IF(INDEX('Per Invoice'!$F$2:$F$801,$N483)="","",INDEX('Per Invoice'!$F$2:$F$801,$N483)))</f>
        <v/>
      </c>
      <c r="G483">
        <f>IF($N483="","",IF(INDEX('Per Invoice'!$G$2:$G$801,$N483)="","",INDEX('Per Invoice'!$G$2:$G$801,$N483)))</f>
        <v/>
      </c>
      <c r="H483">
        <f>IF($N483="","",IF(INDEX('Per Invoice'!$H$2:$H$801,$N483)="","",INDEX('Per Invoice'!$H$2:$H$801,$N483)))</f>
        <v/>
      </c>
      <c r="I483" s="5">
        <f>IF($N483="","",IF(INDEX('Per Invoice'!$I$2:$I$801,$N483)="","",INDEX('Per Invoice'!$I$2:$I$801,$N483)))</f>
        <v/>
      </c>
      <c r="J483" s="5">
        <f>IF($N483="","",IF(INDEX('Per Invoice'!$J$2:$J$801,$N483)="","",INDEX('Per Invoice'!$J$2:$J$801,$N483)))</f>
        <v/>
      </c>
      <c r="K483" s="5">
        <f>IF($N483="","",IF(INDEX('Per Invoice'!$K$2:$K$801,$N483)="","",INDEX('Per Invoice'!$K$2:$K$801,$N483)))</f>
        <v/>
      </c>
      <c r="L483" s="5">
        <f>IF($N483="","",IF(INDEX('Per Invoice'!$L$2:$L$801,$N483)="","",INDEX('Per Invoice'!$L$2:$L$801,$N483)))</f>
        <v/>
      </c>
      <c r="M483" s="5">
        <f>IF($N483="","",IF(INDEX('Per Invoice'!$M$2:$M$801,$N483)="","",INDEX('Per Invoice'!$M$2:$M$801,$N483)))</f>
        <v/>
      </c>
      <c r="N483">
        <f>IF(ROWS($N$2:$N483)&lt;=COUNT('Per Invoice'!$O$2:$O$801),MATCH(ROWS($N$2:$N483),'Per Invoice'!$O$2:$O$801,0),"")</f>
        <v/>
      </c>
    </row>
    <row r="484">
      <c r="A484">
        <f>IF($N484="","",IF(INDEX('Per Invoice'!$A$2:$A$801,$N484)="","",INDEX('Per Invoice'!$A$2:$A$801,$N484)))</f>
        <v/>
      </c>
      <c r="B484">
        <f>IF($N484="","",IF(INDEX('Per Invoice'!$B$2:$B$801,$N484)="","",INDEX('Per Invoice'!$B$2:$B$801,$N484)))</f>
        <v/>
      </c>
      <c r="C484">
        <f>IF($N484="","",IF(INDEX('Per Invoice'!$C$2:$C$801,$N484)="","",INDEX('Per Invoice'!$C$2:$C$801,$N484)))</f>
        <v/>
      </c>
      <c r="D484">
        <f>IF($N484="","",IF(INDEX('Per Invoice'!$D$2:$D$801,$N484)="","",INDEX('Per Invoice'!$D$2:$D$801,$N484)))</f>
        <v/>
      </c>
      <c r="E484">
        <f>IF($N484="","",IF(INDEX('Per Invoice'!$E$2:$E$801,$N484)="","",INDEX('Per Invoice'!$E$2:$E$801,$N484)))</f>
        <v/>
      </c>
      <c r="F484">
        <f>IF($N484="","",IF(INDEX('Per Invoice'!$F$2:$F$801,$N484)="","",INDEX('Per Invoice'!$F$2:$F$801,$N484)))</f>
        <v/>
      </c>
      <c r="G484">
        <f>IF($N484="","",IF(INDEX('Per Invoice'!$G$2:$G$801,$N484)="","",INDEX('Per Invoice'!$G$2:$G$801,$N484)))</f>
        <v/>
      </c>
      <c r="H484">
        <f>IF($N484="","",IF(INDEX('Per Invoice'!$H$2:$H$801,$N484)="","",INDEX('Per Invoice'!$H$2:$H$801,$N484)))</f>
        <v/>
      </c>
      <c r="I484" s="5">
        <f>IF($N484="","",IF(INDEX('Per Invoice'!$I$2:$I$801,$N484)="","",INDEX('Per Invoice'!$I$2:$I$801,$N484)))</f>
        <v/>
      </c>
      <c r="J484" s="5">
        <f>IF($N484="","",IF(INDEX('Per Invoice'!$J$2:$J$801,$N484)="","",INDEX('Per Invoice'!$J$2:$J$801,$N484)))</f>
        <v/>
      </c>
      <c r="K484" s="5">
        <f>IF($N484="","",IF(INDEX('Per Invoice'!$K$2:$K$801,$N484)="","",INDEX('Per Invoice'!$K$2:$K$801,$N484)))</f>
        <v/>
      </c>
      <c r="L484" s="5">
        <f>IF($N484="","",IF(INDEX('Per Invoice'!$L$2:$L$801,$N484)="","",INDEX('Per Invoice'!$L$2:$L$801,$N484)))</f>
        <v/>
      </c>
      <c r="M484" s="5">
        <f>IF($N484="","",IF(INDEX('Per Invoice'!$M$2:$M$801,$N484)="","",INDEX('Per Invoice'!$M$2:$M$801,$N484)))</f>
        <v/>
      </c>
      <c r="N484">
        <f>IF(ROWS($N$2:$N484)&lt;=COUNT('Per Invoice'!$O$2:$O$801),MATCH(ROWS($N$2:$N484),'Per Invoice'!$O$2:$O$801,0),"")</f>
        <v/>
      </c>
    </row>
    <row r="485">
      <c r="A485">
        <f>IF($N485="","",IF(INDEX('Per Invoice'!$A$2:$A$801,$N485)="","",INDEX('Per Invoice'!$A$2:$A$801,$N485)))</f>
        <v/>
      </c>
      <c r="B485">
        <f>IF($N485="","",IF(INDEX('Per Invoice'!$B$2:$B$801,$N485)="","",INDEX('Per Invoice'!$B$2:$B$801,$N485)))</f>
        <v/>
      </c>
      <c r="C485">
        <f>IF($N485="","",IF(INDEX('Per Invoice'!$C$2:$C$801,$N485)="","",INDEX('Per Invoice'!$C$2:$C$801,$N485)))</f>
        <v/>
      </c>
      <c r="D485">
        <f>IF($N485="","",IF(INDEX('Per Invoice'!$D$2:$D$801,$N485)="","",INDEX('Per Invoice'!$D$2:$D$801,$N485)))</f>
        <v/>
      </c>
      <c r="E485">
        <f>IF($N485="","",IF(INDEX('Per Invoice'!$E$2:$E$801,$N485)="","",INDEX('Per Invoice'!$E$2:$E$801,$N485)))</f>
        <v/>
      </c>
      <c r="F485">
        <f>IF($N485="","",IF(INDEX('Per Invoice'!$F$2:$F$801,$N485)="","",INDEX('Per Invoice'!$F$2:$F$801,$N485)))</f>
        <v/>
      </c>
      <c r="G485">
        <f>IF($N485="","",IF(INDEX('Per Invoice'!$G$2:$G$801,$N485)="","",INDEX('Per Invoice'!$G$2:$G$801,$N485)))</f>
        <v/>
      </c>
      <c r="H485">
        <f>IF($N485="","",IF(INDEX('Per Invoice'!$H$2:$H$801,$N485)="","",INDEX('Per Invoice'!$H$2:$H$801,$N485)))</f>
        <v/>
      </c>
      <c r="I485" s="5">
        <f>IF($N485="","",IF(INDEX('Per Invoice'!$I$2:$I$801,$N485)="","",INDEX('Per Invoice'!$I$2:$I$801,$N485)))</f>
        <v/>
      </c>
      <c r="J485" s="5">
        <f>IF($N485="","",IF(INDEX('Per Invoice'!$J$2:$J$801,$N485)="","",INDEX('Per Invoice'!$J$2:$J$801,$N485)))</f>
        <v/>
      </c>
      <c r="K485" s="5">
        <f>IF($N485="","",IF(INDEX('Per Invoice'!$K$2:$K$801,$N485)="","",INDEX('Per Invoice'!$K$2:$K$801,$N485)))</f>
        <v/>
      </c>
      <c r="L485" s="5">
        <f>IF($N485="","",IF(INDEX('Per Invoice'!$L$2:$L$801,$N485)="","",INDEX('Per Invoice'!$L$2:$L$801,$N485)))</f>
        <v/>
      </c>
      <c r="M485" s="5">
        <f>IF($N485="","",IF(INDEX('Per Invoice'!$M$2:$M$801,$N485)="","",INDEX('Per Invoice'!$M$2:$M$801,$N485)))</f>
        <v/>
      </c>
      <c r="N485">
        <f>IF(ROWS($N$2:$N485)&lt;=COUNT('Per Invoice'!$O$2:$O$801),MATCH(ROWS($N$2:$N485),'Per Invoice'!$O$2:$O$801,0),"")</f>
        <v/>
      </c>
    </row>
    <row r="486">
      <c r="A486">
        <f>IF($N486="","",IF(INDEX('Per Invoice'!$A$2:$A$801,$N486)="","",INDEX('Per Invoice'!$A$2:$A$801,$N486)))</f>
        <v/>
      </c>
      <c r="B486">
        <f>IF($N486="","",IF(INDEX('Per Invoice'!$B$2:$B$801,$N486)="","",INDEX('Per Invoice'!$B$2:$B$801,$N486)))</f>
        <v/>
      </c>
      <c r="C486">
        <f>IF($N486="","",IF(INDEX('Per Invoice'!$C$2:$C$801,$N486)="","",INDEX('Per Invoice'!$C$2:$C$801,$N486)))</f>
        <v/>
      </c>
      <c r="D486">
        <f>IF($N486="","",IF(INDEX('Per Invoice'!$D$2:$D$801,$N486)="","",INDEX('Per Invoice'!$D$2:$D$801,$N486)))</f>
        <v/>
      </c>
      <c r="E486">
        <f>IF($N486="","",IF(INDEX('Per Invoice'!$E$2:$E$801,$N486)="","",INDEX('Per Invoice'!$E$2:$E$801,$N486)))</f>
        <v/>
      </c>
      <c r="F486">
        <f>IF($N486="","",IF(INDEX('Per Invoice'!$F$2:$F$801,$N486)="","",INDEX('Per Invoice'!$F$2:$F$801,$N486)))</f>
        <v/>
      </c>
      <c r="G486">
        <f>IF($N486="","",IF(INDEX('Per Invoice'!$G$2:$G$801,$N486)="","",INDEX('Per Invoice'!$G$2:$G$801,$N486)))</f>
        <v/>
      </c>
      <c r="H486">
        <f>IF($N486="","",IF(INDEX('Per Invoice'!$H$2:$H$801,$N486)="","",INDEX('Per Invoice'!$H$2:$H$801,$N486)))</f>
        <v/>
      </c>
      <c r="I486" s="5">
        <f>IF($N486="","",IF(INDEX('Per Invoice'!$I$2:$I$801,$N486)="","",INDEX('Per Invoice'!$I$2:$I$801,$N486)))</f>
        <v/>
      </c>
      <c r="J486" s="5">
        <f>IF($N486="","",IF(INDEX('Per Invoice'!$J$2:$J$801,$N486)="","",INDEX('Per Invoice'!$J$2:$J$801,$N486)))</f>
        <v/>
      </c>
      <c r="K486" s="5">
        <f>IF($N486="","",IF(INDEX('Per Invoice'!$K$2:$K$801,$N486)="","",INDEX('Per Invoice'!$K$2:$K$801,$N486)))</f>
        <v/>
      </c>
      <c r="L486" s="5">
        <f>IF($N486="","",IF(INDEX('Per Invoice'!$L$2:$L$801,$N486)="","",INDEX('Per Invoice'!$L$2:$L$801,$N486)))</f>
        <v/>
      </c>
      <c r="M486" s="5">
        <f>IF($N486="","",IF(INDEX('Per Invoice'!$M$2:$M$801,$N486)="","",INDEX('Per Invoice'!$M$2:$M$801,$N486)))</f>
        <v/>
      </c>
      <c r="N486">
        <f>IF(ROWS($N$2:$N486)&lt;=COUNT('Per Invoice'!$O$2:$O$801),MATCH(ROWS($N$2:$N486),'Per Invoice'!$O$2:$O$801,0),"")</f>
        <v/>
      </c>
    </row>
    <row r="487">
      <c r="A487">
        <f>IF($N487="","",IF(INDEX('Per Invoice'!$A$2:$A$801,$N487)="","",INDEX('Per Invoice'!$A$2:$A$801,$N487)))</f>
        <v/>
      </c>
      <c r="B487">
        <f>IF($N487="","",IF(INDEX('Per Invoice'!$B$2:$B$801,$N487)="","",INDEX('Per Invoice'!$B$2:$B$801,$N487)))</f>
        <v/>
      </c>
      <c r="C487">
        <f>IF($N487="","",IF(INDEX('Per Invoice'!$C$2:$C$801,$N487)="","",INDEX('Per Invoice'!$C$2:$C$801,$N487)))</f>
        <v/>
      </c>
      <c r="D487">
        <f>IF($N487="","",IF(INDEX('Per Invoice'!$D$2:$D$801,$N487)="","",INDEX('Per Invoice'!$D$2:$D$801,$N487)))</f>
        <v/>
      </c>
      <c r="E487">
        <f>IF($N487="","",IF(INDEX('Per Invoice'!$E$2:$E$801,$N487)="","",INDEX('Per Invoice'!$E$2:$E$801,$N487)))</f>
        <v/>
      </c>
      <c r="F487">
        <f>IF($N487="","",IF(INDEX('Per Invoice'!$F$2:$F$801,$N487)="","",INDEX('Per Invoice'!$F$2:$F$801,$N487)))</f>
        <v/>
      </c>
      <c r="G487">
        <f>IF($N487="","",IF(INDEX('Per Invoice'!$G$2:$G$801,$N487)="","",INDEX('Per Invoice'!$G$2:$G$801,$N487)))</f>
        <v/>
      </c>
      <c r="H487">
        <f>IF($N487="","",IF(INDEX('Per Invoice'!$H$2:$H$801,$N487)="","",INDEX('Per Invoice'!$H$2:$H$801,$N487)))</f>
        <v/>
      </c>
      <c r="I487" s="5">
        <f>IF($N487="","",IF(INDEX('Per Invoice'!$I$2:$I$801,$N487)="","",INDEX('Per Invoice'!$I$2:$I$801,$N487)))</f>
        <v/>
      </c>
      <c r="J487" s="5">
        <f>IF($N487="","",IF(INDEX('Per Invoice'!$J$2:$J$801,$N487)="","",INDEX('Per Invoice'!$J$2:$J$801,$N487)))</f>
        <v/>
      </c>
      <c r="K487" s="5">
        <f>IF($N487="","",IF(INDEX('Per Invoice'!$K$2:$K$801,$N487)="","",INDEX('Per Invoice'!$K$2:$K$801,$N487)))</f>
        <v/>
      </c>
      <c r="L487" s="5">
        <f>IF($N487="","",IF(INDEX('Per Invoice'!$L$2:$L$801,$N487)="","",INDEX('Per Invoice'!$L$2:$L$801,$N487)))</f>
        <v/>
      </c>
      <c r="M487" s="5">
        <f>IF($N487="","",IF(INDEX('Per Invoice'!$M$2:$M$801,$N487)="","",INDEX('Per Invoice'!$M$2:$M$801,$N487)))</f>
        <v/>
      </c>
      <c r="N487">
        <f>IF(ROWS($N$2:$N487)&lt;=COUNT('Per Invoice'!$O$2:$O$801),MATCH(ROWS($N$2:$N487),'Per Invoice'!$O$2:$O$801,0),"")</f>
        <v/>
      </c>
    </row>
    <row r="488">
      <c r="A488">
        <f>IF($N488="","",IF(INDEX('Per Invoice'!$A$2:$A$801,$N488)="","",INDEX('Per Invoice'!$A$2:$A$801,$N488)))</f>
        <v/>
      </c>
      <c r="B488">
        <f>IF($N488="","",IF(INDEX('Per Invoice'!$B$2:$B$801,$N488)="","",INDEX('Per Invoice'!$B$2:$B$801,$N488)))</f>
        <v/>
      </c>
      <c r="C488">
        <f>IF($N488="","",IF(INDEX('Per Invoice'!$C$2:$C$801,$N488)="","",INDEX('Per Invoice'!$C$2:$C$801,$N488)))</f>
        <v/>
      </c>
      <c r="D488">
        <f>IF($N488="","",IF(INDEX('Per Invoice'!$D$2:$D$801,$N488)="","",INDEX('Per Invoice'!$D$2:$D$801,$N488)))</f>
        <v/>
      </c>
      <c r="E488">
        <f>IF($N488="","",IF(INDEX('Per Invoice'!$E$2:$E$801,$N488)="","",INDEX('Per Invoice'!$E$2:$E$801,$N488)))</f>
        <v/>
      </c>
      <c r="F488">
        <f>IF($N488="","",IF(INDEX('Per Invoice'!$F$2:$F$801,$N488)="","",INDEX('Per Invoice'!$F$2:$F$801,$N488)))</f>
        <v/>
      </c>
      <c r="G488">
        <f>IF($N488="","",IF(INDEX('Per Invoice'!$G$2:$G$801,$N488)="","",INDEX('Per Invoice'!$G$2:$G$801,$N488)))</f>
        <v/>
      </c>
      <c r="H488">
        <f>IF($N488="","",IF(INDEX('Per Invoice'!$H$2:$H$801,$N488)="","",INDEX('Per Invoice'!$H$2:$H$801,$N488)))</f>
        <v/>
      </c>
      <c r="I488" s="5">
        <f>IF($N488="","",IF(INDEX('Per Invoice'!$I$2:$I$801,$N488)="","",INDEX('Per Invoice'!$I$2:$I$801,$N488)))</f>
        <v/>
      </c>
      <c r="J488" s="5">
        <f>IF($N488="","",IF(INDEX('Per Invoice'!$J$2:$J$801,$N488)="","",INDEX('Per Invoice'!$J$2:$J$801,$N488)))</f>
        <v/>
      </c>
      <c r="K488" s="5">
        <f>IF($N488="","",IF(INDEX('Per Invoice'!$K$2:$K$801,$N488)="","",INDEX('Per Invoice'!$K$2:$K$801,$N488)))</f>
        <v/>
      </c>
      <c r="L488" s="5">
        <f>IF($N488="","",IF(INDEX('Per Invoice'!$L$2:$L$801,$N488)="","",INDEX('Per Invoice'!$L$2:$L$801,$N488)))</f>
        <v/>
      </c>
      <c r="M488" s="5">
        <f>IF($N488="","",IF(INDEX('Per Invoice'!$M$2:$M$801,$N488)="","",INDEX('Per Invoice'!$M$2:$M$801,$N488)))</f>
        <v/>
      </c>
      <c r="N488">
        <f>IF(ROWS($N$2:$N488)&lt;=COUNT('Per Invoice'!$O$2:$O$801),MATCH(ROWS($N$2:$N488),'Per Invoice'!$O$2:$O$801,0),"")</f>
        <v/>
      </c>
    </row>
    <row r="489">
      <c r="A489">
        <f>IF($N489="","",IF(INDEX('Per Invoice'!$A$2:$A$801,$N489)="","",INDEX('Per Invoice'!$A$2:$A$801,$N489)))</f>
        <v/>
      </c>
      <c r="B489">
        <f>IF($N489="","",IF(INDEX('Per Invoice'!$B$2:$B$801,$N489)="","",INDEX('Per Invoice'!$B$2:$B$801,$N489)))</f>
        <v/>
      </c>
      <c r="C489">
        <f>IF($N489="","",IF(INDEX('Per Invoice'!$C$2:$C$801,$N489)="","",INDEX('Per Invoice'!$C$2:$C$801,$N489)))</f>
        <v/>
      </c>
      <c r="D489">
        <f>IF($N489="","",IF(INDEX('Per Invoice'!$D$2:$D$801,$N489)="","",INDEX('Per Invoice'!$D$2:$D$801,$N489)))</f>
        <v/>
      </c>
      <c r="E489">
        <f>IF($N489="","",IF(INDEX('Per Invoice'!$E$2:$E$801,$N489)="","",INDEX('Per Invoice'!$E$2:$E$801,$N489)))</f>
        <v/>
      </c>
      <c r="F489">
        <f>IF($N489="","",IF(INDEX('Per Invoice'!$F$2:$F$801,$N489)="","",INDEX('Per Invoice'!$F$2:$F$801,$N489)))</f>
        <v/>
      </c>
      <c r="G489">
        <f>IF($N489="","",IF(INDEX('Per Invoice'!$G$2:$G$801,$N489)="","",INDEX('Per Invoice'!$G$2:$G$801,$N489)))</f>
        <v/>
      </c>
      <c r="H489">
        <f>IF($N489="","",IF(INDEX('Per Invoice'!$H$2:$H$801,$N489)="","",INDEX('Per Invoice'!$H$2:$H$801,$N489)))</f>
        <v/>
      </c>
      <c r="I489" s="5">
        <f>IF($N489="","",IF(INDEX('Per Invoice'!$I$2:$I$801,$N489)="","",INDEX('Per Invoice'!$I$2:$I$801,$N489)))</f>
        <v/>
      </c>
      <c r="J489" s="5">
        <f>IF($N489="","",IF(INDEX('Per Invoice'!$J$2:$J$801,$N489)="","",INDEX('Per Invoice'!$J$2:$J$801,$N489)))</f>
        <v/>
      </c>
      <c r="K489" s="5">
        <f>IF($N489="","",IF(INDEX('Per Invoice'!$K$2:$K$801,$N489)="","",INDEX('Per Invoice'!$K$2:$K$801,$N489)))</f>
        <v/>
      </c>
      <c r="L489" s="5">
        <f>IF($N489="","",IF(INDEX('Per Invoice'!$L$2:$L$801,$N489)="","",INDEX('Per Invoice'!$L$2:$L$801,$N489)))</f>
        <v/>
      </c>
      <c r="M489" s="5">
        <f>IF($N489="","",IF(INDEX('Per Invoice'!$M$2:$M$801,$N489)="","",INDEX('Per Invoice'!$M$2:$M$801,$N489)))</f>
        <v/>
      </c>
      <c r="N489">
        <f>IF(ROWS($N$2:$N489)&lt;=COUNT('Per Invoice'!$O$2:$O$801),MATCH(ROWS($N$2:$N489),'Per Invoice'!$O$2:$O$801,0),"")</f>
        <v/>
      </c>
    </row>
    <row r="490">
      <c r="A490">
        <f>IF($N490="","",IF(INDEX('Per Invoice'!$A$2:$A$801,$N490)="","",INDEX('Per Invoice'!$A$2:$A$801,$N490)))</f>
        <v/>
      </c>
      <c r="B490">
        <f>IF($N490="","",IF(INDEX('Per Invoice'!$B$2:$B$801,$N490)="","",INDEX('Per Invoice'!$B$2:$B$801,$N490)))</f>
        <v/>
      </c>
      <c r="C490">
        <f>IF($N490="","",IF(INDEX('Per Invoice'!$C$2:$C$801,$N490)="","",INDEX('Per Invoice'!$C$2:$C$801,$N490)))</f>
        <v/>
      </c>
      <c r="D490">
        <f>IF($N490="","",IF(INDEX('Per Invoice'!$D$2:$D$801,$N490)="","",INDEX('Per Invoice'!$D$2:$D$801,$N490)))</f>
        <v/>
      </c>
      <c r="E490">
        <f>IF($N490="","",IF(INDEX('Per Invoice'!$E$2:$E$801,$N490)="","",INDEX('Per Invoice'!$E$2:$E$801,$N490)))</f>
        <v/>
      </c>
      <c r="F490">
        <f>IF($N490="","",IF(INDEX('Per Invoice'!$F$2:$F$801,$N490)="","",INDEX('Per Invoice'!$F$2:$F$801,$N490)))</f>
        <v/>
      </c>
      <c r="G490">
        <f>IF($N490="","",IF(INDEX('Per Invoice'!$G$2:$G$801,$N490)="","",INDEX('Per Invoice'!$G$2:$G$801,$N490)))</f>
        <v/>
      </c>
      <c r="H490">
        <f>IF($N490="","",IF(INDEX('Per Invoice'!$H$2:$H$801,$N490)="","",INDEX('Per Invoice'!$H$2:$H$801,$N490)))</f>
        <v/>
      </c>
      <c r="I490" s="5">
        <f>IF($N490="","",IF(INDEX('Per Invoice'!$I$2:$I$801,$N490)="","",INDEX('Per Invoice'!$I$2:$I$801,$N490)))</f>
        <v/>
      </c>
      <c r="J490" s="5">
        <f>IF($N490="","",IF(INDEX('Per Invoice'!$J$2:$J$801,$N490)="","",INDEX('Per Invoice'!$J$2:$J$801,$N490)))</f>
        <v/>
      </c>
      <c r="K490" s="5">
        <f>IF($N490="","",IF(INDEX('Per Invoice'!$K$2:$K$801,$N490)="","",INDEX('Per Invoice'!$K$2:$K$801,$N490)))</f>
        <v/>
      </c>
      <c r="L490" s="5">
        <f>IF($N490="","",IF(INDEX('Per Invoice'!$L$2:$L$801,$N490)="","",INDEX('Per Invoice'!$L$2:$L$801,$N490)))</f>
        <v/>
      </c>
      <c r="M490" s="5">
        <f>IF($N490="","",IF(INDEX('Per Invoice'!$M$2:$M$801,$N490)="","",INDEX('Per Invoice'!$M$2:$M$801,$N490)))</f>
        <v/>
      </c>
      <c r="N490">
        <f>IF(ROWS($N$2:$N490)&lt;=COUNT('Per Invoice'!$O$2:$O$801),MATCH(ROWS($N$2:$N490),'Per Invoice'!$O$2:$O$801,0),"")</f>
        <v/>
      </c>
    </row>
    <row r="491">
      <c r="A491">
        <f>IF($N491="","",IF(INDEX('Per Invoice'!$A$2:$A$801,$N491)="","",INDEX('Per Invoice'!$A$2:$A$801,$N491)))</f>
        <v/>
      </c>
      <c r="B491">
        <f>IF($N491="","",IF(INDEX('Per Invoice'!$B$2:$B$801,$N491)="","",INDEX('Per Invoice'!$B$2:$B$801,$N491)))</f>
        <v/>
      </c>
      <c r="C491">
        <f>IF($N491="","",IF(INDEX('Per Invoice'!$C$2:$C$801,$N491)="","",INDEX('Per Invoice'!$C$2:$C$801,$N491)))</f>
        <v/>
      </c>
      <c r="D491">
        <f>IF($N491="","",IF(INDEX('Per Invoice'!$D$2:$D$801,$N491)="","",INDEX('Per Invoice'!$D$2:$D$801,$N491)))</f>
        <v/>
      </c>
      <c r="E491">
        <f>IF($N491="","",IF(INDEX('Per Invoice'!$E$2:$E$801,$N491)="","",INDEX('Per Invoice'!$E$2:$E$801,$N491)))</f>
        <v/>
      </c>
      <c r="F491">
        <f>IF($N491="","",IF(INDEX('Per Invoice'!$F$2:$F$801,$N491)="","",INDEX('Per Invoice'!$F$2:$F$801,$N491)))</f>
        <v/>
      </c>
      <c r="G491">
        <f>IF($N491="","",IF(INDEX('Per Invoice'!$G$2:$G$801,$N491)="","",INDEX('Per Invoice'!$G$2:$G$801,$N491)))</f>
        <v/>
      </c>
      <c r="H491">
        <f>IF($N491="","",IF(INDEX('Per Invoice'!$H$2:$H$801,$N491)="","",INDEX('Per Invoice'!$H$2:$H$801,$N491)))</f>
        <v/>
      </c>
      <c r="I491" s="5">
        <f>IF($N491="","",IF(INDEX('Per Invoice'!$I$2:$I$801,$N491)="","",INDEX('Per Invoice'!$I$2:$I$801,$N491)))</f>
        <v/>
      </c>
      <c r="J491" s="5">
        <f>IF($N491="","",IF(INDEX('Per Invoice'!$J$2:$J$801,$N491)="","",INDEX('Per Invoice'!$J$2:$J$801,$N491)))</f>
        <v/>
      </c>
      <c r="K491" s="5">
        <f>IF($N491="","",IF(INDEX('Per Invoice'!$K$2:$K$801,$N491)="","",INDEX('Per Invoice'!$K$2:$K$801,$N491)))</f>
        <v/>
      </c>
      <c r="L491" s="5">
        <f>IF($N491="","",IF(INDEX('Per Invoice'!$L$2:$L$801,$N491)="","",INDEX('Per Invoice'!$L$2:$L$801,$N491)))</f>
        <v/>
      </c>
      <c r="M491" s="5">
        <f>IF($N491="","",IF(INDEX('Per Invoice'!$M$2:$M$801,$N491)="","",INDEX('Per Invoice'!$M$2:$M$801,$N491)))</f>
        <v/>
      </c>
      <c r="N491">
        <f>IF(ROWS($N$2:$N491)&lt;=COUNT('Per Invoice'!$O$2:$O$801),MATCH(ROWS($N$2:$N491),'Per Invoice'!$O$2:$O$801,0),"")</f>
        <v/>
      </c>
    </row>
    <row r="492">
      <c r="A492">
        <f>IF($N492="","",IF(INDEX('Per Invoice'!$A$2:$A$801,$N492)="","",INDEX('Per Invoice'!$A$2:$A$801,$N492)))</f>
        <v/>
      </c>
      <c r="B492">
        <f>IF($N492="","",IF(INDEX('Per Invoice'!$B$2:$B$801,$N492)="","",INDEX('Per Invoice'!$B$2:$B$801,$N492)))</f>
        <v/>
      </c>
      <c r="C492">
        <f>IF($N492="","",IF(INDEX('Per Invoice'!$C$2:$C$801,$N492)="","",INDEX('Per Invoice'!$C$2:$C$801,$N492)))</f>
        <v/>
      </c>
      <c r="D492">
        <f>IF($N492="","",IF(INDEX('Per Invoice'!$D$2:$D$801,$N492)="","",INDEX('Per Invoice'!$D$2:$D$801,$N492)))</f>
        <v/>
      </c>
      <c r="E492">
        <f>IF($N492="","",IF(INDEX('Per Invoice'!$E$2:$E$801,$N492)="","",INDEX('Per Invoice'!$E$2:$E$801,$N492)))</f>
        <v/>
      </c>
      <c r="F492">
        <f>IF($N492="","",IF(INDEX('Per Invoice'!$F$2:$F$801,$N492)="","",INDEX('Per Invoice'!$F$2:$F$801,$N492)))</f>
        <v/>
      </c>
      <c r="G492">
        <f>IF($N492="","",IF(INDEX('Per Invoice'!$G$2:$G$801,$N492)="","",INDEX('Per Invoice'!$G$2:$G$801,$N492)))</f>
        <v/>
      </c>
      <c r="H492">
        <f>IF($N492="","",IF(INDEX('Per Invoice'!$H$2:$H$801,$N492)="","",INDEX('Per Invoice'!$H$2:$H$801,$N492)))</f>
        <v/>
      </c>
      <c r="I492" s="5">
        <f>IF($N492="","",IF(INDEX('Per Invoice'!$I$2:$I$801,$N492)="","",INDEX('Per Invoice'!$I$2:$I$801,$N492)))</f>
        <v/>
      </c>
      <c r="J492" s="5">
        <f>IF($N492="","",IF(INDEX('Per Invoice'!$J$2:$J$801,$N492)="","",INDEX('Per Invoice'!$J$2:$J$801,$N492)))</f>
        <v/>
      </c>
      <c r="K492" s="5">
        <f>IF($N492="","",IF(INDEX('Per Invoice'!$K$2:$K$801,$N492)="","",INDEX('Per Invoice'!$K$2:$K$801,$N492)))</f>
        <v/>
      </c>
      <c r="L492" s="5">
        <f>IF($N492="","",IF(INDEX('Per Invoice'!$L$2:$L$801,$N492)="","",INDEX('Per Invoice'!$L$2:$L$801,$N492)))</f>
        <v/>
      </c>
      <c r="M492" s="5">
        <f>IF($N492="","",IF(INDEX('Per Invoice'!$M$2:$M$801,$N492)="","",INDEX('Per Invoice'!$M$2:$M$801,$N492)))</f>
        <v/>
      </c>
      <c r="N492">
        <f>IF(ROWS($N$2:$N492)&lt;=COUNT('Per Invoice'!$O$2:$O$801),MATCH(ROWS($N$2:$N492),'Per Invoice'!$O$2:$O$801,0),"")</f>
        <v/>
      </c>
    </row>
    <row r="493">
      <c r="A493">
        <f>IF($N493="","",IF(INDEX('Per Invoice'!$A$2:$A$801,$N493)="","",INDEX('Per Invoice'!$A$2:$A$801,$N493)))</f>
        <v/>
      </c>
      <c r="B493">
        <f>IF($N493="","",IF(INDEX('Per Invoice'!$B$2:$B$801,$N493)="","",INDEX('Per Invoice'!$B$2:$B$801,$N493)))</f>
        <v/>
      </c>
      <c r="C493">
        <f>IF($N493="","",IF(INDEX('Per Invoice'!$C$2:$C$801,$N493)="","",INDEX('Per Invoice'!$C$2:$C$801,$N493)))</f>
        <v/>
      </c>
      <c r="D493">
        <f>IF($N493="","",IF(INDEX('Per Invoice'!$D$2:$D$801,$N493)="","",INDEX('Per Invoice'!$D$2:$D$801,$N493)))</f>
        <v/>
      </c>
      <c r="E493">
        <f>IF($N493="","",IF(INDEX('Per Invoice'!$E$2:$E$801,$N493)="","",INDEX('Per Invoice'!$E$2:$E$801,$N493)))</f>
        <v/>
      </c>
      <c r="F493">
        <f>IF($N493="","",IF(INDEX('Per Invoice'!$F$2:$F$801,$N493)="","",INDEX('Per Invoice'!$F$2:$F$801,$N493)))</f>
        <v/>
      </c>
      <c r="G493">
        <f>IF($N493="","",IF(INDEX('Per Invoice'!$G$2:$G$801,$N493)="","",INDEX('Per Invoice'!$G$2:$G$801,$N493)))</f>
        <v/>
      </c>
      <c r="H493">
        <f>IF($N493="","",IF(INDEX('Per Invoice'!$H$2:$H$801,$N493)="","",INDEX('Per Invoice'!$H$2:$H$801,$N493)))</f>
        <v/>
      </c>
      <c r="I493" s="5">
        <f>IF($N493="","",IF(INDEX('Per Invoice'!$I$2:$I$801,$N493)="","",INDEX('Per Invoice'!$I$2:$I$801,$N493)))</f>
        <v/>
      </c>
      <c r="J493" s="5">
        <f>IF($N493="","",IF(INDEX('Per Invoice'!$J$2:$J$801,$N493)="","",INDEX('Per Invoice'!$J$2:$J$801,$N493)))</f>
        <v/>
      </c>
      <c r="K493" s="5">
        <f>IF($N493="","",IF(INDEX('Per Invoice'!$K$2:$K$801,$N493)="","",INDEX('Per Invoice'!$K$2:$K$801,$N493)))</f>
        <v/>
      </c>
      <c r="L493" s="5">
        <f>IF($N493="","",IF(INDEX('Per Invoice'!$L$2:$L$801,$N493)="","",INDEX('Per Invoice'!$L$2:$L$801,$N493)))</f>
        <v/>
      </c>
      <c r="M493" s="5">
        <f>IF($N493="","",IF(INDEX('Per Invoice'!$M$2:$M$801,$N493)="","",INDEX('Per Invoice'!$M$2:$M$801,$N493)))</f>
        <v/>
      </c>
      <c r="N493">
        <f>IF(ROWS($N$2:$N493)&lt;=COUNT('Per Invoice'!$O$2:$O$801),MATCH(ROWS($N$2:$N493),'Per Invoice'!$O$2:$O$801,0),"")</f>
        <v/>
      </c>
    </row>
    <row r="494">
      <c r="A494">
        <f>IF($N494="","",IF(INDEX('Per Invoice'!$A$2:$A$801,$N494)="","",INDEX('Per Invoice'!$A$2:$A$801,$N494)))</f>
        <v/>
      </c>
      <c r="B494">
        <f>IF($N494="","",IF(INDEX('Per Invoice'!$B$2:$B$801,$N494)="","",INDEX('Per Invoice'!$B$2:$B$801,$N494)))</f>
        <v/>
      </c>
      <c r="C494">
        <f>IF($N494="","",IF(INDEX('Per Invoice'!$C$2:$C$801,$N494)="","",INDEX('Per Invoice'!$C$2:$C$801,$N494)))</f>
        <v/>
      </c>
      <c r="D494">
        <f>IF($N494="","",IF(INDEX('Per Invoice'!$D$2:$D$801,$N494)="","",INDEX('Per Invoice'!$D$2:$D$801,$N494)))</f>
        <v/>
      </c>
      <c r="E494">
        <f>IF($N494="","",IF(INDEX('Per Invoice'!$E$2:$E$801,$N494)="","",INDEX('Per Invoice'!$E$2:$E$801,$N494)))</f>
        <v/>
      </c>
      <c r="F494">
        <f>IF($N494="","",IF(INDEX('Per Invoice'!$F$2:$F$801,$N494)="","",INDEX('Per Invoice'!$F$2:$F$801,$N494)))</f>
        <v/>
      </c>
      <c r="G494">
        <f>IF($N494="","",IF(INDEX('Per Invoice'!$G$2:$G$801,$N494)="","",INDEX('Per Invoice'!$G$2:$G$801,$N494)))</f>
        <v/>
      </c>
      <c r="H494">
        <f>IF($N494="","",IF(INDEX('Per Invoice'!$H$2:$H$801,$N494)="","",INDEX('Per Invoice'!$H$2:$H$801,$N494)))</f>
        <v/>
      </c>
      <c r="I494" s="5">
        <f>IF($N494="","",IF(INDEX('Per Invoice'!$I$2:$I$801,$N494)="","",INDEX('Per Invoice'!$I$2:$I$801,$N494)))</f>
        <v/>
      </c>
      <c r="J494" s="5">
        <f>IF($N494="","",IF(INDEX('Per Invoice'!$J$2:$J$801,$N494)="","",INDEX('Per Invoice'!$J$2:$J$801,$N494)))</f>
        <v/>
      </c>
      <c r="K494" s="5">
        <f>IF($N494="","",IF(INDEX('Per Invoice'!$K$2:$K$801,$N494)="","",INDEX('Per Invoice'!$K$2:$K$801,$N494)))</f>
        <v/>
      </c>
      <c r="L494" s="5">
        <f>IF($N494="","",IF(INDEX('Per Invoice'!$L$2:$L$801,$N494)="","",INDEX('Per Invoice'!$L$2:$L$801,$N494)))</f>
        <v/>
      </c>
      <c r="M494" s="5">
        <f>IF($N494="","",IF(INDEX('Per Invoice'!$M$2:$M$801,$N494)="","",INDEX('Per Invoice'!$M$2:$M$801,$N494)))</f>
        <v/>
      </c>
      <c r="N494">
        <f>IF(ROWS($N$2:$N494)&lt;=COUNT('Per Invoice'!$O$2:$O$801),MATCH(ROWS($N$2:$N494),'Per Invoice'!$O$2:$O$801,0),"")</f>
        <v/>
      </c>
    </row>
    <row r="495">
      <c r="A495">
        <f>IF($N495="","",IF(INDEX('Per Invoice'!$A$2:$A$801,$N495)="","",INDEX('Per Invoice'!$A$2:$A$801,$N495)))</f>
        <v/>
      </c>
      <c r="B495">
        <f>IF($N495="","",IF(INDEX('Per Invoice'!$B$2:$B$801,$N495)="","",INDEX('Per Invoice'!$B$2:$B$801,$N495)))</f>
        <v/>
      </c>
      <c r="C495">
        <f>IF($N495="","",IF(INDEX('Per Invoice'!$C$2:$C$801,$N495)="","",INDEX('Per Invoice'!$C$2:$C$801,$N495)))</f>
        <v/>
      </c>
      <c r="D495">
        <f>IF($N495="","",IF(INDEX('Per Invoice'!$D$2:$D$801,$N495)="","",INDEX('Per Invoice'!$D$2:$D$801,$N495)))</f>
        <v/>
      </c>
      <c r="E495">
        <f>IF($N495="","",IF(INDEX('Per Invoice'!$E$2:$E$801,$N495)="","",INDEX('Per Invoice'!$E$2:$E$801,$N495)))</f>
        <v/>
      </c>
      <c r="F495">
        <f>IF($N495="","",IF(INDEX('Per Invoice'!$F$2:$F$801,$N495)="","",INDEX('Per Invoice'!$F$2:$F$801,$N495)))</f>
        <v/>
      </c>
      <c r="G495">
        <f>IF($N495="","",IF(INDEX('Per Invoice'!$G$2:$G$801,$N495)="","",INDEX('Per Invoice'!$G$2:$G$801,$N495)))</f>
        <v/>
      </c>
      <c r="H495">
        <f>IF($N495="","",IF(INDEX('Per Invoice'!$H$2:$H$801,$N495)="","",INDEX('Per Invoice'!$H$2:$H$801,$N495)))</f>
        <v/>
      </c>
      <c r="I495" s="5">
        <f>IF($N495="","",IF(INDEX('Per Invoice'!$I$2:$I$801,$N495)="","",INDEX('Per Invoice'!$I$2:$I$801,$N495)))</f>
        <v/>
      </c>
      <c r="J495" s="5">
        <f>IF($N495="","",IF(INDEX('Per Invoice'!$J$2:$J$801,$N495)="","",INDEX('Per Invoice'!$J$2:$J$801,$N495)))</f>
        <v/>
      </c>
      <c r="K495" s="5">
        <f>IF($N495="","",IF(INDEX('Per Invoice'!$K$2:$K$801,$N495)="","",INDEX('Per Invoice'!$K$2:$K$801,$N495)))</f>
        <v/>
      </c>
      <c r="L495" s="5">
        <f>IF($N495="","",IF(INDEX('Per Invoice'!$L$2:$L$801,$N495)="","",INDEX('Per Invoice'!$L$2:$L$801,$N495)))</f>
        <v/>
      </c>
      <c r="M495" s="5">
        <f>IF($N495="","",IF(INDEX('Per Invoice'!$M$2:$M$801,$N495)="","",INDEX('Per Invoice'!$M$2:$M$801,$N495)))</f>
        <v/>
      </c>
      <c r="N495">
        <f>IF(ROWS($N$2:$N495)&lt;=COUNT('Per Invoice'!$O$2:$O$801),MATCH(ROWS($N$2:$N495),'Per Invoice'!$O$2:$O$801,0),"")</f>
        <v/>
      </c>
    </row>
    <row r="496">
      <c r="A496">
        <f>IF($N496="","",IF(INDEX('Per Invoice'!$A$2:$A$801,$N496)="","",INDEX('Per Invoice'!$A$2:$A$801,$N496)))</f>
        <v/>
      </c>
      <c r="B496">
        <f>IF($N496="","",IF(INDEX('Per Invoice'!$B$2:$B$801,$N496)="","",INDEX('Per Invoice'!$B$2:$B$801,$N496)))</f>
        <v/>
      </c>
      <c r="C496">
        <f>IF($N496="","",IF(INDEX('Per Invoice'!$C$2:$C$801,$N496)="","",INDEX('Per Invoice'!$C$2:$C$801,$N496)))</f>
        <v/>
      </c>
      <c r="D496">
        <f>IF($N496="","",IF(INDEX('Per Invoice'!$D$2:$D$801,$N496)="","",INDEX('Per Invoice'!$D$2:$D$801,$N496)))</f>
        <v/>
      </c>
      <c r="E496">
        <f>IF($N496="","",IF(INDEX('Per Invoice'!$E$2:$E$801,$N496)="","",INDEX('Per Invoice'!$E$2:$E$801,$N496)))</f>
        <v/>
      </c>
      <c r="F496">
        <f>IF($N496="","",IF(INDEX('Per Invoice'!$F$2:$F$801,$N496)="","",INDEX('Per Invoice'!$F$2:$F$801,$N496)))</f>
        <v/>
      </c>
      <c r="G496">
        <f>IF($N496="","",IF(INDEX('Per Invoice'!$G$2:$G$801,$N496)="","",INDEX('Per Invoice'!$G$2:$G$801,$N496)))</f>
        <v/>
      </c>
      <c r="H496">
        <f>IF($N496="","",IF(INDEX('Per Invoice'!$H$2:$H$801,$N496)="","",INDEX('Per Invoice'!$H$2:$H$801,$N496)))</f>
        <v/>
      </c>
      <c r="I496" s="5">
        <f>IF($N496="","",IF(INDEX('Per Invoice'!$I$2:$I$801,$N496)="","",INDEX('Per Invoice'!$I$2:$I$801,$N496)))</f>
        <v/>
      </c>
      <c r="J496" s="5">
        <f>IF($N496="","",IF(INDEX('Per Invoice'!$J$2:$J$801,$N496)="","",INDEX('Per Invoice'!$J$2:$J$801,$N496)))</f>
        <v/>
      </c>
      <c r="K496" s="5">
        <f>IF($N496="","",IF(INDEX('Per Invoice'!$K$2:$K$801,$N496)="","",INDEX('Per Invoice'!$K$2:$K$801,$N496)))</f>
        <v/>
      </c>
      <c r="L496" s="5">
        <f>IF($N496="","",IF(INDEX('Per Invoice'!$L$2:$L$801,$N496)="","",INDEX('Per Invoice'!$L$2:$L$801,$N496)))</f>
        <v/>
      </c>
      <c r="M496" s="5">
        <f>IF($N496="","",IF(INDEX('Per Invoice'!$M$2:$M$801,$N496)="","",INDEX('Per Invoice'!$M$2:$M$801,$N496)))</f>
        <v/>
      </c>
      <c r="N496">
        <f>IF(ROWS($N$2:$N496)&lt;=COUNT('Per Invoice'!$O$2:$O$801),MATCH(ROWS($N$2:$N496),'Per Invoice'!$O$2:$O$801,0),"")</f>
        <v/>
      </c>
    </row>
    <row r="497">
      <c r="A497">
        <f>IF($N497="","",IF(INDEX('Per Invoice'!$A$2:$A$801,$N497)="","",INDEX('Per Invoice'!$A$2:$A$801,$N497)))</f>
        <v/>
      </c>
      <c r="B497">
        <f>IF($N497="","",IF(INDEX('Per Invoice'!$B$2:$B$801,$N497)="","",INDEX('Per Invoice'!$B$2:$B$801,$N497)))</f>
        <v/>
      </c>
      <c r="C497">
        <f>IF($N497="","",IF(INDEX('Per Invoice'!$C$2:$C$801,$N497)="","",INDEX('Per Invoice'!$C$2:$C$801,$N497)))</f>
        <v/>
      </c>
      <c r="D497">
        <f>IF($N497="","",IF(INDEX('Per Invoice'!$D$2:$D$801,$N497)="","",INDEX('Per Invoice'!$D$2:$D$801,$N497)))</f>
        <v/>
      </c>
      <c r="E497">
        <f>IF($N497="","",IF(INDEX('Per Invoice'!$E$2:$E$801,$N497)="","",INDEX('Per Invoice'!$E$2:$E$801,$N497)))</f>
        <v/>
      </c>
      <c r="F497">
        <f>IF($N497="","",IF(INDEX('Per Invoice'!$F$2:$F$801,$N497)="","",INDEX('Per Invoice'!$F$2:$F$801,$N497)))</f>
        <v/>
      </c>
      <c r="G497">
        <f>IF($N497="","",IF(INDEX('Per Invoice'!$G$2:$G$801,$N497)="","",INDEX('Per Invoice'!$G$2:$G$801,$N497)))</f>
        <v/>
      </c>
      <c r="H497">
        <f>IF($N497="","",IF(INDEX('Per Invoice'!$H$2:$H$801,$N497)="","",INDEX('Per Invoice'!$H$2:$H$801,$N497)))</f>
        <v/>
      </c>
      <c r="I497" s="5">
        <f>IF($N497="","",IF(INDEX('Per Invoice'!$I$2:$I$801,$N497)="","",INDEX('Per Invoice'!$I$2:$I$801,$N497)))</f>
        <v/>
      </c>
      <c r="J497" s="5">
        <f>IF($N497="","",IF(INDEX('Per Invoice'!$J$2:$J$801,$N497)="","",INDEX('Per Invoice'!$J$2:$J$801,$N497)))</f>
        <v/>
      </c>
      <c r="K497" s="5">
        <f>IF($N497="","",IF(INDEX('Per Invoice'!$K$2:$K$801,$N497)="","",INDEX('Per Invoice'!$K$2:$K$801,$N497)))</f>
        <v/>
      </c>
      <c r="L497" s="5">
        <f>IF($N497="","",IF(INDEX('Per Invoice'!$L$2:$L$801,$N497)="","",INDEX('Per Invoice'!$L$2:$L$801,$N497)))</f>
        <v/>
      </c>
      <c r="M497" s="5">
        <f>IF($N497="","",IF(INDEX('Per Invoice'!$M$2:$M$801,$N497)="","",INDEX('Per Invoice'!$M$2:$M$801,$N497)))</f>
        <v/>
      </c>
      <c r="N497">
        <f>IF(ROWS($N$2:$N497)&lt;=COUNT('Per Invoice'!$O$2:$O$801),MATCH(ROWS($N$2:$N497),'Per Invoice'!$O$2:$O$801,0),"")</f>
        <v/>
      </c>
    </row>
    <row r="498">
      <c r="A498">
        <f>IF($N498="","",IF(INDEX('Per Invoice'!$A$2:$A$801,$N498)="","",INDEX('Per Invoice'!$A$2:$A$801,$N498)))</f>
        <v/>
      </c>
      <c r="B498">
        <f>IF($N498="","",IF(INDEX('Per Invoice'!$B$2:$B$801,$N498)="","",INDEX('Per Invoice'!$B$2:$B$801,$N498)))</f>
        <v/>
      </c>
      <c r="C498">
        <f>IF($N498="","",IF(INDEX('Per Invoice'!$C$2:$C$801,$N498)="","",INDEX('Per Invoice'!$C$2:$C$801,$N498)))</f>
        <v/>
      </c>
      <c r="D498">
        <f>IF($N498="","",IF(INDEX('Per Invoice'!$D$2:$D$801,$N498)="","",INDEX('Per Invoice'!$D$2:$D$801,$N498)))</f>
        <v/>
      </c>
      <c r="E498">
        <f>IF($N498="","",IF(INDEX('Per Invoice'!$E$2:$E$801,$N498)="","",INDEX('Per Invoice'!$E$2:$E$801,$N498)))</f>
        <v/>
      </c>
      <c r="F498">
        <f>IF($N498="","",IF(INDEX('Per Invoice'!$F$2:$F$801,$N498)="","",INDEX('Per Invoice'!$F$2:$F$801,$N498)))</f>
        <v/>
      </c>
      <c r="G498">
        <f>IF($N498="","",IF(INDEX('Per Invoice'!$G$2:$G$801,$N498)="","",INDEX('Per Invoice'!$G$2:$G$801,$N498)))</f>
        <v/>
      </c>
      <c r="H498">
        <f>IF($N498="","",IF(INDEX('Per Invoice'!$H$2:$H$801,$N498)="","",INDEX('Per Invoice'!$H$2:$H$801,$N498)))</f>
        <v/>
      </c>
      <c r="I498" s="5">
        <f>IF($N498="","",IF(INDEX('Per Invoice'!$I$2:$I$801,$N498)="","",INDEX('Per Invoice'!$I$2:$I$801,$N498)))</f>
        <v/>
      </c>
      <c r="J498" s="5">
        <f>IF($N498="","",IF(INDEX('Per Invoice'!$J$2:$J$801,$N498)="","",INDEX('Per Invoice'!$J$2:$J$801,$N498)))</f>
        <v/>
      </c>
      <c r="K498" s="5">
        <f>IF($N498="","",IF(INDEX('Per Invoice'!$K$2:$K$801,$N498)="","",INDEX('Per Invoice'!$K$2:$K$801,$N498)))</f>
        <v/>
      </c>
      <c r="L498" s="5">
        <f>IF($N498="","",IF(INDEX('Per Invoice'!$L$2:$L$801,$N498)="","",INDEX('Per Invoice'!$L$2:$L$801,$N498)))</f>
        <v/>
      </c>
      <c r="M498" s="5">
        <f>IF($N498="","",IF(INDEX('Per Invoice'!$M$2:$M$801,$N498)="","",INDEX('Per Invoice'!$M$2:$M$801,$N498)))</f>
        <v/>
      </c>
      <c r="N498">
        <f>IF(ROWS($N$2:$N498)&lt;=COUNT('Per Invoice'!$O$2:$O$801),MATCH(ROWS($N$2:$N498),'Per Invoice'!$O$2:$O$801,0),"")</f>
        <v/>
      </c>
    </row>
    <row r="499">
      <c r="A499">
        <f>IF($N499="","",IF(INDEX('Per Invoice'!$A$2:$A$801,$N499)="","",INDEX('Per Invoice'!$A$2:$A$801,$N499)))</f>
        <v/>
      </c>
      <c r="B499">
        <f>IF($N499="","",IF(INDEX('Per Invoice'!$B$2:$B$801,$N499)="","",INDEX('Per Invoice'!$B$2:$B$801,$N499)))</f>
        <v/>
      </c>
      <c r="C499">
        <f>IF($N499="","",IF(INDEX('Per Invoice'!$C$2:$C$801,$N499)="","",INDEX('Per Invoice'!$C$2:$C$801,$N499)))</f>
        <v/>
      </c>
      <c r="D499">
        <f>IF($N499="","",IF(INDEX('Per Invoice'!$D$2:$D$801,$N499)="","",INDEX('Per Invoice'!$D$2:$D$801,$N499)))</f>
        <v/>
      </c>
      <c r="E499">
        <f>IF($N499="","",IF(INDEX('Per Invoice'!$E$2:$E$801,$N499)="","",INDEX('Per Invoice'!$E$2:$E$801,$N499)))</f>
        <v/>
      </c>
      <c r="F499">
        <f>IF($N499="","",IF(INDEX('Per Invoice'!$F$2:$F$801,$N499)="","",INDEX('Per Invoice'!$F$2:$F$801,$N499)))</f>
        <v/>
      </c>
      <c r="G499">
        <f>IF($N499="","",IF(INDEX('Per Invoice'!$G$2:$G$801,$N499)="","",INDEX('Per Invoice'!$G$2:$G$801,$N499)))</f>
        <v/>
      </c>
      <c r="H499">
        <f>IF($N499="","",IF(INDEX('Per Invoice'!$H$2:$H$801,$N499)="","",INDEX('Per Invoice'!$H$2:$H$801,$N499)))</f>
        <v/>
      </c>
      <c r="I499" s="5">
        <f>IF($N499="","",IF(INDEX('Per Invoice'!$I$2:$I$801,$N499)="","",INDEX('Per Invoice'!$I$2:$I$801,$N499)))</f>
        <v/>
      </c>
      <c r="J499" s="5">
        <f>IF($N499="","",IF(INDEX('Per Invoice'!$J$2:$J$801,$N499)="","",INDEX('Per Invoice'!$J$2:$J$801,$N499)))</f>
        <v/>
      </c>
      <c r="K499" s="5">
        <f>IF($N499="","",IF(INDEX('Per Invoice'!$K$2:$K$801,$N499)="","",INDEX('Per Invoice'!$K$2:$K$801,$N499)))</f>
        <v/>
      </c>
      <c r="L499" s="5">
        <f>IF($N499="","",IF(INDEX('Per Invoice'!$L$2:$L$801,$N499)="","",INDEX('Per Invoice'!$L$2:$L$801,$N499)))</f>
        <v/>
      </c>
      <c r="M499" s="5">
        <f>IF($N499="","",IF(INDEX('Per Invoice'!$M$2:$M$801,$N499)="","",INDEX('Per Invoice'!$M$2:$M$801,$N499)))</f>
        <v/>
      </c>
      <c r="N499">
        <f>IF(ROWS($N$2:$N499)&lt;=COUNT('Per Invoice'!$O$2:$O$801),MATCH(ROWS($N$2:$N499),'Per Invoice'!$O$2:$O$801,0),"")</f>
        <v/>
      </c>
    </row>
    <row r="500">
      <c r="A500">
        <f>IF($N500="","",IF(INDEX('Per Invoice'!$A$2:$A$801,$N500)="","",INDEX('Per Invoice'!$A$2:$A$801,$N500)))</f>
        <v/>
      </c>
      <c r="B500">
        <f>IF($N500="","",IF(INDEX('Per Invoice'!$B$2:$B$801,$N500)="","",INDEX('Per Invoice'!$B$2:$B$801,$N500)))</f>
        <v/>
      </c>
      <c r="C500">
        <f>IF($N500="","",IF(INDEX('Per Invoice'!$C$2:$C$801,$N500)="","",INDEX('Per Invoice'!$C$2:$C$801,$N500)))</f>
        <v/>
      </c>
      <c r="D500">
        <f>IF($N500="","",IF(INDEX('Per Invoice'!$D$2:$D$801,$N500)="","",INDEX('Per Invoice'!$D$2:$D$801,$N500)))</f>
        <v/>
      </c>
      <c r="E500">
        <f>IF($N500="","",IF(INDEX('Per Invoice'!$E$2:$E$801,$N500)="","",INDEX('Per Invoice'!$E$2:$E$801,$N500)))</f>
        <v/>
      </c>
      <c r="F500">
        <f>IF($N500="","",IF(INDEX('Per Invoice'!$F$2:$F$801,$N500)="","",INDEX('Per Invoice'!$F$2:$F$801,$N500)))</f>
        <v/>
      </c>
      <c r="G500">
        <f>IF($N500="","",IF(INDEX('Per Invoice'!$G$2:$G$801,$N500)="","",INDEX('Per Invoice'!$G$2:$G$801,$N500)))</f>
        <v/>
      </c>
      <c r="H500">
        <f>IF($N500="","",IF(INDEX('Per Invoice'!$H$2:$H$801,$N500)="","",INDEX('Per Invoice'!$H$2:$H$801,$N500)))</f>
        <v/>
      </c>
      <c r="I500" s="5">
        <f>IF($N500="","",IF(INDEX('Per Invoice'!$I$2:$I$801,$N500)="","",INDEX('Per Invoice'!$I$2:$I$801,$N500)))</f>
        <v/>
      </c>
      <c r="J500" s="5">
        <f>IF($N500="","",IF(INDEX('Per Invoice'!$J$2:$J$801,$N500)="","",INDEX('Per Invoice'!$J$2:$J$801,$N500)))</f>
        <v/>
      </c>
      <c r="K500" s="5">
        <f>IF($N500="","",IF(INDEX('Per Invoice'!$K$2:$K$801,$N500)="","",INDEX('Per Invoice'!$K$2:$K$801,$N500)))</f>
        <v/>
      </c>
      <c r="L500" s="5">
        <f>IF($N500="","",IF(INDEX('Per Invoice'!$L$2:$L$801,$N500)="","",INDEX('Per Invoice'!$L$2:$L$801,$N500)))</f>
        <v/>
      </c>
      <c r="M500" s="5">
        <f>IF($N500="","",IF(INDEX('Per Invoice'!$M$2:$M$801,$N500)="","",INDEX('Per Invoice'!$M$2:$M$801,$N500)))</f>
        <v/>
      </c>
      <c r="N500">
        <f>IF(ROWS($N$2:$N500)&lt;=COUNT('Per Invoice'!$O$2:$O$801),MATCH(ROWS($N$2:$N500),'Per Invoice'!$O$2:$O$801,0),"")</f>
        <v/>
      </c>
    </row>
    <row r="501">
      <c r="A501">
        <f>IF($N501="","",IF(INDEX('Per Invoice'!$A$2:$A$801,$N501)="","",INDEX('Per Invoice'!$A$2:$A$801,$N501)))</f>
        <v/>
      </c>
      <c r="B501">
        <f>IF($N501="","",IF(INDEX('Per Invoice'!$B$2:$B$801,$N501)="","",INDEX('Per Invoice'!$B$2:$B$801,$N501)))</f>
        <v/>
      </c>
      <c r="C501">
        <f>IF($N501="","",IF(INDEX('Per Invoice'!$C$2:$C$801,$N501)="","",INDEX('Per Invoice'!$C$2:$C$801,$N501)))</f>
        <v/>
      </c>
      <c r="D501">
        <f>IF($N501="","",IF(INDEX('Per Invoice'!$D$2:$D$801,$N501)="","",INDEX('Per Invoice'!$D$2:$D$801,$N501)))</f>
        <v/>
      </c>
      <c r="E501">
        <f>IF($N501="","",IF(INDEX('Per Invoice'!$E$2:$E$801,$N501)="","",INDEX('Per Invoice'!$E$2:$E$801,$N501)))</f>
        <v/>
      </c>
      <c r="F501">
        <f>IF($N501="","",IF(INDEX('Per Invoice'!$F$2:$F$801,$N501)="","",INDEX('Per Invoice'!$F$2:$F$801,$N501)))</f>
        <v/>
      </c>
      <c r="G501">
        <f>IF($N501="","",IF(INDEX('Per Invoice'!$G$2:$G$801,$N501)="","",INDEX('Per Invoice'!$G$2:$G$801,$N501)))</f>
        <v/>
      </c>
      <c r="H501">
        <f>IF($N501="","",IF(INDEX('Per Invoice'!$H$2:$H$801,$N501)="","",INDEX('Per Invoice'!$H$2:$H$801,$N501)))</f>
        <v/>
      </c>
      <c r="I501" s="5">
        <f>IF($N501="","",IF(INDEX('Per Invoice'!$I$2:$I$801,$N501)="","",INDEX('Per Invoice'!$I$2:$I$801,$N501)))</f>
        <v/>
      </c>
      <c r="J501" s="5">
        <f>IF($N501="","",IF(INDEX('Per Invoice'!$J$2:$J$801,$N501)="","",INDEX('Per Invoice'!$J$2:$J$801,$N501)))</f>
        <v/>
      </c>
      <c r="K501" s="5">
        <f>IF($N501="","",IF(INDEX('Per Invoice'!$K$2:$K$801,$N501)="","",INDEX('Per Invoice'!$K$2:$K$801,$N501)))</f>
        <v/>
      </c>
      <c r="L501" s="5">
        <f>IF($N501="","",IF(INDEX('Per Invoice'!$L$2:$L$801,$N501)="","",INDEX('Per Invoice'!$L$2:$L$801,$N501)))</f>
        <v/>
      </c>
      <c r="M501" s="5">
        <f>IF($N501="","",IF(INDEX('Per Invoice'!$M$2:$M$801,$N501)="","",INDEX('Per Invoice'!$M$2:$M$801,$N501)))</f>
        <v/>
      </c>
      <c r="N501">
        <f>IF(ROWS($N$2:$N501)&lt;=COUNT('Per Invoice'!$O$2:$O$801),MATCH(ROWS($N$2:$N501),'Per Invoice'!$O$2:$O$801,0),"")</f>
        <v/>
      </c>
    </row>
    <row r="502">
      <c r="A502">
        <f>IF($N502="","",IF(INDEX('Per Invoice'!$A$2:$A$801,$N502)="","",INDEX('Per Invoice'!$A$2:$A$801,$N502)))</f>
        <v/>
      </c>
      <c r="B502">
        <f>IF($N502="","",IF(INDEX('Per Invoice'!$B$2:$B$801,$N502)="","",INDEX('Per Invoice'!$B$2:$B$801,$N502)))</f>
        <v/>
      </c>
      <c r="C502">
        <f>IF($N502="","",IF(INDEX('Per Invoice'!$C$2:$C$801,$N502)="","",INDEX('Per Invoice'!$C$2:$C$801,$N502)))</f>
        <v/>
      </c>
      <c r="D502">
        <f>IF($N502="","",IF(INDEX('Per Invoice'!$D$2:$D$801,$N502)="","",INDEX('Per Invoice'!$D$2:$D$801,$N502)))</f>
        <v/>
      </c>
      <c r="E502">
        <f>IF($N502="","",IF(INDEX('Per Invoice'!$E$2:$E$801,$N502)="","",INDEX('Per Invoice'!$E$2:$E$801,$N502)))</f>
        <v/>
      </c>
      <c r="F502">
        <f>IF($N502="","",IF(INDEX('Per Invoice'!$F$2:$F$801,$N502)="","",INDEX('Per Invoice'!$F$2:$F$801,$N502)))</f>
        <v/>
      </c>
      <c r="G502">
        <f>IF($N502="","",IF(INDEX('Per Invoice'!$G$2:$G$801,$N502)="","",INDEX('Per Invoice'!$G$2:$G$801,$N502)))</f>
        <v/>
      </c>
      <c r="H502">
        <f>IF($N502="","",IF(INDEX('Per Invoice'!$H$2:$H$801,$N502)="","",INDEX('Per Invoice'!$H$2:$H$801,$N502)))</f>
        <v/>
      </c>
      <c r="I502" s="5">
        <f>IF($N502="","",IF(INDEX('Per Invoice'!$I$2:$I$801,$N502)="","",INDEX('Per Invoice'!$I$2:$I$801,$N502)))</f>
        <v/>
      </c>
      <c r="J502" s="5">
        <f>IF($N502="","",IF(INDEX('Per Invoice'!$J$2:$J$801,$N502)="","",INDEX('Per Invoice'!$J$2:$J$801,$N502)))</f>
        <v/>
      </c>
      <c r="K502" s="5">
        <f>IF($N502="","",IF(INDEX('Per Invoice'!$K$2:$K$801,$N502)="","",INDEX('Per Invoice'!$K$2:$K$801,$N502)))</f>
        <v/>
      </c>
      <c r="L502" s="5">
        <f>IF($N502="","",IF(INDEX('Per Invoice'!$L$2:$L$801,$N502)="","",INDEX('Per Invoice'!$L$2:$L$801,$N502)))</f>
        <v/>
      </c>
      <c r="M502" s="5">
        <f>IF($N502="","",IF(INDEX('Per Invoice'!$M$2:$M$801,$N502)="","",INDEX('Per Invoice'!$M$2:$M$801,$N502)))</f>
        <v/>
      </c>
      <c r="N502">
        <f>IF(ROWS($N$2:$N502)&lt;=COUNT('Per Invoice'!$O$2:$O$801),MATCH(ROWS($N$2:$N502),'Per Invoice'!$O$2:$O$801,0),"")</f>
        <v/>
      </c>
    </row>
    <row r="503">
      <c r="A503">
        <f>IF($N503="","",IF(INDEX('Per Invoice'!$A$2:$A$801,$N503)="","",INDEX('Per Invoice'!$A$2:$A$801,$N503)))</f>
        <v/>
      </c>
      <c r="B503">
        <f>IF($N503="","",IF(INDEX('Per Invoice'!$B$2:$B$801,$N503)="","",INDEX('Per Invoice'!$B$2:$B$801,$N503)))</f>
        <v/>
      </c>
      <c r="C503">
        <f>IF($N503="","",IF(INDEX('Per Invoice'!$C$2:$C$801,$N503)="","",INDEX('Per Invoice'!$C$2:$C$801,$N503)))</f>
        <v/>
      </c>
      <c r="D503">
        <f>IF($N503="","",IF(INDEX('Per Invoice'!$D$2:$D$801,$N503)="","",INDEX('Per Invoice'!$D$2:$D$801,$N503)))</f>
        <v/>
      </c>
      <c r="E503">
        <f>IF($N503="","",IF(INDEX('Per Invoice'!$E$2:$E$801,$N503)="","",INDEX('Per Invoice'!$E$2:$E$801,$N503)))</f>
        <v/>
      </c>
      <c r="F503">
        <f>IF($N503="","",IF(INDEX('Per Invoice'!$F$2:$F$801,$N503)="","",INDEX('Per Invoice'!$F$2:$F$801,$N503)))</f>
        <v/>
      </c>
      <c r="G503">
        <f>IF($N503="","",IF(INDEX('Per Invoice'!$G$2:$G$801,$N503)="","",INDEX('Per Invoice'!$G$2:$G$801,$N503)))</f>
        <v/>
      </c>
      <c r="H503">
        <f>IF($N503="","",IF(INDEX('Per Invoice'!$H$2:$H$801,$N503)="","",INDEX('Per Invoice'!$H$2:$H$801,$N503)))</f>
        <v/>
      </c>
      <c r="I503" s="5">
        <f>IF($N503="","",IF(INDEX('Per Invoice'!$I$2:$I$801,$N503)="","",INDEX('Per Invoice'!$I$2:$I$801,$N503)))</f>
        <v/>
      </c>
      <c r="J503" s="5">
        <f>IF($N503="","",IF(INDEX('Per Invoice'!$J$2:$J$801,$N503)="","",INDEX('Per Invoice'!$J$2:$J$801,$N503)))</f>
        <v/>
      </c>
      <c r="K503" s="5">
        <f>IF($N503="","",IF(INDEX('Per Invoice'!$K$2:$K$801,$N503)="","",INDEX('Per Invoice'!$K$2:$K$801,$N503)))</f>
        <v/>
      </c>
      <c r="L503" s="5">
        <f>IF($N503="","",IF(INDEX('Per Invoice'!$L$2:$L$801,$N503)="","",INDEX('Per Invoice'!$L$2:$L$801,$N503)))</f>
        <v/>
      </c>
      <c r="M503" s="5">
        <f>IF($N503="","",IF(INDEX('Per Invoice'!$M$2:$M$801,$N503)="","",INDEX('Per Invoice'!$M$2:$M$801,$N503)))</f>
        <v/>
      </c>
      <c r="N503">
        <f>IF(ROWS($N$2:$N503)&lt;=COUNT('Per Invoice'!$O$2:$O$801),MATCH(ROWS($N$2:$N503),'Per Invoice'!$O$2:$O$801,0),"")</f>
        <v/>
      </c>
    </row>
    <row r="504">
      <c r="A504">
        <f>IF($N504="","",IF(INDEX('Per Invoice'!$A$2:$A$801,$N504)="","",INDEX('Per Invoice'!$A$2:$A$801,$N504)))</f>
        <v/>
      </c>
      <c r="B504">
        <f>IF($N504="","",IF(INDEX('Per Invoice'!$B$2:$B$801,$N504)="","",INDEX('Per Invoice'!$B$2:$B$801,$N504)))</f>
        <v/>
      </c>
      <c r="C504">
        <f>IF($N504="","",IF(INDEX('Per Invoice'!$C$2:$C$801,$N504)="","",INDEX('Per Invoice'!$C$2:$C$801,$N504)))</f>
        <v/>
      </c>
      <c r="D504">
        <f>IF($N504="","",IF(INDEX('Per Invoice'!$D$2:$D$801,$N504)="","",INDEX('Per Invoice'!$D$2:$D$801,$N504)))</f>
        <v/>
      </c>
      <c r="E504">
        <f>IF($N504="","",IF(INDEX('Per Invoice'!$E$2:$E$801,$N504)="","",INDEX('Per Invoice'!$E$2:$E$801,$N504)))</f>
        <v/>
      </c>
      <c r="F504">
        <f>IF($N504="","",IF(INDEX('Per Invoice'!$F$2:$F$801,$N504)="","",INDEX('Per Invoice'!$F$2:$F$801,$N504)))</f>
        <v/>
      </c>
      <c r="G504">
        <f>IF($N504="","",IF(INDEX('Per Invoice'!$G$2:$G$801,$N504)="","",INDEX('Per Invoice'!$G$2:$G$801,$N504)))</f>
        <v/>
      </c>
      <c r="H504">
        <f>IF($N504="","",IF(INDEX('Per Invoice'!$H$2:$H$801,$N504)="","",INDEX('Per Invoice'!$H$2:$H$801,$N504)))</f>
        <v/>
      </c>
      <c r="I504" s="5">
        <f>IF($N504="","",IF(INDEX('Per Invoice'!$I$2:$I$801,$N504)="","",INDEX('Per Invoice'!$I$2:$I$801,$N504)))</f>
        <v/>
      </c>
      <c r="J504" s="5">
        <f>IF($N504="","",IF(INDEX('Per Invoice'!$J$2:$J$801,$N504)="","",INDEX('Per Invoice'!$J$2:$J$801,$N504)))</f>
        <v/>
      </c>
      <c r="K504" s="5">
        <f>IF($N504="","",IF(INDEX('Per Invoice'!$K$2:$K$801,$N504)="","",INDEX('Per Invoice'!$K$2:$K$801,$N504)))</f>
        <v/>
      </c>
      <c r="L504" s="5">
        <f>IF($N504="","",IF(INDEX('Per Invoice'!$L$2:$L$801,$N504)="","",INDEX('Per Invoice'!$L$2:$L$801,$N504)))</f>
        <v/>
      </c>
      <c r="M504" s="5">
        <f>IF($N504="","",IF(INDEX('Per Invoice'!$M$2:$M$801,$N504)="","",INDEX('Per Invoice'!$M$2:$M$801,$N504)))</f>
        <v/>
      </c>
      <c r="N504">
        <f>IF(ROWS($N$2:$N504)&lt;=COUNT('Per Invoice'!$O$2:$O$801),MATCH(ROWS($N$2:$N504),'Per Invoice'!$O$2:$O$801,0),"")</f>
        <v/>
      </c>
    </row>
    <row r="505">
      <c r="A505">
        <f>IF($N505="","",IF(INDEX('Per Invoice'!$A$2:$A$801,$N505)="","",INDEX('Per Invoice'!$A$2:$A$801,$N505)))</f>
        <v/>
      </c>
      <c r="B505">
        <f>IF($N505="","",IF(INDEX('Per Invoice'!$B$2:$B$801,$N505)="","",INDEX('Per Invoice'!$B$2:$B$801,$N505)))</f>
        <v/>
      </c>
      <c r="C505">
        <f>IF($N505="","",IF(INDEX('Per Invoice'!$C$2:$C$801,$N505)="","",INDEX('Per Invoice'!$C$2:$C$801,$N505)))</f>
        <v/>
      </c>
      <c r="D505">
        <f>IF($N505="","",IF(INDEX('Per Invoice'!$D$2:$D$801,$N505)="","",INDEX('Per Invoice'!$D$2:$D$801,$N505)))</f>
        <v/>
      </c>
      <c r="E505">
        <f>IF($N505="","",IF(INDEX('Per Invoice'!$E$2:$E$801,$N505)="","",INDEX('Per Invoice'!$E$2:$E$801,$N505)))</f>
        <v/>
      </c>
      <c r="F505">
        <f>IF($N505="","",IF(INDEX('Per Invoice'!$F$2:$F$801,$N505)="","",INDEX('Per Invoice'!$F$2:$F$801,$N505)))</f>
        <v/>
      </c>
      <c r="G505">
        <f>IF($N505="","",IF(INDEX('Per Invoice'!$G$2:$G$801,$N505)="","",INDEX('Per Invoice'!$G$2:$G$801,$N505)))</f>
        <v/>
      </c>
      <c r="H505">
        <f>IF($N505="","",IF(INDEX('Per Invoice'!$H$2:$H$801,$N505)="","",INDEX('Per Invoice'!$H$2:$H$801,$N505)))</f>
        <v/>
      </c>
      <c r="I505" s="5">
        <f>IF($N505="","",IF(INDEX('Per Invoice'!$I$2:$I$801,$N505)="","",INDEX('Per Invoice'!$I$2:$I$801,$N505)))</f>
        <v/>
      </c>
      <c r="J505" s="5">
        <f>IF($N505="","",IF(INDEX('Per Invoice'!$J$2:$J$801,$N505)="","",INDEX('Per Invoice'!$J$2:$J$801,$N505)))</f>
        <v/>
      </c>
      <c r="K505" s="5">
        <f>IF($N505="","",IF(INDEX('Per Invoice'!$K$2:$K$801,$N505)="","",INDEX('Per Invoice'!$K$2:$K$801,$N505)))</f>
        <v/>
      </c>
      <c r="L505" s="5">
        <f>IF($N505="","",IF(INDEX('Per Invoice'!$L$2:$L$801,$N505)="","",INDEX('Per Invoice'!$L$2:$L$801,$N505)))</f>
        <v/>
      </c>
      <c r="M505" s="5">
        <f>IF($N505="","",IF(INDEX('Per Invoice'!$M$2:$M$801,$N505)="","",INDEX('Per Invoice'!$M$2:$M$801,$N505)))</f>
        <v/>
      </c>
      <c r="N505">
        <f>IF(ROWS($N$2:$N505)&lt;=COUNT('Per Invoice'!$O$2:$O$801),MATCH(ROWS($N$2:$N505),'Per Invoice'!$O$2:$O$801,0),"")</f>
        <v/>
      </c>
    </row>
    <row r="506">
      <c r="A506">
        <f>IF($N506="","",IF(INDEX('Per Invoice'!$A$2:$A$801,$N506)="","",INDEX('Per Invoice'!$A$2:$A$801,$N506)))</f>
        <v/>
      </c>
      <c r="B506">
        <f>IF($N506="","",IF(INDEX('Per Invoice'!$B$2:$B$801,$N506)="","",INDEX('Per Invoice'!$B$2:$B$801,$N506)))</f>
        <v/>
      </c>
      <c r="C506">
        <f>IF($N506="","",IF(INDEX('Per Invoice'!$C$2:$C$801,$N506)="","",INDEX('Per Invoice'!$C$2:$C$801,$N506)))</f>
        <v/>
      </c>
      <c r="D506">
        <f>IF($N506="","",IF(INDEX('Per Invoice'!$D$2:$D$801,$N506)="","",INDEX('Per Invoice'!$D$2:$D$801,$N506)))</f>
        <v/>
      </c>
      <c r="E506">
        <f>IF($N506="","",IF(INDEX('Per Invoice'!$E$2:$E$801,$N506)="","",INDEX('Per Invoice'!$E$2:$E$801,$N506)))</f>
        <v/>
      </c>
      <c r="F506">
        <f>IF($N506="","",IF(INDEX('Per Invoice'!$F$2:$F$801,$N506)="","",INDEX('Per Invoice'!$F$2:$F$801,$N506)))</f>
        <v/>
      </c>
      <c r="G506">
        <f>IF($N506="","",IF(INDEX('Per Invoice'!$G$2:$G$801,$N506)="","",INDEX('Per Invoice'!$G$2:$G$801,$N506)))</f>
        <v/>
      </c>
      <c r="H506">
        <f>IF($N506="","",IF(INDEX('Per Invoice'!$H$2:$H$801,$N506)="","",INDEX('Per Invoice'!$H$2:$H$801,$N506)))</f>
        <v/>
      </c>
      <c r="I506" s="5">
        <f>IF($N506="","",IF(INDEX('Per Invoice'!$I$2:$I$801,$N506)="","",INDEX('Per Invoice'!$I$2:$I$801,$N506)))</f>
        <v/>
      </c>
      <c r="J506" s="5">
        <f>IF($N506="","",IF(INDEX('Per Invoice'!$J$2:$J$801,$N506)="","",INDEX('Per Invoice'!$J$2:$J$801,$N506)))</f>
        <v/>
      </c>
      <c r="K506" s="5">
        <f>IF($N506="","",IF(INDEX('Per Invoice'!$K$2:$K$801,$N506)="","",INDEX('Per Invoice'!$K$2:$K$801,$N506)))</f>
        <v/>
      </c>
      <c r="L506" s="5">
        <f>IF($N506="","",IF(INDEX('Per Invoice'!$L$2:$L$801,$N506)="","",INDEX('Per Invoice'!$L$2:$L$801,$N506)))</f>
        <v/>
      </c>
      <c r="M506" s="5">
        <f>IF($N506="","",IF(INDEX('Per Invoice'!$M$2:$M$801,$N506)="","",INDEX('Per Invoice'!$M$2:$M$801,$N506)))</f>
        <v/>
      </c>
      <c r="N506">
        <f>IF(ROWS($N$2:$N506)&lt;=COUNT('Per Invoice'!$O$2:$O$801),MATCH(ROWS($N$2:$N506),'Per Invoice'!$O$2:$O$801,0),"")</f>
        <v/>
      </c>
    </row>
    <row r="507">
      <c r="A507">
        <f>IF($N507="","",IF(INDEX('Per Invoice'!$A$2:$A$801,$N507)="","",INDEX('Per Invoice'!$A$2:$A$801,$N507)))</f>
        <v/>
      </c>
      <c r="B507">
        <f>IF($N507="","",IF(INDEX('Per Invoice'!$B$2:$B$801,$N507)="","",INDEX('Per Invoice'!$B$2:$B$801,$N507)))</f>
        <v/>
      </c>
      <c r="C507">
        <f>IF($N507="","",IF(INDEX('Per Invoice'!$C$2:$C$801,$N507)="","",INDEX('Per Invoice'!$C$2:$C$801,$N507)))</f>
        <v/>
      </c>
      <c r="D507">
        <f>IF($N507="","",IF(INDEX('Per Invoice'!$D$2:$D$801,$N507)="","",INDEX('Per Invoice'!$D$2:$D$801,$N507)))</f>
        <v/>
      </c>
      <c r="E507">
        <f>IF($N507="","",IF(INDEX('Per Invoice'!$E$2:$E$801,$N507)="","",INDEX('Per Invoice'!$E$2:$E$801,$N507)))</f>
        <v/>
      </c>
      <c r="F507">
        <f>IF($N507="","",IF(INDEX('Per Invoice'!$F$2:$F$801,$N507)="","",INDEX('Per Invoice'!$F$2:$F$801,$N507)))</f>
        <v/>
      </c>
      <c r="G507">
        <f>IF($N507="","",IF(INDEX('Per Invoice'!$G$2:$G$801,$N507)="","",INDEX('Per Invoice'!$G$2:$G$801,$N507)))</f>
        <v/>
      </c>
      <c r="H507">
        <f>IF($N507="","",IF(INDEX('Per Invoice'!$H$2:$H$801,$N507)="","",INDEX('Per Invoice'!$H$2:$H$801,$N507)))</f>
        <v/>
      </c>
      <c r="I507" s="5">
        <f>IF($N507="","",IF(INDEX('Per Invoice'!$I$2:$I$801,$N507)="","",INDEX('Per Invoice'!$I$2:$I$801,$N507)))</f>
        <v/>
      </c>
      <c r="J507" s="5">
        <f>IF($N507="","",IF(INDEX('Per Invoice'!$J$2:$J$801,$N507)="","",INDEX('Per Invoice'!$J$2:$J$801,$N507)))</f>
        <v/>
      </c>
      <c r="K507" s="5">
        <f>IF($N507="","",IF(INDEX('Per Invoice'!$K$2:$K$801,$N507)="","",INDEX('Per Invoice'!$K$2:$K$801,$N507)))</f>
        <v/>
      </c>
      <c r="L507" s="5">
        <f>IF($N507="","",IF(INDEX('Per Invoice'!$L$2:$L$801,$N507)="","",INDEX('Per Invoice'!$L$2:$L$801,$N507)))</f>
        <v/>
      </c>
      <c r="M507" s="5">
        <f>IF($N507="","",IF(INDEX('Per Invoice'!$M$2:$M$801,$N507)="","",INDEX('Per Invoice'!$M$2:$M$801,$N507)))</f>
        <v/>
      </c>
      <c r="N507">
        <f>IF(ROWS($N$2:$N507)&lt;=COUNT('Per Invoice'!$O$2:$O$801),MATCH(ROWS($N$2:$N507),'Per Invoice'!$O$2:$O$801,0),"")</f>
        <v/>
      </c>
    </row>
    <row r="508">
      <c r="A508">
        <f>IF($N508="","",IF(INDEX('Per Invoice'!$A$2:$A$801,$N508)="","",INDEX('Per Invoice'!$A$2:$A$801,$N508)))</f>
        <v/>
      </c>
      <c r="B508">
        <f>IF($N508="","",IF(INDEX('Per Invoice'!$B$2:$B$801,$N508)="","",INDEX('Per Invoice'!$B$2:$B$801,$N508)))</f>
        <v/>
      </c>
      <c r="C508">
        <f>IF($N508="","",IF(INDEX('Per Invoice'!$C$2:$C$801,$N508)="","",INDEX('Per Invoice'!$C$2:$C$801,$N508)))</f>
        <v/>
      </c>
      <c r="D508">
        <f>IF($N508="","",IF(INDEX('Per Invoice'!$D$2:$D$801,$N508)="","",INDEX('Per Invoice'!$D$2:$D$801,$N508)))</f>
        <v/>
      </c>
      <c r="E508">
        <f>IF($N508="","",IF(INDEX('Per Invoice'!$E$2:$E$801,$N508)="","",INDEX('Per Invoice'!$E$2:$E$801,$N508)))</f>
        <v/>
      </c>
      <c r="F508">
        <f>IF($N508="","",IF(INDEX('Per Invoice'!$F$2:$F$801,$N508)="","",INDEX('Per Invoice'!$F$2:$F$801,$N508)))</f>
        <v/>
      </c>
      <c r="G508">
        <f>IF($N508="","",IF(INDEX('Per Invoice'!$G$2:$G$801,$N508)="","",INDEX('Per Invoice'!$G$2:$G$801,$N508)))</f>
        <v/>
      </c>
      <c r="H508">
        <f>IF($N508="","",IF(INDEX('Per Invoice'!$H$2:$H$801,$N508)="","",INDEX('Per Invoice'!$H$2:$H$801,$N508)))</f>
        <v/>
      </c>
      <c r="I508" s="5">
        <f>IF($N508="","",IF(INDEX('Per Invoice'!$I$2:$I$801,$N508)="","",INDEX('Per Invoice'!$I$2:$I$801,$N508)))</f>
        <v/>
      </c>
      <c r="J508" s="5">
        <f>IF($N508="","",IF(INDEX('Per Invoice'!$J$2:$J$801,$N508)="","",INDEX('Per Invoice'!$J$2:$J$801,$N508)))</f>
        <v/>
      </c>
      <c r="K508" s="5">
        <f>IF($N508="","",IF(INDEX('Per Invoice'!$K$2:$K$801,$N508)="","",INDEX('Per Invoice'!$K$2:$K$801,$N508)))</f>
        <v/>
      </c>
      <c r="L508" s="5">
        <f>IF($N508="","",IF(INDEX('Per Invoice'!$L$2:$L$801,$N508)="","",INDEX('Per Invoice'!$L$2:$L$801,$N508)))</f>
        <v/>
      </c>
      <c r="M508" s="5">
        <f>IF($N508="","",IF(INDEX('Per Invoice'!$M$2:$M$801,$N508)="","",INDEX('Per Invoice'!$M$2:$M$801,$N508)))</f>
        <v/>
      </c>
      <c r="N508">
        <f>IF(ROWS($N$2:$N508)&lt;=COUNT('Per Invoice'!$O$2:$O$801),MATCH(ROWS($N$2:$N508),'Per Invoice'!$O$2:$O$801,0),"")</f>
        <v/>
      </c>
    </row>
    <row r="509">
      <c r="A509">
        <f>IF($N509="","",IF(INDEX('Per Invoice'!$A$2:$A$801,$N509)="","",INDEX('Per Invoice'!$A$2:$A$801,$N509)))</f>
        <v/>
      </c>
      <c r="B509">
        <f>IF($N509="","",IF(INDEX('Per Invoice'!$B$2:$B$801,$N509)="","",INDEX('Per Invoice'!$B$2:$B$801,$N509)))</f>
        <v/>
      </c>
      <c r="C509">
        <f>IF($N509="","",IF(INDEX('Per Invoice'!$C$2:$C$801,$N509)="","",INDEX('Per Invoice'!$C$2:$C$801,$N509)))</f>
        <v/>
      </c>
      <c r="D509">
        <f>IF($N509="","",IF(INDEX('Per Invoice'!$D$2:$D$801,$N509)="","",INDEX('Per Invoice'!$D$2:$D$801,$N509)))</f>
        <v/>
      </c>
      <c r="E509">
        <f>IF($N509="","",IF(INDEX('Per Invoice'!$E$2:$E$801,$N509)="","",INDEX('Per Invoice'!$E$2:$E$801,$N509)))</f>
        <v/>
      </c>
      <c r="F509">
        <f>IF($N509="","",IF(INDEX('Per Invoice'!$F$2:$F$801,$N509)="","",INDEX('Per Invoice'!$F$2:$F$801,$N509)))</f>
        <v/>
      </c>
      <c r="G509">
        <f>IF($N509="","",IF(INDEX('Per Invoice'!$G$2:$G$801,$N509)="","",INDEX('Per Invoice'!$G$2:$G$801,$N509)))</f>
        <v/>
      </c>
      <c r="H509">
        <f>IF($N509="","",IF(INDEX('Per Invoice'!$H$2:$H$801,$N509)="","",INDEX('Per Invoice'!$H$2:$H$801,$N509)))</f>
        <v/>
      </c>
      <c r="I509" s="5">
        <f>IF($N509="","",IF(INDEX('Per Invoice'!$I$2:$I$801,$N509)="","",INDEX('Per Invoice'!$I$2:$I$801,$N509)))</f>
        <v/>
      </c>
      <c r="J509" s="5">
        <f>IF($N509="","",IF(INDEX('Per Invoice'!$J$2:$J$801,$N509)="","",INDEX('Per Invoice'!$J$2:$J$801,$N509)))</f>
        <v/>
      </c>
      <c r="K509" s="5">
        <f>IF($N509="","",IF(INDEX('Per Invoice'!$K$2:$K$801,$N509)="","",INDEX('Per Invoice'!$K$2:$K$801,$N509)))</f>
        <v/>
      </c>
      <c r="L509" s="5">
        <f>IF($N509="","",IF(INDEX('Per Invoice'!$L$2:$L$801,$N509)="","",INDEX('Per Invoice'!$L$2:$L$801,$N509)))</f>
        <v/>
      </c>
      <c r="M509" s="5">
        <f>IF($N509="","",IF(INDEX('Per Invoice'!$M$2:$M$801,$N509)="","",INDEX('Per Invoice'!$M$2:$M$801,$N509)))</f>
        <v/>
      </c>
      <c r="N509">
        <f>IF(ROWS($N$2:$N509)&lt;=COUNT('Per Invoice'!$O$2:$O$801),MATCH(ROWS($N$2:$N509),'Per Invoice'!$O$2:$O$801,0),"")</f>
        <v/>
      </c>
    </row>
    <row r="510">
      <c r="A510">
        <f>IF($N510="","",IF(INDEX('Per Invoice'!$A$2:$A$801,$N510)="","",INDEX('Per Invoice'!$A$2:$A$801,$N510)))</f>
        <v/>
      </c>
      <c r="B510">
        <f>IF($N510="","",IF(INDEX('Per Invoice'!$B$2:$B$801,$N510)="","",INDEX('Per Invoice'!$B$2:$B$801,$N510)))</f>
        <v/>
      </c>
      <c r="C510">
        <f>IF($N510="","",IF(INDEX('Per Invoice'!$C$2:$C$801,$N510)="","",INDEX('Per Invoice'!$C$2:$C$801,$N510)))</f>
        <v/>
      </c>
      <c r="D510">
        <f>IF($N510="","",IF(INDEX('Per Invoice'!$D$2:$D$801,$N510)="","",INDEX('Per Invoice'!$D$2:$D$801,$N510)))</f>
        <v/>
      </c>
      <c r="E510">
        <f>IF($N510="","",IF(INDEX('Per Invoice'!$E$2:$E$801,$N510)="","",INDEX('Per Invoice'!$E$2:$E$801,$N510)))</f>
        <v/>
      </c>
      <c r="F510">
        <f>IF($N510="","",IF(INDEX('Per Invoice'!$F$2:$F$801,$N510)="","",INDEX('Per Invoice'!$F$2:$F$801,$N510)))</f>
        <v/>
      </c>
      <c r="G510">
        <f>IF($N510="","",IF(INDEX('Per Invoice'!$G$2:$G$801,$N510)="","",INDEX('Per Invoice'!$G$2:$G$801,$N510)))</f>
        <v/>
      </c>
      <c r="H510">
        <f>IF($N510="","",IF(INDEX('Per Invoice'!$H$2:$H$801,$N510)="","",INDEX('Per Invoice'!$H$2:$H$801,$N510)))</f>
        <v/>
      </c>
      <c r="I510" s="5">
        <f>IF($N510="","",IF(INDEX('Per Invoice'!$I$2:$I$801,$N510)="","",INDEX('Per Invoice'!$I$2:$I$801,$N510)))</f>
        <v/>
      </c>
      <c r="J510" s="5">
        <f>IF($N510="","",IF(INDEX('Per Invoice'!$J$2:$J$801,$N510)="","",INDEX('Per Invoice'!$J$2:$J$801,$N510)))</f>
        <v/>
      </c>
      <c r="K510" s="5">
        <f>IF($N510="","",IF(INDEX('Per Invoice'!$K$2:$K$801,$N510)="","",INDEX('Per Invoice'!$K$2:$K$801,$N510)))</f>
        <v/>
      </c>
      <c r="L510" s="5">
        <f>IF($N510="","",IF(INDEX('Per Invoice'!$L$2:$L$801,$N510)="","",INDEX('Per Invoice'!$L$2:$L$801,$N510)))</f>
        <v/>
      </c>
      <c r="M510" s="5">
        <f>IF($N510="","",IF(INDEX('Per Invoice'!$M$2:$M$801,$N510)="","",INDEX('Per Invoice'!$M$2:$M$801,$N510)))</f>
        <v/>
      </c>
      <c r="N510">
        <f>IF(ROWS($N$2:$N510)&lt;=COUNT('Per Invoice'!$O$2:$O$801),MATCH(ROWS($N$2:$N510),'Per Invoice'!$O$2:$O$801,0),"")</f>
        <v/>
      </c>
    </row>
    <row r="511">
      <c r="A511">
        <f>IF($N511="","",IF(INDEX('Per Invoice'!$A$2:$A$801,$N511)="","",INDEX('Per Invoice'!$A$2:$A$801,$N511)))</f>
        <v/>
      </c>
      <c r="B511">
        <f>IF($N511="","",IF(INDEX('Per Invoice'!$B$2:$B$801,$N511)="","",INDEX('Per Invoice'!$B$2:$B$801,$N511)))</f>
        <v/>
      </c>
      <c r="C511">
        <f>IF($N511="","",IF(INDEX('Per Invoice'!$C$2:$C$801,$N511)="","",INDEX('Per Invoice'!$C$2:$C$801,$N511)))</f>
        <v/>
      </c>
      <c r="D511">
        <f>IF($N511="","",IF(INDEX('Per Invoice'!$D$2:$D$801,$N511)="","",INDEX('Per Invoice'!$D$2:$D$801,$N511)))</f>
        <v/>
      </c>
      <c r="E511">
        <f>IF($N511="","",IF(INDEX('Per Invoice'!$E$2:$E$801,$N511)="","",INDEX('Per Invoice'!$E$2:$E$801,$N511)))</f>
        <v/>
      </c>
      <c r="F511">
        <f>IF($N511="","",IF(INDEX('Per Invoice'!$F$2:$F$801,$N511)="","",INDEX('Per Invoice'!$F$2:$F$801,$N511)))</f>
        <v/>
      </c>
      <c r="G511">
        <f>IF($N511="","",IF(INDEX('Per Invoice'!$G$2:$G$801,$N511)="","",INDEX('Per Invoice'!$G$2:$G$801,$N511)))</f>
        <v/>
      </c>
      <c r="H511">
        <f>IF($N511="","",IF(INDEX('Per Invoice'!$H$2:$H$801,$N511)="","",INDEX('Per Invoice'!$H$2:$H$801,$N511)))</f>
        <v/>
      </c>
      <c r="I511" s="5">
        <f>IF($N511="","",IF(INDEX('Per Invoice'!$I$2:$I$801,$N511)="","",INDEX('Per Invoice'!$I$2:$I$801,$N511)))</f>
        <v/>
      </c>
      <c r="J511" s="5">
        <f>IF($N511="","",IF(INDEX('Per Invoice'!$J$2:$J$801,$N511)="","",INDEX('Per Invoice'!$J$2:$J$801,$N511)))</f>
        <v/>
      </c>
      <c r="K511" s="5">
        <f>IF($N511="","",IF(INDEX('Per Invoice'!$K$2:$K$801,$N511)="","",INDEX('Per Invoice'!$K$2:$K$801,$N511)))</f>
        <v/>
      </c>
      <c r="L511" s="5">
        <f>IF($N511="","",IF(INDEX('Per Invoice'!$L$2:$L$801,$N511)="","",INDEX('Per Invoice'!$L$2:$L$801,$N511)))</f>
        <v/>
      </c>
      <c r="M511" s="5">
        <f>IF($N511="","",IF(INDEX('Per Invoice'!$M$2:$M$801,$N511)="","",INDEX('Per Invoice'!$M$2:$M$801,$N511)))</f>
        <v/>
      </c>
      <c r="N511">
        <f>IF(ROWS($N$2:$N511)&lt;=COUNT('Per Invoice'!$O$2:$O$801),MATCH(ROWS($N$2:$N511),'Per Invoice'!$O$2:$O$801,0),"")</f>
        <v/>
      </c>
    </row>
    <row r="512">
      <c r="A512">
        <f>IF($N512="","",IF(INDEX('Per Invoice'!$A$2:$A$801,$N512)="","",INDEX('Per Invoice'!$A$2:$A$801,$N512)))</f>
        <v/>
      </c>
      <c r="B512">
        <f>IF($N512="","",IF(INDEX('Per Invoice'!$B$2:$B$801,$N512)="","",INDEX('Per Invoice'!$B$2:$B$801,$N512)))</f>
        <v/>
      </c>
      <c r="C512">
        <f>IF($N512="","",IF(INDEX('Per Invoice'!$C$2:$C$801,$N512)="","",INDEX('Per Invoice'!$C$2:$C$801,$N512)))</f>
        <v/>
      </c>
      <c r="D512">
        <f>IF($N512="","",IF(INDEX('Per Invoice'!$D$2:$D$801,$N512)="","",INDEX('Per Invoice'!$D$2:$D$801,$N512)))</f>
        <v/>
      </c>
      <c r="E512">
        <f>IF($N512="","",IF(INDEX('Per Invoice'!$E$2:$E$801,$N512)="","",INDEX('Per Invoice'!$E$2:$E$801,$N512)))</f>
        <v/>
      </c>
      <c r="F512">
        <f>IF($N512="","",IF(INDEX('Per Invoice'!$F$2:$F$801,$N512)="","",INDEX('Per Invoice'!$F$2:$F$801,$N512)))</f>
        <v/>
      </c>
      <c r="G512">
        <f>IF($N512="","",IF(INDEX('Per Invoice'!$G$2:$G$801,$N512)="","",INDEX('Per Invoice'!$G$2:$G$801,$N512)))</f>
        <v/>
      </c>
      <c r="H512">
        <f>IF($N512="","",IF(INDEX('Per Invoice'!$H$2:$H$801,$N512)="","",INDEX('Per Invoice'!$H$2:$H$801,$N512)))</f>
        <v/>
      </c>
      <c r="I512" s="5">
        <f>IF($N512="","",IF(INDEX('Per Invoice'!$I$2:$I$801,$N512)="","",INDEX('Per Invoice'!$I$2:$I$801,$N512)))</f>
        <v/>
      </c>
      <c r="J512" s="5">
        <f>IF($N512="","",IF(INDEX('Per Invoice'!$J$2:$J$801,$N512)="","",INDEX('Per Invoice'!$J$2:$J$801,$N512)))</f>
        <v/>
      </c>
      <c r="K512" s="5">
        <f>IF($N512="","",IF(INDEX('Per Invoice'!$K$2:$K$801,$N512)="","",INDEX('Per Invoice'!$K$2:$K$801,$N512)))</f>
        <v/>
      </c>
      <c r="L512" s="5">
        <f>IF($N512="","",IF(INDEX('Per Invoice'!$L$2:$L$801,$N512)="","",INDEX('Per Invoice'!$L$2:$L$801,$N512)))</f>
        <v/>
      </c>
      <c r="M512" s="5">
        <f>IF($N512="","",IF(INDEX('Per Invoice'!$M$2:$M$801,$N512)="","",INDEX('Per Invoice'!$M$2:$M$801,$N512)))</f>
        <v/>
      </c>
      <c r="N512">
        <f>IF(ROWS($N$2:$N512)&lt;=COUNT('Per Invoice'!$O$2:$O$801),MATCH(ROWS($N$2:$N512),'Per Invoice'!$O$2:$O$801,0),"")</f>
        <v/>
      </c>
    </row>
    <row r="513">
      <c r="A513">
        <f>IF($N513="","",IF(INDEX('Per Invoice'!$A$2:$A$801,$N513)="","",INDEX('Per Invoice'!$A$2:$A$801,$N513)))</f>
        <v/>
      </c>
      <c r="B513">
        <f>IF($N513="","",IF(INDEX('Per Invoice'!$B$2:$B$801,$N513)="","",INDEX('Per Invoice'!$B$2:$B$801,$N513)))</f>
        <v/>
      </c>
      <c r="C513">
        <f>IF($N513="","",IF(INDEX('Per Invoice'!$C$2:$C$801,$N513)="","",INDEX('Per Invoice'!$C$2:$C$801,$N513)))</f>
        <v/>
      </c>
      <c r="D513">
        <f>IF($N513="","",IF(INDEX('Per Invoice'!$D$2:$D$801,$N513)="","",INDEX('Per Invoice'!$D$2:$D$801,$N513)))</f>
        <v/>
      </c>
      <c r="E513">
        <f>IF($N513="","",IF(INDEX('Per Invoice'!$E$2:$E$801,$N513)="","",INDEX('Per Invoice'!$E$2:$E$801,$N513)))</f>
        <v/>
      </c>
      <c r="F513">
        <f>IF($N513="","",IF(INDEX('Per Invoice'!$F$2:$F$801,$N513)="","",INDEX('Per Invoice'!$F$2:$F$801,$N513)))</f>
        <v/>
      </c>
      <c r="G513">
        <f>IF($N513="","",IF(INDEX('Per Invoice'!$G$2:$G$801,$N513)="","",INDEX('Per Invoice'!$G$2:$G$801,$N513)))</f>
        <v/>
      </c>
      <c r="H513">
        <f>IF($N513="","",IF(INDEX('Per Invoice'!$H$2:$H$801,$N513)="","",INDEX('Per Invoice'!$H$2:$H$801,$N513)))</f>
        <v/>
      </c>
      <c r="I513" s="5">
        <f>IF($N513="","",IF(INDEX('Per Invoice'!$I$2:$I$801,$N513)="","",INDEX('Per Invoice'!$I$2:$I$801,$N513)))</f>
        <v/>
      </c>
      <c r="J513" s="5">
        <f>IF($N513="","",IF(INDEX('Per Invoice'!$J$2:$J$801,$N513)="","",INDEX('Per Invoice'!$J$2:$J$801,$N513)))</f>
        <v/>
      </c>
      <c r="K513" s="5">
        <f>IF($N513="","",IF(INDEX('Per Invoice'!$K$2:$K$801,$N513)="","",INDEX('Per Invoice'!$K$2:$K$801,$N513)))</f>
        <v/>
      </c>
      <c r="L513" s="5">
        <f>IF($N513="","",IF(INDEX('Per Invoice'!$L$2:$L$801,$N513)="","",INDEX('Per Invoice'!$L$2:$L$801,$N513)))</f>
        <v/>
      </c>
      <c r="M513" s="5">
        <f>IF($N513="","",IF(INDEX('Per Invoice'!$M$2:$M$801,$N513)="","",INDEX('Per Invoice'!$M$2:$M$801,$N513)))</f>
        <v/>
      </c>
      <c r="N513">
        <f>IF(ROWS($N$2:$N513)&lt;=COUNT('Per Invoice'!$O$2:$O$801),MATCH(ROWS($N$2:$N513),'Per Invoice'!$O$2:$O$801,0),"")</f>
        <v/>
      </c>
    </row>
    <row r="514">
      <c r="A514">
        <f>IF($N514="","",IF(INDEX('Per Invoice'!$A$2:$A$801,$N514)="","",INDEX('Per Invoice'!$A$2:$A$801,$N514)))</f>
        <v/>
      </c>
      <c r="B514">
        <f>IF($N514="","",IF(INDEX('Per Invoice'!$B$2:$B$801,$N514)="","",INDEX('Per Invoice'!$B$2:$B$801,$N514)))</f>
        <v/>
      </c>
      <c r="C514">
        <f>IF($N514="","",IF(INDEX('Per Invoice'!$C$2:$C$801,$N514)="","",INDEX('Per Invoice'!$C$2:$C$801,$N514)))</f>
        <v/>
      </c>
      <c r="D514">
        <f>IF($N514="","",IF(INDEX('Per Invoice'!$D$2:$D$801,$N514)="","",INDEX('Per Invoice'!$D$2:$D$801,$N514)))</f>
        <v/>
      </c>
      <c r="E514">
        <f>IF($N514="","",IF(INDEX('Per Invoice'!$E$2:$E$801,$N514)="","",INDEX('Per Invoice'!$E$2:$E$801,$N514)))</f>
        <v/>
      </c>
      <c r="F514">
        <f>IF($N514="","",IF(INDEX('Per Invoice'!$F$2:$F$801,$N514)="","",INDEX('Per Invoice'!$F$2:$F$801,$N514)))</f>
        <v/>
      </c>
      <c r="G514">
        <f>IF($N514="","",IF(INDEX('Per Invoice'!$G$2:$G$801,$N514)="","",INDEX('Per Invoice'!$G$2:$G$801,$N514)))</f>
        <v/>
      </c>
      <c r="H514">
        <f>IF($N514="","",IF(INDEX('Per Invoice'!$H$2:$H$801,$N514)="","",INDEX('Per Invoice'!$H$2:$H$801,$N514)))</f>
        <v/>
      </c>
      <c r="I514" s="5">
        <f>IF($N514="","",IF(INDEX('Per Invoice'!$I$2:$I$801,$N514)="","",INDEX('Per Invoice'!$I$2:$I$801,$N514)))</f>
        <v/>
      </c>
      <c r="J514" s="5">
        <f>IF($N514="","",IF(INDEX('Per Invoice'!$J$2:$J$801,$N514)="","",INDEX('Per Invoice'!$J$2:$J$801,$N514)))</f>
        <v/>
      </c>
      <c r="K514" s="5">
        <f>IF($N514="","",IF(INDEX('Per Invoice'!$K$2:$K$801,$N514)="","",INDEX('Per Invoice'!$K$2:$K$801,$N514)))</f>
        <v/>
      </c>
      <c r="L514" s="5">
        <f>IF($N514="","",IF(INDEX('Per Invoice'!$L$2:$L$801,$N514)="","",INDEX('Per Invoice'!$L$2:$L$801,$N514)))</f>
        <v/>
      </c>
      <c r="M514" s="5">
        <f>IF($N514="","",IF(INDEX('Per Invoice'!$M$2:$M$801,$N514)="","",INDEX('Per Invoice'!$M$2:$M$801,$N514)))</f>
        <v/>
      </c>
      <c r="N514">
        <f>IF(ROWS($N$2:$N514)&lt;=COUNT('Per Invoice'!$O$2:$O$801),MATCH(ROWS($N$2:$N514),'Per Invoice'!$O$2:$O$801,0),"")</f>
        <v/>
      </c>
    </row>
    <row r="515">
      <c r="A515">
        <f>IF($N515="","",IF(INDEX('Per Invoice'!$A$2:$A$801,$N515)="","",INDEX('Per Invoice'!$A$2:$A$801,$N515)))</f>
        <v/>
      </c>
      <c r="B515">
        <f>IF($N515="","",IF(INDEX('Per Invoice'!$B$2:$B$801,$N515)="","",INDEX('Per Invoice'!$B$2:$B$801,$N515)))</f>
        <v/>
      </c>
      <c r="C515">
        <f>IF($N515="","",IF(INDEX('Per Invoice'!$C$2:$C$801,$N515)="","",INDEX('Per Invoice'!$C$2:$C$801,$N515)))</f>
        <v/>
      </c>
      <c r="D515">
        <f>IF($N515="","",IF(INDEX('Per Invoice'!$D$2:$D$801,$N515)="","",INDEX('Per Invoice'!$D$2:$D$801,$N515)))</f>
        <v/>
      </c>
      <c r="E515">
        <f>IF($N515="","",IF(INDEX('Per Invoice'!$E$2:$E$801,$N515)="","",INDEX('Per Invoice'!$E$2:$E$801,$N515)))</f>
        <v/>
      </c>
      <c r="F515">
        <f>IF($N515="","",IF(INDEX('Per Invoice'!$F$2:$F$801,$N515)="","",INDEX('Per Invoice'!$F$2:$F$801,$N515)))</f>
        <v/>
      </c>
      <c r="G515">
        <f>IF($N515="","",IF(INDEX('Per Invoice'!$G$2:$G$801,$N515)="","",INDEX('Per Invoice'!$G$2:$G$801,$N515)))</f>
        <v/>
      </c>
      <c r="H515">
        <f>IF($N515="","",IF(INDEX('Per Invoice'!$H$2:$H$801,$N515)="","",INDEX('Per Invoice'!$H$2:$H$801,$N515)))</f>
        <v/>
      </c>
      <c r="I515" s="5">
        <f>IF($N515="","",IF(INDEX('Per Invoice'!$I$2:$I$801,$N515)="","",INDEX('Per Invoice'!$I$2:$I$801,$N515)))</f>
        <v/>
      </c>
      <c r="J515" s="5">
        <f>IF($N515="","",IF(INDEX('Per Invoice'!$J$2:$J$801,$N515)="","",INDEX('Per Invoice'!$J$2:$J$801,$N515)))</f>
        <v/>
      </c>
      <c r="K515" s="5">
        <f>IF($N515="","",IF(INDEX('Per Invoice'!$K$2:$K$801,$N515)="","",INDEX('Per Invoice'!$K$2:$K$801,$N515)))</f>
        <v/>
      </c>
      <c r="L515" s="5">
        <f>IF($N515="","",IF(INDEX('Per Invoice'!$L$2:$L$801,$N515)="","",INDEX('Per Invoice'!$L$2:$L$801,$N515)))</f>
        <v/>
      </c>
      <c r="M515" s="5">
        <f>IF($N515="","",IF(INDEX('Per Invoice'!$M$2:$M$801,$N515)="","",INDEX('Per Invoice'!$M$2:$M$801,$N515)))</f>
        <v/>
      </c>
      <c r="N515">
        <f>IF(ROWS($N$2:$N515)&lt;=COUNT('Per Invoice'!$O$2:$O$801),MATCH(ROWS($N$2:$N515),'Per Invoice'!$O$2:$O$801,0),"")</f>
        <v/>
      </c>
    </row>
    <row r="516">
      <c r="A516">
        <f>IF($N516="","",IF(INDEX('Per Invoice'!$A$2:$A$801,$N516)="","",INDEX('Per Invoice'!$A$2:$A$801,$N516)))</f>
        <v/>
      </c>
      <c r="B516">
        <f>IF($N516="","",IF(INDEX('Per Invoice'!$B$2:$B$801,$N516)="","",INDEX('Per Invoice'!$B$2:$B$801,$N516)))</f>
        <v/>
      </c>
      <c r="C516">
        <f>IF($N516="","",IF(INDEX('Per Invoice'!$C$2:$C$801,$N516)="","",INDEX('Per Invoice'!$C$2:$C$801,$N516)))</f>
        <v/>
      </c>
      <c r="D516">
        <f>IF($N516="","",IF(INDEX('Per Invoice'!$D$2:$D$801,$N516)="","",INDEX('Per Invoice'!$D$2:$D$801,$N516)))</f>
        <v/>
      </c>
      <c r="E516">
        <f>IF($N516="","",IF(INDEX('Per Invoice'!$E$2:$E$801,$N516)="","",INDEX('Per Invoice'!$E$2:$E$801,$N516)))</f>
        <v/>
      </c>
      <c r="F516">
        <f>IF($N516="","",IF(INDEX('Per Invoice'!$F$2:$F$801,$N516)="","",INDEX('Per Invoice'!$F$2:$F$801,$N516)))</f>
        <v/>
      </c>
      <c r="G516">
        <f>IF($N516="","",IF(INDEX('Per Invoice'!$G$2:$G$801,$N516)="","",INDEX('Per Invoice'!$G$2:$G$801,$N516)))</f>
        <v/>
      </c>
      <c r="H516">
        <f>IF($N516="","",IF(INDEX('Per Invoice'!$H$2:$H$801,$N516)="","",INDEX('Per Invoice'!$H$2:$H$801,$N516)))</f>
        <v/>
      </c>
      <c r="I516" s="5">
        <f>IF($N516="","",IF(INDEX('Per Invoice'!$I$2:$I$801,$N516)="","",INDEX('Per Invoice'!$I$2:$I$801,$N516)))</f>
        <v/>
      </c>
      <c r="J516" s="5">
        <f>IF($N516="","",IF(INDEX('Per Invoice'!$J$2:$J$801,$N516)="","",INDEX('Per Invoice'!$J$2:$J$801,$N516)))</f>
        <v/>
      </c>
      <c r="K516" s="5">
        <f>IF($N516="","",IF(INDEX('Per Invoice'!$K$2:$K$801,$N516)="","",INDEX('Per Invoice'!$K$2:$K$801,$N516)))</f>
        <v/>
      </c>
      <c r="L516" s="5">
        <f>IF($N516="","",IF(INDEX('Per Invoice'!$L$2:$L$801,$N516)="","",INDEX('Per Invoice'!$L$2:$L$801,$N516)))</f>
        <v/>
      </c>
      <c r="M516" s="5">
        <f>IF($N516="","",IF(INDEX('Per Invoice'!$M$2:$M$801,$N516)="","",INDEX('Per Invoice'!$M$2:$M$801,$N516)))</f>
        <v/>
      </c>
      <c r="N516">
        <f>IF(ROWS($N$2:$N516)&lt;=COUNT('Per Invoice'!$O$2:$O$801),MATCH(ROWS($N$2:$N516),'Per Invoice'!$O$2:$O$801,0),"")</f>
        <v/>
      </c>
    </row>
    <row r="517">
      <c r="A517">
        <f>IF($N517="","",IF(INDEX('Per Invoice'!$A$2:$A$801,$N517)="","",INDEX('Per Invoice'!$A$2:$A$801,$N517)))</f>
        <v/>
      </c>
      <c r="B517">
        <f>IF($N517="","",IF(INDEX('Per Invoice'!$B$2:$B$801,$N517)="","",INDEX('Per Invoice'!$B$2:$B$801,$N517)))</f>
        <v/>
      </c>
      <c r="C517">
        <f>IF($N517="","",IF(INDEX('Per Invoice'!$C$2:$C$801,$N517)="","",INDEX('Per Invoice'!$C$2:$C$801,$N517)))</f>
        <v/>
      </c>
      <c r="D517">
        <f>IF($N517="","",IF(INDEX('Per Invoice'!$D$2:$D$801,$N517)="","",INDEX('Per Invoice'!$D$2:$D$801,$N517)))</f>
        <v/>
      </c>
      <c r="E517">
        <f>IF($N517="","",IF(INDEX('Per Invoice'!$E$2:$E$801,$N517)="","",INDEX('Per Invoice'!$E$2:$E$801,$N517)))</f>
        <v/>
      </c>
      <c r="F517">
        <f>IF($N517="","",IF(INDEX('Per Invoice'!$F$2:$F$801,$N517)="","",INDEX('Per Invoice'!$F$2:$F$801,$N517)))</f>
        <v/>
      </c>
      <c r="G517">
        <f>IF($N517="","",IF(INDEX('Per Invoice'!$G$2:$G$801,$N517)="","",INDEX('Per Invoice'!$G$2:$G$801,$N517)))</f>
        <v/>
      </c>
      <c r="H517">
        <f>IF($N517="","",IF(INDEX('Per Invoice'!$H$2:$H$801,$N517)="","",INDEX('Per Invoice'!$H$2:$H$801,$N517)))</f>
        <v/>
      </c>
      <c r="I517" s="5">
        <f>IF($N517="","",IF(INDEX('Per Invoice'!$I$2:$I$801,$N517)="","",INDEX('Per Invoice'!$I$2:$I$801,$N517)))</f>
        <v/>
      </c>
      <c r="J517" s="5">
        <f>IF($N517="","",IF(INDEX('Per Invoice'!$J$2:$J$801,$N517)="","",INDEX('Per Invoice'!$J$2:$J$801,$N517)))</f>
        <v/>
      </c>
      <c r="K517" s="5">
        <f>IF($N517="","",IF(INDEX('Per Invoice'!$K$2:$K$801,$N517)="","",INDEX('Per Invoice'!$K$2:$K$801,$N517)))</f>
        <v/>
      </c>
      <c r="L517" s="5">
        <f>IF($N517="","",IF(INDEX('Per Invoice'!$L$2:$L$801,$N517)="","",INDEX('Per Invoice'!$L$2:$L$801,$N517)))</f>
        <v/>
      </c>
      <c r="M517" s="5">
        <f>IF($N517="","",IF(INDEX('Per Invoice'!$M$2:$M$801,$N517)="","",INDEX('Per Invoice'!$M$2:$M$801,$N517)))</f>
        <v/>
      </c>
      <c r="N517">
        <f>IF(ROWS($N$2:$N517)&lt;=COUNT('Per Invoice'!$O$2:$O$801),MATCH(ROWS($N$2:$N517),'Per Invoice'!$O$2:$O$801,0),"")</f>
        <v/>
      </c>
    </row>
    <row r="518">
      <c r="A518">
        <f>IF($N518="","",IF(INDEX('Per Invoice'!$A$2:$A$801,$N518)="","",INDEX('Per Invoice'!$A$2:$A$801,$N518)))</f>
        <v/>
      </c>
      <c r="B518">
        <f>IF($N518="","",IF(INDEX('Per Invoice'!$B$2:$B$801,$N518)="","",INDEX('Per Invoice'!$B$2:$B$801,$N518)))</f>
        <v/>
      </c>
      <c r="C518">
        <f>IF($N518="","",IF(INDEX('Per Invoice'!$C$2:$C$801,$N518)="","",INDEX('Per Invoice'!$C$2:$C$801,$N518)))</f>
        <v/>
      </c>
      <c r="D518">
        <f>IF($N518="","",IF(INDEX('Per Invoice'!$D$2:$D$801,$N518)="","",INDEX('Per Invoice'!$D$2:$D$801,$N518)))</f>
        <v/>
      </c>
      <c r="E518">
        <f>IF($N518="","",IF(INDEX('Per Invoice'!$E$2:$E$801,$N518)="","",INDEX('Per Invoice'!$E$2:$E$801,$N518)))</f>
        <v/>
      </c>
      <c r="F518">
        <f>IF($N518="","",IF(INDEX('Per Invoice'!$F$2:$F$801,$N518)="","",INDEX('Per Invoice'!$F$2:$F$801,$N518)))</f>
        <v/>
      </c>
      <c r="G518">
        <f>IF($N518="","",IF(INDEX('Per Invoice'!$G$2:$G$801,$N518)="","",INDEX('Per Invoice'!$G$2:$G$801,$N518)))</f>
        <v/>
      </c>
      <c r="H518">
        <f>IF($N518="","",IF(INDEX('Per Invoice'!$H$2:$H$801,$N518)="","",INDEX('Per Invoice'!$H$2:$H$801,$N518)))</f>
        <v/>
      </c>
      <c r="I518" s="5">
        <f>IF($N518="","",IF(INDEX('Per Invoice'!$I$2:$I$801,$N518)="","",INDEX('Per Invoice'!$I$2:$I$801,$N518)))</f>
        <v/>
      </c>
      <c r="J518" s="5">
        <f>IF($N518="","",IF(INDEX('Per Invoice'!$J$2:$J$801,$N518)="","",INDEX('Per Invoice'!$J$2:$J$801,$N518)))</f>
        <v/>
      </c>
      <c r="K518" s="5">
        <f>IF($N518="","",IF(INDEX('Per Invoice'!$K$2:$K$801,$N518)="","",INDEX('Per Invoice'!$K$2:$K$801,$N518)))</f>
        <v/>
      </c>
      <c r="L518" s="5">
        <f>IF($N518="","",IF(INDEX('Per Invoice'!$L$2:$L$801,$N518)="","",INDEX('Per Invoice'!$L$2:$L$801,$N518)))</f>
        <v/>
      </c>
      <c r="M518" s="5">
        <f>IF($N518="","",IF(INDEX('Per Invoice'!$M$2:$M$801,$N518)="","",INDEX('Per Invoice'!$M$2:$M$801,$N518)))</f>
        <v/>
      </c>
      <c r="N518">
        <f>IF(ROWS($N$2:$N518)&lt;=COUNT('Per Invoice'!$O$2:$O$801),MATCH(ROWS($N$2:$N518),'Per Invoice'!$O$2:$O$801,0),"")</f>
        <v/>
      </c>
    </row>
    <row r="519">
      <c r="A519">
        <f>IF($N519="","",IF(INDEX('Per Invoice'!$A$2:$A$801,$N519)="","",INDEX('Per Invoice'!$A$2:$A$801,$N519)))</f>
        <v/>
      </c>
      <c r="B519">
        <f>IF($N519="","",IF(INDEX('Per Invoice'!$B$2:$B$801,$N519)="","",INDEX('Per Invoice'!$B$2:$B$801,$N519)))</f>
        <v/>
      </c>
      <c r="C519">
        <f>IF($N519="","",IF(INDEX('Per Invoice'!$C$2:$C$801,$N519)="","",INDEX('Per Invoice'!$C$2:$C$801,$N519)))</f>
        <v/>
      </c>
      <c r="D519">
        <f>IF($N519="","",IF(INDEX('Per Invoice'!$D$2:$D$801,$N519)="","",INDEX('Per Invoice'!$D$2:$D$801,$N519)))</f>
        <v/>
      </c>
      <c r="E519">
        <f>IF($N519="","",IF(INDEX('Per Invoice'!$E$2:$E$801,$N519)="","",INDEX('Per Invoice'!$E$2:$E$801,$N519)))</f>
        <v/>
      </c>
      <c r="F519">
        <f>IF($N519="","",IF(INDEX('Per Invoice'!$F$2:$F$801,$N519)="","",INDEX('Per Invoice'!$F$2:$F$801,$N519)))</f>
        <v/>
      </c>
      <c r="G519">
        <f>IF($N519="","",IF(INDEX('Per Invoice'!$G$2:$G$801,$N519)="","",INDEX('Per Invoice'!$G$2:$G$801,$N519)))</f>
        <v/>
      </c>
      <c r="H519">
        <f>IF($N519="","",IF(INDEX('Per Invoice'!$H$2:$H$801,$N519)="","",INDEX('Per Invoice'!$H$2:$H$801,$N519)))</f>
        <v/>
      </c>
      <c r="I519" s="5">
        <f>IF($N519="","",IF(INDEX('Per Invoice'!$I$2:$I$801,$N519)="","",INDEX('Per Invoice'!$I$2:$I$801,$N519)))</f>
        <v/>
      </c>
      <c r="J519" s="5">
        <f>IF($N519="","",IF(INDEX('Per Invoice'!$J$2:$J$801,$N519)="","",INDEX('Per Invoice'!$J$2:$J$801,$N519)))</f>
        <v/>
      </c>
      <c r="K519" s="5">
        <f>IF($N519="","",IF(INDEX('Per Invoice'!$K$2:$K$801,$N519)="","",INDEX('Per Invoice'!$K$2:$K$801,$N519)))</f>
        <v/>
      </c>
      <c r="L519" s="5">
        <f>IF($N519="","",IF(INDEX('Per Invoice'!$L$2:$L$801,$N519)="","",INDEX('Per Invoice'!$L$2:$L$801,$N519)))</f>
        <v/>
      </c>
      <c r="M519" s="5">
        <f>IF($N519="","",IF(INDEX('Per Invoice'!$M$2:$M$801,$N519)="","",INDEX('Per Invoice'!$M$2:$M$801,$N519)))</f>
        <v/>
      </c>
      <c r="N519">
        <f>IF(ROWS($N$2:$N519)&lt;=COUNT('Per Invoice'!$O$2:$O$801),MATCH(ROWS($N$2:$N519),'Per Invoice'!$O$2:$O$801,0),"")</f>
        <v/>
      </c>
    </row>
    <row r="520">
      <c r="A520">
        <f>IF($N520="","",IF(INDEX('Per Invoice'!$A$2:$A$801,$N520)="","",INDEX('Per Invoice'!$A$2:$A$801,$N520)))</f>
        <v/>
      </c>
      <c r="B520">
        <f>IF($N520="","",IF(INDEX('Per Invoice'!$B$2:$B$801,$N520)="","",INDEX('Per Invoice'!$B$2:$B$801,$N520)))</f>
        <v/>
      </c>
      <c r="C520">
        <f>IF($N520="","",IF(INDEX('Per Invoice'!$C$2:$C$801,$N520)="","",INDEX('Per Invoice'!$C$2:$C$801,$N520)))</f>
        <v/>
      </c>
      <c r="D520">
        <f>IF($N520="","",IF(INDEX('Per Invoice'!$D$2:$D$801,$N520)="","",INDEX('Per Invoice'!$D$2:$D$801,$N520)))</f>
        <v/>
      </c>
      <c r="E520">
        <f>IF($N520="","",IF(INDEX('Per Invoice'!$E$2:$E$801,$N520)="","",INDEX('Per Invoice'!$E$2:$E$801,$N520)))</f>
        <v/>
      </c>
      <c r="F520">
        <f>IF($N520="","",IF(INDEX('Per Invoice'!$F$2:$F$801,$N520)="","",INDEX('Per Invoice'!$F$2:$F$801,$N520)))</f>
        <v/>
      </c>
      <c r="G520">
        <f>IF($N520="","",IF(INDEX('Per Invoice'!$G$2:$G$801,$N520)="","",INDEX('Per Invoice'!$G$2:$G$801,$N520)))</f>
        <v/>
      </c>
      <c r="H520">
        <f>IF($N520="","",IF(INDEX('Per Invoice'!$H$2:$H$801,$N520)="","",INDEX('Per Invoice'!$H$2:$H$801,$N520)))</f>
        <v/>
      </c>
      <c r="I520" s="5">
        <f>IF($N520="","",IF(INDEX('Per Invoice'!$I$2:$I$801,$N520)="","",INDEX('Per Invoice'!$I$2:$I$801,$N520)))</f>
        <v/>
      </c>
      <c r="J520" s="5">
        <f>IF($N520="","",IF(INDEX('Per Invoice'!$J$2:$J$801,$N520)="","",INDEX('Per Invoice'!$J$2:$J$801,$N520)))</f>
        <v/>
      </c>
      <c r="K520" s="5">
        <f>IF($N520="","",IF(INDEX('Per Invoice'!$K$2:$K$801,$N520)="","",INDEX('Per Invoice'!$K$2:$K$801,$N520)))</f>
        <v/>
      </c>
      <c r="L520" s="5">
        <f>IF($N520="","",IF(INDEX('Per Invoice'!$L$2:$L$801,$N520)="","",INDEX('Per Invoice'!$L$2:$L$801,$N520)))</f>
        <v/>
      </c>
      <c r="M520" s="5">
        <f>IF($N520="","",IF(INDEX('Per Invoice'!$M$2:$M$801,$N520)="","",INDEX('Per Invoice'!$M$2:$M$801,$N520)))</f>
        <v/>
      </c>
      <c r="N520">
        <f>IF(ROWS($N$2:$N520)&lt;=COUNT('Per Invoice'!$O$2:$O$801),MATCH(ROWS($N$2:$N520),'Per Invoice'!$O$2:$O$801,0),"")</f>
        <v/>
      </c>
    </row>
    <row r="521">
      <c r="A521">
        <f>IF($N521="","",IF(INDEX('Per Invoice'!$A$2:$A$801,$N521)="","",INDEX('Per Invoice'!$A$2:$A$801,$N521)))</f>
        <v/>
      </c>
      <c r="B521">
        <f>IF($N521="","",IF(INDEX('Per Invoice'!$B$2:$B$801,$N521)="","",INDEX('Per Invoice'!$B$2:$B$801,$N521)))</f>
        <v/>
      </c>
      <c r="C521">
        <f>IF($N521="","",IF(INDEX('Per Invoice'!$C$2:$C$801,$N521)="","",INDEX('Per Invoice'!$C$2:$C$801,$N521)))</f>
        <v/>
      </c>
      <c r="D521">
        <f>IF($N521="","",IF(INDEX('Per Invoice'!$D$2:$D$801,$N521)="","",INDEX('Per Invoice'!$D$2:$D$801,$N521)))</f>
        <v/>
      </c>
      <c r="E521">
        <f>IF($N521="","",IF(INDEX('Per Invoice'!$E$2:$E$801,$N521)="","",INDEX('Per Invoice'!$E$2:$E$801,$N521)))</f>
        <v/>
      </c>
      <c r="F521">
        <f>IF($N521="","",IF(INDEX('Per Invoice'!$F$2:$F$801,$N521)="","",INDEX('Per Invoice'!$F$2:$F$801,$N521)))</f>
        <v/>
      </c>
      <c r="G521">
        <f>IF($N521="","",IF(INDEX('Per Invoice'!$G$2:$G$801,$N521)="","",INDEX('Per Invoice'!$G$2:$G$801,$N521)))</f>
        <v/>
      </c>
      <c r="H521">
        <f>IF($N521="","",IF(INDEX('Per Invoice'!$H$2:$H$801,$N521)="","",INDEX('Per Invoice'!$H$2:$H$801,$N521)))</f>
        <v/>
      </c>
      <c r="I521" s="5">
        <f>IF($N521="","",IF(INDEX('Per Invoice'!$I$2:$I$801,$N521)="","",INDEX('Per Invoice'!$I$2:$I$801,$N521)))</f>
        <v/>
      </c>
      <c r="J521" s="5">
        <f>IF($N521="","",IF(INDEX('Per Invoice'!$J$2:$J$801,$N521)="","",INDEX('Per Invoice'!$J$2:$J$801,$N521)))</f>
        <v/>
      </c>
      <c r="K521" s="5">
        <f>IF($N521="","",IF(INDEX('Per Invoice'!$K$2:$K$801,$N521)="","",INDEX('Per Invoice'!$K$2:$K$801,$N521)))</f>
        <v/>
      </c>
      <c r="L521" s="5">
        <f>IF($N521="","",IF(INDEX('Per Invoice'!$L$2:$L$801,$N521)="","",INDEX('Per Invoice'!$L$2:$L$801,$N521)))</f>
        <v/>
      </c>
      <c r="M521" s="5">
        <f>IF($N521="","",IF(INDEX('Per Invoice'!$M$2:$M$801,$N521)="","",INDEX('Per Invoice'!$M$2:$M$801,$N521)))</f>
        <v/>
      </c>
      <c r="N521">
        <f>IF(ROWS($N$2:$N521)&lt;=COUNT('Per Invoice'!$O$2:$O$801),MATCH(ROWS($N$2:$N521),'Per Invoice'!$O$2:$O$801,0),"")</f>
        <v/>
      </c>
    </row>
    <row r="522">
      <c r="A522">
        <f>IF($N522="","",IF(INDEX('Per Invoice'!$A$2:$A$801,$N522)="","",INDEX('Per Invoice'!$A$2:$A$801,$N522)))</f>
        <v/>
      </c>
      <c r="B522">
        <f>IF($N522="","",IF(INDEX('Per Invoice'!$B$2:$B$801,$N522)="","",INDEX('Per Invoice'!$B$2:$B$801,$N522)))</f>
        <v/>
      </c>
      <c r="C522">
        <f>IF($N522="","",IF(INDEX('Per Invoice'!$C$2:$C$801,$N522)="","",INDEX('Per Invoice'!$C$2:$C$801,$N522)))</f>
        <v/>
      </c>
      <c r="D522">
        <f>IF($N522="","",IF(INDEX('Per Invoice'!$D$2:$D$801,$N522)="","",INDEX('Per Invoice'!$D$2:$D$801,$N522)))</f>
        <v/>
      </c>
      <c r="E522">
        <f>IF($N522="","",IF(INDEX('Per Invoice'!$E$2:$E$801,$N522)="","",INDEX('Per Invoice'!$E$2:$E$801,$N522)))</f>
        <v/>
      </c>
      <c r="F522">
        <f>IF($N522="","",IF(INDEX('Per Invoice'!$F$2:$F$801,$N522)="","",INDEX('Per Invoice'!$F$2:$F$801,$N522)))</f>
        <v/>
      </c>
      <c r="G522">
        <f>IF($N522="","",IF(INDEX('Per Invoice'!$G$2:$G$801,$N522)="","",INDEX('Per Invoice'!$G$2:$G$801,$N522)))</f>
        <v/>
      </c>
      <c r="H522">
        <f>IF($N522="","",IF(INDEX('Per Invoice'!$H$2:$H$801,$N522)="","",INDEX('Per Invoice'!$H$2:$H$801,$N522)))</f>
        <v/>
      </c>
      <c r="I522" s="5">
        <f>IF($N522="","",IF(INDEX('Per Invoice'!$I$2:$I$801,$N522)="","",INDEX('Per Invoice'!$I$2:$I$801,$N522)))</f>
        <v/>
      </c>
      <c r="J522" s="5">
        <f>IF($N522="","",IF(INDEX('Per Invoice'!$J$2:$J$801,$N522)="","",INDEX('Per Invoice'!$J$2:$J$801,$N522)))</f>
        <v/>
      </c>
      <c r="K522" s="5">
        <f>IF($N522="","",IF(INDEX('Per Invoice'!$K$2:$K$801,$N522)="","",INDEX('Per Invoice'!$K$2:$K$801,$N522)))</f>
        <v/>
      </c>
      <c r="L522" s="5">
        <f>IF($N522="","",IF(INDEX('Per Invoice'!$L$2:$L$801,$N522)="","",INDEX('Per Invoice'!$L$2:$L$801,$N522)))</f>
        <v/>
      </c>
      <c r="M522" s="5">
        <f>IF($N522="","",IF(INDEX('Per Invoice'!$M$2:$M$801,$N522)="","",INDEX('Per Invoice'!$M$2:$M$801,$N522)))</f>
        <v/>
      </c>
      <c r="N522">
        <f>IF(ROWS($N$2:$N522)&lt;=COUNT('Per Invoice'!$O$2:$O$801),MATCH(ROWS($N$2:$N522),'Per Invoice'!$O$2:$O$801,0),"")</f>
        <v/>
      </c>
    </row>
    <row r="523">
      <c r="A523">
        <f>IF($N523="","",IF(INDEX('Per Invoice'!$A$2:$A$801,$N523)="","",INDEX('Per Invoice'!$A$2:$A$801,$N523)))</f>
        <v/>
      </c>
      <c r="B523">
        <f>IF($N523="","",IF(INDEX('Per Invoice'!$B$2:$B$801,$N523)="","",INDEX('Per Invoice'!$B$2:$B$801,$N523)))</f>
        <v/>
      </c>
      <c r="C523">
        <f>IF($N523="","",IF(INDEX('Per Invoice'!$C$2:$C$801,$N523)="","",INDEX('Per Invoice'!$C$2:$C$801,$N523)))</f>
        <v/>
      </c>
      <c r="D523">
        <f>IF($N523="","",IF(INDEX('Per Invoice'!$D$2:$D$801,$N523)="","",INDEX('Per Invoice'!$D$2:$D$801,$N523)))</f>
        <v/>
      </c>
      <c r="E523">
        <f>IF($N523="","",IF(INDEX('Per Invoice'!$E$2:$E$801,$N523)="","",INDEX('Per Invoice'!$E$2:$E$801,$N523)))</f>
        <v/>
      </c>
      <c r="F523">
        <f>IF($N523="","",IF(INDEX('Per Invoice'!$F$2:$F$801,$N523)="","",INDEX('Per Invoice'!$F$2:$F$801,$N523)))</f>
        <v/>
      </c>
      <c r="G523">
        <f>IF($N523="","",IF(INDEX('Per Invoice'!$G$2:$G$801,$N523)="","",INDEX('Per Invoice'!$G$2:$G$801,$N523)))</f>
        <v/>
      </c>
      <c r="H523">
        <f>IF($N523="","",IF(INDEX('Per Invoice'!$H$2:$H$801,$N523)="","",INDEX('Per Invoice'!$H$2:$H$801,$N523)))</f>
        <v/>
      </c>
      <c r="I523" s="5">
        <f>IF($N523="","",IF(INDEX('Per Invoice'!$I$2:$I$801,$N523)="","",INDEX('Per Invoice'!$I$2:$I$801,$N523)))</f>
        <v/>
      </c>
      <c r="J523" s="5">
        <f>IF($N523="","",IF(INDEX('Per Invoice'!$J$2:$J$801,$N523)="","",INDEX('Per Invoice'!$J$2:$J$801,$N523)))</f>
        <v/>
      </c>
      <c r="K523" s="5">
        <f>IF($N523="","",IF(INDEX('Per Invoice'!$K$2:$K$801,$N523)="","",INDEX('Per Invoice'!$K$2:$K$801,$N523)))</f>
        <v/>
      </c>
      <c r="L523" s="5">
        <f>IF($N523="","",IF(INDEX('Per Invoice'!$L$2:$L$801,$N523)="","",INDEX('Per Invoice'!$L$2:$L$801,$N523)))</f>
        <v/>
      </c>
      <c r="M523" s="5">
        <f>IF($N523="","",IF(INDEX('Per Invoice'!$M$2:$M$801,$N523)="","",INDEX('Per Invoice'!$M$2:$M$801,$N523)))</f>
        <v/>
      </c>
      <c r="N523">
        <f>IF(ROWS($N$2:$N523)&lt;=COUNT('Per Invoice'!$O$2:$O$801),MATCH(ROWS($N$2:$N523),'Per Invoice'!$O$2:$O$801,0),"")</f>
        <v/>
      </c>
    </row>
    <row r="524">
      <c r="A524">
        <f>IF($N524="","",IF(INDEX('Per Invoice'!$A$2:$A$801,$N524)="","",INDEX('Per Invoice'!$A$2:$A$801,$N524)))</f>
        <v/>
      </c>
      <c r="B524">
        <f>IF($N524="","",IF(INDEX('Per Invoice'!$B$2:$B$801,$N524)="","",INDEX('Per Invoice'!$B$2:$B$801,$N524)))</f>
        <v/>
      </c>
      <c r="C524">
        <f>IF($N524="","",IF(INDEX('Per Invoice'!$C$2:$C$801,$N524)="","",INDEX('Per Invoice'!$C$2:$C$801,$N524)))</f>
        <v/>
      </c>
      <c r="D524">
        <f>IF($N524="","",IF(INDEX('Per Invoice'!$D$2:$D$801,$N524)="","",INDEX('Per Invoice'!$D$2:$D$801,$N524)))</f>
        <v/>
      </c>
      <c r="E524">
        <f>IF($N524="","",IF(INDEX('Per Invoice'!$E$2:$E$801,$N524)="","",INDEX('Per Invoice'!$E$2:$E$801,$N524)))</f>
        <v/>
      </c>
      <c r="F524">
        <f>IF($N524="","",IF(INDEX('Per Invoice'!$F$2:$F$801,$N524)="","",INDEX('Per Invoice'!$F$2:$F$801,$N524)))</f>
        <v/>
      </c>
      <c r="G524">
        <f>IF($N524="","",IF(INDEX('Per Invoice'!$G$2:$G$801,$N524)="","",INDEX('Per Invoice'!$G$2:$G$801,$N524)))</f>
        <v/>
      </c>
      <c r="H524">
        <f>IF($N524="","",IF(INDEX('Per Invoice'!$H$2:$H$801,$N524)="","",INDEX('Per Invoice'!$H$2:$H$801,$N524)))</f>
        <v/>
      </c>
      <c r="I524" s="5">
        <f>IF($N524="","",IF(INDEX('Per Invoice'!$I$2:$I$801,$N524)="","",INDEX('Per Invoice'!$I$2:$I$801,$N524)))</f>
        <v/>
      </c>
      <c r="J524" s="5">
        <f>IF($N524="","",IF(INDEX('Per Invoice'!$J$2:$J$801,$N524)="","",INDEX('Per Invoice'!$J$2:$J$801,$N524)))</f>
        <v/>
      </c>
      <c r="K524" s="5">
        <f>IF($N524="","",IF(INDEX('Per Invoice'!$K$2:$K$801,$N524)="","",INDEX('Per Invoice'!$K$2:$K$801,$N524)))</f>
        <v/>
      </c>
      <c r="L524" s="5">
        <f>IF($N524="","",IF(INDEX('Per Invoice'!$L$2:$L$801,$N524)="","",INDEX('Per Invoice'!$L$2:$L$801,$N524)))</f>
        <v/>
      </c>
      <c r="M524" s="5">
        <f>IF($N524="","",IF(INDEX('Per Invoice'!$M$2:$M$801,$N524)="","",INDEX('Per Invoice'!$M$2:$M$801,$N524)))</f>
        <v/>
      </c>
      <c r="N524">
        <f>IF(ROWS($N$2:$N524)&lt;=COUNT('Per Invoice'!$O$2:$O$801),MATCH(ROWS($N$2:$N524),'Per Invoice'!$O$2:$O$801,0),"")</f>
        <v/>
      </c>
    </row>
    <row r="525">
      <c r="A525">
        <f>IF($N525="","",IF(INDEX('Per Invoice'!$A$2:$A$801,$N525)="","",INDEX('Per Invoice'!$A$2:$A$801,$N525)))</f>
        <v/>
      </c>
      <c r="B525">
        <f>IF($N525="","",IF(INDEX('Per Invoice'!$B$2:$B$801,$N525)="","",INDEX('Per Invoice'!$B$2:$B$801,$N525)))</f>
        <v/>
      </c>
      <c r="C525">
        <f>IF($N525="","",IF(INDEX('Per Invoice'!$C$2:$C$801,$N525)="","",INDEX('Per Invoice'!$C$2:$C$801,$N525)))</f>
        <v/>
      </c>
      <c r="D525">
        <f>IF($N525="","",IF(INDEX('Per Invoice'!$D$2:$D$801,$N525)="","",INDEX('Per Invoice'!$D$2:$D$801,$N525)))</f>
        <v/>
      </c>
      <c r="E525">
        <f>IF($N525="","",IF(INDEX('Per Invoice'!$E$2:$E$801,$N525)="","",INDEX('Per Invoice'!$E$2:$E$801,$N525)))</f>
        <v/>
      </c>
      <c r="F525">
        <f>IF($N525="","",IF(INDEX('Per Invoice'!$F$2:$F$801,$N525)="","",INDEX('Per Invoice'!$F$2:$F$801,$N525)))</f>
        <v/>
      </c>
      <c r="G525">
        <f>IF($N525="","",IF(INDEX('Per Invoice'!$G$2:$G$801,$N525)="","",INDEX('Per Invoice'!$G$2:$G$801,$N525)))</f>
        <v/>
      </c>
      <c r="H525">
        <f>IF($N525="","",IF(INDEX('Per Invoice'!$H$2:$H$801,$N525)="","",INDEX('Per Invoice'!$H$2:$H$801,$N525)))</f>
        <v/>
      </c>
      <c r="I525" s="5">
        <f>IF($N525="","",IF(INDEX('Per Invoice'!$I$2:$I$801,$N525)="","",INDEX('Per Invoice'!$I$2:$I$801,$N525)))</f>
        <v/>
      </c>
      <c r="J525" s="5">
        <f>IF($N525="","",IF(INDEX('Per Invoice'!$J$2:$J$801,$N525)="","",INDEX('Per Invoice'!$J$2:$J$801,$N525)))</f>
        <v/>
      </c>
      <c r="K525" s="5">
        <f>IF($N525="","",IF(INDEX('Per Invoice'!$K$2:$K$801,$N525)="","",INDEX('Per Invoice'!$K$2:$K$801,$N525)))</f>
        <v/>
      </c>
      <c r="L525" s="5">
        <f>IF($N525="","",IF(INDEX('Per Invoice'!$L$2:$L$801,$N525)="","",INDEX('Per Invoice'!$L$2:$L$801,$N525)))</f>
        <v/>
      </c>
      <c r="M525" s="5">
        <f>IF($N525="","",IF(INDEX('Per Invoice'!$M$2:$M$801,$N525)="","",INDEX('Per Invoice'!$M$2:$M$801,$N525)))</f>
        <v/>
      </c>
      <c r="N525">
        <f>IF(ROWS($N$2:$N525)&lt;=COUNT('Per Invoice'!$O$2:$O$801),MATCH(ROWS($N$2:$N525),'Per Invoice'!$O$2:$O$801,0),"")</f>
        <v/>
      </c>
    </row>
    <row r="526">
      <c r="A526">
        <f>IF($N526="","",IF(INDEX('Per Invoice'!$A$2:$A$801,$N526)="","",INDEX('Per Invoice'!$A$2:$A$801,$N526)))</f>
        <v/>
      </c>
      <c r="B526">
        <f>IF($N526="","",IF(INDEX('Per Invoice'!$B$2:$B$801,$N526)="","",INDEX('Per Invoice'!$B$2:$B$801,$N526)))</f>
        <v/>
      </c>
      <c r="C526">
        <f>IF($N526="","",IF(INDEX('Per Invoice'!$C$2:$C$801,$N526)="","",INDEX('Per Invoice'!$C$2:$C$801,$N526)))</f>
        <v/>
      </c>
      <c r="D526">
        <f>IF($N526="","",IF(INDEX('Per Invoice'!$D$2:$D$801,$N526)="","",INDEX('Per Invoice'!$D$2:$D$801,$N526)))</f>
        <v/>
      </c>
      <c r="E526">
        <f>IF($N526="","",IF(INDEX('Per Invoice'!$E$2:$E$801,$N526)="","",INDEX('Per Invoice'!$E$2:$E$801,$N526)))</f>
        <v/>
      </c>
      <c r="F526">
        <f>IF($N526="","",IF(INDEX('Per Invoice'!$F$2:$F$801,$N526)="","",INDEX('Per Invoice'!$F$2:$F$801,$N526)))</f>
        <v/>
      </c>
      <c r="G526">
        <f>IF($N526="","",IF(INDEX('Per Invoice'!$G$2:$G$801,$N526)="","",INDEX('Per Invoice'!$G$2:$G$801,$N526)))</f>
        <v/>
      </c>
      <c r="H526">
        <f>IF($N526="","",IF(INDEX('Per Invoice'!$H$2:$H$801,$N526)="","",INDEX('Per Invoice'!$H$2:$H$801,$N526)))</f>
        <v/>
      </c>
      <c r="I526" s="5">
        <f>IF($N526="","",IF(INDEX('Per Invoice'!$I$2:$I$801,$N526)="","",INDEX('Per Invoice'!$I$2:$I$801,$N526)))</f>
        <v/>
      </c>
      <c r="J526" s="5">
        <f>IF($N526="","",IF(INDEX('Per Invoice'!$J$2:$J$801,$N526)="","",INDEX('Per Invoice'!$J$2:$J$801,$N526)))</f>
        <v/>
      </c>
      <c r="K526" s="5">
        <f>IF($N526="","",IF(INDEX('Per Invoice'!$K$2:$K$801,$N526)="","",INDEX('Per Invoice'!$K$2:$K$801,$N526)))</f>
        <v/>
      </c>
      <c r="L526" s="5">
        <f>IF($N526="","",IF(INDEX('Per Invoice'!$L$2:$L$801,$N526)="","",INDEX('Per Invoice'!$L$2:$L$801,$N526)))</f>
        <v/>
      </c>
      <c r="M526" s="5">
        <f>IF($N526="","",IF(INDEX('Per Invoice'!$M$2:$M$801,$N526)="","",INDEX('Per Invoice'!$M$2:$M$801,$N526)))</f>
        <v/>
      </c>
      <c r="N526">
        <f>IF(ROWS($N$2:$N526)&lt;=COUNT('Per Invoice'!$O$2:$O$801),MATCH(ROWS($N$2:$N526),'Per Invoice'!$O$2:$O$801,0),"")</f>
        <v/>
      </c>
    </row>
    <row r="527">
      <c r="A527">
        <f>IF($N527="","",IF(INDEX('Per Invoice'!$A$2:$A$801,$N527)="","",INDEX('Per Invoice'!$A$2:$A$801,$N527)))</f>
        <v/>
      </c>
      <c r="B527">
        <f>IF($N527="","",IF(INDEX('Per Invoice'!$B$2:$B$801,$N527)="","",INDEX('Per Invoice'!$B$2:$B$801,$N527)))</f>
        <v/>
      </c>
      <c r="C527">
        <f>IF($N527="","",IF(INDEX('Per Invoice'!$C$2:$C$801,$N527)="","",INDEX('Per Invoice'!$C$2:$C$801,$N527)))</f>
        <v/>
      </c>
      <c r="D527">
        <f>IF($N527="","",IF(INDEX('Per Invoice'!$D$2:$D$801,$N527)="","",INDEX('Per Invoice'!$D$2:$D$801,$N527)))</f>
        <v/>
      </c>
      <c r="E527">
        <f>IF($N527="","",IF(INDEX('Per Invoice'!$E$2:$E$801,$N527)="","",INDEX('Per Invoice'!$E$2:$E$801,$N527)))</f>
        <v/>
      </c>
      <c r="F527">
        <f>IF($N527="","",IF(INDEX('Per Invoice'!$F$2:$F$801,$N527)="","",INDEX('Per Invoice'!$F$2:$F$801,$N527)))</f>
        <v/>
      </c>
      <c r="G527">
        <f>IF($N527="","",IF(INDEX('Per Invoice'!$G$2:$G$801,$N527)="","",INDEX('Per Invoice'!$G$2:$G$801,$N527)))</f>
        <v/>
      </c>
      <c r="H527">
        <f>IF($N527="","",IF(INDEX('Per Invoice'!$H$2:$H$801,$N527)="","",INDEX('Per Invoice'!$H$2:$H$801,$N527)))</f>
        <v/>
      </c>
      <c r="I527" s="5">
        <f>IF($N527="","",IF(INDEX('Per Invoice'!$I$2:$I$801,$N527)="","",INDEX('Per Invoice'!$I$2:$I$801,$N527)))</f>
        <v/>
      </c>
      <c r="J527" s="5">
        <f>IF($N527="","",IF(INDEX('Per Invoice'!$J$2:$J$801,$N527)="","",INDEX('Per Invoice'!$J$2:$J$801,$N527)))</f>
        <v/>
      </c>
      <c r="K527" s="5">
        <f>IF($N527="","",IF(INDEX('Per Invoice'!$K$2:$K$801,$N527)="","",INDEX('Per Invoice'!$K$2:$K$801,$N527)))</f>
        <v/>
      </c>
      <c r="L527" s="5">
        <f>IF($N527="","",IF(INDEX('Per Invoice'!$L$2:$L$801,$N527)="","",INDEX('Per Invoice'!$L$2:$L$801,$N527)))</f>
        <v/>
      </c>
      <c r="M527" s="5">
        <f>IF($N527="","",IF(INDEX('Per Invoice'!$M$2:$M$801,$N527)="","",INDEX('Per Invoice'!$M$2:$M$801,$N527)))</f>
        <v/>
      </c>
      <c r="N527">
        <f>IF(ROWS($N$2:$N527)&lt;=COUNT('Per Invoice'!$O$2:$O$801),MATCH(ROWS($N$2:$N527),'Per Invoice'!$O$2:$O$801,0),"")</f>
        <v/>
      </c>
    </row>
    <row r="528">
      <c r="A528">
        <f>IF($N528="","",IF(INDEX('Per Invoice'!$A$2:$A$801,$N528)="","",INDEX('Per Invoice'!$A$2:$A$801,$N528)))</f>
        <v/>
      </c>
      <c r="B528">
        <f>IF($N528="","",IF(INDEX('Per Invoice'!$B$2:$B$801,$N528)="","",INDEX('Per Invoice'!$B$2:$B$801,$N528)))</f>
        <v/>
      </c>
      <c r="C528">
        <f>IF($N528="","",IF(INDEX('Per Invoice'!$C$2:$C$801,$N528)="","",INDEX('Per Invoice'!$C$2:$C$801,$N528)))</f>
        <v/>
      </c>
      <c r="D528">
        <f>IF($N528="","",IF(INDEX('Per Invoice'!$D$2:$D$801,$N528)="","",INDEX('Per Invoice'!$D$2:$D$801,$N528)))</f>
        <v/>
      </c>
      <c r="E528">
        <f>IF($N528="","",IF(INDEX('Per Invoice'!$E$2:$E$801,$N528)="","",INDEX('Per Invoice'!$E$2:$E$801,$N528)))</f>
        <v/>
      </c>
      <c r="F528">
        <f>IF($N528="","",IF(INDEX('Per Invoice'!$F$2:$F$801,$N528)="","",INDEX('Per Invoice'!$F$2:$F$801,$N528)))</f>
        <v/>
      </c>
      <c r="G528">
        <f>IF($N528="","",IF(INDEX('Per Invoice'!$G$2:$G$801,$N528)="","",INDEX('Per Invoice'!$G$2:$G$801,$N528)))</f>
        <v/>
      </c>
      <c r="H528">
        <f>IF($N528="","",IF(INDEX('Per Invoice'!$H$2:$H$801,$N528)="","",INDEX('Per Invoice'!$H$2:$H$801,$N528)))</f>
        <v/>
      </c>
      <c r="I528" s="5">
        <f>IF($N528="","",IF(INDEX('Per Invoice'!$I$2:$I$801,$N528)="","",INDEX('Per Invoice'!$I$2:$I$801,$N528)))</f>
        <v/>
      </c>
      <c r="J528" s="5">
        <f>IF($N528="","",IF(INDEX('Per Invoice'!$J$2:$J$801,$N528)="","",INDEX('Per Invoice'!$J$2:$J$801,$N528)))</f>
        <v/>
      </c>
      <c r="K528" s="5">
        <f>IF($N528="","",IF(INDEX('Per Invoice'!$K$2:$K$801,$N528)="","",INDEX('Per Invoice'!$K$2:$K$801,$N528)))</f>
        <v/>
      </c>
      <c r="L528" s="5">
        <f>IF($N528="","",IF(INDEX('Per Invoice'!$L$2:$L$801,$N528)="","",INDEX('Per Invoice'!$L$2:$L$801,$N528)))</f>
        <v/>
      </c>
      <c r="M528" s="5">
        <f>IF($N528="","",IF(INDEX('Per Invoice'!$M$2:$M$801,$N528)="","",INDEX('Per Invoice'!$M$2:$M$801,$N528)))</f>
        <v/>
      </c>
      <c r="N528">
        <f>IF(ROWS($N$2:$N528)&lt;=COUNT('Per Invoice'!$O$2:$O$801),MATCH(ROWS($N$2:$N528),'Per Invoice'!$O$2:$O$801,0),"")</f>
        <v/>
      </c>
    </row>
    <row r="529">
      <c r="A529">
        <f>IF($N529="","",IF(INDEX('Per Invoice'!$A$2:$A$801,$N529)="","",INDEX('Per Invoice'!$A$2:$A$801,$N529)))</f>
        <v/>
      </c>
      <c r="B529">
        <f>IF($N529="","",IF(INDEX('Per Invoice'!$B$2:$B$801,$N529)="","",INDEX('Per Invoice'!$B$2:$B$801,$N529)))</f>
        <v/>
      </c>
      <c r="C529">
        <f>IF($N529="","",IF(INDEX('Per Invoice'!$C$2:$C$801,$N529)="","",INDEX('Per Invoice'!$C$2:$C$801,$N529)))</f>
        <v/>
      </c>
      <c r="D529">
        <f>IF($N529="","",IF(INDEX('Per Invoice'!$D$2:$D$801,$N529)="","",INDEX('Per Invoice'!$D$2:$D$801,$N529)))</f>
        <v/>
      </c>
      <c r="E529">
        <f>IF($N529="","",IF(INDEX('Per Invoice'!$E$2:$E$801,$N529)="","",INDEX('Per Invoice'!$E$2:$E$801,$N529)))</f>
        <v/>
      </c>
      <c r="F529">
        <f>IF($N529="","",IF(INDEX('Per Invoice'!$F$2:$F$801,$N529)="","",INDEX('Per Invoice'!$F$2:$F$801,$N529)))</f>
        <v/>
      </c>
      <c r="G529">
        <f>IF($N529="","",IF(INDEX('Per Invoice'!$G$2:$G$801,$N529)="","",INDEX('Per Invoice'!$G$2:$G$801,$N529)))</f>
        <v/>
      </c>
      <c r="H529">
        <f>IF($N529="","",IF(INDEX('Per Invoice'!$H$2:$H$801,$N529)="","",INDEX('Per Invoice'!$H$2:$H$801,$N529)))</f>
        <v/>
      </c>
      <c r="I529" s="5">
        <f>IF($N529="","",IF(INDEX('Per Invoice'!$I$2:$I$801,$N529)="","",INDEX('Per Invoice'!$I$2:$I$801,$N529)))</f>
        <v/>
      </c>
      <c r="J529" s="5">
        <f>IF($N529="","",IF(INDEX('Per Invoice'!$J$2:$J$801,$N529)="","",INDEX('Per Invoice'!$J$2:$J$801,$N529)))</f>
        <v/>
      </c>
      <c r="K529" s="5">
        <f>IF($N529="","",IF(INDEX('Per Invoice'!$K$2:$K$801,$N529)="","",INDEX('Per Invoice'!$K$2:$K$801,$N529)))</f>
        <v/>
      </c>
      <c r="L529" s="5">
        <f>IF($N529="","",IF(INDEX('Per Invoice'!$L$2:$L$801,$N529)="","",INDEX('Per Invoice'!$L$2:$L$801,$N529)))</f>
        <v/>
      </c>
      <c r="M529" s="5">
        <f>IF($N529="","",IF(INDEX('Per Invoice'!$M$2:$M$801,$N529)="","",INDEX('Per Invoice'!$M$2:$M$801,$N529)))</f>
        <v/>
      </c>
      <c r="N529">
        <f>IF(ROWS($N$2:$N529)&lt;=COUNT('Per Invoice'!$O$2:$O$801),MATCH(ROWS($N$2:$N529),'Per Invoice'!$O$2:$O$801,0),"")</f>
        <v/>
      </c>
    </row>
    <row r="530">
      <c r="A530">
        <f>IF($N530="","",IF(INDEX('Per Invoice'!$A$2:$A$801,$N530)="","",INDEX('Per Invoice'!$A$2:$A$801,$N530)))</f>
        <v/>
      </c>
      <c r="B530">
        <f>IF($N530="","",IF(INDEX('Per Invoice'!$B$2:$B$801,$N530)="","",INDEX('Per Invoice'!$B$2:$B$801,$N530)))</f>
        <v/>
      </c>
      <c r="C530">
        <f>IF($N530="","",IF(INDEX('Per Invoice'!$C$2:$C$801,$N530)="","",INDEX('Per Invoice'!$C$2:$C$801,$N530)))</f>
        <v/>
      </c>
      <c r="D530">
        <f>IF($N530="","",IF(INDEX('Per Invoice'!$D$2:$D$801,$N530)="","",INDEX('Per Invoice'!$D$2:$D$801,$N530)))</f>
        <v/>
      </c>
      <c r="E530">
        <f>IF($N530="","",IF(INDEX('Per Invoice'!$E$2:$E$801,$N530)="","",INDEX('Per Invoice'!$E$2:$E$801,$N530)))</f>
        <v/>
      </c>
      <c r="F530">
        <f>IF($N530="","",IF(INDEX('Per Invoice'!$F$2:$F$801,$N530)="","",INDEX('Per Invoice'!$F$2:$F$801,$N530)))</f>
        <v/>
      </c>
      <c r="G530">
        <f>IF($N530="","",IF(INDEX('Per Invoice'!$G$2:$G$801,$N530)="","",INDEX('Per Invoice'!$G$2:$G$801,$N530)))</f>
        <v/>
      </c>
      <c r="H530">
        <f>IF($N530="","",IF(INDEX('Per Invoice'!$H$2:$H$801,$N530)="","",INDEX('Per Invoice'!$H$2:$H$801,$N530)))</f>
        <v/>
      </c>
      <c r="I530" s="5">
        <f>IF($N530="","",IF(INDEX('Per Invoice'!$I$2:$I$801,$N530)="","",INDEX('Per Invoice'!$I$2:$I$801,$N530)))</f>
        <v/>
      </c>
      <c r="J530" s="5">
        <f>IF($N530="","",IF(INDEX('Per Invoice'!$J$2:$J$801,$N530)="","",INDEX('Per Invoice'!$J$2:$J$801,$N530)))</f>
        <v/>
      </c>
      <c r="K530" s="5">
        <f>IF($N530="","",IF(INDEX('Per Invoice'!$K$2:$K$801,$N530)="","",INDEX('Per Invoice'!$K$2:$K$801,$N530)))</f>
        <v/>
      </c>
      <c r="L530" s="5">
        <f>IF($N530="","",IF(INDEX('Per Invoice'!$L$2:$L$801,$N530)="","",INDEX('Per Invoice'!$L$2:$L$801,$N530)))</f>
        <v/>
      </c>
      <c r="M530" s="5">
        <f>IF($N530="","",IF(INDEX('Per Invoice'!$M$2:$M$801,$N530)="","",INDEX('Per Invoice'!$M$2:$M$801,$N530)))</f>
        <v/>
      </c>
      <c r="N530">
        <f>IF(ROWS($N$2:$N530)&lt;=COUNT('Per Invoice'!$O$2:$O$801),MATCH(ROWS($N$2:$N530),'Per Invoice'!$O$2:$O$801,0),"")</f>
        <v/>
      </c>
    </row>
    <row r="531">
      <c r="A531">
        <f>IF($N531="","",IF(INDEX('Per Invoice'!$A$2:$A$801,$N531)="","",INDEX('Per Invoice'!$A$2:$A$801,$N531)))</f>
        <v/>
      </c>
      <c r="B531">
        <f>IF($N531="","",IF(INDEX('Per Invoice'!$B$2:$B$801,$N531)="","",INDEX('Per Invoice'!$B$2:$B$801,$N531)))</f>
        <v/>
      </c>
      <c r="C531">
        <f>IF($N531="","",IF(INDEX('Per Invoice'!$C$2:$C$801,$N531)="","",INDEX('Per Invoice'!$C$2:$C$801,$N531)))</f>
        <v/>
      </c>
      <c r="D531">
        <f>IF($N531="","",IF(INDEX('Per Invoice'!$D$2:$D$801,$N531)="","",INDEX('Per Invoice'!$D$2:$D$801,$N531)))</f>
        <v/>
      </c>
      <c r="E531">
        <f>IF($N531="","",IF(INDEX('Per Invoice'!$E$2:$E$801,$N531)="","",INDEX('Per Invoice'!$E$2:$E$801,$N531)))</f>
        <v/>
      </c>
      <c r="F531">
        <f>IF($N531="","",IF(INDEX('Per Invoice'!$F$2:$F$801,$N531)="","",INDEX('Per Invoice'!$F$2:$F$801,$N531)))</f>
        <v/>
      </c>
      <c r="G531">
        <f>IF($N531="","",IF(INDEX('Per Invoice'!$G$2:$G$801,$N531)="","",INDEX('Per Invoice'!$G$2:$G$801,$N531)))</f>
        <v/>
      </c>
      <c r="H531">
        <f>IF($N531="","",IF(INDEX('Per Invoice'!$H$2:$H$801,$N531)="","",INDEX('Per Invoice'!$H$2:$H$801,$N531)))</f>
        <v/>
      </c>
      <c r="I531" s="5">
        <f>IF($N531="","",IF(INDEX('Per Invoice'!$I$2:$I$801,$N531)="","",INDEX('Per Invoice'!$I$2:$I$801,$N531)))</f>
        <v/>
      </c>
      <c r="J531" s="5">
        <f>IF($N531="","",IF(INDEX('Per Invoice'!$J$2:$J$801,$N531)="","",INDEX('Per Invoice'!$J$2:$J$801,$N531)))</f>
        <v/>
      </c>
      <c r="K531" s="5">
        <f>IF($N531="","",IF(INDEX('Per Invoice'!$K$2:$K$801,$N531)="","",INDEX('Per Invoice'!$K$2:$K$801,$N531)))</f>
        <v/>
      </c>
      <c r="L531" s="5">
        <f>IF($N531="","",IF(INDEX('Per Invoice'!$L$2:$L$801,$N531)="","",INDEX('Per Invoice'!$L$2:$L$801,$N531)))</f>
        <v/>
      </c>
      <c r="M531" s="5">
        <f>IF($N531="","",IF(INDEX('Per Invoice'!$M$2:$M$801,$N531)="","",INDEX('Per Invoice'!$M$2:$M$801,$N531)))</f>
        <v/>
      </c>
      <c r="N531">
        <f>IF(ROWS($N$2:$N531)&lt;=COUNT('Per Invoice'!$O$2:$O$801),MATCH(ROWS($N$2:$N531),'Per Invoice'!$O$2:$O$801,0),"")</f>
        <v/>
      </c>
    </row>
    <row r="532">
      <c r="A532">
        <f>IF($N532="","",IF(INDEX('Per Invoice'!$A$2:$A$801,$N532)="","",INDEX('Per Invoice'!$A$2:$A$801,$N532)))</f>
        <v/>
      </c>
      <c r="B532">
        <f>IF($N532="","",IF(INDEX('Per Invoice'!$B$2:$B$801,$N532)="","",INDEX('Per Invoice'!$B$2:$B$801,$N532)))</f>
        <v/>
      </c>
      <c r="C532">
        <f>IF($N532="","",IF(INDEX('Per Invoice'!$C$2:$C$801,$N532)="","",INDEX('Per Invoice'!$C$2:$C$801,$N532)))</f>
        <v/>
      </c>
      <c r="D532">
        <f>IF($N532="","",IF(INDEX('Per Invoice'!$D$2:$D$801,$N532)="","",INDEX('Per Invoice'!$D$2:$D$801,$N532)))</f>
        <v/>
      </c>
      <c r="E532">
        <f>IF($N532="","",IF(INDEX('Per Invoice'!$E$2:$E$801,$N532)="","",INDEX('Per Invoice'!$E$2:$E$801,$N532)))</f>
        <v/>
      </c>
      <c r="F532">
        <f>IF($N532="","",IF(INDEX('Per Invoice'!$F$2:$F$801,$N532)="","",INDEX('Per Invoice'!$F$2:$F$801,$N532)))</f>
        <v/>
      </c>
      <c r="G532">
        <f>IF($N532="","",IF(INDEX('Per Invoice'!$G$2:$G$801,$N532)="","",INDEX('Per Invoice'!$G$2:$G$801,$N532)))</f>
        <v/>
      </c>
      <c r="H532">
        <f>IF($N532="","",IF(INDEX('Per Invoice'!$H$2:$H$801,$N532)="","",INDEX('Per Invoice'!$H$2:$H$801,$N532)))</f>
        <v/>
      </c>
      <c r="I532" s="5">
        <f>IF($N532="","",IF(INDEX('Per Invoice'!$I$2:$I$801,$N532)="","",INDEX('Per Invoice'!$I$2:$I$801,$N532)))</f>
        <v/>
      </c>
      <c r="J532" s="5">
        <f>IF($N532="","",IF(INDEX('Per Invoice'!$J$2:$J$801,$N532)="","",INDEX('Per Invoice'!$J$2:$J$801,$N532)))</f>
        <v/>
      </c>
      <c r="K532" s="5">
        <f>IF($N532="","",IF(INDEX('Per Invoice'!$K$2:$K$801,$N532)="","",INDEX('Per Invoice'!$K$2:$K$801,$N532)))</f>
        <v/>
      </c>
      <c r="L532" s="5">
        <f>IF($N532="","",IF(INDEX('Per Invoice'!$L$2:$L$801,$N532)="","",INDEX('Per Invoice'!$L$2:$L$801,$N532)))</f>
        <v/>
      </c>
      <c r="M532" s="5">
        <f>IF($N532="","",IF(INDEX('Per Invoice'!$M$2:$M$801,$N532)="","",INDEX('Per Invoice'!$M$2:$M$801,$N532)))</f>
        <v/>
      </c>
      <c r="N532">
        <f>IF(ROWS($N$2:$N532)&lt;=COUNT('Per Invoice'!$O$2:$O$801),MATCH(ROWS($N$2:$N532),'Per Invoice'!$O$2:$O$801,0),"")</f>
        <v/>
      </c>
    </row>
    <row r="533">
      <c r="A533">
        <f>IF($N533="","",IF(INDEX('Per Invoice'!$A$2:$A$801,$N533)="","",INDEX('Per Invoice'!$A$2:$A$801,$N533)))</f>
        <v/>
      </c>
      <c r="B533">
        <f>IF($N533="","",IF(INDEX('Per Invoice'!$B$2:$B$801,$N533)="","",INDEX('Per Invoice'!$B$2:$B$801,$N533)))</f>
        <v/>
      </c>
      <c r="C533">
        <f>IF($N533="","",IF(INDEX('Per Invoice'!$C$2:$C$801,$N533)="","",INDEX('Per Invoice'!$C$2:$C$801,$N533)))</f>
        <v/>
      </c>
      <c r="D533">
        <f>IF($N533="","",IF(INDEX('Per Invoice'!$D$2:$D$801,$N533)="","",INDEX('Per Invoice'!$D$2:$D$801,$N533)))</f>
        <v/>
      </c>
      <c r="E533">
        <f>IF($N533="","",IF(INDEX('Per Invoice'!$E$2:$E$801,$N533)="","",INDEX('Per Invoice'!$E$2:$E$801,$N533)))</f>
        <v/>
      </c>
      <c r="F533">
        <f>IF($N533="","",IF(INDEX('Per Invoice'!$F$2:$F$801,$N533)="","",INDEX('Per Invoice'!$F$2:$F$801,$N533)))</f>
        <v/>
      </c>
      <c r="G533">
        <f>IF($N533="","",IF(INDEX('Per Invoice'!$G$2:$G$801,$N533)="","",INDEX('Per Invoice'!$G$2:$G$801,$N533)))</f>
        <v/>
      </c>
      <c r="H533">
        <f>IF($N533="","",IF(INDEX('Per Invoice'!$H$2:$H$801,$N533)="","",INDEX('Per Invoice'!$H$2:$H$801,$N533)))</f>
        <v/>
      </c>
      <c r="I533" s="5">
        <f>IF($N533="","",IF(INDEX('Per Invoice'!$I$2:$I$801,$N533)="","",INDEX('Per Invoice'!$I$2:$I$801,$N533)))</f>
        <v/>
      </c>
      <c r="J533" s="5">
        <f>IF($N533="","",IF(INDEX('Per Invoice'!$J$2:$J$801,$N533)="","",INDEX('Per Invoice'!$J$2:$J$801,$N533)))</f>
        <v/>
      </c>
      <c r="K533" s="5">
        <f>IF($N533="","",IF(INDEX('Per Invoice'!$K$2:$K$801,$N533)="","",INDEX('Per Invoice'!$K$2:$K$801,$N533)))</f>
        <v/>
      </c>
      <c r="L533" s="5">
        <f>IF($N533="","",IF(INDEX('Per Invoice'!$L$2:$L$801,$N533)="","",INDEX('Per Invoice'!$L$2:$L$801,$N533)))</f>
        <v/>
      </c>
      <c r="M533" s="5">
        <f>IF($N533="","",IF(INDEX('Per Invoice'!$M$2:$M$801,$N533)="","",INDEX('Per Invoice'!$M$2:$M$801,$N533)))</f>
        <v/>
      </c>
      <c r="N533">
        <f>IF(ROWS($N$2:$N533)&lt;=COUNT('Per Invoice'!$O$2:$O$801),MATCH(ROWS($N$2:$N533),'Per Invoice'!$O$2:$O$801,0),"")</f>
        <v/>
      </c>
    </row>
    <row r="534">
      <c r="A534">
        <f>IF($N534="","",IF(INDEX('Per Invoice'!$A$2:$A$801,$N534)="","",INDEX('Per Invoice'!$A$2:$A$801,$N534)))</f>
        <v/>
      </c>
      <c r="B534">
        <f>IF($N534="","",IF(INDEX('Per Invoice'!$B$2:$B$801,$N534)="","",INDEX('Per Invoice'!$B$2:$B$801,$N534)))</f>
        <v/>
      </c>
      <c r="C534">
        <f>IF($N534="","",IF(INDEX('Per Invoice'!$C$2:$C$801,$N534)="","",INDEX('Per Invoice'!$C$2:$C$801,$N534)))</f>
        <v/>
      </c>
      <c r="D534">
        <f>IF($N534="","",IF(INDEX('Per Invoice'!$D$2:$D$801,$N534)="","",INDEX('Per Invoice'!$D$2:$D$801,$N534)))</f>
        <v/>
      </c>
      <c r="E534">
        <f>IF($N534="","",IF(INDEX('Per Invoice'!$E$2:$E$801,$N534)="","",INDEX('Per Invoice'!$E$2:$E$801,$N534)))</f>
        <v/>
      </c>
      <c r="F534">
        <f>IF($N534="","",IF(INDEX('Per Invoice'!$F$2:$F$801,$N534)="","",INDEX('Per Invoice'!$F$2:$F$801,$N534)))</f>
        <v/>
      </c>
      <c r="G534">
        <f>IF($N534="","",IF(INDEX('Per Invoice'!$G$2:$G$801,$N534)="","",INDEX('Per Invoice'!$G$2:$G$801,$N534)))</f>
        <v/>
      </c>
      <c r="H534">
        <f>IF($N534="","",IF(INDEX('Per Invoice'!$H$2:$H$801,$N534)="","",INDEX('Per Invoice'!$H$2:$H$801,$N534)))</f>
        <v/>
      </c>
      <c r="I534" s="5">
        <f>IF($N534="","",IF(INDEX('Per Invoice'!$I$2:$I$801,$N534)="","",INDEX('Per Invoice'!$I$2:$I$801,$N534)))</f>
        <v/>
      </c>
      <c r="J534" s="5">
        <f>IF($N534="","",IF(INDEX('Per Invoice'!$J$2:$J$801,$N534)="","",INDEX('Per Invoice'!$J$2:$J$801,$N534)))</f>
        <v/>
      </c>
      <c r="K534" s="5">
        <f>IF($N534="","",IF(INDEX('Per Invoice'!$K$2:$K$801,$N534)="","",INDEX('Per Invoice'!$K$2:$K$801,$N534)))</f>
        <v/>
      </c>
      <c r="L534" s="5">
        <f>IF($N534="","",IF(INDEX('Per Invoice'!$L$2:$L$801,$N534)="","",INDEX('Per Invoice'!$L$2:$L$801,$N534)))</f>
        <v/>
      </c>
      <c r="M534" s="5">
        <f>IF($N534="","",IF(INDEX('Per Invoice'!$M$2:$M$801,$N534)="","",INDEX('Per Invoice'!$M$2:$M$801,$N534)))</f>
        <v/>
      </c>
      <c r="N534">
        <f>IF(ROWS($N$2:$N534)&lt;=COUNT('Per Invoice'!$O$2:$O$801),MATCH(ROWS($N$2:$N534),'Per Invoice'!$O$2:$O$801,0),"")</f>
        <v/>
      </c>
    </row>
    <row r="535">
      <c r="A535">
        <f>IF($N535="","",IF(INDEX('Per Invoice'!$A$2:$A$801,$N535)="","",INDEX('Per Invoice'!$A$2:$A$801,$N535)))</f>
        <v/>
      </c>
      <c r="B535">
        <f>IF($N535="","",IF(INDEX('Per Invoice'!$B$2:$B$801,$N535)="","",INDEX('Per Invoice'!$B$2:$B$801,$N535)))</f>
        <v/>
      </c>
      <c r="C535">
        <f>IF($N535="","",IF(INDEX('Per Invoice'!$C$2:$C$801,$N535)="","",INDEX('Per Invoice'!$C$2:$C$801,$N535)))</f>
        <v/>
      </c>
      <c r="D535">
        <f>IF($N535="","",IF(INDEX('Per Invoice'!$D$2:$D$801,$N535)="","",INDEX('Per Invoice'!$D$2:$D$801,$N535)))</f>
        <v/>
      </c>
      <c r="E535">
        <f>IF($N535="","",IF(INDEX('Per Invoice'!$E$2:$E$801,$N535)="","",INDEX('Per Invoice'!$E$2:$E$801,$N535)))</f>
        <v/>
      </c>
      <c r="F535">
        <f>IF($N535="","",IF(INDEX('Per Invoice'!$F$2:$F$801,$N535)="","",INDEX('Per Invoice'!$F$2:$F$801,$N535)))</f>
        <v/>
      </c>
      <c r="G535">
        <f>IF($N535="","",IF(INDEX('Per Invoice'!$G$2:$G$801,$N535)="","",INDEX('Per Invoice'!$G$2:$G$801,$N535)))</f>
        <v/>
      </c>
      <c r="H535">
        <f>IF($N535="","",IF(INDEX('Per Invoice'!$H$2:$H$801,$N535)="","",INDEX('Per Invoice'!$H$2:$H$801,$N535)))</f>
        <v/>
      </c>
      <c r="I535" s="5">
        <f>IF($N535="","",IF(INDEX('Per Invoice'!$I$2:$I$801,$N535)="","",INDEX('Per Invoice'!$I$2:$I$801,$N535)))</f>
        <v/>
      </c>
      <c r="J535" s="5">
        <f>IF($N535="","",IF(INDEX('Per Invoice'!$J$2:$J$801,$N535)="","",INDEX('Per Invoice'!$J$2:$J$801,$N535)))</f>
        <v/>
      </c>
      <c r="K535" s="5">
        <f>IF($N535="","",IF(INDEX('Per Invoice'!$K$2:$K$801,$N535)="","",INDEX('Per Invoice'!$K$2:$K$801,$N535)))</f>
        <v/>
      </c>
      <c r="L535" s="5">
        <f>IF($N535="","",IF(INDEX('Per Invoice'!$L$2:$L$801,$N535)="","",INDEX('Per Invoice'!$L$2:$L$801,$N535)))</f>
        <v/>
      </c>
      <c r="M535" s="5">
        <f>IF($N535="","",IF(INDEX('Per Invoice'!$M$2:$M$801,$N535)="","",INDEX('Per Invoice'!$M$2:$M$801,$N535)))</f>
        <v/>
      </c>
      <c r="N535">
        <f>IF(ROWS($N$2:$N535)&lt;=COUNT('Per Invoice'!$O$2:$O$801),MATCH(ROWS($N$2:$N535),'Per Invoice'!$O$2:$O$801,0),"")</f>
        <v/>
      </c>
    </row>
    <row r="536">
      <c r="A536">
        <f>IF($N536="","",IF(INDEX('Per Invoice'!$A$2:$A$801,$N536)="","",INDEX('Per Invoice'!$A$2:$A$801,$N536)))</f>
        <v/>
      </c>
      <c r="B536">
        <f>IF($N536="","",IF(INDEX('Per Invoice'!$B$2:$B$801,$N536)="","",INDEX('Per Invoice'!$B$2:$B$801,$N536)))</f>
        <v/>
      </c>
      <c r="C536">
        <f>IF($N536="","",IF(INDEX('Per Invoice'!$C$2:$C$801,$N536)="","",INDEX('Per Invoice'!$C$2:$C$801,$N536)))</f>
        <v/>
      </c>
      <c r="D536">
        <f>IF($N536="","",IF(INDEX('Per Invoice'!$D$2:$D$801,$N536)="","",INDEX('Per Invoice'!$D$2:$D$801,$N536)))</f>
        <v/>
      </c>
      <c r="E536">
        <f>IF($N536="","",IF(INDEX('Per Invoice'!$E$2:$E$801,$N536)="","",INDEX('Per Invoice'!$E$2:$E$801,$N536)))</f>
        <v/>
      </c>
      <c r="F536">
        <f>IF($N536="","",IF(INDEX('Per Invoice'!$F$2:$F$801,$N536)="","",INDEX('Per Invoice'!$F$2:$F$801,$N536)))</f>
        <v/>
      </c>
      <c r="G536">
        <f>IF($N536="","",IF(INDEX('Per Invoice'!$G$2:$G$801,$N536)="","",INDEX('Per Invoice'!$G$2:$G$801,$N536)))</f>
        <v/>
      </c>
      <c r="H536">
        <f>IF($N536="","",IF(INDEX('Per Invoice'!$H$2:$H$801,$N536)="","",INDEX('Per Invoice'!$H$2:$H$801,$N536)))</f>
        <v/>
      </c>
      <c r="I536" s="5">
        <f>IF($N536="","",IF(INDEX('Per Invoice'!$I$2:$I$801,$N536)="","",INDEX('Per Invoice'!$I$2:$I$801,$N536)))</f>
        <v/>
      </c>
      <c r="J536" s="5">
        <f>IF($N536="","",IF(INDEX('Per Invoice'!$J$2:$J$801,$N536)="","",INDEX('Per Invoice'!$J$2:$J$801,$N536)))</f>
        <v/>
      </c>
      <c r="K536" s="5">
        <f>IF($N536="","",IF(INDEX('Per Invoice'!$K$2:$K$801,$N536)="","",INDEX('Per Invoice'!$K$2:$K$801,$N536)))</f>
        <v/>
      </c>
      <c r="L536" s="5">
        <f>IF($N536="","",IF(INDEX('Per Invoice'!$L$2:$L$801,$N536)="","",INDEX('Per Invoice'!$L$2:$L$801,$N536)))</f>
        <v/>
      </c>
      <c r="M536" s="5">
        <f>IF($N536="","",IF(INDEX('Per Invoice'!$M$2:$M$801,$N536)="","",INDEX('Per Invoice'!$M$2:$M$801,$N536)))</f>
        <v/>
      </c>
      <c r="N536">
        <f>IF(ROWS($N$2:$N536)&lt;=COUNT('Per Invoice'!$O$2:$O$801),MATCH(ROWS($N$2:$N536),'Per Invoice'!$O$2:$O$801,0),"")</f>
        <v/>
      </c>
    </row>
    <row r="537">
      <c r="A537">
        <f>IF($N537="","",IF(INDEX('Per Invoice'!$A$2:$A$801,$N537)="","",INDEX('Per Invoice'!$A$2:$A$801,$N537)))</f>
        <v/>
      </c>
      <c r="B537">
        <f>IF($N537="","",IF(INDEX('Per Invoice'!$B$2:$B$801,$N537)="","",INDEX('Per Invoice'!$B$2:$B$801,$N537)))</f>
        <v/>
      </c>
      <c r="C537">
        <f>IF($N537="","",IF(INDEX('Per Invoice'!$C$2:$C$801,$N537)="","",INDEX('Per Invoice'!$C$2:$C$801,$N537)))</f>
        <v/>
      </c>
      <c r="D537">
        <f>IF($N537="","",IF(INDEX('Per Invoice'!$D$2:$D$801,$N537)="","",INDEX('Per Invoice'!$D$2:$D$801,$N537)))</f>
        <v/>
      </c>
      <c r="E537">
        <f>IF($N537="","",IF(INDEX('Per Invoice'!$E$2:$E$801,$N537)="","",INDEX('Per Invoice'!$E$2:$E$801,$N537)))</f>
        <v/>
      </c>
      <c r="F537">
        <f>IF($N537="","",IF(INDEX('Per Invoice'!$F$2:$F$801,$N537)="","",INDEX('Per Invoice'!$F$2:$F$801,$N537)))</f>
        <v/>
      </c>
      <c r="G537">
        <f>IF($N537="","",IF(INDEX('Per Invoice'!$G$2:$G$801,$N537)="","",INDEX('Per Invoice'!$G$2:$G$801,$N537)))</f>
        <v/>
      </c>
      <c r="H537">
        <f>IF($N537="","",IF(INDEX('Per Invoice'!$H$2:$H$801,$N537)="","",INDEX('Per Invoice'!$H$2:$H$801,$N537)))</f>
        <v/>
      </c>
      <c r="I537" s="5">
        <f>IF($N537="","",IF(INDEX('Per Invoice'!$I$2:$I$801,$N537)="","",INDEX('Per Invoice'!$I$2:$I$801,$N537)))</f>
        <v/>
      </c>
      <c r="J537" s="5">
        <f>IF($N537="","",IF(INDEX('Per Invoice'!$J$2:$J$801,$N537)="","",INDEX('Per Invoice'!$J$2:$J$801,$N537)))</f>
        <v/>
      </c>
      <c r="K537" s="5">
        <f>IF($N537="","",IF(INDEX('Per Invoice'!$K$2:$K$801,$N537)="","",INDEX('Per Invoice'!$K$2:$K$801,$N537)))</f>
        <v/>
      </c>
      <c r="L537" s="5">
        <f>IF($N537="","",IF(INDEX('Per Invoice'!$L$2:$L$801,$N537)="","",INDEX('Per Invoice'!$L$2:$L$801,$N537)))</f>
        <v/>
      </c>
      <c r="M537" s="5">
        <f>IF($N537="","",IF(INDEX('Per Invoice'!$M$2:$M$801,$N537)="","",INDEX('Per Invoice'!$M$2:$M$801,$N537)))</f>
        <v/>
      </c>
      <c r="N537">
        <f>IF(ROWS($N$2:$N537)&lt;=COUNT('Per Invoice'!$O$2:$O$801),MATCH(ROWS($N$2:$N537),'Per Invoice'!$O$2:$O$801,0),"")</f>
        <v/>
      </c>
    </row>
    <row r="538">
      <c r="A538">
        <f>IF($N538="","",IF(INDEX('Per Invoice'!$A$2:$A$801,$N538)="","",INDEX('Per Invoice'!$A$2:$A$801,$N538)))</f>
        <v/>
      </c>
      <c r="B538">
        <f>IF($N538="","",IF(INDEX('Per Invoice'!$B$2:$B$801,$N538)="","",INDEX('Per Invoice'!$B$2:$B$801,$N538)))</f>
        <v/>
      </c>
      <c r="C538">
        <f>IF($N538="","",IF(INDEX('Per Invoice'!$C$2:$C$801,$N538)="","",INDEX('Per Invoice'!$C$2:$C$801,$N538)))</f>
        <v/>
      </c>
      <c r="D538">
        <f>IF($N538="","",IF(INDEX('Per Invoice'!$D$2:$D$801,$N538)="","",INDEX('Per Invoice'!$D$2:$D$801,$N538)))</f>
        <v/>
      </c>
      <c r="E538">
        <f>IF($N538="","",IF(INDEX('Per Invoice'!$E$2:$E$801,$N538)="","",INDEX('Per Invoice'!$E$2:$E$801,$N538)))</f>
        <v/>
      </c>
      <c r="F538">
        <f>IF($N538="","",IF(INDEX('Per Invoice'!$F$2:$F$801,$N538)="","",INDEX('Per Invoice'!$F$2:$F$801,$N538)))</f>
        <v/>
      </c>
      <c r="G538">
        <f>IF($N538="","",IF(INDEX('Per Invoice'!$G$2:$G$801,$N538)="","",INDEX('Per Invoice'!$G$2:$G$801,$N538)))</f>
        <v/>
      </c>
      <c r="H538">
        <f>IF($N538="","",IF(INDEX('Per Invoice'!$H$2:$H$801,$N538)="","",INDEX('Per Invoice'!$H$2:$H$801,$N538)))</f>
        <v/>
      </c>
      <c r="I538" s="5">
        <f>IF($N538="","",IF(INDEX('Per Invoice'!$I$2:$I$801,$N538)="","",INDEX('Per Invoice'!$I$2:$I$801,$N538)))</f>
        <v/>
      </c>
      <c r="J538" s="5">
        <f>IF($N538="","",IF(INDEX('Per Invoice'!$J$2:$J$801,$N538)="","",INDEX('Per Invoice'!$J$2:$J$801,$N538)))</f>
        <v/>
      </c>
      <c r="K538" s="5">
        <f>IF($N538="","",IF(INDEX('Per Invoice'!$K$2:$K$801,$N538)="","",INDEX('Per Invoice'!$K$2:$K$801,$N538)))</f>
        <v/>
      </c>
      <c r="L538" s="5">
        <f>IF($N538="","",IF(INDEX('Per Invoice'!$L$2:$L$801,$N538)="","",INDEX('Per Invoice'!$L$2:$L$801,$N538)))</f>
        <v/>
      </c>
      <c r="M538" s="5">
        <f>IF($N538="","",IF(INDEX('Per Invoice'!$M$2:$M$801,$N538)="","",INDEX('Per Invoice'!$M$2:$M$801,$N538)))</f>
        <v/>
      </c>
      <c r="N538">
        <f>IF(ROWS($N$2:$N538)&lt;=COUNT('Per Invoice'!$O$2:$O$801),MATCH(ROWS($N$2:$N538),'Per Invoice'!$O$2:$O$801,0),"")</f>
        <v/>
      </c>
    </row>
    <row r="539">
      <c r="A539">
        <f>IF($N539="","",IF(INDEX('Per Invoice'!$A$2:$A$801,$N539)="","",INDEX('Per Invoice'!$A$2:$A$801,$N539)))</f>
        <v/>
      </c>
      <c r="B539">
        <f>IF($N539="","",IF(INDEX('Per Invoice'!$B$2:$B$801,$N539)="","",INDEX('Per Invoice'!$B$2:$B$801,$N539)))</f>
        <v/>
      </c>
      <c r="C539">
        <f>IF($N539="","",IF(INDEX('Per Invoice'!$C$2:$C$801,$N539)="","",INDEX('Per Invoice'!$C$2:$C$801,$N539)))</f>
        <v/>
      </c>
      <c r="D539">
        <f>IF($N539="","",IF(INDEX('Per Invoice'!$D$2:$D$801,$N539)="","",INDEX('Per Invoice'!$D$2:$D$801,$N539)))</f>
        <v/>
      </c>
      <c r="E539">
        <f>IF($N539="","",IF(INDEX('Per Invoice'!$E$2:$E$801,$N539)="","",INDEX('Per Invoice'!$E$2:$E$801,$N539)))</f>
        <v/>
      </c>
      <c r="F539">
        <f>IF($N539="","",IF(INDEX('Per Invoice'!$F$2:$F$801,$N539)="","",INDEX('Per Invoice'!$F$2:$F$801,$N539)))</f>
        <v/>
      </c>
      <c r="G539">
        <f>IF($N539="","",IF(INDEX('Per Invoice'!$G$2:$G$801,$N539)="","",INDEX('Per Invoice'!$G$2:$G$801,$N539)))</f>
        <v/>
      </c>
      <c r="H539">
        <f>IF($N539="","",IF(INDEX('Per Invoice'!$H$2:$H$801,$N539)="","",INDEX('Per Invoice'!$H$2:$H$801,$N539)))</f>
        <v/>
      </c>
      <c r="I539" s="5">
        <f>IF($N539="","",IF(INDEX('Per Invoice'!$I$2:$I$801,$N539)="","",INDEX('Per Invoice'!$I$2:$I$801,$N539)))</f>
        <v/>
      </c>
      <c r="J539" s="5">
        <f>IF($N539="","",IF(INDEX('Per Invoice'!$J$2:$J$801,$N539)="","",INDEX('Per Invoice'!$J$2:$J$801,$N539)))</f>
        <v/>
      </c>
      <c r="K539" s="5">
        <f>IF($N539="","",IF(INDEX('Per Invoice'!$K$2:$K$801,$N539)="","",INDEX('Per Invoice'!$K$2:$K$801,$N539)))</f>
        <v/>
      </c>
      <c r="L539" s="5">
        <f>IF($N539="","",IF(INDEX('Per Invoice'!$L$2:$L$801,$N539)="","",INDEX('Per Invoice'!$L$2:$L$801,$N539)))</f>
        <v/>
      </c>
      <c r="M539" s="5">
        <f>IF($N539="","",IF(INDEX('Per Invoice'!$M$2:$M$801,$N539)="","",INDEX('Per Invoice'!$M$2:$M$801,$N539)))</f>
        <v/>
      </c>
      <c r="N539">
        <f>IF(ROWS($N$2:$N539)&lt;=COUNT('Per Invoice'!$O$2:$O$801),MATCH(ROWS($N$2:$N539),'Per Invoice'!$O$2:$O$801,0),"")</f>
        <v/>
      </c>
    </row>
    <row r="540">
      <c r="A540">
        <f>IF($N540="","",IF(INDEX('Per Invoice'!$A$2:$A$801,$N540)="","",INDEX('Per Invoice'!$A$2:$A$801,$N540)))</f>
        <v/>
      </c>
      <c r="B540">
        <f>IF($N540="","",IF(INDEX('Per Invoice'!$B$2:$B$801,$N540)="","",INDEX('Per Invoice'!$B$2:$B$801,$N540)))</f>
        <v/>
      </c>
      <c r="C540">
        <f>IF($N540="","",IF(INDEX('Per Invoice'!$C$2:$C$801,$N540)="","",INDEX('Per Invoice'!$C$2:$C$801,$N540)))</f>
        <v/>
      </c>
      <c r="D540">
        <f>IF($N540="","",IF(INDEX('Per Invoice'!$D$2:$D$801,$N540)="","",INDEX('Per Invoice'!$D$2:$D$801,$N540)))</f>
        <v/>
      </c>
      <c r="E540">
        <f>IF($N540="","",IF(INDEX('Per Invoice'!$E$2:$E$801,$N540)="","",INDEX('Per Invoice'!$E$2:$E$801,$N540)))</f>
        <v/>
      </c>
      <c r="F540">
        <f>IF($N540="","",IF(INDEX('Per Invoice'!$F$2:$F$801,$N540)="","",INDEX('Per Invoice'!$F$2:$F$801,$N540)))</f>
        <v/>
      </c>
      <c r="G540">
        <f>IF($N540="","",IF(INDEX('Per Invoice'!$G$2:$G$801,$N540)="","",INDEX('Per Invoice'!$G$2:$G$801,$N540)))</f>
        <v/>
      </c>
      <c r="H540">
        <f>IF($N540="","",IF(INDEX('Per Invoice'!$H$2:$H$801,$N540)="","",INDEX('Per Invoice'!$H$2:$H$801,$N540)))</f>
        <v/>
      </c>
      <c r="I540" s="5">
        <f>IF($N540="","",IF(INDEX('Per Invoice'!$I$2:$I$801,$N540)="","",INDEX('Per Invoice'!$I$2:$I$801,$N540)))</f>
        <v/>
      </c>
      <c r="J540" s="5">
        <f>IF($N540="","",IF(INDEX('Per Invoice'!$J$2:$J$801,$N540)="","",INDEX('Per Invoice'!$J$2:$J$801,$N540)))</f>
        <v/>
      </c>
      <c r="K540" s="5">
        <f>IF($N540="","",IF(INDEX('Per Invoice'!$K$2:$K$801,$N540)="","",INDEX('Per Invoice'!$K$2:$K$801,$N540)))</f>
        <v/>
      </c>
      <c r="L540" s="5">
        <f>IF($N540="","",IF(INDEX('Per Invoice'!$L$2:$L$801,$N540)="","",INDEX('Per Invoice'!$L$2:$L$801,$N540)))</f>
        <v/>
      </c>
      <c r="M540" s="5">
        <f>IF($N540="","",IF(INDEX('Per Invoice'!$M$2:$M$801,$N540)="","",INDEX('Per Invoice'!$M$2:$M$801,$N540)))</f>
        <v/>
      </c>
      <c r="N540">
        <f>IF(ROWS($N$2:$N540)&lt;=COUNT('Per Invoice'!$O$2:$O$801),MATCH(ROWS($N$2:$N540),'Per Invoice'!$O$2:$O$801,0),"")</f>
        <v/>
      </c>
    </row>
    <row r="541">
      <c r="A541">
        <f>IF($N541="","",IF(INDEX('Per Invoice'!$A$2:$A$801,$N541)="","",INDEX('Per Invoice'!$A$2:$A$801,$N541)))</f>
        <v/>
      </c>
      <c r="B541">
        <f>IF($N541="","",IF(INDEX('Per Invoice'!$B$2:$B$801,$N541)="","",INDEX('Per Invoice'!$B$2:$B$801,$N541)))</f>
        <v/>
      </c>
      <c r="C541">
        <f>IF($N541="","",IF(INDEX('Per Invoice'!$C$2:$C$801,$N541)="","",INDEX('Per Invoice'!$C$2:$C$801,$N541)))</f>
        <v/>
      </c>
      <c r="D541">
        <f>IF($N541="","",IF(INDEX('Per Invoice'!$D$2:$D$801,$N541)="","",INDEX('Per Invoice'!$D$2:$D$801,$N541)))</f>
        <v/>
      </c>
      <c r="E541">
        <f>IF($N541="","",IF(INDEX('Per Invoice'!$E$2:$E$801,$N541)="","",INDEX('Per Invoice'!$E$2:$E$801,$N541)))</f>
        <v/>
      </c>
      <c r="F541">
        <f>IF($N541="","",IF(INDEX('Per Invoice'!$F$2:$F$801,$N541)="","",INDEX('Per Invoice'!$F$2:$F$801,$N541)))</f>
        <v/>
      </c>
      <c r="G541">
        <f>IF($N541="","",IF(INDEX('Per Invoice'!$G$2:$G$801,$N541)="","",INDEX('Per Invoice'!$G$2:$G$801,$N541)))</f>
        <v/>
      </c>
      <c r="H541">
        <f>IF($N541="","",IF(INDEX('Per Invoice'!$H$2:$H$801,$N541)="","",INDEX('Per Invoice'!$H$2:$H$801,$N541)))</f>
        <v/>
      </c>
      <c r="I541" s="5">
        <f>IF($N541="","",IF(INDEX('Per Invoice'!$I$2:$I$801,$N541)="","",INDEX('Per Invoice'!$I$2:$I$801,$N541)))</f>
        <v/>
      </c>
      <c r="J541" s="5">
        <f>IF($N541="","",IF(INDEX('Per Invoice'!$J$2:$J$801,$N541)="","",INDEX('Per Invoice'!$J$2:$J$801,$N541)))</f>
        <v/>
      </c>
      <c r="K541" s="5">
        <f>IF($N541="","",IF(INDEX('Per Invoice'!$K$2:$K$801,$N541)="","",INDEX('Per Invoice'!$K$2:$K$801,$N541)))</f>
        <v/>
      </c>
      <c r="L541" s="5">
        <f>IF($N541="","",IF(INDEX('Per Invoice'!$L$2:$L$801,$N541)="","",INDEX('Per Invoice'!$L$2:$L$801,$N541)))</f>
        <v/>
      </c>
      <c r="M541" s="5">
        <f>IF($N541="","",IF(INDEX('Per Invoice'!$M$2:$M$801,$N541)="","",INDEX('Per Invoice'!$M$2:$M$801,$N541)))</f>
        <v/>
      </c>
      <c r="N541">
        <f>IF(ROWS($N$2:$N541)&lt;=COUNT('Per Invoice'!$O$2:$O$801),MATCH(ROWS($N$2:$N541),'Per Invoice'!$O$2:$O$801,0),"")</f>
        <v/>
      </c>
    </row>
    <row r="542">
      <c r="A542">
        <f>IF($N542="","",IF(INDEX('Per Invoice'!$A$2:$A$801,$N542)="","",INDEX('Per Invoice'!$A$2:$A$801,$N542)))</f>
        <v/>
      </c>
      <c r="B542">
        <f>IF($N542="","",IF(INDEX('Per Invoice'!$B$2:$B$801,$N542)="","",INDEX('Per Invoice'!$B$2:$B$801,$N542)))</f>
        <v/>
      </c>
      <c r="C542">
        <f>IF($N542="","",IF(INDEX('Per Invoice'!$C$2:$C$801,$N542)="","",INDEX('Per Invoice'!$C$2:$C$801,$N542)))</f>
        <v/>
      </c>
      <c r="D542">
        <f>IF($N542="","",IF(INDEX('Per Invoice'!$D$2:$D$801,$N542)="","",INDEX('Per Invoice'!$D$2:$D$801,$N542)))</f>
        <v/>
      </c>
      <c r="E542">
        <f>IF($N542="","",IF(INDEX('Per Invoice'!$E$2:$E$801,$N542)="","",INDEX('Per Invoice'!$E$2:$E$801,$N542)))</f>
        <v/>
      </c>
      <c r="F542">
        <f>IF($N542="","",IF(INDEX('Per Invoice'!$F$2:$F$801,$N542)="","",INDEX('Per Invoice'!$F$2:$F$801,$N542)))</f>
        <v/>
      </c>
      <c r="G542">
        <f>IF($N542="","",IF(INDEX('Per Invoice'!$G$2:$G$801,$N542)="","",INDEX('Per Invoice'!$G$2:$G$801,$N542)))</f>
        <v/>
      </c>
      <c r="H542">
        <f>IF($N542="","",IF(INDEX('Per Invoice'!$H$2:$H$801,$N542)="","",INDEX('Per Invoice'!$H$2:$H$801,$N542)))</f>
        <v/>
      </c>
      <c r="I542" s="5">
        <f>IF($N542="","",IF(INDEX('Per Invoice'!$I$2:$I$801,$N542)="","",INDEX('Per Invoice'!$I$2:$I$801,$N542)))</f>
        <v/>
      </c>
      <c r="J542" s="5">
        <f>IF($N542="","",IF(INDEX('Per Invoice'!$J$2:$J$801,$N542)="","",INDEX('Per Invoice'!$J$2:$J$801,$N542)))</f>
        <v/>
      </c>
      <c r="K542" s="5">
        <f>IF($N542="","",IF(INDEX('Per Invoice'!$K$2:$K$801,$N542)="","",INDEX('Per Invoice'!$K$2:$K$801,$N542)))</f>
        <v/>
      </c>
      <c r="L542" s="5">
        <f>IF($N542="","",IF(INDEX('Per Invoice'!$L$2:$L$801,$N542)="","",INDEX('Per Invoice'!$L$2:$L$801,$N542)))</f>
        <v/>
      </c>
      <c r="M542" s="5">
        <f>IF($N542="","",IF(INDEX('Per Invoice'!$M$2:$M$801,$N542)="","",INDEX('Per Invoice'!$M$2:$M$801,$N542)))</f>
        <v/>
      </c>
      <c r="N542">
        <f>IF(ROWS($N$2:$N542)&lt;=COUNT('Per Invoice'!$O$2:$O$801),MATCH(ROWS($N$2:$N542),'Per Invoice'!$O$2:$O$801,0),"")</f>
        <v/>
      </c>
    </row>
    <row r="543">
      <c r="A543">
        <f>IF($N543="","",IF(INDEX('Per Invoice'!$A$2:$A$801,$N543)="","",INDEX('Per Invoice'!$A$2:$A$801,$N543)))</f>
        <v/>
      </c>
      <c r="B543">
        <f>IF($N543="","",IF(INDEX('Per Invoice'!$B$2:$B$801,$N543)="","",INDEX('Per Invoice'!$B$2:$B$801,$N543)))</f>
        <v/>
      </c>
      <c r="C543">
        <f>IF($N543="","",IF(INDEX('Per Invoice'!$C$2:$C$801,$N543)="","",INDEX('Per Invoice'!$C$2:$C$801,$N543)))</f>
        <v/>
      </c>
      <c r="D543">
        <f>IF($N543="","",IF(INDEX('Per Invoice'!$D$2:$D$801,$N543)="","",INDEX('Per Invoice'!$D$2:$D$801,$N543)))</f>
        <v/>
      </c>
      <c r="E543">
        <f>IF($N543="","",IF(INDEX('Per Invoice'!$E$2:$E$801,$N543)="","",INDEX('Per Invoice'!$E$2:$E$801,$N543)))</f>
        <v/>
      </c>
      <c r="F543">
        <f>IF($N543="","",IF(INDEX('Per Invoice'!$F$2:$F$801,$N543)="","",INDEX('Per Invoice'!$F$2:$F$801,$N543)))</f>
        <v/>
      </c>
      <c r="G543">
        <f>IF($N543="","",IF(INDEX('Per Invoice'!$G$2:$G$801,$N543)="","",INDEX('Per Invoice'!$G$2:$G$801,$N543)))</f>
        <v/>
      </c>
      <c r="H543">
        <f>IF($N543="","",IF(INDEX('Per Invoice'!$H$2:$H$801,$N543)="","",INDEX('Per Invoice'!$H$2:$H$801,$N543)))</f>
        <v/>
      </c>
      <c r="I543" s="5">
        <f>IF($N543="","",IF(INDEX('Per Invoice'!$I$2:$I$801,$N543)="","",INDEX('Per Invoice'!$I$2:$I$801,$N543)))</f>
        <v/>
      </c>
      <c r="J543" s="5">
        <f>IF($N543="","",IF(INDEX('Per Invoice'!$J$2:$J$801,$N543)="","",INDEX('Per Invoice'!$J$2:$J$801,$N543)))</f>
        <v/>
      </c>
      <c r="K543" s="5">
        <f>IF($N543="","",IF(INDEX('Per Invoice'!$K$2:$K$801,$N543)="","",INDEX('Per Invoice'!$K$2:$K$801,$N543)))</f>
        <v/>
      </c>
      <c r="L543" s="5">
        <f>IF($N543="","",IF(INDEX('Per Invoice'!$L$2:$L$801,$N543)="","",INDEX('Per Invoice'!$L$2:$L$801,$N543)))</f>
        <v/>
      </c>
      <c r="M543" s="5">
        <f>IF($N543="","",IF(INDEX('Per Invoice'!$M$2:$M$801,$N543)="","",INDEX('Per Invoice'!$M$2:$M$801,$N543)))</f>
        <v/>
      </c>
      <c r="N543">
        <f>IF(ROWS($N$2:$N543)&lt;=COUNT('Per Invoice'!$O$2:$O$801),MATCH(ROWS($N$2:$N543),'Per Invoice'!$O$2:$O$801,0),"")</f>
        <v/>
      </c>
    </row>
    <row r="544">
      <c r="A544">
        <f>IF($N544="","",IF(INDEX('Per Invoice'!$A$2:$A$801,$N544)="","",INDEX('Per Invoice'!$A$2:$A$801,$N544)))</f>
        <v/>
      </c>
      <c r="B544">
        <f>IF($N544="","",IF(INDEX('Per Invoice'!$B$2:$B$801,$N544)="","",INDEX('Per Invoice'!$B$2:$B$801,$N544)))</f>
        <v/>
      </c>
      <c r="C544">
        <f>IF($N544="","",IF(INDEX('Per Invoice'!$C$2:$C$801,$N544)="","",INDEX('Per Invoice'!$C$2:$C$801,$N544)))</f>
        <v/>
      </c>
      <c r="D544">
        <f>IF($N544="","",IF(INDEX('Per Invoice'!$D$2:$D$801,$N544)="","",INDEX('Per Invoice'!$D$2:$D$801,$N544)))</f>
        <v/>
      </c>
      <c r="E544">
        <f>IF($N544="","",IF(INDEX('Per Invoice'!$E$2:$E$801,$N544)="","",INDEX('Per Invoice'!$E$2:$E$801,$N544)))</f>
        <v/>
      </c>
      <c r="F544">
        <f>IF($N544="","",IF(INDEX('Per Invoice'!$F$2:$F$801,$N544)="","",INDEX('Per Invoice'!$F$2:$F$801,$N544)))</f>
        <v/>
      </c>
      <c r="G544">
        <f>IF($N544="","",IF(INDEX('Per Invoice'!$G$2:$G$801,$N544)="","",INDEX('Per Invoice'!$G$2:$G$801,$N544)))</f>
        <v/>
      </c>
      <c r="H544">
        <f>IF($N544="","",IF(INDEX('Per Invoice'!$H$2:$H$801,$N544)="","",INDEX('Per Invoice'!$H$2:$H$801,$N544)))</f>
        <v/>
      </c>
      <c r="I544" s="5">
        <f>IF($N544="","",IF(INDEX('Per Invoice'!$I$2:$I$801,$N544)="","",INDEX('Per Invoice'!$I$2:$I$801,$N544)))</f>
        <v/>
      </c>
      <c r="J544" s="5">
        <f>IF($N544="","",IF(INDEX('Per Invoice'!$J$2:$J$801,$N544)="","",INDEX('Per Invoice'!$J$2:$J$801,$N544)))</f>
        <v/>
      </c>
      <c r="K544" s="5">
        <f>IF($N544="","",IF(INDEX('Per Invoice'!$K$2:$K$801,$N544)="","",INDEX('Per Invoice'!$K$2:$K$801,$N544)))</f>
        <v/>
      </c>
      <c r="L544" s="5">
        <f>IF($N544="","",IF(INDEX('Per Invoice'!$L$2:$L$801,$N544)="","",INDEX('Per Invoice'!$L$2:$L$801,$N544)))</f>
        <v/>
      </c>
      <c r="M544" s="5">
        <f>IF($N544="","",IF(INDEX('Per Invoice'!$M$2:$M$801,$N544)="","",INDEX('Per Invoice'!$M$2:$M$801,$N544)))</f>
        <v/>
      </c>
      <c r="N544">
        <f>IF(ROWS($N$2:$N544)&lt;=COUNT('Per Invoice'!$O$2:$O$801),MATCH(ROWS($N$2:$N544),'Per Invoice'!$O$2:$O$801,0),"")</f>
        <v/>
      </c>
    </row>
    <row r="545">
      <c r="A545">
        <f>IF($N545="","",IF(INDEX('Per Invoice'!$A$2:$A$801,$N545)="","",INDEX('Per Invoice'!$A$2:$A$801,$N545)))</f>
        <v/>
      </c>
      <c r="B545">
        <f>IF($N545="","",IF(INDEX('Per Invoice'!$B$2:$B$801,$N545)="","",INDEX('Per Invoice'!$B$2:$B$801,$N545)))</f>
        <v/>
      </c>
      <c r="C545">
        <f>IF($N545="","",IF(INDEX('Per Invoice'!$C$2:$C$801,$N545)="","",INDEX('Per Invoice'!$C$2:$C$801,$N545)))</f>
        <v/>
      </c>
      <c r="D545">
        <f>IF($N545="","",IF(INDEX('Per Invoice'!$D$2:$D$801,$N545)="","",INDEX('Per Invoice'!$D$2:$D$801,$N545)))</f>
        <v/>
      </c>
      <c r="E545">
        <f>IF($N545="","",IF(INDEX('Per Invoice'!$E$2:$E$801,$N545)="","",INDEX('Per Invoice'!$E$2:$E$801,$N545)))</f>
        <v/>
      </c>
      <c r="F545">
        <f>IF($N545="","",IF(INDEX('Per Invoice'!$F$2:$F$801,$N545)="","",INDEX('Per Invoice'!$F$2:$F$801,$N545)))</f>
        <v/>
      </c>
      <c r="G545">
        <f>IF($N545="","",IF(INDEX('Per Invoice'!$G$2:$G$801,$N545)="","",INDEX('Per Invoice'!$G$2:$G$801,$N545)))</f>
        <v/>
      </c>
      <c r="H545">
        <f>IF($N545="","",IF(INDEX('Per Invoice'!$H$2:$H$801,$N545)="","",INDEX('Per Invoice'!$H$2:$H$801,$N545)))</f>
        <v/>
      </c>
      <c r="I545" s="5">
        <f>IF($N545="","",IF(INDEX('Per Invoice'!$I$2:$I$801,$N545)="","",INDEX('Per Invoice'!$I$2:$I$801,$N545)))</f>
        <v/>
      </c>
      <c r="J545" s="5">
        <f>IF($N545="","",IF(INDEX('Per Invoice'!$J$2:$J$801,$N545)="","",INDEX('Per Invoice'!$J$2:$J$801,$N545)))</f>
        <v/>
      </c>
      <c r="K545" s="5">
        <f>IF($N545="","",IF(INDEX('Per Invoice'!$K$2:$K$801,$N545)="","",INDEX('Per Invoice'!$K$2:$K$801,$N545)))</f>
        <v/>
      </c>
      <c r="L545" s="5">
        <f>IF($N545="","",IF(INDEX('Per Invoice'!$L$2:$L$801,$N545)="","",INDEX('Per Invoice'!$L$2:$L$801,$N545)))</f>
        <v/>
      </c>
      <c r="M545" s="5">
        <f>IF($N545="","",IF(INDEX('Per Invoice'!$M$2:$M$801,$N545)="","",INDEX('Per Invoice'!$M$2:$M$801,$N545)))</f>
        <v/>
      </c>
      <c r="N545">
        <f>IF(ROWS($N$2:$N545)&lt;=COUNT('Per Invoice'!$O$2:$O$801),MATCH(ROWS($N$2:$N545),'Per Invoice'!$O$2:$O$801,0),"")</f>
        <v/>
      </c>
    </row>
    <row r="546">
      <c r="A546">
        <f>IF($N546="","",IF(INDEX('Per Invoice'!$A$2:$A$801,$N546)="","",INDEX('Per Invoice'!$A$2:$A$801,$N546)))</f>
        <v/>
      </c>
      <c r="B546">
        <f>IF($N546="","",IF(INDEX('Per Invoice'!$B$2:$B$801,$N546)="","",INDEX('Per Invoice'!$B$2:$B$801,$N546)))</f>
        <v/>
      </c>
      <c r="C546">
        <f>IF($N546="","",IF(INDEX('Per Invoice'!$C$2:$C$801,$N546)="","",INDEX('Per Invoice'!$C$2:$C$801,$N546)))</f>
        <v/>
      </c>
      <c r="D546">
        <f>IF($N546="","",IF(INDEX('Per Invoice'!$D$2:$D$801,$N546)="","",INDEX('Per Invoice'!$D$2:$D$801,$N546)))</f>
        <v/>
      </c>
      <c r="E546">
        <f>IF($N546="","",IF(INDEX('Per Invoice'!$E$2:$E$801,$N546)="","",INDEX('Per Invoice'!$E$2:$E$801,$N546)))</f>
        <v/>
      </c>
      <c r="F546">
        <f>IF($N546="","",IF(INDEX('Per Invoice'!$F$2:$F$801,$N546)="","",INDEX('Per Invoice'!$F$2:$F$801,$N546)))</f>
        <v/>
      </c>
      <c r="G546">
        <f>IF($N546="","",IF(INDEX('Per Invoice'!$G$2:$G$801,$N546)="","",INDEX('Per Invoice'!$G$2:$G$801,$N546)))</f>
        <v/>
      </c>
      <c r="H546">
        <f>IF($N546="","",IF(INDEX('Per Invoice'!$H$2:$H$801,$N546)="","",INDEX('Per Invoice'!$H$2:$H$801,$N546)))</f>
        <v/>
      </c>
      <c r="I546" s="5">
        <f>IF($N546="","",IF(INDEX('Per Invoice'!$I$2:$I$801,$N546)="","",INDEX('Per Invoice'!$I$2:$I$801,$N546)))</f>
        <v/>
      </c>
      <c r="J546" s="5">
        <f>IF($N546="","",IF(INDEX('Per Invoice'!$J$2:$J$801,$N546)="","",INDEX('Per Invoice'!$J$2:$J$801,$N546)))</f>
        <v/>
      </c>
      <c r="K546" s="5">
        <f>IF($N546="","",IF(INDEX('Per Invoice'!$K$2:$K$801,$N546)="","",INDEX('Per Invoice'!$K$2:$K$801,$N546)))</f>
        <v/>
      </c>
      <c r="L546" s="5">
        <f>IF($N546="","",IF(INDEX('Per Invoice'!$L$2:$L$801,$N546)="","",INDEX('Per Invoice'!$L$2:$L$801,$N546)))</f>
        <v/>
      </c>
      <c r="M546" s="5">
        <f>IF($N546="","",IF(INDEX('Per Invoice'!$M$2:$M$801,$N546)="","",INDEX('Per Invoice'!$M$2:$M$801,$N546)))</f>
        <v/>
      </c>
      <c r="N546">
        <f>IF(ROWS($N$2:$N546)&lt;=COUNT('Per Invoice'!$O$2:$O$801),MATCH(ROWS($N$2:$N546),'Per Invoice'!$O$2:$O$801,0),"")</f>
        <v/>
      </c>
    </row>
    <row r="547">
      <c r="A547">
        <f>IF($N547="","",IF(INDEX('Per Invoice'!$A$2:$A$801,$N547)="","",INDEX('Per Invoice'!$A$2:$A$801,$N547)))</f>
        <v/>
      </c>
      <c r="B547">
        <f>IF($N547="","",IF(INDEX('Per Invoice'!$B$2:$B$801,$N547)="","",INDEX('Per Invoice'!$B$2:$B$801,$N547)))</f>
        <v/>
      </c>
      <c r="C547">
        <f>IF($N547="","",IF(INDEX('Per Invoice'!$C$2:$C$801,$N547)="","",INDEX('Per Invoice'!$C$2:$C$801,$N547)))</f>
        <v/>
      </c>
      <c r="D547">
        <f>IF($N547="","",IF(INDEX('Per Invoice'!$D$2:$D$801,$N547)="","",INDEX('Per Invoice'!$D$2:$D$801,$N547)))</f>
        <v/>
      </c>
      <c r="E547">
        <f>IF($N547="","",IF(INDEX('Per Invoice'!$E$2:$E$801,$N547)="","",INDEX('Per Invoice'!$E$2:$E$801,$N547)))</f>
        <v/>
      </c>
      <c r="F547">
        <f>IF($N547="","",IF(INDEX('Per Invoice'!$F$2:$F$801,$N547)="","",INDEX('Per Invoice'!$F$2:$F$801,$N547)))</f>
        <v/>
      </c>
      <c r="G547">
        <f>IF($N547="","",IF(INDEX('Per Invoice'!$G$2:$G$801,$N547)="","",INDEX('Per Invoice'!$G$2:$G$801,$N547)))</f>
        <v/>
      </c>
      <c r="H547">
        <f>IF($N547="","",IF(INDEX('Per Invoice'!$H$2:$H$801,$N547)="","",INDEX('Per Invoice'!$H$2:$H$801,$N547)))</f>
        <v/>
      </c>
      <c r="I547" s="5">
        <f>IF($N547="","",IF(INDEX('Per Invoice'!$I$2:$I$801,$N547)="","",INDEX('Per Invoice'!$I$2:$I$801,$N547)))</f>
        <v/>
      </c>
      <c r="J547" s="5">
        <f>IF($N547="","",IF(INDEX('Per Invoice'!$J$2:$J$801,$N547)="","",INDEX('Per Invoice'!$J$2:$J$801,$N547)))</f>
        <v/>
      </c>
      <c r="K547" s="5">
        <f>IF($N547="","",IF(INDEX('Per Invoice'!$K$2:$K$801,$N547)="","",INDEX('Per Invoice'!$K$2:$K$801,$N547)))</f>
        <v/>
      </c>
      <c r="L547" s="5">
        <f>IF($N547="","",IF(INDEX('Per Invoice'!$L$2:$L$801,$N547)="","",INDEX('Per Invoice'!$L$2:$L$801,$N547)))</f>
        <v/>
      </c>
      <c r="M547" s="5">
        <f>IF($N547="","",IF(INDEX('Per Invoice'!$M$2:$M$801,$N547)="","",INDEX('Per Invoice'!$M$2:$M$801,$N547)))</f>
        <v/>
      </c>
      <c r="N547">
        <f>IF(ROWS($N$2:$N547)&lt;=COUNT('Per Invoice'!$O$2:$O$801),MATCH(ROWS($N$2:$N547),'Per Invoice'!$O$2:$O$801,0),"")</f>
        <v/>
      </c>
    </row>
    <row r="548">
      <c r="A548">
        <f>IF($N548="","",IF(INDEX('Per Invoice'!$A$2:$A$801,$N548)="","",INDEX('Per Invoice'!$A$2:$A$801,$N548)))</f>
        <v/>
      </c>
      <c r="B548">
        <f>IF($N548="","",IF(INDEX('Per Invoice'!$B$2:$B$801,$N548)="","",INDEX('Per Invoice'!$B$2:$B$801,$N548)))</f>
        <v/>
      </c>
      <c r="C548">
        <f>IF($N548="","",IF(INDEX('Per Invoice'!$C$2:$C$801,$N548)="","",INDEX('Per Invoice'!$C$2:$C$801,$N548)))</f>
        <v/>
      </c>
      <c r="D548">
        <f>IF($N548="","",IF(INDEX('Per Invoice'!$D$2:$D$801,$N548)="","",INDEX('Per Invoice'!$D$2:$D$801,$N548)))</f>
        <v/>
      </c>
      <c r="E548">
        <f>IF($N548="","",IF(INDEX('Per Invoice'!$E$2:$E$801,$N548)="","",INDEX('Per Invoice'!$E$2:$E$801,$N548)))</f>
        <v/>
      </c>
      <c r="F548">
        <f>IF($N548="","",IF(INDEX('Per Invoice'!$F$2:$F$801,$N548)="","",INDEX('Per Invoice'!$F$2:$F$801,$N548)))</f>
        <v/>
      </c>
      <c r="G548">
        <f>IF($N548="","",IF(INDEX('Per Invoice'!$G$2:$G$801,$N548)="","",INDEX('Per Invoice'!$G$2:$G$801,$N548)))</f>
        <v/>
      </c>
      <c r="H548">
        <f>IF($N548="","",IF(INDEX('Per Invoice'!$H$2:$H$801,$N548)="","",INDEX('Per Invoice'!$H$2:$H$801,$N548)))</f>
        <v/>
      </c>
      <c r="I548" s="5">
        <f>IF($N548="","",IF(INDEX('Per Invoice'!$I$2:$I$801,$N548)="","",INDEX('Per Invoice'!$I$2:$I$801,$N548)))</f>
        <v/>
      </c>
      <c r="J548" s="5">
        <f>IF($N548="","",IF(INDEX('Per Invoice'!$J$2:$J$801,$N548)="","",INDEX('Per Invoice'!$J$2:$J$801,$N548)))</f>
        <v/>
      </c>
      <c r="K548" s="5">
        <f>IF($N548="","",IF(INDEX('Per Invoice'!$K$2:$K$801,$N548)="","",INDEX('Per Invoice'!$K$2:$K$801,$N548)))</f>
        <v/>
      </c>
      <c r="L548" s="5">
        <f>IF($N548="","",IF(INDEX('Per Invoice'!$L$2:$L$801,$N548)="","",INDEX('Per Invoice'!$L$2:$L$801,$N548)))</f>
        <v/>
      </c>
      <c r="M548" s="5">
        <f>IF($N548="","",IF(INDEX('Per Invoice'!$M$2:$M$801,$N548)="","",INDEX('Per Invoice'!$M$2:$M$801,$N548)))</f>
        <v/>
      </c>
      <c r="N548">
        <f>IF(ROWS($N$2:$N548)&lt;=COUNT('Per Invoice'!$O$2:$O$801),MATCH(ROWS($N$2:$N548),'Per Invoice'!$O$2:$O$801,0),"")</f>
        <v/>
      </c>
    </row>
    <row r="549">
      <c r="A549">
        <f>IF($N549="","",IF(INDEX('Per Invoice'!$A$2:$A$801,$N549)="","",INDEX('Per Invoice'!$A$2:$A$801,$N549)))</f>
        <v/>
      </c>
      <c r="B549">
        <f>IF($N549="","",IF(INDEX('Per Invoice'!$B$2:$B$801,$N549)="","",INDEX('Per Invoice'!$B$2:$B$801,$N549)))</f>
        <v/>
      </c>
      <c r="C549">
        <f>IF($N549="","",IF(INDEX('Per Invoice'!$C$2:$C$801,$N549)="","",INDEX('Per Invoice'!$C$2:$C$801,$N549)))</f>
        <v/>
      </c>
      <c r="D549">
        <f>IF($N549="","",IF(INDEX('Per Invoice'!$D$2:$D$801,$N549)="","",INDEX('Per Invoice'!$D$2:$D$801,$N549)))</f>
        <v/>
      </c>
      <c r="E549">
        <f>IF($N549="","",IF(INDEX('Per Invoice'!$E$2:$E$801,$N549)="","",INDEX('Per Invoice'!$E$2:$E$801,$N549)))</f>
        <v/>
      </c>
      <c r="F549">
        <f>IF($N549="","",IF(INDEX('Per Invoice'!$F$2:$F$801,$N549)="","",INDEX('Per Invoice'!$F$2:$F$801,$N549)))</f>
        <v/>
      </c>
      <c r="G549">
        <f>IF($N549="","",IF(INDEX('Per Invoice'!$G$2:$G$801,$N549)="","",INDEX('Per Invoice'!$G$2:$G$801,$N549)))</f>
        <v/>
      </c>
      <c r="H549">
        <f>IF($N549="","",IF(INDEX('Per Invoice'!$H$2:$H$801,$N549)="","",INDEX('Per Invoice'!$H$2:$H$801,$N549)))</f>
        <v/>
      </c>
      <c r="I549" s="5">
        <f>IF($N549="","",IF(INDEX('Per Invoice'!$I$2:$I$801,$N549)="","",INDEX('Per Invoice'!$I$2:$I$801,$N549)))</f>
        <v/>
      </c>
      <c r="J549" s="5">
        <f>IF($N549="","",IF(INDEX('Per Invoice'!$J$2:$J$801,$N549)="","",INDEX('Per Invoice'!$J$2:$J$801,$N549)))</f>
        <v/>
      </c>
      <c r="K549" s="5">
        <f>IF($N549="","",IF(INDEX('Per Invoice'!$K$2:$K$801,$N549)="","",INDEX('Per Invoice'!$K$2:$K$801,$N549)))</f>
        <v/>
      </c>
      <c r="L549" s="5">
        <f>IF($N549="","",IF(INDEX('Per Invoice'!$L$2:$L$801,$N549)="","",INDEX('Per Invoice'!$L$2:$L$801,$N549)))</f>
        <v/>
      </c>
      <c r="M549" s="5">
        <f>IF($N549="","",IF(INDEX('Per Invoice'!$M$2:$M$801,$N549)="","",INDEX('Per Invoice'!$M$2:$M$801,$N549)))</f>
        <v/>
      </c>
      <c r="N549">
        <f>IF(ROWS($N$2:$N549)&lt;=COUNT('Per Invoice'!$O$2:$O$801),MATCH(ROWS($N$2:$N549),'Per Invoice'!$O$2:$O$801,0),"")</f>
        <v/>
      </c>
    </row>
    <row r="550">
      <c r="A550">
        <f>IF($N550="","",IF(INDEX('Per Invoice'!$A$2:$A$801,$N550)="","",INDEX('Per Invoice'!$A$2:$A$801,$N550)))</f>
        <v/>
      </c>
      <c r="B550">
        <f>IF($N550="","",IF(INDEX('Per Invoice'!$B$2:$B$801,$N550)="","",INDEX('Per Invoice'!$B$2:$B$801,$N550)))</f>
        <v/>
      </c>
      <c r="C550">
        <f>IF($N550="","",IF(INDEX('Per Invoice'!$C$2:$C$801,$N550)="","",INDEX('Per Invoice'!$C$2:$C$801,$N550)))</f>
        <v/>
      </c>
      <c r="D550">
        <f>IF($N550="","",IF(INDEX('Per Invoice'!$D$2:$D$801,$N550)="","",INDEX('Per Invoice'!$D$2:$D$801,$N550)))</f>
        <v/>
      </c>
      <c r="E550">
        <f>IF($N550="","",IF(INDEX('Per Invoice'!$E$2:$E$801,$N550)="","",INDEX('Per Invoice'!$E$2:$E$801,$N550)))</f>
        <v/>
      </c>
      <c r="F550">
        <f>IF($N550="","",IF(INDEX('Per Invoice'!$F$2:$F$801,$N550)="","",INDEX('Per Invoice'!$F$2:$F$801,$N550)))</f>
        <v/>
      </c>
      <c r="G550">
        <f>IF($N550="","",IF(INDEX('Per Invoice'!$G$2:$G$801,$N550)="","",INDEX('Per Invoice'!$G$2:$G$801,$N550)))</f>
        <v/>
      </c>
      <c r="H550">
        <f>IF($N550="","",IF(INDEX('Per Invoice'!$H$2:$H$801,$N550)="","",INDEX('Per Invoice'!$H$2:$H$801,$N550)))</f>
        <v/>
      </c>
      <c r="I550" s="5">
        <f>IF($N550="","",IF(INDEX('Per Invoice'!$I$2:$I$801,$N550)="","",INDEX('Per Invoice'!$I$2:$I$801,$N550)))</f>
        <v/>
      </c>
      <c r="J550" s="5">
        <f>IF($N550="","",IF(INDEX('Per Invoice'!$J$2:$J$801,$N550)="","",INDEX('Per Invoice'!$J$2:$J$801,$N550)))</f>
        <v/>
      </c>
      <c r="K550" s="5">
        <f>IF($N550="","",IF(INDEX('Per Invoice'!$K$2:$K$801,$N550)="","",INDEX('Per Invoice'!$K$2:$K$801,$N550)))</f>
        <v/>
      </c>
      <c r="L550" s="5">
        <f>IF($N550="","",IF(INDEX('Per Invoice'!$L$2:$L$801,$N550)="","",INDEX('Per Invoice'!$L$2:$L$801,$N550)))</f>
        <v/>
      </c>
      <c r="M550" s="5">
        <f>IF($N550="","",IF(INDEX('Per Invoice'!$M$2:$M$801,$N550)="","",INDEX('Per Invoice'!$M$2:$M$801,$N550)))</f>
        <v/>
      </c>
      <c r="N550">
        <f>IF(ROWS($N$2:$N550)&lt;=COUNT('Per Invoice'!$O$2:$O$801),MATCH(ROWS($N$2:$N550),'Per Invoice'!$O$2:$O$801,0),"")</f>
        <v/>
      </c>
    </row>
    <row r="551">
      <c r="A551">
        <f>IF($N551="","",IF(INDEX('Per Invoice'!$A$2:$A$801,$N551)="","",INDEX('Per Invoice'!$A$2:$A$801,$N551)))</f>
        <v/>
      </c>
      <c r="B551">
        <f>IF($N551="","",IF(INDEX('Per Invoice'!$B$2:$B$801,$N551)="","",INDEX('Per Invoice'!$B$2:$B$801,$N551)))</f>
        <v/>
      </c>
      <c r="C551">
        <f>IF($N551="","",IF(INDEX('Per Invoice'!$C$2:$C$801,$N551)="","",INDEX('Per Invoice'!$C$2:$C$801,$N551)))</f>
        <v/>
      </c>
      <c r="D551">
        <f>IF($N551="","",IF(INDEX('Per Invoice'!$D$2:$D$801,$N551)="","",INDEX('Per Invoice'!$D$2:$D$801,$N551)))</f>
        <v/>
      </c>
      <c r="E551">
        <f>IF($N551="","",IF(INDEX('Per Invoice'!$E$2:$E$801,$N551)="","",INDEX('Per Invoice'!$E$2:$E$801,$N551)))</f>
        <v/>
      </c>
      <c r="F551">
        <f>IF($N551="","",IF(INDEX('Per Invoice'!$F$2:$F$801,$N551)="","",INDEX('Per Invoice'!$F$2:$F$801,$N551)))</f>
        <v/>
      </c>
      <c r="G551">
        <f>IF($N551="","",IF(INDEX('Per Invoice'!$G$2:$G$801,$N551)="","",INDEX('Per Invoice'!$G$2:$G$801,$N551)))</f>
        <v/>
      </c>
      <c r="H551">
        <f>IF($N551="","",IF(INDEX('Per Invoice'!$H$2:$H$801,$N551)="","",INDEX('Per Invoice'!$H$2:$H$801,$N551)))</f>
        <v/>
      </c>
      <c r="I551" s="5">
        <f>IF($N551="","",IF(INDEX('Per Invoice'!$I$2:$I$801,$N551)="","",INDEX('Per Invoice'!$I$2:$I$801,$N551)))</f>
        <v/>
      </c>
      <c r="J551" s="5">
        <f>IF($N551="","",IF(INDEX('Per Invoice'!$J$2:$J$801,$N551)="","",INDEX('Per Invoice'!$J$2:$J$801,$N551)))</f>
        <v/>
      </c>
      <c r="K551" s="5">
        <f>IF($N551="","",IF(INDEX('Per Invoice'!$K$2:$K$801,$N551)="","",INDEX('Per Invoice'!$K$2:$K$801,$N551)))</f>
        <v/>
      </c>
      <c r="L551" s="5">
        <f>IF($N551="","",IF(INDEX('Per Invoice'!$L$2:$L$801,$N551)="","",INDEX('Per Invoice'!$L$2:$L$801,$N551)))</f>
        <v/>
      </c>
      <c r="M551" s="5">
        <f>IF($N551="","",IF(INDEX('Per Invoice'!$M$2:$M$801,$N551)="","",INDEX('Per Invoice'!$M$2:$M$801,$N551)))</f>
        <v/>
      </c>
      <c r="N551">
        <f>IF(ROWS($N$2:$N551)&lt;=COUNT('Per Invoice'!$O$2:$O$801),MATCH(ROWS($N$2:$N551),'Per Invoice'!$O$2:$O$801,0),"")</f>
        <v/>
      </c>
    </row>
    <row r="552">
      <c r="A552">
        <f>IF($N552="","",IF(INDEX('Per Invoice'!$A$2:$A$801,$N552)="","",INDEX('Per Invoice'!$A$2:$A$801,$N552)))</f>
        <v/>
      </c>
      <c r="B552">
        <f>IF($N552="","",IF(INDEX('Per Invoice'!$B$2:$B$801,$N552)="","",INDEX('Per Invoice'!$B$2:$B$801,$N552)))</f>
        <v/>
      </c>
      <c r="C552">
        <f>IF($N552="","",IF(INDEX('Per Invoice'!$C$2:$C$801,$N552)="","",INDEX('Per Invoice'!$C$2:$C$801,$N552)))</f>
        <v/>
      </c>
      <c r="D552">
        <f>IF($N552="","",IF(INDEX('Per Invoice'!$D$2:$D$801,$N552)="","",INDEX('Per Invoice'!$D$2:$D$801,$N552)))</f>
        <v/>
      </c>
      <c r="E552">
        <f>IF($N552="","",IF(INDEX('Per Invoice'!$E$2:$E$801,$N552)="","",INDEX('Per Invoice'!$E$2:$E$801,$N552)))</f>
        <v/>
      </c>
      <c r="F552">
        <f>IF($N552="","",IF(INDEX('Per Invoice'!$F$2:$F$801,$N552)="","",INDEX('Per Invoice'!$F$2:$F$801,$N552)))</f>
        <v/>
      </c>
      <c r="G552">
        <f>IF($N552="","",IF(INDEX('Per Invoice'!$G$2:$G$801,$N552)="","",INDEX('Per Invoice'!$G$2:$G$801,$N552)))</f>
        <v/>
      </c>
      <c r="H552">
        <f>IF($N552="","",IF(INDEX('Per Invoice'!$H$2:$H$801,$N552)="","",INDEX('Per Invoice'!$H$2:$H$801,$N552)))</f>
        <v/>
      </c>
      <c r="I552" s="5">
        <f>IF($N552="","",IF(INDEX('Per Invoice'!$I$2:$I$801,$N552)="","",INDEX('Per Invoice'!$I$2:$I$801,$N552)))</f>
        <v/>
      </c>
      <c r="J552" s="5">
        <f>IF($N552="","",IF(INDEX('Per Invoice'!$J$2:$J$801,$N552)="","",INDEX('Per Invoice'!$J$2:$J$801,$N552)))</f>
        <v/>
      </c>
      <c r="K552" s="5">
        <f>IF($N552="","",IF(INDEX('Per Invoice'!$K$2:$K$801,$N552)="","",INDEX('Per Invoice'!$K$2:$K$801,$N552)))</f>
        <v/>
      </c>
      <c r="L552" s="5">
        <f>IF($N552="","",IF(INDEX('Per Invoice'!$L$2:$L$801,$N552)="","",INDEX('Per Invoice'!$L$2:$L$801,$N552)))</f>
        <v/>
      </c>
      <c r="M552" s="5">
        <f>IF($N552="","",IF(INDEX('Per Invoice'!$M$2:$M$801,$N552)="","",INDEX('Per Invoice'!$M$2:$M$801,$N552)))</f>
        <v/>
      </c>
      <c r="N552">
        <f>IF(ROWS($N$2:$N552)&lt;=COUNT('Per Invoice'!$O$2:$O$801),MATCH(ROWS($N$2:$N552),'Per Invoice'!$O$2:$O$801,0),"")</f>
        <v/>
      </c>
    </row>
    <row r="553">
      <c r="A553">
        <f>IF($N553="","",IF(INDEX('Per Invoice'!$A$2:$A$801,$N553)="","",INDEX('Per Invoice'!$A$2:$A$801,$N553)))</f>
        <v/>
      </c>
      <c r="B553">
        <f>IF($N553="","",IF(INDEX('Per Invoice'!$B$2:$B$801,$N553)="","",INDEX('Per Invoice'!$B$2:$B$801,$N553)))</f>
        <v/>
      </c>
      <c r="C553">
        <f>IF($N553="","",IF(INDEX('Per Invoice'!$C$2:$C$801,$N553)="","",INDEX('Per Invoice'!$C$2:$C$801,$N553)))</f>
        <v/>
      </c>
      <c r="D553">
        <f>IF($N553="","",IF(INDEX('Per Invoice'!$D$2:$D$801,$N553)="","",INDEX('Per Invoice'!$D$2:$D$801,$N553)))</f>
        <v/>
      </c>
      <c r="E553">
        <f>IF($N553="","",IF(INDEX('Per Invoice'!$E$2:$E$801,$N553)="","",INDEX('Per Invoice'!$E$2:$E$801,$N553)))</f>
        <v/>
      </c>
      <c r="F553">
        <f>IF($N553="","",IF(INDEX('Per Invoice'!$F$2:$F$801,$N553)="","",INDEX('Per Invoice'!$F$2:$F$801,$N553)))</f>
        <v/>
      </c>
      <c r="G553">
        <f>IF($N553="","",IF(INDEX('Per Invoice'!$G$2:$G$801,$N553)="","",INDEX('Per Invoice'!$G$2:$G$801,$N553)))</f>
        <v/>
      </c>
      <c r="H553">
        <f>IF($N553="","",IF(INDEX('Per Invoice'!$H$2:$H$801,$N553)="","",INDEX('Per Invoice'!$H$2:$H$801,$N553)))</f>
        <v/>
      </c>
      <c r="I553" s="5">
        <f>IF($N553="","",IF(INDEX('Per Invoice'!$I$2:$I$801,$N553)="","",INDEX('Per Invoice'!$I$2:$I$801,$N553)))</f>
        <v/>
      </c>
      <c r="J553" s="5">
        <f>IF($N553="","",IF(INDEX('Per Invoice'!$J$2:$J$801,$N553)="","",INDEX('Per Invoice'!$J$2:$J$801,$N553)))</f>
        <v/>
      </c>
      <c r="K553" s="5">
        <f>IF($N553="","",IF(INDEX('Per Invoice'!$K$2:$K$801,$N553)="","",INDEX('Per Invoice'!$K$2:$K$801,$N553)))</f>
        <v/>
      </c>
      <c r="L553" s="5">
        <f>IF($N553="","",IF(INDEX('Per Invoice'!$L$2:$L$801,$N553)="","",INDEX('Per Invoice'!$L$2:$L$801,$N553)))</f>
        <v/>
      </c>
      <c r="M553" s="5">
        <f>IF($N553="","",IF(INDEX('Per Invoice'!$M$2:$M$801,$N553)="","",INDEX('Per Invoice'!$M$2:$M$801,$N553)))</f>
        <v/>
      </c>
      <c r="N553">
        <f>IF(ROWS($N$2:$N553)&lt;=COUNT('Per Invoice'!$O$2:$O$801),MATCH(ROWS($N$2:$N553),'Per Invoice'!$O$2:$O$801,0),"")</f>
        <v/>
      </c>
    </row>
    <row r="554">
      <c r="A554">
        <f>IF($N554="","",IF(INDEX('Per Invoice'!$A$2:$A$801,$N554)="","",INDEX('Per Invoice'!$A$2:$A$801,$N554)))</f>
        <v/>
      </c>
      <c r="B554">
        <f>IF($N554="","",IF(INDEX('Per Invoice'!$B$2:$B$801,$N554)="","",INDEX('Per Invoice'!$B$2:$B$801,$N554)))</f>
        <v/>
      </c>
      <c r="C554">
        <f>IF($N554="","",IF(INDEX('Per Invoice'!$C$2:$C$801,$N554)="","",INDEX('Per Invoice'!$C$2:$C$801,$N554)))</f>
        <v/>
      </c>
      <c r="D554">
        <f>IF($N554="","",IF(INDEX('Per Invoice'!$D$2:$D$801,$N554)="","",INDEX('Per Invoice'!$D$2:$D$801,$N554)))</f>
        <v/>
      </c>
      <c r="E554">
        <f>IF($N554="","",IF(INDEX('Per Invoice'!$E$2:$E$801,$N554)="","",INDEX('Per Invoice'!$E$2:$E$801,$N554)))</f>
        <v/>
      </c>
      <c r="F554">
        <f>IF($N554="","",IF(INDEX('Per Invoice'!$F$2:$F$801,$N554)="","",INDEX('Per Invoice'!$F$2:$F$801,$N554)))</f>
        <v/>
      </c>
      <c r="G554">
        <f>IF($N554="","",IF(INDEX('Per Invoice'!$G$2:$G$801,$N554)="","",INDEX('Per Invoice'!$G$2:$G$801,$N554)))</f>
        <v/>
      </c>
      <c r="H554">
        <f>IF($N554="","",IF(INDEX('Per Invoice'!$H$2:$H$801,$N554)="","",INDEX('Per Invoice'!$H$2:$H$801,$N554)))</f>
        <v/>
      </c>
      <c r="I554" s="5">
        <f>IF($N554="","",IF(INDEX('Per Invoice'!$I$2:$I$801,$N554)="","",INDEX('Per Invoice'!$I$2:$I$801,$N554)))</f>
        <v/>
      </c>
      <c r="J554" s="5">
        <f>IF($N554="","",IF(INDEX('Per Invoice'!$J$2:$J$801,$N554)="","",INDEX('Per Invoice'!$J$2:$J$801,$N554)))</f>
        <v/>
      </c>
      <c r="K554" s="5">
        <f>IF($N554="","",IF(INDEX('Per Invoice'!$K$2:$K$801,$N554)="","",INDEX('Per Invoice'!$K$2:$K$801,$N554)))</f>
        <v/>
      </c>
      <c r="L554" s="5">
        <f>IF($N554="","",IF(INDEX('Per Invoice'!$L$2:$L$801,$N554)="","",INDEX('Per Invoice'!$L$2:$L$801,$N554)))</f>
        <v/>
      </c>
      <c r="M554" s="5">
        <f>IF($N554="","",IF(INDEX('Per Invoice'!$M$2:$M$801,$N554)="","",INDEX('Per Invoice'!$M$2:$M$801,$N554)))</f>
        <v/>
      </c>
      <c r="N554">
        <f>IF(ROWS($N$2:$N554)&lt;=COUNT('Per Invoice'!$O$2:$O$801),MATCH(ROWS($N$2:$N554),'Per Invoice'!$O$2:$O$801,0),"")</f>
        <v/>
      </c>
    </row>
    <row r="555">
      <c r="A555">
        <f>IF($N555="","",IF(INDEX('Per Invoice'!$A$2:$A$801,$N555)="","",INDEX('Per Invoice'!$A$2:$A$801,$N555)))</f>
        <v/>
      </c>
      <c r="B555">
        <f>IF($N555="","",IF(INDEX('Per Invoice'!$B$2:$B$801,$N555)="","",INDEX('Per Invoice'!$B$2:$B$801,$N555)))</f>
        <v/>
      </c>
      <c r="C555">
        <f>IF($N555="","",IF(INDEX('Per Invoice'!$C$2:$C$801,$N555)="","",INDEX('Per Invoice'!$C$2:$C$801,$N555)))</f>
        <v/>
      </c>
      <c r="D555">
        <f>IF($N555="","",IF(INDEX('Per Invoice'!$D$2:$D$801,$N555)="","",INDEX('Per Invoice'!$D$2:$D$801,$N555)))</f>
        <v/>
      </c>
      <c r="E555">
        <f>IF($N555="","",IF(INDEX('Per Invoice'!$E$2:$E$801,$N555)="","",INDEX('Per Invoice'!$E$2:$E$801,$N555)))</f>
        <v/>
      </c>
      <c r="F555">
        <f>IF($N555="","",IF(INDEX('Per Invoice'!$F$2:$F$801,$N555)="","",INDEX('Per Invoice'!$F$2:$F$801,$N555)))</f>
        <v/>
      </c>
      <c r="G555">
        <f>IF($N555="","",IF(INDEX('Per Invoice'!$G$2:$G$801,$N555)="","",INDEX('Per Invoice'!$G$2:$G$801,$N555)))</f>
        <v/>
      </c>
      <c r="H555">
        <f>IF($N555="","",IF(INDEX('Per Invoice'!$H$2:$H$801,$N555)="","",INDEX('Per Invoice'!$H$2:$H$801,$N555)))</f>
        <v/>
      </c>
      <c r="I555" s="5">
        <f>IF($N555="","",IF(INDEX('Per Invoice'!$I$2:$I$801,$N555)="","",INDEX('Per Invoice'!$I$2:$I$801,$N555)))</f>
        <v/>
      </c>
      <c r="J555" s="5">
        <f>IF($N555="","",IF(INDEX('Per Invoice'!$J$2:$J$801,$N555)="","",INDEX('Per Invoice'!$J$2:$J$801,$N555)))</f>
        <v/>
      </c>
      <c r="K555" s="5">
        <f>IF($N555="","",IF(INDEX('Per Invoice'!$K$2:$K$801,$N555)="","",INDEX('Per Invoice'!$K$2:$K$801,$N555)))</f>
        <v/>
      </c>
      <c r="L555" s="5">
        <f>IF($N555="","",IF(INDEX('Per Invoice'!$L$2:$L$801,$N555)="","",INDEX('Per Invoice'!$L$2:$L$801,$N555)))</f>
        <v/>
      </c>
      <c r="M555" s="5">
        <f>IF($N555="","",IF(INDEX('Per Invoice'!$M$2:$M$801,$N555)="","",INDEX('Per Invoice'!$M$2:$M$801,$N555)))</f>
        <v/>
      </c>
      <c r="N555">
        <f>IF(ROWS($N$2:$N555)&lt;=COUNT('Per Invoice'!$O$2:$O$801),MATCH(ROWS($N$2:$N555),'Per Invoice'!$O$2:$O$801,0),"")</f>
        <v/>
      </c>
    </row>
    <row r="556">
      <c r="A556">
        <f>IF($N556="","",IF(INDEX('Per Invoice'!$A$2:$A$801,$N556)="","",INDEX('Per Invoice'!$A$2:$A$801,$N556)))</f>
        <v/>
      </c>
      <c r="B556">
        <f>IF($N556="","",IF(INDEX('Per Invoice'!$B$2:$B$801,$N556)="","",INDEX('Per Invoice'!$B$2:$B$801,$N556)))</f>
        <v/>
      </c>
      <c r="C556">
        <f>IF($N556="","",IF(INDEX('Per Invoice'!$C$2:$C$801,$N556)="","",INDEX('Per Invoice'!$C$2:$C$801,$N556)))</f>
        <v/>
      </c>
      <c r="D556">
        <f>IF($N556="","",IF(INDEX('Per Invoice'!$D$2:$D$801,$N556)="","",INDEX('Per Invoice'!$D$2:$D$801,$N556)))</f>
        <v/>
      </c>
      <c r="E556">
        <f>IF($N556="","",IF(INDEX('Per Invoice'!$E$2:$E$801,$N556)="","",INDEX('Per Invoice'!$E$2:$E$801,$N556)))</f>
        <v/>
      </c>
      <c r="F556">
        <f>IF($N556="","",IF(INDEX('Per Invoice'!$F$2:$F$801,$N556)="","",INDEX('Per Invoice'!$F$2:$F$801,$N556)))</f>
        <v/>
      </c>
      <c r="G556">
        <f>IF($N556="","",IF(INDEX('Per Invoice'!$G$2:$G$801,$N556)="","",INDEX('Per Invoice'!$G$2:$G$801,$N556)))</f>
        <v/>
      </c>
      <c r="H556">
        <f>IF($N556="","",IF(INDEX('Per Invoice'!$H$2:$H$801,$N556)="","",INDEX('Per Invoice'!$H$2:$H$801,$N556)))</f>
        <v/>
      </c>
      <c r="I556" s="5">
        <f>IF($N556="","",IF(INDEX('Per Invoice'!$I$2:$I$801,$N556)="","",INDEX('Per Invoice'!$I$2:$I$801,$N556)))</f>
        <v/>
      </c>
      <c r="J556" s="5">
        <f>IF($N556="","",IF(INDEX('Per Invoice'!$J$2:$J$801,$N556)="","",INDEX('Per Invoice'!$J$2:$J$801,$N556)))</f>
        <v/>
      </c>
      <c r="K556" s="5">
        <f>IF($N556="","",IF(INDEX('Per Invoice'!$K$2:$K$801,$N556)="","",INDEX('Per Invoice'!$K$2:$K$801,$N556)))</f>
        <v/>
      </c>
      <c r="L556" s="5">
        <f>IF($N556="","",IF(INDEX('Per Invoice'!$L$2:$L$801,$N556)="","",INDEX('Per Invoice'!$L$2:$L$801,$N556)))</f>
        <v/>
      </c>
      <c r="M556" s="5">
        <f>IF($N556="","",IF(INDEX('Per Invoice'!$M$2:$M$801,$N556)="","",INDEX('Per Invoice'!$M$2:$M$801,$N556)))</f>
        <v/>
      </c>
      <c r="N556">
        <f>IF(ROWS($N$2:$N556)&lt;=COUNT('Per Invoice'!$O$2:$O$801),MATCH(ROWS($N$2:$N556),'Per Invoice'!$O$2:$O$801,0),"")</f>
        <v/>
      </c>
    </row>
    <row r="557">
      <c r="A557">
        <f>IF($N557="","",IF(INDEX('Per Invoice'!$A$2:$A$801,$N557)="","",INDEX('Per Invoice'!$A$2:$A$801,$N557)))</f>
        <v/>
      </c>
      <c r="B557">
        <f>IF($N557="","",IF(INDEX('Per Invoice'!$B$2:$B$801,$N557)="","",INDEX('Per Invoice'!$B$2:$B$801,$N557)))</f>
        <v/>
      </c>
      <c r="C557">
        <f>IF($N557="","",IF(INDEX('Per Invoice'!$C$2:$C$801,$N557)="","",INDEX('Per Invoice'!$C$2:$C$801,$N557)))</f>
        <v/>
      </c>
      <c r="D557">
        <f>IF($N557="","",IF(INDEX('Per Invoice'!$D$2:$D$801,$N557)="","",INDEX('Per Invoice'!$D$2:$D$801,$N557)))</f>
        <v/>
      </c>
      <c r="E557">
        <f>IF($N557="","",IF(INDEX('Per Invoice'!$E$2:$E$801,$N557)="","",INDEX('Per Invoice'!$E$2:$E$801,$N557)))</f>
        <v/>
      </c>
      <c r="F557">
        <f>IF($N557="","",IF(INDEX('Per Invoice'!$F$2:$F$801,$N557)="","",INDEX('Per Invoice'!$F$2:$F$801,$N557)))</f>
        <v/>
      </c>
      <c r="G557">
        <f>IF($N557="","",IF(INDEX('Per Invoice'!$G$2:$G$801,$N557)="","",INDEX('Per Invoice'!$G$2:$G$801,$N557)))</f>
        <v/>
      </c>
      <c r="H557">
        <f>IF($N557="","",IF(INDEX('Per Invoice'!$H$2:$H$801,$N557)="","",INDEX('Per Invoice'!$H$2:$H$801,$N557)))</f>
        <v/>
      </c>
      <c r="I557" s="5">
        <f>IF($N557="","",IF(INDEX('Per Invoice'!$I$2:$I$801,$N557)="","",INDEX('Per Invoice'!$I$2:$I$801,$N557)))</f>
        <v/>
      </c>
      <c r="J557" s="5">
        <f>IF($N557="","",IF(INDEX('Per Invoice'!$J$2:$J$801,$N557)="","",INDEX('Per Invoice'!$J$2:$J$801,$N557)))</f>
        <v/>
      </c>
      <c r="K557" s="5">
        <f>IF($N557="","",IF(INDEX('Per Invoice'!$K$2:$K$801,$N557)="","",INDEX('Per Invoice'!$K$2:$K$801,$N557)))</f>
        <v/>
      </c>
      <c r="L557" s="5">
        <f>IF($N557="","",IF(INDEX('Per Invoice'!$L$2:$L$801,$N557)="","",INDEX('Per Invoice'!$L$2:$L$801,$N557)))</f>
        <v/>
      </c>
      <c r="M557" s="5">
        <f>IF($N557="","",IF(INDEX('Per Invoice'!$M$2:$M$801,$N557)="","",INDEX('Per Invoice'!$M$2:$M$801,$N557)))</f>
        <v/>
      </c>
      <c r="N557">
        <f>IF(ROWS($N$2:$N557)&lt;=COUNT('Per Invoice'!$O$2:$O$801),MATCH(ROWS($N$2:$N557),'Per Invoice'!$O$2:$O$801,0),"")</f>
        <v/>
      </c>
    </row>
    <row r="558">
      <c r="A558">
        <f>IF($N558="","",IF(INDEX('Per Invoice'!$A$2:$A$801,$N558)="","",INDEX('Per Invoice'!$A$2:$A$801,$N558)))</f>
        <v/>
      </c>
      <c r="B558">
        <f>IF($N558="","",IF(INDEX('Per Invoice'!$B$2:$B$801,$N558)="","",INDEX('Per Invoice'!$B$2:$B$801,$N558)))</f>
        <v/>
      </c>
      <c r="C558">
        <f>IF($N558="","",IF(INDEX('Per Invoice'!$C$2:$C$801,$N558)="","",INDEX('Per Invoice'!$C$2:$C$801,$N558)))</f>
        <v/>
      </c>
      <c r="D558">
        <f>IF($N558="","",IF(INDEX('Per Invoice'!$D$2:$D$801,$N558)="","",INDEX('Per Invoice'!$D$2:$D$801,$N558)))</f>
        <v/>
      </c>
      <c r="E558">
        <f>IF($N558="","",IF(INDEX('Per Invoice'!$E$2:$E$801,$N558)="","",INDEX('Per Invoice'!$E$2:$E$801,$N558)))</f>
        <v/>
      </c>
      <c r="F558">
        <f>IF($N558="","",IF(INDEX('Per Invoice'!$F$2:$F$801,$N558)="","",INDEX('Per Invoice'!$F$2:$F$801,$N558)))</f>
        <v/>
      </c>
      <c r="G558">
        <f>IF($N558="","",IF(INDEX('Per Invoice'!$G$2:$G$801,$N558)="","",INDEX('Per Invoice'!$G$2:$G$801,$N558)))</f>
        <v/>
      </c>
      <c r="H558">
        <f>IF($N558="","",IF(INDEX('Per Invoice'!$H$2:$H$801,$N558)="","",INDEX('Per Invoice'!$H$2:$H$801,$N558)))</f>
        <v/>
      </c>
      <c r="I558" s="5">
        <f>IF($N558="","",IF(INDEX('Per Invoice'!$I$2:$I$801,$N558)="","",INDEX('Per Invoice'!$I$2:$I$801,$N558)))</f>
        <v/>
      </c>
      <c r="J558" s="5">
        <f>IF($N558="","",IF(INDEX('Per Invoice'!$J$2:$J$801,$N558)="","",INDEX('Per Invoice'!$J$2:$J$801,$N558)))</f>
        <v/>
      </c>
      <c r="K558" s="5">
        <f>IF($N558="","",IF(INDEX('Per Invoice'!$K$2:$K$801,$N558)="","",INDEX('Per Invoice'!$K$2:$K$801,$N558)))</f>
        <v/>
      </c>
      <c r="L558" s="5">
        <f>IF($N558="","",IF(INDEX('Per Invoice'!$L$2:$L$801,$N558)="","",INDEX('Per Invoice'!$L$2:$L$801,$N558)))</f>
        <v/>
      </c>
      <c r="M558" s="5">
        <f>IF($N558="","",IF(INDEX('Per Invoice'!$M$2:$M$801,$N558)="","",INDEX('Per Invoice'!$M$2:$M$801,$N558)))</f>
        <v/>
      </c>
      <c r="N558">
        <f>IF(ROWS($N$2:$N558)&lt;=COUNT('Per Invoice'!$O$2:$O$801),MATCH(ROWS($N$2:$N558),'Per Invoice'!$O$2:$O$801,0),"")</f>
        <v/>
      </c>
    </row>
    <row r="559">
      <c r="A559">
        <f>IF($N559="","",IF(INDEX('Per Invoice'!$A$2:$A$801,$N559)="","",INDEX('Per Invoice'!$A$2:$A$801,$N559)))</f>
        <v/>
      </c>
      <c r="B559">
        <f>IF($N559="","",IF(INDEX('Per Invoice'!$B$2:$B$801,$N559)="","",INDEX('Per Invoice'!$B$2:$B$801,$N559)))</f>
        <v/>
      </c>
      <c r="C559">
        <f>IF($N559="","",IF(INDEX('Per Invoice'!$C$2:$C$801,$N559)="","",INDEX('Per Invoice'!$C$2:$C$801,$N559)))</f>
        <v/>
      </c>
      <c r="D559">
        <f>IF($N559="","",IF(INDEX('Per Invoice'!$D$2:$D$801,$N559)="","",INDEX('Per Invoice'!$D$2:$D$801,$N559)))</f>
        <v/>
      </c>
      <c r="E559">
        <f>IF($N559="","",IF(INDEX('Per Invoice'!$E$2:$E$801,$N559)="","",INDEX('Per Invoice'!$E$2:$E$801,$N559)))</f>
        <v/>
      </c>
      <c r="F559">
        <f>IF($N559="","",IF(INDEX('Per Invoice'!$F$2:$F$801,$N559)="","",INDEX('Per Invoice'!$F$2:$F$801,$N559)))</f>
        <v/>
      </c>
      <c r="G559">
        <f>IF($N559="","",IF(INDEX('Per Invoice'!$G$2:$G$801,$N559)="","",INDEX('Per Invoice'!$G$2:$G$801,$N559)))</f>
        <v/>
      </c>
      <c r="H559">
        <f>IF($N559="","",IF(INDEX('Per Invoice'!$H$2:$H$801,$N559)="","",INDEX('Per Invoice'!$H$2:$H$801,$N559)))</f>
        <v/>
      </c>
      <c r="I559" s="5">
        <f>IF($N559="","",IF(INDEX('Per Invoice'!$I$2:$I$801,$N559)="","",INDEX('Per Invoice'!$I$2:$I$801,$N559)))</f>
        <v/>
      </c>
      <c r="J559" s="5">
        <f>IF($N559="","",IF(INDEX('Per Invoice'!$J$2:$J$801,$N559)="","",INDEX('Per Invoice'!$J$2:$J$801,$N559)))</f>
        <v/>
      </c>
      <c r="K559" s="5">
        <f>IF($N559="","",IF(INDEX('Per Invoice'!$K$2:$K$801,$N559)="","",INDEX('Per Invoice'!$K$2:$K$801,$N559)))</f>
        <v/>
      </c>
      <c r="L559" s="5">
        <f>IF($N559="","",IF(INDEX('Per Invoice'!$L$2:$L$801,$N559)="","",INDEX('Per Invoice'!$L$2:$L$801,$N559)))</f>
        <v/>
      </c>
      <c r="M559" s="5">
        <f>IF($N559="","",IF(INDEX('Per Invoice'!$M$2:$M$801,$N559)="","",INDEX('Per Invoice'!$M$2:$M$801,$N559)))</f>
        <v/>
      </c>
      <c r="N559">
        <f>IF(ROWS($N$2:$N559)&lt;=COUNT('Per Invoice'!$O$2:$O$801),MATCH(ROWS($N$2:$N559),'Per Invoice'!$O$2:$O$801,0),"")</f>
        <v/>
      </c>
    </row>
    <row r="560">
      <c r="A560">
        <f>IF($N560="","",IF(INDEX('Per Invoice'!$A$2:$A$801,$N560)="","",INDEX('Per Invoice'!$A$2:$A$801,$N560)))</f>
        <v/>
      </c>
      <c r="B560">
        <f>IF($N560="","",IF(INDEX('Per Invoice'!$B$2:$B$801,$N560)="","",INDEX('Per Invoice'!$B$2:$B$801,$N560)))</f>
        <v/>
      </c>
      <c r="C560">
        <f>IF($N560="","",IF(INDEX('Per Invoice'!$C$2:$C$801,$N560)="","",INDEX('Per Invoice'!$C$2:$C$801,$N560)))</f>
        <v/>
      </c>
      <c r="D560">
        <f>IF($N560="","",IF(INDEX('Per Invoice'!$D$2:$D$801,$N560)="","",INDEX('Per Invoice'!$D$2:$D$801,$N560)))</f>
        <v/>
      </c>
      <c r="E560">
        <f>IF($N560="","",IF(INDEX('Per Invoice'!$E$2:$E$801,$N560)="","",INDEX('Per Invoice'!$E$2:$E$801,$N560)))</f>
        <v/>
      </c>
      <c r="F560">
        <f>IF($N560="","",IF(INDEX('Per Invoice'!$F$2:$F$801,$N560)="","",INDEX('Per Invoice'!$F$2:$F$801,$N560)))</f>
        <v/>
      </c>
      <c r="G560">
        <f>IF($N560="","",IF(INDEX('Per Invoice'!$G$2:$G$801,$N560)="","",INDEX('Per Invoice'!$G$2:$G$801,$N560)))</f>
        <v/>
      </c>
      <c r="H560">
        <f>IF($N560="","",IF(INDEX('Per Invoice'!$H$2:$H$801,$N560)="","",INDEX('Per Invoice'!$H$2:$H$801,$N560)))</f>
        <v/>
      </c>
      <c r="I560" s="5">
        <f>IF($N560="","",IF(INDEX('Per Invoice'!$I$2:$I$801,$N560)="","",INDEX('Per Invoice'!$I$2:$I$801,$N560)))</f>
        <v/>
      </c>
      <c r="J560" s="5">
        <f>IF($N560="","",IF(INDEX('Per Invoice'!$J$2:$J$801,$N560)="","",INDEX('Per Invoice'!$J$2:$J$801,$N560)))</f>
        <v/>
      </c>
      <c r="K560" s="5">
        <f>IF($N560="","",IF(INDEX('Per Invoice'!$K$2:$K$801,$N560)="","",INDEX('Per Invoice'!$K$2:$K$801,$N560)))</f>
        <v/>
      </c>
      <c r="L560" s="5">
        <f>IF($N560="","",IF(INDEX('Per Invoice'!$L$2:$L$801,$N560)="","",INDEX('Per Invoice'!$L$2:$L$801,$N560)))</f>
        <v/>
      </c>
      <c r="M560" s="5">
        <f>IF($N560="","",IF(INDEX('Per Invoice'!$M$2:$M$801,$N560)="","",INDEX('Per Invoice'!$M$2:$M$801,$N560)))</f>
        <v/>
      </c>
      <c r="N560">
        <f>IF(ROWS($N$2:$N560)&lt;=COUNT('Per Invoice'!$O$2:$O$801),MATCH(ROWS($N$2:$N560),'Per Invoice'!$O$2:$O$801,0),"")</f>
        <v/>
      </c>
    </row>
    <row r="561">
      <c r="A561">
        <f>IF($N561="","",IF(INDEX('Per Invoice'!$A$2:$A$801,$N561)="","",INDEX('Per Invoice'!$A$2:$A$801,$N561)))</f>
        <v/>
      </c>
      <c r="B561">
        <f>IF($N561="","",IF(INDEX('Per Invoice'!$B$2:$B$801,$N561)="","",INDEX('Per Invoice'!$B$2:$B$801,$N561)))</f>
        <v/>
      </c>
      <c r="C561">
        <f>IF($N561="","",IF(INDEX('Per Invoice'!$C$2:$C$801,$N561)="","",INDEX('Per Invoice'!$C$2:$C$801,$N561)))</f>
        <v/>
      </c>
      <c r="D561">
        <f>IF($N561="","",IF(INDEX('Per Invoice'!$D$2:$D$801,$N561)="","",INDEX('Per Invoice'!$D$2:$D$801,$N561)))</f>
        <v/>
      </c>
      <c r="E561">
        <f>IF($N561="","",IF(INDEX('Per Invoice'!$E$2:$E$801,$N561)="","",INDEX('Per Invoice'!$E$2:$E$801,$N561)))</f>
        <v/>
      </c>
      <c r="F561">
        <f>IF($N561="","",IF(INDEX('Per Invoice'!$F$2:$F$801,$N561)="","",INDEX('Per Invoice'!$F$2:$F$801,$N561)))</f>
        <v/>
      </c>
      <c r="G561">
        <f>IF($N561="","",IF(INDEX('Per Invoice'!$G$2:$G$801,$N561)="","",INDEX('Per Invoice'!$G$2:$G$801,$N561)))</f>
        <v/>
      </c>
      <c r="H561">
        <f>IF($N561="","",IF(INDEX('Per Invoice'!$H$2:$H$801,$N561)="","",INDEX('Per Invoice'!$H$2:$H$801,$N561)))</f>
        <v/>
      </c>
      <c r="I561" s="5">
        <f>IF($N561="","",IF(INDEX('Per Invoice'!$I$2:$I$801,$N561)="","",INDEX('Per Invoice'!$I$2:$I$801,$N561)))</f>
        <v/>
      </c>
      <c r="J561" s="5">
        <f>IF($N561="","",IF(INDEX('Per Invoice'!$J$2:$J$801,$N561)="","",INDEX('Per Invoice'!$J$2:$J$801,$N561)))</f>
        <v/>
      </c>
      <c r="K561" s="5">
        <f>IF($N561="","",IF(INDEX('Per Invoice'!$K$2:$K$801,$N561)="","",INDEX('Per Invoice'!$K$2:$K$801,$N561)))</f>
        <v/>
      </c>
      <c r="L561" s="5">
        <f>IF($N561="","",IF(INDEX('Per Invoice'!$L$2:$L$801,$N561)="","",INDEX('Per Invoice'!$L$2:$L$801,$N561)))</f>
        <v/>
      </c>
      <c r="M561" s="5">
        <f>IF($N561="","",IF(INDEX('Per Invoice'!$M$2:$M$801,$N561)="","",INDEX('Per Invoice'!$M$2:$M$801,$N561)))</f>
        <v/>
      </c>
      <c r="N561">
        <f>IF(ROWS($N$2:$N561)&lt;=COUNT('Per Invoice'!$O$2:$O$801),MATCH(ROWS($N$2:$N561),'Per Invoice'!$O$2:$O$801,0),"")</f>
        <v/>
      </c>
    </row>
    <row r="562">
      <c r="A562">
        <f>IF($N562="","",IF(INDEX('Per Invoice'!$A$2:$A$801,$N562)="","",INDEX('Per Invoice'!$A$2:$A$801,$N562)))</f>
        <v/>
      </c>
      <c r="B562">
        <f>IF($N562="","",IF(INDEX('Per Invoice'!$B$2:$B$801,$N562)="","",INDEX('Per Invoice'!$B$2:$B$801,$N562)))</f>
        <v/>
      </c>
      <c r="C562">
        <f>IF($N562="","",IF(INDEX('Per Invoice'!$C$2:$C$801,$N562)="","",INDEX('Per Invoice'!$C$2:$C$801,$N562)))</f>
        <v/>
      </c>
      <c r="D562">
        <f>IF($N562="","",IF(INDEX('Per Invoice'!$D$2:$D$801,$N562)="","",INDEX('Per Invoice'!$D$2:$D$801,$N562)))</f>
        <v/>
      </c>
      <c r="E562">
        <f>IF($N562="","",IF(INDEX('Per Invoice'!$E$2:$E$801,$N562)="","",INDEX('Per Invoice'!$E$2:$E$801,$N562)))</f>
        <v/>
      </c>
      <c r="F562">
        <f>IF($N562="","",IF(INDEX('Per Invoice'!$F$2:$F$801,$N562)="","",INDEX('Per Invoice'!$F$2:$F$801,$N562)))</f>
        <v/>
      </c>
      <c r="G562">
        <f>IF($N562="","",IF(INDEX('Per Invoice'!$G$2:$G$801,$N562)="","",INDEX('Per Invoice'!$G$2:$G$801,$N562)))</f>
        <v/>
      </c>
      <c r="H562">
        <f>IF($N562="","",IF(INDEX('Per Invoice'!$H$2:$H$801,$N562)="","",INDEX('Per Invoice'!$H$2:$H$801,$N562)))</f>
        <v/>
      </c>
      <c r="I562" s="5">
        <f>IF($N562="","",IF(INDEX('Per Invoice'!$I$2:$I$801,$N562)="","",INDEX('Per Invoice'!$I$2:$I$801,$N562)))</f>
        <v/>
      </c>
      <c r="J562" s="5">
        <f>IF($N562="","",IF(INDEX('Per Invoice'!$J$2:$J$801,$N562)="","",INDEX('Per Invoice'!$J$2:$J$801,$N562)))</f>
        <v/>
      </c>
      <c r="K562" s="5">
        <f>IF($N562="","",IF(INDEX('Per Invoice'!$K$2:$K$801,$N562)="","",INDEX('Per Invoice'!$K$2:$K$801,$N562)))</f>
        <v/>
      </c>
      <c r="L562" s="5">
        <f>IF($N562="","",IF(INDEX('Per Invoice'!$L$2:$L$801,$N562)="","",INDEX('Per Invoice'!$L$2:$L$801,$N562)))</f>
        <v/>
      </c>
      <c r="M562" s="5">
        <f>IF($N562="","",IF(INDEX('Per Invoice'!$M$2:$M$801,$N562)="","",INDEX('Per Invoice'!$M$2:$M$801,$N562)))</f>
        <v/>
      </c>
      <c r="N562">
        <f>IF(ROWS($N$2:$N562)&lt;=COUNT('Per Invoice'!$O$2:$O$801),MATCH(ROWS($N$2:$N562),'Per Invoice'!$O$2:$O$801,0),"")</f>
        <v/>
      </c>
    </row>
    <row r="563">
      <c r="A563">
        <f>IF($N563="","",IF(INDEX('Per Invoice'!$A$2:$A$801,$N563)="","",INDEX('Per Invoice'!$A$2:$A$801,$N563)))</f>
        <v/>
      </c>
      <c r="B563">
        <f>IF($N563="","",IF(INDEX('Per Invoice'!$B$2:$B$801,$N563)="","",INDEX('Per Invoice'!$B$2:$B$801,$N563)))</f>
        <v/>
      </c>
      <c r="C563">
        <f>IF($N563="","",IF(INDEX('Per Invoice'!$C$2:$C$801,$N563)="","",INDEX('Per Invoice'!$C$2:$C$801,$N563)))</f>
        <v/>
      </c>
      <c r="D563">
        <f>IF($N563="","",IF(INDEX('Per Invoice'!$D$2:$D$801,$N563)="","",INDEX('Per Invoice'!$D$2:$D$801,$N563)))</f>
        <v/>
      </c>
      <c r="E563">
        <f>IF($N563="","",IF(INDEX('Per Invoice'!$E$2:$E$801,$N563)="","",INDEX('Per Invoice'!$E$2:$E$801,$N563)))</f>
        <v/>
      </c>
      <c r="F563">
        <f>IF($N563="","",IF(INDEX('Per Invoice'!$F$2:$F$801,$N563)="","",INDEX('Per Invoice'!$F$2:$F$801,$N563)))</f>
        <v/>
      </c>
      <c r="G563">
        <f>IF($N563="","",IF(INDEX('Per Invoice'!$G$2:$G$801,$N563)="","",INDEX('Per Invoice'!$G$2:$G$801,$N563)))</f>
        <v/>
      </c>
      <c r="H563">
        <f>IF($N563="","",IF(INDEX('Per Invoice'!$H$2:$H$801,$N563)="","",INDEX('Per Invoice'!$H$2:$H$801,$N563)))</f>
        <v/>
      </c>
      <c r="I563" s="5">
        <f>IF($N563="","",IF(INDEX('Per Invoice'!$I$2:$I$801,$N563)="","",INDEX('Per Invoice'!$I$2:$I$801,$N563)))</f>
        <v/>
      </c>
      <c r="J563" s="5">
        <f>IF($N563="","",IF(INDEX('Per Invoice'!$J$2:$J$801,$N563)="","",INDEX('Per Invoice'!$J$2:$J$801,$N563)))</f>
        <v/>
      </c>
      <c r="K563" s="5">
        <f>IF($N563="","",IF(INDEX('Per Invoice'!$K$2:$K$801,$N563)="","",INDEX('Per Invoice'!$K$2:$K$801,$N563)))</f>
        <v/>
      </c>
      <c r="L563" s="5">
        <f>IF($N563="","",IF(INDEX('Per Invoice'!$L$2:$L$801,$N563)="","",INDEX('Per Invoice'!$L$2:$L$801,$N563)))</f>
        <v/>
      </c>
      <c r="M563" s="5">
        <f>IF($N563="","",IF(INDEX('Per Invoice'!$M$2:$M$801,$N563)="","",INDEX('Per Invoice'!$M$2:$M$801,$N563)))</f>
        <v/>
      </c>
      <c r="N563">
        <f>IF(ROWS($N$2:$N563)&lt;=COUNT('Per Invoice'!$O$2:$O$801),MATCH(ROWS($N$2:$N563),'Per Invoice'!$O$2:$O$801,0),"")</f>
        <v/>
      </c>
    </row>
    <row r="564">
      <c r="A564">
        <f>IF($N564="","",IF(INDEX('Per Invoice'!$A$2:$A$801,$N564)="","",INDEX('Per Invoice'!$A$2:$A$801,$N564)))</f>
        <v/>
      </c>
      <c r="B564">
        <f>IF($N564="","",IF(INDEX('Per Invoice'!$B$2:$B$801,$N564)="","",INDEX('Per Invoice'!$B$2:$B$801,$N564)))</f>
        <v/>
      </c>
      <c r="C564">
        <f>IF($N564="","",IF(INDEX('Per Invoice'!$C$2:$C$801,$N564)="","",INDEX('Per Invoice'!$C$2:$C$801,$N564)))</f>
        <v/>
      </c>
      <c r="D564">
        <f>IF($N564="","",IF(INDEX('Per Invoice'!$D$2:$D$801,$N564)="","",INDEX('Per Invoice'!$D$2:$D$801,$N564)))</f>
        <v/>
      </c>
      <c r="E564">
        <f>IF($N564="","",IF(INDEX('Per Invoice'!$E$2:$E$801,$N564)="","",INDEX('Per Invoice'!$E$2:$E$801,$N564)))</f>
        <v/>
      </c>
      <c r="F564">
        <f>IF($N564="","",IF(INDEX('Per Invoice'!$F$2:$F$801,$N564)="","",INDEX('Per Invoice'!$F$2:$F$801,$N564)))</f>
        <v/>
      </c>
      <c r="G564">
        <f>IF($N564="","",IF(INDEX('Per Invoice'!$G$2:$G$801,$N564)="","",INDEX('Per Invoice'!$G$2:$G$801,$N564)))</f>
        <v/>
      </c>
      <c r="H564">
        <f>IF($N564="","",IF(INDEX('Per Invoice'!$H$2:$H$801,$N564)="","",INDEX('Per Invoice'!$H$2:$H$801,$N564)))</f>
        <v/>
      </c>
      <c r="I564" s="5">
        <f>IF($N564="","",IF(INDEX('Per Invoice'!$I$2:$I$801,$N564)="","",INDEX('Per Invoice'!$I$2:$I$801,$N564)))</f>
        <v/>
      </c>
      <c r="J564" s="5">
        <f>IF($N564="","",IF(INDEX('Per Invoice'!$J$2:$J$801,$N564)="","",INDEX('Per Invoice'!$J$2:$J$801,$N564)))</f>
        <v/>
      </c>
      <c r="K564" s="5">
        <f>IF($N564="","",IF(INDEX('Per Invoice'!$K$2:$K$801,$N564)="","",INDEX('Per Invoice'!$K$2:$K$801,$N564)))</f>
        <v/>
      </c>
      <c r="L564" s="5">
        <f>IF($N564="","",IF(INDEX('Per Invoice'!$L$2:$L$801,$N564)="","",INDEX('Per Invoice'!$L$2:$L$801,$N564)))</f>
        <v/>
      </c>
      <c r="M564" s="5">
        <f>IF($N564="","",IF(INDEX('Per Invoice'!$M$2:$M$801,$N564)="","",INDEX('Per Invoice'!$M$2:$M$801,$N564)))</f>
        <v/>
      </c>
      <c r="N564">
        <f>IF(ROWS($N$2:$N564)&lt;=COUNT('Per Invoice'!$O$2:$O$801),MATCH(ROWS($N$2:$N564),'Per Invoice'!$O$2:$O$801,0),"")</f>
        <v/>
      </c>
    </row>
    <row r="565">
      <c r="A565">
        <f>IF($N565="","",IF(INDEX('Per Invoice'!$A$2:$A$801,$N565)="","",INDEX('Per Invoice'!$A$2:$A$801,$N565)))</f>
        <v/>
      </c>
      <c r="B565">
        <f>IF($N565="","",IF(INDEX('Per Invoice'!$B$2:$B$801,$N565)="","",INDEX('Per Invoice'!$B$2:$B$801,$N565)))</f>
        <v/>
      </c>
      <c r="C565">
        <f>IF($N565="","",IF(INDEX('Per Invoice'!$C$2:$C$801,$N565)="","",INDEX('Per Invoice'!$C$2:$C$801,$N565)))</f>
        <v/>
      </c>
      <c r="D565">
        <f>IF($N565="","",IF(INDEX('Per Invoice'!$D$2:$D$801,$N565)="","",INDEX('Per Invoice'!$D$2:$D$801,$N565)))</f>
        <v/>
      </c>
      <c r="E565">
        <f>IF($N565="","",IF(INDEX('Per Invoice'!$E$2:$E$801,$N565)="","",INDEX('Per Invoice'!$E$2:$E$801,$N565)))</f>
        <v/>
      </c>
      <c r="F565">
        <f>IF($N565="","",IF(INDEX('Per Invoice'!$F$2:$F$801,$N565)="","",INDEX('Per Invoice'!$F$2:$F$801,$N565)))</f>
        <v/>
      </c>
      <c r="G565">
        <f>IF($N565="","",IF(INDEX('Per Invoice'!$G$2:$G$801,$N565)="","",INDEX('Per Invoice'!$G$2:$G$801,$N565)))</f>
        <v/>
      </c>
      <c r="H565">
        <f>IF($N565="","",IF(INDEX('Per Invoice'!$H$2:$H$801,$N565)="","",INDEX('Per Invoice'!$H$2:$H$801,$N565)))</f>
        <v/>
      </c>
      <c r="I565" s="5">
        <f>IF($N565="","",IF(INDEX('Per Invoice'!$I$2:$I$801,$N565)="","",INDEX('Per Invoice'!$I$2:$I$801,$N565)))</f>
        <v/>
      </c>
      <c r="J565" s="5">
        <f>IF($N565="","",IF(INDEX('Per Invoice'!$J$2:$J$801,$N565)="","",INDEX('Per Invoice'!$J$2:$J$801,$N565)))</f>
        <v/>
      </c>
      <c r="K565" s="5">
        <f>IF($N565="","",IF(INDEX('Per Invoice'!$K$2:$K$801,$N565)="","",INDEX('Per Invoice'!$K$2:$K$801,$N565)))</f>
        <v/>
      </c>
      <c r="L565" s="5">
        <f>IF($N565="","",IF(INDEX('Per Invoice'!$L$2:$L$801,$N565)="","",INDEX('Per Invoice'!$L$2:$L$801,$N565)))</f>
        <v/>
      </c>
      <c r="M565" s="5">
        <f>IF($N565="","",IF(INDEX('Per Invoice'!$M$2:$M$801,$N565)="","",INDEX('Per Invoice'!$M$2:$M$801,$N565)))</f>
        <v/>
      </c>
      <c r="N565">
        <f>IF(ROWS($N$2:$N565)&lt;=COUNT('Per Invoice'!$O$2:$O$801),MATCH(ROWS($N$2:$N565),'Per Invoice'!$O$2:$O$801,0),"")</f>
        <v/>
      </c>
    </row>
    <row r="566">
      <c r="A566">
        <f>IF($N566="","",IF(INDEX('Per Invoice'!$A$2:$A$801,$N566)="","",INDEX('Per Invoice'!$A$2:$A$801,$N566)))</f>
        <v/>
      </c>
      <c r="B566">
        <f>IF($N566="","",IF(INDEX('Per Invoice'!$B$2:$B$801,$N566)="","",INDEX('Per Invoice'!$B$2:$B$801,$N566)))</f>
        <v/>
      </c>
      <c r="C566">
        <f>IF($N566="","",IF(INDEX('Per Invoice'!$C$2:$C$801,$N566)="","",INDEX('Per Invoice'!$C$2:$C$801,$N566)))</f>
        <v/>
      </c>
      <c r="D566">
        <f>IF($N566="","",IF(INDEX('Per Invoice'!$D$2:$D$801,$N566)="","",INDEX('Per Invoice'!$D$2:$D$801,$N566)))</f>
        <v/>
      </c>
      <c r="E566">
        <f>IF($N566="","",IF(INDEX('Per Invoice'!$E$2:$E$801,$N566)="","",INDEX('Per Invoice'!$E$2:$E$801,$N566)))</f>
        <v/>
      </c>
      <c r="F566">
        <f>IF($N566="","",IF(INDEX('Per Invoice'!$F$2:$F$801,$N566)="","",INDEX('Per Invoice'!$F$2:$F$801,$N566)))</f>
        <v/>
      </c>
      <c r="G566">
        <f>IF($N566="","",IF(INDEX('Per Invoice'!$G$2:$G$801,$N566)="","",INDEX('Per Invoice'!$G$2:$G$801,$N566)))</f>
        <v/>
      </c>
      <c r="H566">
        <f>IF($N566="","",IF(INDEX('Per Invoice'!$H$2:$H$801,$N566)="","",INDEX('Per Invoice'!$H$2:$H$801,$N566)))</f>
        <v/>
      </c>
      <c r="I566" s="5">
        <f>IF($N566="","",IF(INDEX('Per Invoice'!$I$2:$I$801,$N566)="","",INDEX('Per Invoice'!$I$2:$I$801,$N566)))</f>
        <v/>
      </c>
      <c r="J566" s="5">
        <f>IF($N566="","",IF(INDEX('Per Invoice'!$J$2:$J$801,$N566)="","",INDEX('Per Invoice'!$J$2:$J$801,$N566)))</f>
        <v/>
      </c>
      <c r="K566" s="5">
        <f>IF($N566="","",IF(INDEX('Per Invoice'!$K$2:$K$801,$N566)="","",INDEX('Per Invoice'!$K$2:$K$801,$N566)))</f>
        <v/>
      </c>
      <c r="L566" s="5">
        <f>IF($N566="","",IF(INDEX('Per Invoice'!$L$2:$L$801,$N566)="","",INDEX('Per Invoice'!$L$2:$L$801,$N566)))</f>
        <v/>
      </c>
      <c r="M566" s="5">
        <f>IF($N566="","",IF(INDEX('Per Invoice'!$M$2:$M$801,$N566)="","",INDEX('Per Invoice'!$M$2:$M$801,$N566)))</f>
        <v/>
      </c>
      <c r="N566">
        <f>IF(ROWS($N$2:$N566)&lt;=COUNT('Per Invoice'!$O$2:$O$801),MATCH(ROWS($N$2:$N566),'Per Invoice'!$O$2:$O$801,0),"")</f>
        <v/>
      </c>
    </row>
    <row r="567">
      <c r="A567">
        <f>IF($N567="","",IF(INDEX('Per Invoice'!$A$2:$A$801,$N567)="","",INDEX('Per Invoice'!$A$2:$A$801,$N567)))</f>
        <v/>
      </c>
      <c r="B567">
        <f>IF($N567="","",IF(INDEX('Per Invoice'!$B$2:$B$801,$N567)="","",INDEX('Per Invoice'!$B$2:$B$801,$N567)))</f>
        <v/>
      </c>
      <c r="C567">
        <f>IF($N567="","",IF(INDEX('Per Invoice'!$C$2:$C$801,$N567)="","",INDEX('Per Invoice'!$C$2:$C$801,$N567)))</f>
        <v/>
      </c>
      <c r="D567">
        <f>IF($N567="","",IF(INDEX('Per Invoice'!$D$2:$D$801,$N567)="","",INDEX('Per Invoice'!$D$2:$D$801,$N567)))</f>
        <v/>
      </c>
      <c r="E567">
        <f>IF($N567="","",IF(INDEX('Per Invoice'!$E$2:$E$801,$N567)="","",INDEX('Per Invoice'!$E$2:$E$801,$N567)))</f>
        <v/>
      </c>
      <c r="F567">
        <f>IF($N567="","",IF(INDEX('Per Invoice'!$F$2:$F$801,$N567)="","",INDEX('Per Invoice'!$F$2:$F$801,$N567)))</f>
        <v/>
      </c>
      <c r="G567">
        <f>IF($N567="","",IF(INDEX('Per Invoice'!$G$2:$G$801,$N567)="","",INDEX('Per Invoice'!$G$2:$G$801,$N567)))</f>
        <v/>
      </c>
      <c r="H567">
        <f>IF($N567="","",IF(INDEX('Per Invoice'!$H$2:$H$801,$N567)="","",INDEX('Per Invoice'!$H$2:$H$801,$N567)))</f>
        <v/>
      </c>
      <c r="I567" s="5">
        <f>IF($N567="","",IF(INDEX('Per Invoice'!$I$2:$I$801,$N567)="","",INDEX('Per Invoice'!$I$2:$I$801,$N567)))</f>
        <v/>
      </c>
      <c r="J567" s="5">
        <f>IF($N567="","",IF(INDEX('Per Invoice'!$J$2:$J$801,$N567)="","",INDEX('Per Invoice'!$J$2:$J$801,$N567)))</f>
        <v/>
      </c>
      <c r="K567" s="5">
        <f>IF($N567="","",IF(INDEX('Per Invoice'!$K$2:$K$801,$N567)="","",INDEX('Per Invoice'!$K$2:$K$801,$N567)))</f>
        <v/>
      </c>
      <c r="L567" s="5">
        <f>IF($N567="","",IF(INDEX('Per Invoice'!$L$2:$L$801,$N567)="","",INDEX('Per Invoice'!$L$2:$L$801,$N567)))</f>
        <v/>
      </c>
      <c r="M567" s="5">
        <f>IF($N567="","",IF(INDEX('Per Invoice'!$M$2:$M$801,$N567)="","",INDEX('Per Invoice'!$M$2:$M$801,$N567)))</f>
        <v/>
      </c>
      <c r="N567">
        <f>IF(ROWS($N$2:$N567)&lt;=COUNT('Per Invoice'!$O$2:$O$801),MATCH(ROWS($N$2:$N567),'Per Invoice'!$O$2:$O$801,0),"")</f>
        <v/>
      </c>
    </row>
    <row r="568">
      <c r="A568">
        <f>IF($N568="","",IF(INDEX('Per Invoice'!$A$2:$A$801,$N568)="","",INDEX('Per Invoice'!$A$2:$A$801,$N568)))</f>
        <v/>
      </c>
      <c r="B568">
        <f>IF($N568="","",IF(INDEX('Per Invoice'!$B$2:$B$801,$N568)="","",INDEX('Per Invoice'!$B$2:$B$801,$N568)))</f>
        <v/>
      </c>
      <c r="C568">
        <f>IF($N568="","",IF(INDEX('Per Invoice'!$C$2:$C$801,$N568)="","",INDEX('Per Invoice'!$C$2:$C$801,$N568)))</f>
        <v/>
      </c>
      <c r="D568">
        <f>IF($N568="","",IF(INDEX('Per Invoice'!$D$2:$D$801,$N568)="","",INDEX('Per Invoice'!$D$2:$D$801,$N568)))</f>
        <v/>
      </c>
      <c r="E568">
        <f>IF($N568="","",IF(INDEX('Per Invoice'!$E$2:$E$801,$N568)="","",INDEX('Per Invoice'!$E$2:$E$801,$N568)))</f>
        <v/>
      </c>
      <c r="F568">
        <f>IF($N568="","",IF(INDEX('Per Invoice'!$F$2:$F$801,$N568)="","",INDEX('Per Invoice'!$F$2:$F$801,$N568)))</f>
        <v/>
      </c>
      <c r="G568">
        <f>IF($N568="","",IF(INDEX('Per Invoice'!$G$2:$G$801,$N568)="","",INDEX('Per Invoice'!$G$2:$G$801,$N568)))</f>
        <v/>
      </c>
      <c r="H568">
        <f>IF($N568="","",IF(INDEX('Per Invoice'!$H$2:$H$801,$N568)="","",INDEX('Per Invoice'!$H$2:$H$801,$N568)))</f>
        <v/>
      </c>
      <c r="I568" s="5">
        <f>IF($N568="","",IF(INDEX('Per Invoice'!$I$2:$I$801,$N568)="","",INDEX('Per Invoice'!$I$2:$I$801,$N568)))</f>
        <v/>
      </c>
      <c r="J568" s="5">
        <f>IF($N568="","",IF(INDEX('Per Invoice'!$J$2:$J$801,$N568)="","",INDEX('Per Invoice'!$J$2:$J$801,$N568)))</f>
        <v/>
      </c>
      <c r="K568" s="5">
        <f>IF($N568="","",IF(INDEX('Per Invoice'!$K$2:$K$801,$N568)="","",INDEX('Per Invoice'!$K$2:$K$801,$N568)))</f>
        <v/>
      </c>
      <c r="L568" s="5">
        <f>IF($N568="","",IF(INDEX('Per Invoice'!$L$2:$L$801,$N568)="","",INDEX('Per Invoice'!$L$2:$L$801,$N568)))</f>
        <v/>
      </c>
      <c r="M568" s="5">
        <f>IF($N568="","",IF(INDEX('Per Invoice'!$M$2:$M$801,$N568)="","",INDEX('Per Invoice'!$M$2:$M$801,$N568)))</f>
        <v/>
      </c>
      <c r="N568">
        <f>IF(ROWS($N$2:$N568)&lt;=COUNT('Per Invoice'!$O$2:$O$801),MATCH(ROWS($N$2:$N568),'Per Invoice'!$O$2:$O$801,0),"")</f>
        <v/>
      </c>
    </row>
    <row r="569">
      <c r="A569">
        <f>IF($N569="","",IF(INDEX('Per Invoice'!$A$2:$A$801,$N569)="","",INDEX('Per Invoice'!$A$2:$A$801,$N569)))</f>
        <v/>
      </c>
      <c r="B569">
        <f>IF($N569="","",IF(INDEX('Per Invoice'!$B$2:$B$801,$N569)="","",INDEX('Per Invoice'!$B$2:$B$801,$N569)))</f>
        <v/>
      </c>
      <c r="C569">
        <f>IF($N569="","",IF(INDEX('Per Invoice'!$C$2:$C$801,$N569)="","",INDEX('Per Invoice'!$C$2:$C$801,$N569)))</f>
        <v/>
      </c>
      <c r="D569">
        <f>IF($N569="","",IF(INDEX('Per Invoice'!$D$2:$D$801,$N569)="","",INDEX('Per Invoice'!$D$2:$D$801,$N569)))</f>
        <v/>
      </c>
      <c r="E569">
        <f>IF($N569="","",IF(INDEX('Per Invoice'!$E$2:$E$801,$N569)="","",INDEX('Per Invoice'!$E$2:$E$801,$N569)))</f>
        <v/>
      </c>
      <c r="F569">
        <f>IF($N569="","",IF(INDEX('Per Invoice'!$F$2:$F$801,$N569)="","",INDEX('Per Invoice'!$F$2:$F$801,$N569)))</f>
        <v/>
      </c>
      <c r="G569">
        <f>IF($N569="","",IF(INDEX('Per Invoice'!$G$2:$G$801,$N569)="","",INDEX('Per Invoice'!$G$2:$G$801,$N569)))</f>
        <v/>
      </c>
      <c r="H569">
        <f>IF($N569="","",IF(INDEX('Per Invoice'!$H$2:$H$801,$N569)="","",INDEX('Per Invoice'!$H$2:$H$801,$N569)))</f>
        <v/>
      </c>
      <c r="I569" s="5">
        <f>IF($N569="","",IF(INDEX('Per Invoice'!$I$2:$I$801,$N569)="","",INDEX('Per Invoice'!$I$2:$I$801,$N569)))</f>
        <v/>
      </c>
      <c r="J569" s="5">
        <f>IF($N569="","",IF(INDEX('Per Invoice'!$J$2:$J$801,$N569)="","",INDEX('Per Invoice'!$J$2:$J$801,$N569)))</f>
        <v/>
      </c>
      <c r="K569" s="5">
        <f>IF($N569="","",IF(INDEX('Per Invoice'!$K$2:$K$801,$N569)="","",INDEX('Per Invoice'!$K$2:$K$801,$N569)))</f>
        <v/>
      </c>
      <c r="L569" s="5">
        <f>IF($N569="","",IF(INDEX('Per Invoice'!$L$2:$L$801,$N569)="","",INDEX('Per Invoice'!$L$2:$L$801,$N569)))</f>
        <v/>
      </c>
      <c r="M569" s="5">
        <f>IF($N569="","",IF(INDEX('Per Invoice'!$M$2:$M$801,$N569)="","",INDEX('Per Invoice'!$M$2:$M$801,$N569)))</f>
        <v/>
      </c>
      <c r="N569">
        <f>IF(ROWS($N$2:$N569)&lt;=COUNT('Per Invoice'!$O$2:$O$801),MATCH(ROWS($N$2:$N569),'Per Invoice'!$O$2:$O$801,0),"")</f>
        <v/>
      </c>
    </row>
    <row r="570">
      <c r="A570">
        <f>IF($N570="","",IF(INDEX('Per Invoice'!$A$2:$A$801,$N570)="","",INDEX('Per Invoice'!$A$2:$A$801,$N570)))</f>
        <v/>
      </c>
      <c r="B570">
        <f>IF($N570="","",IF(INDEX('Per Invoice'!$B$2:$B$801,$N570)="","",INDEX('Per Invoice'!$B$2:$B$801,$N570)))</f>
        <v/>
      </c>
      <c r="C570">
        <f>IF($N570="","",IF(INDEX('Per Invoice'!$C$2:$C$801,$N570)="","",INDEX('Per Invoice'!$C$2:$C$801,$N570)))</f>
        <v/>
      </c>
      <c r="D570">
        <f>IF($N570="","",IF(INDEX('Per Invoice'!$D$2:$D$801,$N570)="","",INDEX('Per Invoice'!$D$2:$D$801,$N570)))</f>
        <v/>
      </c>
      <c r="E570">
        <f>IF($N570="","",IF(INDEX('Per Invoice'!$E$2:$E$801,$N570)="","",INDEX('Per Invoice'!$E$2:$E$801,$N570)))</f>
        <v/>
      </c>
      <c r="F570">
        <f>IF($N570="","",IF(INDEX('Per Invoice'!$F$2:$F$801,$N570)="","",INDEX('Per Invoice'!$F$2:$F$801,$N570)))</f>
        <v/>
      </c>
      <c r="G570">
        <f>IF($N570="","",IF(INDEX('Per Invoice'!$G$2:$G$801,$N570)="","",INDEX('Per Invoice'!$G$2:$G$801,$N570)))</f>
        <v/>
      </c>
      <c r="H570">
        <f>IF($N570="","",IF(INDEX('Per Invoice'!$H$2:$H$801,$N570)="","",INDEX('Per Invoice'!$H$2:$H$801,$N570)))</f>
        <v/>
      </c>
      <c r="I570" s="5">
        <f>IF($N570="","",IF(INDEX('Per Invoice'!$I$2:$I$801,$N570)="","",INDEX('Per Invoice'!$I$2:$I$801,$N570)))</f>
        <v/>
      </c>
      <c r="J570" s="5">
        <f>IF($N570="","",IF(INDEX('Per Invoice'!$J$2:$J$801,$N570)="","",INDEX('Per Invoice'!$J$2:$J$801,$N570)))</f>
        <v/>
      </c>
      <c r="K570" s="5">
        <f>IF($N570="","",IF(INDEX('Per Invoice'!$K$2:$K$801,$N570)="","",INDEX('Per Invoice'!$K$2:$K$801,$N570)))</f>
        <v/>
      </c>
      <c r="L570" s="5">
        <f>IF($N570="","",IF(INDEX('Per Invoice'!$L$2:$L$801,$N570)="","",INDEX('Per Invoice'!$L$2:$L$801,$N570)))</f>
        <v/>
      </c>
      <c r="M570" s="5">
        <f>IF($N570="","",IF(INDEX('Per Invoice'!$M$2:$M$801,$N570)="","",INDEX('Per Invoice'!$M$2:$M$801,$N570)))</f>
        <v/>
      </c>
      <c r="N570">
        <f>IF(ROWS($N$2:$N570)&lt;=COUNT('Per Invoice'!$O$2:$O$801),MATCH(ROWS($N$2:$N570),'Per Invoice'!$O$2:$O$801,0),"")</f>
        <v/>
      </c>
    </row>
    <row r="571">
      <c r="A571">
        <f>IF($N571="","",IF(INDEX('Per Invoice'!$A$2:$A$801,$N571)="","",INDEX('Per Invoice'!$A$2:$A$801,$N571)))</f>
        <v/>
      </c>
      <c r="B571">
        <f>IF($N571="","",IF(INDEX('Per Invoice'!$B$2:$B$801,$N571)="","",INDEX('Per Invoice'!$B$2:$B$801,$N571)))</f>
        <v/>
      </c>
      <c r="C571">
        <f>IF($N571="","",IF(INDEX('Per Invoice'!$C$2:$C$801,$N571)="","",INDEX('Per Invoice'!$C$2:$C$801,$N571)))</f>
        <v/>
      </c>
      <c r="D571">
        <f>IF($N571="","",IF(INDEX('Per Invoice'!$D$2:$D$801,$N571)="","",INDEX('Per Invoice'!$D$2:$D$801,$N571)))</f>
        <v/>
      </c>
      <c r="E571">
        <f>IF($N571="","",IF(INDEX('Per Invoice'!$E$2:$E$801,$N571)="","",INDEX('Per Invoice'!$E$2:$E$801,$N571)))</f>
        <v/>
      </c>
      <c r="F571">
        <f>IF($N571="","",IF(INDEX('Per Invoice'!$F$2:$F$801,$N571)="","",INDEX('Per Invoice'!$F$2:$F$801,$N571)))</f>
        <v/>
      </c>
      <c r="G571">
        <f>IF($N571="","",IF(INDEX('Per Invoice'!$G$2:$G$801,$N571)="","",INDEX('Per Invoice'!$G$2:$G$801,$N571)))</f>
        <v/>
      </c>
      <c r="H571">
        <f>IF($N571="","",IF(INDEX('Per Invoice'!$H$2:$H$801,$N571)="","",INDEX('Per Invoice'!$H$2:$H$801,$N571)))</f>
        <v/>
      </c>
      <c r="I571" s="5">
        <f>IF($N571="","",IF(INDEX('Per Invoice'!$I$2:$I$801,$N571)="","",INDEX('Per Invoice'!$I$2:$I$801,$N571)))</f>
        <v/>
      </c>
      <c r="J571" s="5">
        <f>IF($N571="","",IF(INDEX('Per Invoice'!$J$2:$J$801,$N571)="","",INDEX('Per Invoice'!$J$2:$J$801,$N571)))</f>
        <v/>
      </c>
      <c r="K571" s="5">
        <f>IF($N571="","",IF(INDEX('Per Invoice'!$K$2:$K$801,$N571)="","",INDEX('Per Invoice'!$K$2:$K$801,$N571)))</f>
        <v/>
      </c>
      <c r="L571" s="5">
        <f>IF($N571="","",IF(INDEX('Per Invoice'!$L$2:$L$801,$N571)="","",INDEX('Per Invoice'!$L$2:$L$801,$N571)))</f>
        <v/>
      </c>
      <c r="M571" s="5">
        <f>IF($N571="","",IF(INDEX('Per Invoice'!$M$2:$M$801,$N571)="","",INDEX('Per Invoice'!$M$2:$M$801,$N571)))</f>
        <v/>
      </c>
      <c r="N571">
        <f>IF(ROWS($N$2:$N571)&lt;=COUNT('Per Invoice'!$O$2:$O$801),MATCH(ROWS($N$2:$N571),'Per Invoice'!$O$2:$O$801,0),"")</f>
        <v/>
      </c>
    </row>
    <row r="572">
      <c r="A572">
        <f>IF($N572="","",IF(INDEX('Per Invoice'!$A$2:$A$801,$N572)="","",INDEX('Per Invoice'!$A$2:$A$801,$N572)))</f>
        <v/>
      </c>
      <c r="B572">
        <f>IF($N572="","",IF(INDEX('Per Invoice'!$B$2:$B$801,$N572)="","",INDEX('Per Invoice'!$B$2:$B$801,$N572)))</f>
        <v/>
      </c>
      <c r="C572">
        <f>IF($N572="","",IF(INDEX('Per Invoice'!$C$2:$C$801,$N572)="","",INDEX('Per Invoice'!$C$2:$C$801,$N572)))</f>
        <v/>
      </c>
      <c r="D572">
        <f>IF($N572="","",IF(INDEX('Per Invoice'!$D$2:$D$801,$N572)="","",INDEX('Per Invoice'!$D$2:$D$801,$N572)))</f>
        <v/>
      </c>
      <c r="E572">
        <f>IF($N572="","",IF(INDEX('Per Invoice'!$E$2:$E$801,$N572)="","",INDEX('Per Invoice'!$E$2:$E$801,$N572)))</f>
        <v/>
      </c>
      <c r="F572">
        <f>IF($N572="","",IF(INDEX('Per Invoice'!$F$2:$F$801,$N572)="","",INDEX('Per Invoice'!$F$2:$F$801,$N572)))</f>
        <v/>
      </c>
      <c r="G572">
        <f>IF($N572="","",IF(INDEX('Per Invoice'!$G$2:$G$801,$N572)="","",INDEX('Per Invoice'!$G$2:$G$801,$N572)))</f>
        <v/>
      </c>
      <c r="H572">
        <f>IF($N572="","",IF(INDEX('Per Invoice'!$H$2:$H$801,$N572)="","",INDEX('Per Invoice'!$H$2:$H$801,$N572)))</f>
        <v/>
      </c>
      <c r="I572" s="5">
        <f>IF($N572="","",IF(INDEX('Per Invoice'!$I$2:$I$801,$N572)="","",INDEX('Per Invoice'!$I$2:$I$801,$N572)))</f>
        <v/>
      </c>
      <c r="J572" s="5">
        <f>IF($N572="","",IF(INDEX('Per Invoice'!$J$2:$J$801,$N572)="","",INDEX('Per Invoice'!$J$2:$J$801,$N572)))</f>
        <v/>
      </c>
      <c r="K572" s="5">
        <f>IF($N572="","",IF(INDEX('Per Invoice'!$K$2:$K$801,$N572)="","",INDEX('Per Invoice'!$K$2:$K$801,$N572)))</f>
        <v/>
      </c>
      <c r="L572" s="5">
        <f>IF($N572="","",IF(INDEX('Per Invoice'!$L$2:$L$801,$N572)="","",INDEX('Per Invoice'!$L$2:$L$801,$N572)))</f>
        <v/>
      </c>
      <c r="M572" s="5">
        <f>IF($N572="","",IF(INDEX('Per Invoice'!$M$2:$M$801,$N572)="","",INDEX('Per Invoice'!$M$2:$M$801,$N572)))</f>
        <v/>
      </c>
      <c r="N572">
        <f>IF(ROWS($N$2:$N572)&lt;=COUNT('Per Invoice'!$O$2:$O$801),MATCH(ROWS($N$2:$N572),'Per Invoice'!$O$2:$O$801,0),"")</f>
        <v/>
      </c>
    </row>
    <row r="573">
      <c r="A573">
        <f>IF($N573="","",IF(INDEX('Per Invoice'!$A$2:$A$801,$N573)="","",INDEX('Per Invoice'!$A$2:$A$801,$N573)))</f>
        <v/>
      </c>
      <c r="B573">
        <f>IF($N573="","",IF(INDEX('Per Invoice'!$B$2:$B$801,$N573)="","",INDEX('Per Invoice'!$B$2:$B$801,$N573)))</f>
        <v/>
      </c>
      <c r="C573">
        <f>IF($N573="","",IF(INDEX('Per Invoice'!$C$2:$C$801,$N573)="","",INDEX('Per Invoice'!$C$2:$C$801,$N573)))</f>
        <v/>
      </c>
      <c r="D573">
        <f>IF($N573="","",IF(INDEX('Per Invoice'!$D$2:$D$801,$N573)="","",INDEX('Per Invoice'!$D$2:$D$801,$N573)))</f>
        <v/>
      </c>
      <c r="E573">
        <f>IF($N573="","",IF(INDEX('Per Invoice'!$E$2:$E$801,$N573)="","",INDEX('Per Invoice'!$E$2:$E$801,$N573)))</f>
        <v/>
      </c>
      <c r="F573">
        <f>IF($N573="","",IF(INDEX('Per Invoice'!$F$2:$F$801,$N573)="","",INDEX('Per Invoice'!$F$2:$F$801,$N573)))</f>
        <v/>
      </c>
      <c r="G573">
        <f>IF($N573="","",IF(INDEX('Per Invoice'!$G$2:$G$801,$N573)="","",INDEX('Per Invoice'!$G$2:$G$801,$N573)))</f>
        <v/>
      </c>
      <c r="H573">
        <f>IF($N573="","",IF(INDEX('Per Invoice'!$H$2:$H$801,$N573)="","",INDEX('Per Invoice'!$H$2:$H$801,$N573)))</f>
        <v/>
      </c>
      <c r="I573" s="5">
        <f>IF($N573="","",IF(INDEX('Per Invoice'!$I$2:$I$801,$N573)="","",INDEX('Per Invoice'!$I$2:$I$801,$N573)))</f>
        <v/>
      </c>
      <c r="J573" s="5">
        <f>IF($N573="","",IF(INDEX('Per Invoice'!$J$2:$J$801,$N573)="","",INDEX('Per Invoice'!$J$2:$J$801,$N573)))</f>
        <v/>
      </c>
      <c r="K573" s="5">
        <f>IF($N573="","",IF(INDEX('Per Invoice'!$K$2:$K$801,$N573)="","",INDEX('Per Invoice'!$K$2:$K$801,$N573)))</f>
        <v/>
      </c>
      <c r="L573" s="5">
        <f>IF($N573="","",IF(INDEX('Per Invoice'!$L$2:$L$801,$N573)="","",INDEX('Per Invoice'!$L$2:$L$801,$N573)))</f>
        <v/>
      </c>
      <c r="M573" s="5">
        <f>IF($N573="","",IF(INDEX('Per Invoice'!$M$2:$M$801,$N573)="","",INDEX('Per Invoice'!$M$2:$M$801,$N573)))</f>
        <v/>
      </c>
      <c r="N573">
        <f>IF(ROWS($N$2:$N573)&lt;=COUNT('Per Invoice'!$O$2:$O$801),MATCH(ROWS($N$2:$N573),'Per Invoice'!$O$2:$O$801,0),"")</f>
        <v/>
      </c>
    </row>
    <row r="574">
      <c r="A574">
        <f>IF($N574="","",IF(INDEX('Per Invoice'!$A$2:$A$801,$N574)="","",INDEX('Per Invoice'!$A$2:$A$801,$N574)))</f>
        <v/>
      </c>
      <c r="B574">
        <f>IF($N574="","",IF(INDEX('Per Invoice'!$B$2:$B$801,$N574)="","",INDEX('Per Invoice'!$B$2:$B$801,$N574)))</f>
        <v/>
      </c>
      <c r="C574">
        <f>IF($N574="","",IF(INDEX('Per Invoice'!$C$2:$C$801,$N574)="","",INDEX('Per Invoice'!$C$2:$C$801,$N574)))</f>
        <v/>
      </c>
      <c r="D574">
        <f>IF($N574="","",IF(INDEX('Per Invoice'!$D$2:$D$801,$N574)="","",INDEX('Per Invoice'!$D$2:$D$801,$N574)))</f>
        <v/>
      </c>
      <c r="E574">
        <f>IF($N574="","",IF(INDEX('Per Invoice'!$E$2:$E$801,$N574)="","",INDEX('Per Invoice'!$E$2:$E$801,$N574)))</f>
        <v/>
      </c>
      <c r="F574">
        <f>IF($N574="","",IF(INDEX('Per Invoice'!$F$2:$F$801,$N574)="","",INDEX('Per Invoice'!$F$2:$F$801,$N574)))</f>
        <v/>
      </c>
      <c r="G574">
        <f>IF($N574="","",IF(INDEX('Per Invoice'!$G$2:$G$801,$N574)="","",INDEX('Per Invoice'!$G$2:$G$801,$N574)))</f>
        <v/>
      </c>
      <c r="H574">
        <f>IF($N574="","",IF(INDEX('Per Invoice'!$H$2:$H$801,$N574)="","",INDEX('Per Invoice'!$H$2:$H$801,$N574)))</f>
        <v/>
      </c>
      <c r="I574" s="5">
        <f>IF($N574="","",IF(INDEX('Per Invoice'!$I$2:$I$801,$N574)="","",INDEX('Per Invoice'!$I$2:$I$801,$N574)))</f>
        <v/>
      </c>
      <c r="J574" s="5">
        <f>IF($N574="","",IF(INDEX('Per Invoice'!$J$2:$J$801,$N574)="","",INDEX('Per Invoice'!$J$2:$J$801,$N574)))</f>
        <v/>
      </c>
      <c r="K574" s="5">
        <f>IF($N574="","",IF(INDEX('Per Invoice'!$K$2:$K$801,$N574)="","",INDEX('Per Invoice'!$K$2:$K$801,$N574)))</f>
        <v/>
      </c>
      <c r="L574" s="5">
        <f>IF($N574="","",IF(INDEX('Per Invoice'!$L$2:$L$801,$N574)="","",INDEX('Per Invoice'!$L$2:$L$801,$N574)))</f>
        <v/>
      </c>
      <c r="M574" s="5">
        <f>IF($N574="","",IF(INDEX('Per Invoice'!$M$2:$M$801,$N574)="","",INDEX('Per Invoice'!$M$2:$M$801,$N574)))</f>
        <v/>
      </c>
      <c r="N574">
        <f>IF(ROWS($N$2:$N574)&lt;=COUNT('Per Invoice'!$O$2:$O$801),MATCH(ROWS($N$2:$N574),'Per Invoice'!$O$2:$O$801,0),"")</f>
        <v/>
      </c>
    </row>
    <row r="575">
      <c r="A575">
        <f>IF($N575="","",IF(INDEX('Per Invoice'!$A$2:$A$801,$N575)="","",INDEX('Per Invoice'!$A$2:$A$801,$N575)))</f>
        <v/>
      </c>
      <c r="B575">
        <f>IF($N575="","",IF(INDEX('Per Invoice'!$B$2:$B$801,$N575)="","",INDEX('Per Invoice'!$B$2:$B$801,$N575)))</f>
        <v/>
      </c>
      <c r="C575">
        <f>IF($N575="","",IF(INDEX('Per Invoice'!$C$2:$C$801,$N575)="","",INDEX('Per Invoice'!$C$2:$C$801,$N575)))</f>
        <v/>
      </c>
      <c r="D575">
        <f>IF($N575="","",IF(INDEX('Per Invoice'!$D$2:$D$801,$N575)="","",INDEX('Per Invoice'!$D$2:$D$801,$N575)))</f>
        <v/>
      </c>
      <c r="E575">
        <f>IF($N575="","",IF(INDEX('Per Invoice'!$E$2:$E$801,$N575)="","",INDEX('Per Invoice'!$E$2:$E$801,$N575)))</f>
        <v/>
      </c>
      <c r="F575">
        <f>IF($N575="","",IF(INDEX('Per Invoice'!$F$2:$F$801,$N575)="","",INDEX('Per Invoice'!$F$2:$F$801,$N575)))</f>
        <v/>
      </c>
      <c r="G575">
        <f>IF($N575="","",IF(INDEX('Per Invoice'!$G$2:$G$801,$N575)="","",INDEX('Per Invoice'!$G$2:$G$801,$N575)))</f>
        <v/>
      </c>
      <c r="H575">
        <f>IF($N575="","",IF(INDEX('Per Invoice'!$H$2:$H$801,$N575)="","",INDEX('Per Invoice'!$H$2:$H$801,$N575)))</f>
        <v/>
      </c>
      <c r="I575" s="5">
        <f>IF($N575="","",IF(INDEX('Per Invoice'!$I$2:$I$801,$N575)="","",INDEX('Per Invoice'!$I$2:$I$801,$N575)))</f>
        <v/>
      </c>
      <c r="J575" s="5">
        <f>IF($N575="","",IF(INDEX('Per Invoice'!$J$2:$J$801,$N575)="","",INDEX('Per Invoice'!$J$2:$J$801,$N575)))</f>
        <v/>
      </c>
      <c r="K575" s="5">
        <f>IF($N575="","",IF(INDEX('Per Invoice'!$K$2:$K$801,$N575)="","",INDEX('Per Invoice'!$K$2:$K$801,$N575)))</f>
        <v/>
      </c>
      <c r="L575" s="5">
        <f>IF($N575="","",IF(INDEX('Per Invoice'!$L$2:$L$801,$N575)="","",INDEX('Per Invoice'!$L$2:$L$801,$N575)))</f>
        <v/>
      </c>
      <c r="M575" s="5">
        <f>IF($N575="","",IF(INDEX('Per Invoice'!$M$2:$M$801,$N575)="","",INDEX('Per Invoice'!$M$2:$M$801,$N575)))</f>
        <v/>
      </c>
      <c r="N575">
        <f>IF(ROWS($N$2:$N575)&lt;=COUNT('Per Invoice'!$O$2:$O$801),MATCH(ROWS($N$2:$N575),'Per Invoice'!$O$2:$O$801,0),"")</f>
        <v/>
      </c>
    </row>
    <row r="576">
      <c r="A576">
        <f>IF($N576="","",IF(INDEX('Per Invoice'!$A$2:$A$801,$N576)="","",INDEX('Per Invoice'!$A$2:$A$801,$N576)))</f>
        <v/>
      </c>
      <c r="B576">
        <f>IF($N576="","",IF(INDEX('Per Invoice'!$B$2:$B$801,$N576)="","",INDEX('Per Invoice'!$B$2:$B$801,$N576)))</f>
        <v/>
      </c>
      <c r="C576">
        <f>IF($N576="","",IF(INDEX('Per Invoice'!$C$2:$C$801,$N576)="","",INDEX('Per Invoice'!$C$2:$C$801,$N576)))</f>
        <v/>
      </c>
      <c r="D576">
        <f>IF($N576="","",IF(INDEX('Per Invoice'!$D$2:$D$801,$N576)="","",INDEX('Per Invoice'!$D$2:$D$801,$N576)))</f>
        <v/>
      </c>
      <c r="E576">
        <f>IF($N576="","",IF(INDEX('Per Invoice'!$E$2:$E$801,$N576)="","",INDEX('Per Invoice'!$E$2:$E$801,$N576)))</f>
        <v/>
      </c>
      <c r="F576">
        <f>IF($N576="","",IF(INDEX('Per Invoice'!$F$2:$F$801,$N576)="","",INDEX('Per Invoice'!$F$2:$F$801,$N576)))</f>
        <v/>
      </c>
      <c r="G576">
        <f>IF($N576="","",IF(INDEX('Per Invoice'!$G$2:$G$801,$N576)="","",INDEX('Per Invoice'!$G$2:$G$801,$N576)))</f>
        <v/>
      </c>
      <c r="H576">
        <f>IF($N576="","",IF(INDEX('Per Invoice'!$H$2:$H$801,$N576)="","",INDEX('Per Invoice'!$H$2:$H$801,$N576)))</f>
        <v/>
      </c>
      <c r="I576" s="5">
        <f>IF($N576="","",IF(INDEX('Per Invoice'!$I$2:$I$801,$N576)="","",INDEX('Per Invoice'!$I$2:$I$801,$N576)))</f>
        <v/>
      </c>
      <c r="J576" s="5">
        <f>IF($N576="","",IF(INDEX('Per Invoice'!$J$2:$J$801,$N576)="","",INDEX('Per Invoice'!$J$2:$J$801,$N576)))</f>
        <v/>
      </c>
      <c r="K576" s="5">
        <f>IF($N576="","",IF(INDEX('Per Invoice'!$K$2:$K$801,$N576)="","",INDEX('Per Invoice'!$K$2:$K$801,$N576)))</f>
        <v/>
      </c>
      <c r="L576" s="5">
        <f>IF($N576="","",IF(INDEX('Per Invoice'!$L$2:$L$801,$N576)="","",INDEX('Per Invoice'!$L$2:$L$801,$N576)))</f>
        <v/>
      </c>
      <c r="M576" s="5">
        <f>IF($N576="","",IF(INDEX('Per Invoice'!$M$2:$M$801,$N576)="","",INDEX('Per Invoice'!$M$2:$M$801,$N576)))</f>
        <v/>
      </c>
      <c r="N576">
        <f>IF(ROWS($N$2:$N576)&lt;=COUNT('Per Invoice'!$O$2:$O$801),MATCH(ROWS($N$2:$N576),'Per Invoice'!$O$2:$O$801,0),"")</f>
        <v/>
      </c>
    </row>
    <row r="577">
      <c r="A577">
        <f>IF($N577="","",IF(INDEX('Per Invoice'!$A$2:$A$801,$N577)="","",INDEX('Per Invoice'!$A$2:$A$801,$N577)))</f>
        <v/>
      </c>
      <c r="B577">
        <f>IF($N577="","",IF(INDEX('Per Invoice'!$B$2:$B$801,$N577)="","",INDEX('Per Invoice'!$B$2:$B$801,$N577)))</f>
        <v/>
      </c>
      <c r="C577">
        <f>IF($N577="","",IF(INDEX('Per Invoice'!$C$2:$C$801,$N577)="","",INDEX('Per Invoice'!$C$2:$C$801,$N577)))</f>
        <v/>
      </c>
      <c r="D577">
        <f>IF($N577="","",IF(INDEX('Per Invoice'!$D$2:$D$801,$N577)="","",INDEX('Per Invoice'!$D$2:$D$801,$N577)))</f>
        <v/>
      </c>
      <c r="E577">
        <f>IF($N577="","",IF(INDEX('Per Invoice'!$E$2:$E$801,$N577)="","",INDEX('Per Invoice'!$E$2:$E$801,$N577)))</f>
        <v/>
      </c>
      <c r="F577">
        <f>IF($N577="","",IF(INDEX('Per Invoice'!$F$2:$F$801,$N577)="","",INDEX('Per Invoice'!$F$2:$F$801,$N577)))</f>
        <v/>
      </c>
      <c r="G577">
        <f>IF($N577="","",IF(INDEX('Per Invoice'!$G$2:$G$801,$N577)="","",INDEX('Per Invoice'!$G$2:$G$801,$N577)))</f>
        <v/>
      </c>
      <c r="H577">
        <f>IF($N577="","",IF(INDEX('Per Invoice'!$H$2:$H$801,$N577)="","",INDEX('Per Invoice'!$H$2:$H$801,$N577)))</f>
        <v/>
      </c>
      <c r="I577" s="5">
        <f>IF($N577="","",IF(INDEX('Per Invoice'!$I$2:$I$801,$N577)="","",INDEX('Per Invoice'!$I$2:$I$801,$N577)))</f>
        <v/>
      </c>
      <c r="J577" s="5">
        <f>IF($N577="","",IF(INDEX('Per Invoice'!$J$2:$J$801,$N577)="","",INDEX('Per Invoice'!$J$2:$J$801,$N577)))</f>
        <v/>
      </c>
      <c r="K577" s="5">
        <f>IF($N577="","",IF(INDEX('Per Invoice'!$K$2:$K$801,$N577)="","",INDEX('Per Invoice'!$K$2:$K$801,$N577)))</f>
        <v/>
      </c>
      <c r="L577" s="5">
        <f>IF($N577="","",IF(INDEX('Per Invoice'!$L$2:$L$801,$N577)="","",INDEX('Per Invoice'!$L$2:$L$801,$N577)))</f>
        <v/>
      </c>
      <c r="M577" s="5">
        <f>IF($N577="","",IF(INDEX('Per Invoice'!$M$2:$M$801,$N577)="","",INDEX('Per Invoice'!$M$2:$M$801,$N577)))</f>
        <v/>
      </c>
      <c r="N577">
        <f>IF(ROWS($N$2:$N577)&lt;=COUNT('Per Invoice'!$O$2:$O$801),MATCH(ROWS($N$2:$N577),'Per Invoice'!$O$2:$O$801,0),"")</f>
        <v/>
      </c>
    </row>
    <row r="578">
      <c r="A578">
        <f>IF($N578="","",IF(INDEX('Per Invoice'!$A$2:$A$801,$N578)="","",INDEX('Per Invoice'!$A$2:$A$801,$N578)))</f>
        <v/>
      </c>
      <c r="B578">
        <f>IF($N578="","",IF(INDEX('Per Invoice'!$B$2:$B$801,$N578)="","",INDEX('Per Invoice'!$B$2:$B$801,$N578)))</f>
        <v/>
      </c>
      <c r="C578">
        <f>IF($N578="","",IF(INDEX('Per Invoice'!$C$2:$C$801,$N578)="","",INDEX('Per Invoice'!$C$2:$C$801,$N578)))</f>
        <v/>
      </c>
      <c r="D578">
        <f>IF($N578="","",IF(INDEX('Per Invoice'!$D$2:$D$801,$N578)="","",INDEX('Per Invoice'!$D$2:$D$801,$N578)))</f>
        <v/>
      </c>
      <c r="E578">
        <f>IF($N578="","",IF(INDEX('Per Invoice'!$E$2:$E$801,$N578)="","",INDEX('Per Invoice'!$E$2:$E$801,$N578)))</f>
        <v/>
      </c>
      <c r="F578">
        <f>IF($N578="","",IF(INDEX('Per Invoice'!$F$2:$F$801,$N578)="","",INDEX('Per Invoice'!$F$2:$F$801,$N578)))</f>
        <v/>
      </c>
      <c r="G578">
        <f>IF($N578="","",IF(INDEX('Per Invoice'!$G$2:$G$801,$N578)="","",INDEX('Per Invoice'!$G$2:$G$801,$N578)))</f>
        <v/>
      </c>
      <c r="H578">
        <f>IF($N578="","",IF(INDEX('Per Invoice'!$H$2:$H$801,$N578)="","",INDEX('Per Invoice'!$H$2:$H$801,$N578)))</f>
        <v/>
      </c>
      <c r="I578" s="5">
        <f>IF($N578="","",IF(INDEX('Per Invoice'!$I$2:$I$801,$N578)="","",INDEX('Per Invoice'!$I$2:$I$801,$N578)))</f>
        <v/>
      </c>
      <c r="J578" s="5">
        <f>IF($N578="","",IF(INDEX('Per Invoice'!$J$2:$J$801,$N578)="","",INDEX('Per Invoice'!$J$2:$J$801,$N578)))</f>
        <v/>
      </c>
      <c r="K578" s="5">
        <f>IF($N578="","",IF(INDEX('Per Invoice'!$K$2:$K$801,$N578)="","",INDEX('Per Invoice'!$K$2:$K$801,$N578)))</f>
        <v/>
      </c>
      <c r="L578" s="5">
        <f>IF($N578="","",IF(INDEX('Per Invoice'!$L$2:$L$801,$N578)="","",INDEX('Per Invoice'!$L$2:$L$801,$N578)))</f>
        <v/>
      </c>
      <c r="M578" s="5">
        <f>IF($N578="","",IF(INDEX('Per Invoice'!$M$2:$M$801,$N578)="","",INDEX('Per Invoice'!$M$2:$M$801,$N578)))</f>
        <v/>
      </c>
      <c r="N578">
        <f>IF(ROWS($N$2:$N578)&lt;=COUNT('Per Invoice'!$O$2:$O$801),MATCH(ROWS($N$2:$N578),'Per Invoice'!$O$2:$O$801,0),"")</f>
        <v/>
      </c>
    </row>
    <row r="579">
      <c r="A579">
        <f>IF($N579="","",IF(INDEX('Per Invoice'!$A$2:$A$801,$N579)="","",INDEX('Per Invoice'!$A$2:$A$801,$N579)))</f>
        <v/>
      </c>
      <c r="B579">
        <f>IF($N579="","",IF(INDEX('Per Invoice'!$B$2:$B$801,$N579)="","",INDEX('Per Invoice'!$B$2:$B$801,$N579)))</f>
        <v/>
      </c>
      <c r="C579">
        <f>IF($N579="","",IF(INDEX('Per Invoice'!$C$2:$C$801,$N579)="","",INDEX('Per Invoice'!$C$2:$C$801,$N579)))</f>
        <v/>
      </c>
      <c r="D579">
        <f>IF($N579="","",IF(INDEX('Per Invoice'!$D$2:$D$801,$N579)="","",INDEX('Per Invoice'!$D$2:$D$801,$N579)))</f>
        <v/>
      </c>
      <c r="E579">
        <f>IF($N579="","",IF(INDEX('Per Invoice'!$E$2:$E$801,$N579)="","",INDEX('Per Invoice'!$E$2:$E$801,$N579)))</f>
        <v/>
      </c>
      <c r="F579">
        <f>IF($N579="","",IF(INDEX('Per Invoice'!$F$2:$F$801,$N579)="","",INDEX('Per Invoice'!$F$2:$F$801,$N579)))</f>
        <v/>
      </c>
      <c r="G579">
        <f>IF($N579="","",IF(INDEX('Per Invoice'!$G$2:$G$801,$N579)="","",INDEX('Per Invoice'!$G$2:$G$801,$N579)))</f>
        <v/>
      </c>
      <c r="H579">
        <f>IF($N579="","",IF(INDEX('Per Invoice'!$H$2:$H$801,$N579)="","",INDEX('Per Invoice'!$H$2:$H$801,$N579)))</f>
        <v/>
      </c>
      <c r="I579" s="5">
        <f>IF($N579="","",IF(INDEX('Per Invoice'!$I$2:$I$801,$N579)="","",INDEX('Per Invoice'!$I$2:$I$801,$N579)))</f>
        <v/>
      </c>
      <c r="J579" s="5">
        <f>IF($N579="","",IF(INDEX('Per Invoice'!$J$2:$J$801,$N579)="","",INDEX('Per Invoice'!$J$2:$J$801,$N579)))</f>
        <v/>
      </c>
      <c r="K579" s="5">
        <f>IF($N579="","",IF(INDEX('Per Invoice'!$K$2:$K$801,$N579)="","",INDEX('Per Invoice'!$K$2:$K$801,$N579)))</f>
        <v/>
      </c>
      <c r="L579" s="5">
        <f>IF($N579="","",IF(INDEX('Per Invoice'!$L$2:$L$801,$N579)="","",INDEX('Per Invoice'!$L$2:$L$801,$N579)))</f>
        <v/>
      </c>
      <c r="M579" s="5">
        <f>IF($N579="","",IF(INDEX('Per Invoice'!$M$2:$M$801,$N579)="","",INDEX('Per Invoice'!$M$2:$M$801,$N579)))</f>
        <v/>
      </c>
      <c r="N579">
        <f>IF(ROWS($N$2:$N579)&lt;=COUNT('Per Invoice'!$O$2:$O$801),MATCH(ROWS($N$2:$N579),'Per Invoice'!$O$2:$O$801,0),"")</f>
        <v/>
      </c>
    </row>
    <row r="580">
      <c r="A580">
        <f>IF($N580="","",IF(INDEX('Per Invoice'!$A$2:$A$801,$N580)="","",INDEX('Per Invoice'!$A$2:$A$801,$N580)))</f>
        <v/>
      </c>
      <c r="B580">
        <f>IF($N580="","",IF(INDEX('Per Invoice'!$B$2:$B$801,$N580)="","",INDEX('Per Invoice'!$B$2:$B$801,$N580)))</f>
        <v/>
      </c>
      <c r="C580">
        <f>IF($N580="","",IF(INDEX('Per Invoice'!$C$2:$C$801,$N580)="","",INDEX('Per Invoice'!$C$2:$C$801,$N580)))</f>
        <v/>
      </c>
      <c r="D580">
        <f>IF($N580="","",IF(INDEX('Per Invoice'!$D$2:$D$801,$N580)="","",INDEX('Per Invoice'!$D$2:$D$801,$N580)))</f>
        <v/>
      </c>
      <c r="E580">
        <f>IF($N580="","",IF(INDEX('Per Invoice'!$E$2:$E$801,$N580)="","",INDEX('Per Invoice'!$E$2:$E$801,$N580)))</f>
        <v/>
      </c>
      <c r="F580">
        <f>IF($N580="","",IF(INDEX('Per Invoice'!$F$2:$F$801,$N580)="","",INDEX('Per Invoice'!$F$2:$F$801,$N580)))</f>
        <v/>
      </c>
      <c r="G580">
        <f>IF($N580="","",IF(INDEX('Per Invoice'!$G$2:$G$801,$N580)="","",INDEX('Per Invoice'!$G$2:$G$801,$N580)))</f>
        <v/>
      </c>
      <c r="H580">
        <f>IF($N580="","",IF(INDEX('Per Invoice'!$H$2:$H$801,$N580)="","",INDEX('Per Invoice'!$H$2:$H$801,$N580)))</f>
        <v/>
      </c>
      <c r="I580" s="5">
        <f>IF($N580="","",IF(INDEX('Per Invoice'!$I$2:$I$801,$N580)="","",INDEX('Per Invoice'!$I$2:$I$801,$N580)))</f>
        <v/>
      </c>
      <c r="J580" s="5">
        <f>IF($N580="","",IF(INDEX('Per Invoice'!$J$2:$J$801,$N580)="","",INDEX('Per Invoice'!$J$2:$J$801,$N580)))</f>
        <v/>
      </c>
      <c r="K580" s="5">
        <f>IF($N580="","",IF(INDEX('Per Invoice'!$K$2:$K$801,$N580)="","",INDEX('Per Invoice'!$K$2:$K$801,$N580)))</f>
        <v/>
      </c>
      <c r="L580" s="5">
        <f>IF($N580="","",IF(INDEX('Per Invoice'!$L$2:$L$801,$N580)="","",INDEX('Per Invoice'!$L$2:$L$801,$N580)))</f>
        <v/>
      </c>
      <c r="M580" s="5">
        <f>IF($N580="","",IF(INDEX('Per Invoice'!$M$2:$M$801,$N580)="","",INDEX('Per Invoice'!$M$2:$M$801,$N580)))</f>
        <v/>
      </c>
      <c r="N580">
        <f>IF(ROWS($N$2:$N580)&lt;=COUNT('Per Invoice'!$O$2:$O$801),MATCH(ROWS($N$2:$N580),'Per Invoice'!$O$2:$O$801,0),"")</f>
        <v/>
      </c>
    </row>
    <row r="581">
      <c r="A581">
        <f>IF($N581="","",IF(INDEX('Per Invoice'!$A$2:$A$801,$N581)="","",INDEX('Per Invoice'!$A$2:$A$801,$N581)))</f>
        <v/>
      </c>
      <c r="B581">
        <f>IF($N581="","",IF(INDEX('Per Invoice'!$B$2:$B$801,$N581)="","",INDEX('Per Invoice'!$B$2:$B$801,$N581)))</f>
        <v/>
      </c>
      <c r="C581">
        <f>IF($N581="","",IF(INDEX('Per Invoice'!$C$2:$C$801,$N581)="","",INDEX('Per Invoice'!$C$2:$C$801,$N581)))</f>
        <v/>
      </c>
      <c r="D581">
        <f>IF($N581="","",IF(INDEX('Per Invoice'!$D$2:$D$801,$N581)="","",INDEX('Per Invoice'!$D$2:$D$801,$N581)))</f>
        <v/>
      </c>
      <c r="E581">
        <f>IF($N581="","",IF(INDEX('Per Invoice'!$E$2:$E$801,$N581)="","",INDEX('Per Invoice'!$E$2:$E$801,$N581)))</f>
        <v/>
      </c>
      <c r="F581">
        <f>IF($N581="","",IF(INDEX('Per Invoice'!$F$2:$F$801,$N581)="","",INDEX('Per Invoice'!$F$2:$F$801,$N581)))</f>
        <v/>
      </c>
      <c r="G581">
        <f>IF($N581="","",IF(INDEX('Per Invoice'!$G$2:$G$801,$N581)="","",INDEX('Per Invoice'!$G$2:$G$801,$N581)))</f>
        <v/>
      </c>
      <c r="H581">
        <f>IF($N581="","",IF(INDEX('Per Invoice'!$H$2:$H$801,$N581)="","",INDEX('Per Invoice'!$H$2:$H$801,$N581)))</f>
        <v/>
      </c>
      <c r="I581" s="5">
        <f>IF($N581="","",IF(INDEX('Per Invoice'!$I$2:$I$801,$N581)="","",INDEX('Per Invoice'!$I$2:$I$801,$N581)))</f>
        <v/>
      </c>
      <c r="J581" s="5">
        <f>IF($N581="","",IF(INDEX('Per Invoice'!$J$2:$J$801,$N581)="","",INDEX('Per Invoice'!$J$2:$J$801,$N581)))</f>
        <v/>
      </c>
      <c r="K581" s="5">
        <f>IF($N581="","",IF(INDEX('Per Invoice'!$K$2:$K$801,$N581)="","",INDEX('Per Invoice'!$K$2:$K$801,$N581)))</f>
        <v/>
      </c>
      <c r="L581" s="5">
        <f>IF($N581="","",IF(INDEX('Per Invoice'!$L$2:$L$801,$N581)="","",INDEX('Per Invoice'!$L$2:$L$801,$N581)))</f>
        <v/>
      </c>
      <c r="M581" s="5">
        <f>IF($N581="","",IF(INDEX('Per Invoice'!$M$2:$M$801,$N581)="","",INDEX('Per Invoice'!$M$2:$M$801,$N581)))</f>
        <v/>
      </c>
      <c r="N581">
        <f>IF(ROWS($N$2:$N581)&lt;=COUNT('Per Invoice'!$O$2:$O$801),MATCH(ROWS($N$2:$N581),'Per Invoice'!$O$2:$O$801,0),"")</f>
        <v/>
      </c>
    </row>
    <row r="582">
      <c r="A582">
        <f>IF($N582="","",IF(INDEX('Per Invoice'!$A$2:$A$801,$N582)="","",INDEX('Per Invoice'!$A$2:$A$801,$N582)))</f>
        <v/>
      </c>
      <c r="B582">
        <f>IF($N582="","",IF(INDEX('Per Invoice'!$B$2:$B$801,$N582)="","",INDEX('Per Invoice'!$B$2:$B$801,$N582)))</f>
        <v/>
      </c>
      <c r="C582">
        <f>IF($N582="","",IF(INDEX('Per Invoice'!$C$2:$C$801,$N582)="","",INDEX('Per Invoice'!$C$2:$C$801,$N582)))</f>
        <v/>
      </c>
      <c r="D582">
        <f>IF($N582="","",IF(INDEX('Per Invoice'!$D$2:$D$801,$N582)="","",INDEX('Per Invoice'!$D$2:$D$801,$N582)))</f>
        <v/>
      </c>
      <c r="E582">
        <f>IF($N582="","",IF(INDEX('Per Invoice'!$E$2:$E$801,$N582)="","",INDEX('Per Invoice'!$E$2:$E$801,$N582)))</f>
        <v/>
      </c>
      <c r="F582">
        <f>IF($N582="","",IF(INDEX('Per Invoice'!$F$2:$F$801,$N582)="","",INDEX('Per Invoice'!$F$2:$F$801,$N582)))</f>
        <v/>
      </c>
      <c r="G582">
        <f>IF($N582="","",IF(INDEX('Per Invoice'!$G$2:$G$801,$N582)="","",INDEX('Per Invoice'!$G$2:$G$801,$N582)))</f>
        <v/>
      </c>
      <c r="H582">
        <f>IF($N582="","",IF(INDEX('Per Invoice'!$H$2:$H$801,$N582)="","",INDEX('Per Invoice'!$H$2:$H$801,$N582)))</f>
        <v/>
      </c>
      <c r="I582" s="5">
        <f>IF($N582="","",IF(INDEX('Per Invoice'!$I$2:$I$801,$N582)="","",INDEX('Per Invoice'!$I$2:$I$801,$N582)))</f>
        <v/>
      </c>
      <c r="J582" s="5">
        <f>IF($N582="","",IF(INDEX('Per Invoice'!$J$2:$J$801,$N582)="","",INDEX('Per Invoice'!$J$2:$J$801,$N582)))</f>
        <v/>
      </c>
      <c r="K582" s="5">
        <f>IF($N582="","",IF(INDEX('Per Invoice'!$K$2:$K$801,$N582)="","",INDEX('Per Invoice'!$K$2:$K$801,$N582)))</f>
        <v/>
      </c>
      <c r="L582" s="5">
        <f>IF($N582="","",IF(INDEX('Per Invoice'!$L$2:$L$801,$N582)="","",INDEX('Per Invoice'!$L$2:$L$801,$N582)))</f>
        <v/>
      </c>
      <c r="M582" s="5">
        <f>IF($N582="","",IF(INDEX('Per Invoice'!$M$2:$M$801,$N582)="","",INDEX('Per Invoice'!$M$2:$M$801,$N582)))</f>
        <v/>
      </c>
      <c r="N582">
        <f>IF(ROWS($N$2:$N582)&lt;=COUNT('Per Invoice'!$O$2:$O$801),MATCH(ROWS($N$2:$N582),'Per Invoice'!$O$2:$O$801,0),"")</f>
        <v/>
      </c>
    </row>
    <row r="583">
      <c r="A583">
        <f>IF($N583="","",IF(INDEX('Per Invoice'!$A$2:$A$801,$N583)="","",INDEX('Per Invoice'!$A$2:$A$801,$N583)))</f>
        <v/>
      </c>
      <c r="B583">
        <f>IF($N583="","",IF(INDEX('Per Invoice'!$B$2:$B$801,$N583)="","",INDEX('Per Invoice'!$B$2:$B$801,$N583)))</f>
        <v/>
      </c>
      <c r="C583">
        <f>IF($N583="","",IF(INDEX('Per Invoice'!$C$2:$C$801,$N583)="","",INDEX('Per Invoice'!$C$2:$C$801,$N583)))</f>
        <v/>
      </c>
      <c r="D583">
        <f>IF($N583="","",IF(INDEX('Per Invoice'!$D$2:$D$801,$N583)="","",INDEX('Per Invoice'!$D$2:$D$801,$N583)))</f>
        <v/>
      </c>
      <c r="E583">
        <f>IF($N583="","",IF(INDEX('Per Invoice'!$E$2:$E$801,$N583)="","",INDEX('Per Invoice'!$E$2:$E$801,$N583)))</f>
        <v/>
      </c>
      <c r="F583">
        <f>IF($N583="","",IF(INDEX('Per Invoice'!$F$2:$F$801,$N583)="","",INDEX('Per Invoice'!$F$2:$F$801,$N583)))</f>
        <v/>
      </c>
      <c r="G583">
        <f>IF($N583="","",IF(INDEX('Per Invoice'!$G$2:$G$801,$N583)="","",INDEX('Per Invoice'!$G$2:$G$801,$N583)))</f>
        <v/>
      </c>
      <c r="H583">
        <f>IF($N583="","",IF(INDEX('Per Invoice'!$H$2:$H$801,$N583)="","",INDEX('Per Invoice'!$H$2:$H$801,$N583)))</f>
        <v/>
      </c>
      <c r="I583" s="5">
        <f>IF($N583="","",IF(INDEX('Per Invoice'!$I$2:$I$801,$N583)="","",INDEX('Per Invoice'!$I$2:$I$801,$N583)))</f>
        <v/>
      </c>
      <c r="J583" s="5">
        <f>IF($N583="","",IF(INDEX('Per Invoice'!$J$2:$J$801,$N583)="","",INDEX('Per Invoice'!$J$2:$J$801,$N583)))</f>
        <v/>
      </c>
      <c r="K583" s="5">
        <f>IF($N583="","",IF(INDEX('Per Invoice'!$K$2:$K$801,$N583)="","",INDEX('Per Invoice'!$K$2:$K$801,$N583)))</f>
        <v/>
      </c>
      <c r="L583" s="5">
        <f>IF($N583="","",IF(INDEX('Per Invoice'!$L$2:$L$801,$N583)="","",INDEX('Per Invoice'!$L$2:$L$801,$N583)))</f>
        <v/>
      </c>
      <c r="M583" s="5">
        <f>IF($N583="","",IF(INDEX('Per Invoice'!$M$2:$M$801,$N583)="","",INDEX('Per Invoice'!$M$2:$M$801,$N583)))</f>
        <v/>
      </c>
      <c r="N583">
        <f>IF(ROWS($N$2:$N583)&lt;=COUNT('Per Invoice'!$O$2:$O$801),MATCH(ROWS($N$2:$N583),'Per Invoice'!$O$2:$O$801,0),"")</f>
        <v/>
      </c>
    </row>
    <row r="584">
      <c r="A584">
        <f>IF($N584="","",IF(INDEX('Per Invoice'!$A$2:$A$801,$N584)="","",INDEX('Per Invoice'!$A$2:$A$801,$N584)))</f>
        <v/>
      </c>
      <c r="B584">
        <f>IF($N584="","",IF(INDEX('Per Invoice'!$B$2:$B$801,$N584)="","",INDEX('Per Invoice'!$B$2:$B$801,$N584)))</f>
        <v/>
      </c>
      <c r="C584">
        <f>IF($N584="","",IF(INDEX('Per Invoice'!$C$2:$C$801,$N584)="","",INDEX('Per Invoice'!$C$2:$C$801,$N584)))</f>
        <v/>
      </c>
      <c r="D584">
        <f>IF($N584="","",IF(INDEX('Per Invoice'!$D$2:$D$801,$N584)="","",INDEX('Per Invoice'!$D$2:$D$801,$N584)))</f>
        <v/>
      </c>
      <c r="E584">
        <f>IF($N584="","",IF(INDEX('Per Invoice'!$E$2:$E$801,$N584)="","",INDEX('Per Invoice'!$E$2:$E$801,$N584)))</f>
        <v/>
      </c>
      <c r="F584">
        <f>IF($N584="","",IF(INDEX('Per Invoice'!$F$2:$F$801,$N584)="","",INDEX('Per Invoice'!$F$2:$F$801,$N584)))</f>
        <v/>
      </c>
      <c r="G584">
        <f>IF($N584="","",IF(INDEX('Per Invoice'!$G$2:$G$801,$N584)="","",INDEX('Per Invoice'!$G$2:$G$801,$N584)))</f>
        <v/>
      </c>
      <c r="H584">
        <f>IF($N584="","",IF(INDEX('Per Invoice'!$H$2:$H$801,$N584)="","",INDEX('Per Invoice'!$H$2:$H$801,$N584)))</f>
        <v/>
      </c>
      <c r="I584" s="5">
        <f>IF($N584="","",IF(INDEX('Per Invoice'!$I$2:$I$801,$N584)="","",INDEX('Per Invoice'!$I$2:$I$801,$N584)))</f>
        <v/>
      </c>
      <c r="J584" s="5">
        <f>IF($N584="","",IF(INDEX('Per Invoice'!$J$2:$J$801,$N584)="","",INDEX('Per Invoice'!$J$2:$J$801,$N584)))</f>
        <v/>
      </c>
      <c r="K584" s="5">
        <f>IF($N584="","",IF(INDEX('Per Invoice'!$K$2:$K$801,$N584)="","",INDEX('Per Invoice'!$K$2:$K$801,$N584)))</f>
        <v/>
      </c>
      <c r="L584" s="5">
        <f>IF($N584="","",IF(INDEX('Per Invoice'!$L$2:$L$801,$N584)="","",INDEX('Per Invoice'!$L$2:$L$801,$N584)))</f>
        <v/>
      </c>
      <c r="M584" s="5">
        <f>IF($N584="","",IF(INDEX('Per Invoice'!$M$2:$M$801,$N584)="","",INDEX('Per Invoice'!$M$2:$M$801,$N584)))</f>
        <v/>
      </c>
      <c r="N584">
        <f>IF(ROWS($N$2:$N584)&lt;=COUNT('Per Invoice'!$O$2:$O$801),MATCH(ROWS($N$2:$N584),'Per Invoice'!$O$2:$O$801,0),"")</f>
        <v/>
      </c>
    </row>
    <row r="585">
      <c r="A585">
        <f>IF($N585="","",IF(INDEX('Per Invoice'!$A$2:$A$801,$N585)="","",INDEX('Per Invoice'!$A$2:$A$801,$N585)))</f>
        <v/>
      </c>
      <c r="B585">
        <f>IF($N585="","",IF(INDEX('Per Invoice'!$B$2:$B$801,$N585)="","",INDEX('Per Invoice'!$B$2:$B$801,$N585)))</f>
        <v/>
      </c>
      <c r="C585">
        <f>IF($N585="","",IF(INDEX('Per Invoice'!$C$2:$C$801,$N585)="","",INDEX('Per Invoice'!$C$2:$C$801,$N585)))</f>
        <v/>
      </c>
      <c r="D585">
        <f>IF($N585="","",IF(INDEX('Per Invoice'!$D$2:$D$801,$N585)="","",INDEX('Per Invoice'!$D$2:$D$801,$N585)))</f>
        <v/>
      </c>
      <c r="E585">
        <f>IF($N585="","",IF(INDEX('Per Invoice'!$E$2:$E$801,$N585)="","",INDEX('Per Invoice'!$E$2:$E$801,$N585)))</f>
        <v/>
      </c>
      <c r="F585">
        <f>IF($N585="","",IF(INDEX('Per Invoice'!$F$2:$F$801,$N585)="","",INDEX('Per Invoice'!$F$2:$F$801,$N585)))</f>
        <v/>
      </c>
      <c r="G585">
        <f>IF($N585="","",IF(INDEX('Per Invoice'!$G$2:$G$801,$N585)="","",INDEX('Per Invoice'!$G$2:$G$801,$N585)))</f>
        <v/>
      </c>
      <c r="H585">
        <f>IF($N585="","",IF(INDEX('Per Invoice'!$H$2:$H$801,$N585)="","",INDEX('Per Invoice'!$H$2:$H$801,$N585)))</f>
        <v/>
      </c>
      <c r="I585" s="5">
        <f>IF($N585="","",IF(INDEX('Per Invoice'!$I$2:$I$801,$N585)="","",INDEX('Per Invoice'!$I$2:$I$801,$N585)))</f>
        <v/>
      </c>
      <c r="J585" s="5">
        <f>IF($N585="","",IF(INDEX('Per Invoice'!$J$2:$J$801,$N585)="","",INDEX('Per Invoice'!$J$2:$J$801,$N585)))</f>
        <v/>
      </c>
      <c r="K585" s="5">
        <f>IF($N585="","",IF(INDEX('Per Invoice'!$K$2:$K$801,$N585)="","",INDEX('Per Invoice'!$K$2:$K$801,$N585)))</f>
        <v/>
      </c>
      <c r="L585" s="5">
        <f>IF($N585="","",IF(INDEX('Per Invoice'!$L$2:$L$801,$N585)="","",INDEX('Per Invoice'!$L$2:$L$801,$N585)))</f>
        <v/>
      </c>
      <c r="M585" s="5">
        <f>IF($N585="","",IF(INDEX('Per Invoice'!$M$2:$M$801,$N585)="","",INDEX('Per Invoice'!$M$2:$M$801,$N585)))</f>
        <v/>
      </c>
      <c r="N585">
        <f>IF(ROWS($N$2:$N585)&lt;=COUNT('Per Invoice'!$O$2:$O$801),MATCH(ROWS($N$2:$N585),'Per Invoice'!$O$2:$O$801,0),"")</f>
        <v/>
      </c>
    </row>
    <row r="586">
      <c r="A586">
        <f>IF($N586="","",IF(INDEX('Per Invoice'!$A$2:$A$801,$N586)="","",INDEX('Per Invoice'!$A$2:$A$801,$N586)))</f>
        <v/>
      </c>
      <c r="B586">
        <f>IF($N586="","",IF(INDEX('Per Invoice'!$B$2:$B$801,$N586)="","",INDEX('Per Invoice'!$B$2:$B$801,$N586)))</f>
        <v/>
      </c>
      <c r="C586">
        <f>IF($N586="","",IF(INDEX('Per Invoice'!$C$2:$C$801,$N586)="","",INDEX('Per Invoice'!$C$2:$C$801,$N586)))</f>
        <v/>
      </c>
      <c r="D586">
        <f>IF($N586="","",IF(INDEX('Per Invoice'!$D$2:$D$801,$N586)="","",INDEX('Per Invoice'!$D$2:$D$801,$N586)))</f>
        <v/>
      </c>
      <c r="E586">
        <f>IF($N586="","",IF(INDEX('Per Invoice'!$E$2:$E$801,$N586)="","",INDEX('Per Invoice'!$E$2:$E$801,$N586)))</f>
        <v/>
      </c>
      <c r="F586">
        <f>IF($N586="","",IF(INDEX('Per Invoice'!$F$2:$F$801,$N586)="","",INDEX('Per Invoice'!$F$2:$F$801,$N586)))</f>
        <v/>
      </c>
      <c r="G586">
        <f>IF($N586="","",IF(INDEX('Per Invoice'!$G$2:$G$801,$N586)="","",INDEX('Per Invoice'!$G$2:$G$801,$N586)))</f>
        <v/>
      </c>
      <c r="H586">
        <f>IF($N586="","",IF(INDEX('Per Invoice'!$H$2:$H$801,$N586)="","",INDEX('Per Invoice'!$H$2:$H$801,$N586)))</f>
        <v/>
      </c>
      <c r="I586" s="5">
        <f>IF($N586="","",IF(INDEX('Per Invoice'!$I$2:$I$801,$N586)="","",INDEX('Per Invoice'!$I$2:$I$801,$N586)))</f>
        <v/>
      </c>
      <c r="J586" s="5">
        <f>IF($N586="","",IF(INDEX('Per Invoice'!$J$2:$J$801,$N586)="","",INDEX('Per Invoice'!$J$2:$J$801,$N586)))</f>
        <v/>
      </c>
      <c r="K586" s="5">
        <f>IF($N586="","",IF(INDEX('Per Invoice'!$K$2:$K$801,$N586)="","",INDEX('Per Invoice'!$K$2:$K$801,$N586)))</f>
        <v/>
      </c>
      <c r="L586" s="5">
        <f>IF($N586="","",IF(INDEX('Per Invoice'!$L$2:$L$801,$N586)="","",INDEX('Per Invoice'!$L$2:$L$801,$N586)))</f>
        <v/>
      </c>
      <c r="M586" s="5">
        <f>IF($N586="","",IF(INDEX('Per Invoice'!$M$2:$M$801,$N586)="","",INDEX('Per Invoice'!$M$2:$M$801,$N586)))</f>
        <v/>
      </c>
      <c r="N586">
        <f>IF(ROWS($N$2:$N586)&lt;=COUNT('Per Invoice'!$O$2:$O$801),MATCH(ROWS($N$2:$N586),'Per Invoice'!$O$2:$O$801,0),"")</f>
        <v/>
      </c>
    </row>
    <row r="587">
      <c r="A587">
        <f>IF($N587="","",IF(INDEX('Per Invoice'!$A$2:$A$801,$N587)="","",INDEX('Per Invoice'!$A$2:$A$801,$N587)))</f>
        <v/>
      </c>
      <c r="B587">
        <f>IF($N587="","",IF(INDEX('Per Invoice'!$B$2:$B$801,$N587)="","",INDEX('Per Invoice'!$B$2:$B$801,$N587)))</f>
        <v/>
      </c>
      <c r="C587">
        <f>IF($N587="","",IF(INDEX('Per Invoice'!$C$2:$C$801,$N587)="","",INDEX('Per Invoice'!$C$2:$C$801,$N587)))</f>
        <v/>
      </c>
      <c r="D587">
        <f>IF($N587="","",IF(INDEX('Per Invoice'!$D$2:$D$801,$N587)="","",INDEX('Per Invoice'!$D$2:$D$801,$N587)))</f>
        <v/>
      </c>
      <c r="E587">
        <f>IF($N587="","",IF(INDEX('Per Invoice'!$E$2:$E$801,$N587)="","",INDEX('Per Invoice'!$E$2:$E$801,$N587)))</f>
        <v/>
      </c>
      <c r="F587">
        <f>IF($N587="","",IF(INDEX('Per Invoice'!$F$2:$F$801,$N587)="","",INDEX('Per Invoice'!$F$2:$F$801,$N587)))</f>
        <v/>
      </c>
      <c r="G587">
        <f>IF($N587="","",IF(INDEX('Per Invoice'!$G$2:$G$801,$N587)="","",INDEX('Per Invoice'!$G$2:$G$801,$N587)))</f>
        <v/>
      </c>
      <c r="H587">
        <f>IF($N587="","",IF(INDEX('Per Invoice'!$H$2:$H$801,$N587)="","",INDEX('Per Invoice'!$H$2:$H$801,$N587)))</f>
        <v/>
      </c>
      <c r="I587" s="5">
        <f>IF($N587="","",IF(INDEX('Per Invoice'!$I$2:$I$801,$N587)="","",INDEX('Per Invoice'!$I$2:$I$801,$N587)))</f>
        <v/>
      </c>
      <c r="J587" s="5">
        <f>IF($N587="","",IF(INDEX('Per Invoice'!$J$2:$J$801,$N587)="","",INDEX('Per Invoice'!$J$2:$J$801,$N587)))</f>
        <v/>
      </c>
      <c r="K587" s="5">
        <f>IF($N587="","",IF(INDEX('Per Invoice'!$K$2:$K$801,$N587)="","",INDEX('Per Invoice'!$K$2:$K$801,$N587)))</f>
        <v/>
      </c>
      <c r="L587" s="5">
        <f>IF($N587="","",IF(INDEX('Per Invoice'!$L$2:$L$801,$N587)="","",INDEX('Per Invoice'!$L$2:$L$801,$N587)))</f>
        <v/>
      </c>
      <c r="M587" s="5">
        <f>IF($N587="","",IF(INDEX('Per Invoice'!$M$2:$M$801,$N587)="","",INDEX('Per Invoice'!$M$2:$M$801,$N587)))</f>
        <v/>
      </c>
      <c r="N587">
        <f>IF(ROWS($N$2:$N587)&lt;=COUNT('Per Invoice'!$O$2:$O$801),MATCH(ROWS($N$2:$N587),'Per Invoice'!$O$2:$O$801,0),"")</f>
        <v/>
      </c>
    </row>
    <row r="588">
      <c r="A588">
        <f>IF($N588="","",IF(INDEX('Per Invoice'!$A$2:$A$801,$N588)="","",INDEX('Per Invoice'!$A$2:$A$801,$N588)))</f>
        <v/>
      </c>
      <c r="B588">
        <f>IF($N588="","",IF(INDEX('Per Invoice'!$B$2:$B$801,$N588)="","",INDEX('Per Invoice'!$B$2:$B$801,$N588)))</f>
        <v/>
      </c>
      <c r="C588">
        <f>IF($N588="","",IF(INDEX('Per Invoice'!$C$2:$C$801,$N588)="","",INDEX('Per Invoice'!$C$2:$C$801,$N588)))</f>
        <v/>
      </c>
      <c r="D588">
        <f>IF($N588="","",IF(INDEX('Per Invoice'!$D$2:$D$801,$N588)="","",INDEX('Per Invoice'!$D$2:$D$801,$N588)))</f>
        <v/>
      </c>
      <c r="E588">
        <f>IF($N588="","",IF(INDEX('Per Invoice'!$E$2:$E$801,$N588)="","",INDEX('Per Invoice'!$E$2:$E$801,$N588)))</f>
        <v/>
      </c>
      <c r="F588">
        <f>IF($N588="","",IF(INDEX('Per Invoice'!$F$2:$F$801,$N588)="","",INDEX('Per Invoice'!$F$2:$F$801,$N588)))</f>
        <v/>
      </c>
      <c r="G588">
        <f>IF($N588="","",IF(INDEX('Per Invoice'!$G$2:$G$801,$N588)="","",INDEX('Per Invoice'!$G$2:$G$801,$N588)))</f>
        <v/>
      </c>
      <c r="H588">
        <f>IF($N588="","",IF(INDEX('Per Invoice'!$H$2:$H$801,$N588)="","",INDEX('Per Invoice'!$H$2:$H$801,$N588)))</f>
        <v/>
      </c>
      <c r="I588" s="5">
        <f>IF($N588="","",IF(INDEX('Per Invoice'!$I$2:$I$801,$N588)="","",INDEX('Per Invoice'!$I$2:$I$801,$N588)))</f>
        <v/>
      </c>
      <c r="J588" s="5">
        <f>IF($N588="","",IF(INDEX('Per Invoice'!$J$2:$J$801,$N588)="","",INDEX('Per Invoice'!$J$2:$J$801,$N588)))</f>
        <v/>
      </c>
      <c r="K588" s="5">
        <f>IF($N588="","",IF(INDEX('Per Invoice'!$K$2:$K$801,$N588)="","",INDEX('Per Invoice'!$K$2:$K$801,$N588)))</f>
        <v/>
      </c>
      <c r="L588" s="5">
        <f>IF($N588="","",IF(INDEX('Per Invoice'!$L$2:$L$801,$N588)="","",INDEX('Per Invoice'!$L$2:$L$801,$N588)))</f>
        <v/>
      </c>
      <c r="M588" s="5">
        <f>IF($N588="","",IF(INDEX('Per Invoice'!$M$2:$M$801,$N588)="","",INDEX('Per Invoice'!$M$2:$M$801,$N588)))</f>
        <v/>
      </c>
      <c r="N588">
        <f>IF(ROWS($N$2:$N588)&lt;=COUNT('Per Invoice'!$O$2:$O$801),MATCH(ROWS($N$2:$N588),'Per Invoice'!$O$2:$O$801,0),"")</f>
        <v/>
      </c>
    </row>
    <row r="589">
      <c r="A589">
        <f>IF($N589="","",IF(INDEX('Per Invoice'!$A$2:$A$801,$N589)="","",INDEX('Per Invoice'!$A$2:$A$801,$N589)))</f>
        <v/>
      </c>
      <c r="B589">
        <f>IF($N589="","",IF(INDEX('Per Invoice'!$B$2:$B$801,$N589)="","",INDEX('Per Invoice'!$B$2:$B$801,$N589)))</f>
        <v/>
      </c>
      <c r="C589">
        <f>IF($N589="","",IF(INDEX('Per Invoice'!$C$2:$C$801,$N589)="","",INDEX('Per Invoice'!$C$2:$C$801,$N589)))</f>
        <v/>
      </c>
      <c r="D589">
        <f>IF($N589="","",IF(INDEX('Per Invoice'!$D$2:$D$801,$N589)="","",INDEX('Per Invoice'!$D$2:$D$801,$N589)))</f>
        <v/>
      </c>
      <c r="E589">
        <f>IF($N589="","",IF(INDEX('Per Invoice'!$E$2:$E$801,$N589)="","",INDEX('Per Invoice'!$E$2:$E$801,$N589)))</f>
        <v/>
      </c>
      <c r="F589">
        <f>IF($N589="","",IF(INDEX('Per Invoice'!$F$2:$F$801,$N589)="","",INDEX('Per Invoice'!$F$2:$F$801,$N589)))</f>
        <v/>
      </c>
      <c r="G589">
        <f>IF($N589="","",IF(INDEX('Per Invoice'!$G$2:$G$801,$N589)="","",INDEX('Per Invoice'!$G$2:$G$801,$N589)))</f>
        <v/>
      </c>
      <c r="H589">
        <f>IF($N589="","",IF(INDEX('Per Invoice'!$H$2:$H$801,$N589)="","",INDEX('Per Invoice'!$H$2:$H$801,$N589)))</f>
        <v/>
      </c>
      <c r="I589" s="5">
        <f>IF($N589="","",IF(INDEX('Per Invoice'!$I$2:$I$801,$N589)="","",INDEX('Per Invoice'!$I$2:$I$801,$N589)))</f>
        <v/>
      </c>
      <c r="J589" s="5">
        <f>IF($N589="","",IF(INDEX('Per Invoice'!$J$2:$J$801,$N589)="","",INDEX('Per Invoice'!$J$2:$J$801,$N589)))</f>
        <v/>
      </c>
      <c r="K589" s="5">
        <f>IF($N589="","",IF(INDEX('Per Invoice'!$K$2:$K$801,$N589)="","",INDEX('Per Invoice'!$K$2:$K$801,$N589)))</f>
        <v/>
      </c>
      <c r="L589" s="5">
        <f>IF($N589="","",IF(INDEX('Per Invoice'!$L$2:$L$801,$N589)="","",INDEX('Per Invoice'!$L$2:$L$801,$N589)))</f>
        <v/>
      </c>
      <c r="M589" s="5">
        <f>IF($N589="","",IF(INDEX('Per Invoice'!$M$2:$M$801,$N589)="","",INDEX('Per Invoice'!$M$2:$M$801,$N589)))</f>
        <v/>
      </c>
      <c r="N589">
        <f>IF(ROWS($N$2:$N589)&lt;=COUNT('Per Invoice'!$O$2:$O$801),MATCH(ROWS($N$2:$N589),'Per Invoice'!$O$2:$O$801,0),"")</f>
        <v/>
      </c>
    </row>
    <row r="590">
      <c r="A590">
        <f>IF($N590="","",IF(INDEX('Per Invoice'!$A$2:$A$801,$N590)="","",INDEX('Per Invoice'!$A$2:$A$801,$N590)))</f>
        <v/>
      </c>
      <c r="B590">
        <f>IF($N590="","",IF(INDEX('Per Invoice'!$B$2:$B$801,$N590)="","",INDEX('Per Invoice'!$B$2:$B$801,$N590)))</f>
        <v/>
      </c>
      <c r="C590">
        <f>IF($N590="","",IF(INDEX('Per Invoice'!$C$2:$C$801,$N590)="","",INDEX('Per Invoice'!$C$2:$C$801,$N590)))</f>
        <v/>
      </c>
      <c r="D590">
        <f>IF($N590="","",IF(INDEX('Per Invoice'!$D$2:$D$801,$N590)="","",INDEX('Per Invoice'!$D$2:$D$801,$N590)))</f>
        <v/>
      </c>
      <c r="E590">
        <f>IF($N590="","",IF(INDEX('Per Invoice'!$E$2:$E$801,$N590)="","",INDEX('Per Invoice'!$E$2:$E$801,$N590)))</f>
        <v/>
      </c>
      <c r="F590">
        <f>IF($N590="","",IF(INDEX('Per Invoice'!$F$2:$F$801,$N590)="","",INDEX('Per Invoice'!$F$2:$F$801,$N590)))</f>
        <v/>
      </c>
      <c r="G590">
        <f>IF($N590="","",IF(INDEX('Per Invoice'!$G$2:$G$801,$N590)="","",INDEX('Per Invoice'!$G$2:$G$801,$N590)))</f>
        <v/>
      </c>
      <c r="H590">
        <f>IF($N590="","",IF(INDEX('Per Invoice'!$H$2:$H$801,$N590)="","",INDEX('Per Invoice'!$H$2:$H$801,$N590)))</f>
        <v/>
      </c>
      <c r="I590" s="5">
        <f>IF($N590="","",IF(INDEX('Per Invoice'!$I$2:$I$801,$N590)="","",INDEX('Per Invoice'!$I$2:$I$801,$N590)))</f>
        <v/>
      </c>
      <c r="J590" s="5">
        <f>IF($N590="","",IF(INDEX('Per Invoice'!$J$2:$J$801,$N590)="","",INDEX('Per Invoice'!$J$2:$J$801,$N590)))</f>
        <v/>
      </c>
      <c r="K590" s="5">
        <f>IF($N590="","",IF(INDEX('Per Invoice'!$K$2:$K$801,$N590)="","",INDEX('Per Invoice'!$K$2:$K$801,$N590)))</f>
        <v/>
      </c>
      <c r="L590" s="5">
        <f>IF($N590="","",IF(INDEX('Per Invoice'!$L$2:$L$801,$N590)="","",INDEX('Per Invoice'!$L$2:$L$801,$N590)))</f>
        <v/>
      </c>
      <c r="M590" s="5">
        <f>IF($N590="","",IF(INDEX('Per Invoice'!$M$2:$M$801,$N590)="","",INDEX('Per Invoice'!$M$2:$M$801,$N590)))</f>
        <v/>
      </c>
      <c r="N590">
        <f>IF(ROWS($N$2:$N590)&lt;=COUNT('Per Invoice'!$O$2:$O$801),MATCH(ROWS($N$2:$N590),'Per Invoice'!$O$2:$O$801,0),"")</f>
        <v/>
      </c>
    </row>
    <row r="591">
      <c r="A591">
        <f>IF($N591="","",IF(INDEX('Per Invoice'!$A$2:$A$801,$N591)="","",INDEX('Per Invoice'!$A$2:$A$801,$N591)))</f>
        <v/>
      </c>
      <c r="B591">
        <f>IF($N591="","",IF(INDEX('Per Invoice'!$B$2:$B$801,$N591)="","",INDEX('Per Invoice'!$B$2:$B$801,$N591)))</f>
        <v/>
      </c>
      <c r="C591">
        <f>IF($N591="","",IF(INDEX('Per Invoice'!$C$2:$C$801,$N591)="","",INDEX('Per Invoice'!$C$2:$C$801,$N591)))</f>
        <v/>
      </c>
      <c r="D591">
        <f>IF($N591="","",IF(INDEX('Per Invoice'!$D$2:$D$801,$N591)="","",INDEX('Per Invoice'!$D$2:$D$801,$N591)))</f>
        <v/>
      </c>
      <c r="E591">
        <f>IF($N591="","",IF(INDEX('Per Invoice'!$E$2:$E$801,$N591)="","",INDEX('Per Invoice'!$E$2:$E$801,$N591)))</f>
        <v/>
      </c>
      <c r="F591">
        <f>IF($N591="","",IF(INDEX('Per Invoice'!$F$2:$F$801,$N591)="","",INDEX('Per Invoice'!$F$2:$F$801,$N591)))</f>
        <v/>
      </c>
      <c r="G591">
        <f>IF($N591="","",IF(INDEX('Per Invoice'!$G$2:$G$801,$N591)="","",INDEX('Per Invoice'!$G$2:$G$801,$N591)))</f>
        <v/>
      </c>
      <c r="H591">
        <f>IF($N591="","",IF(INDEX('Per Invoice'!$H$2:$H$801,$N591)="","",INDEX('Per Invoice'!$H$2:$H$801,$N591)))</f>
        <v/>
      </c>
      <c r="I591" s="5">
        <f>IF($N591="","",IF(INDEX('Per Invoice'!$I$2:$I$801,$N591)="","",INDEX('Per Invoice'!$I$2:$I$801,$N591)))</f>
        <v/>
      </c>
      <c r="J591" s="5">
        <f>IF($N591="","",IF(INDEX('Per Invoice'!$J$2:$J$801,$N591)="","",INDEX('Per Invoice'!$J$2:$J$801,$N591)))</f>
        <v/>
      </c>
      <c r="K591" s="5">
        <f>IF($N591="","",IF(INDEX('Per Invoice'!$K$2:$K$801,$N591)="","",INDEX('Per Invoice'!$K$2:$K$801,$N591)))</f>
        <v/>
      </c>
      <c r="L591" s="5">
        <f>IF($N591="","",IF(INDEX('Per Invoice'!$L$2:$L$801,$N591)="","",INDEX('Per Invoice'!$L$2:$L$801,$N591)))</f>
        <v/>
      </c>
      <c r="M591" s="5">
        <f>IF($N591="","",IF(INDEX('Per Invoice'!$M$2:$M$801,$N591)="","",INDEX('Per Invoice'!$M$2:$M$801,$N591)))</f>
        <v/>
      </c>
      <c r="N591">
        <f>IF(ROWS($N$2:$N591)&lt;=COUNT('Per Invoice'!$O$2:$O$801),MATCH(ROWS($N$2:$N591),'Per Invoice'!$O$2:$O$801,0),"")</f>
        <v/>
      </c>
    </row>
    <row r="592">
      <c r="A592">
        <f>IF($N592="","",IF(INDEX('Per Invoice'!$A$2:$A$801,$N592)="","",INDEX('Per Invoice'!$A$2:$A$801,$N592)))</f>
        <v/>
      </c>
      <c r="B592">
        <f>IF($N592="","",IF(INDEX('Per Invoice'!$B$2:$B$801,$N592)="","",INDEX('Per Invoice'!$B$2:$B$801,$N592)))</f>
        <v/>
      </c>
      <c r="C592">
        <f>IF($N592="","",IF(INDEX('Per Invoice'!$C$2:$C$801,$N592)="","",INDEX('Per Invoice'!$C$2:$C$801,$N592)))</f>
        <v/>
      </c>
      <c r="D592">
        <f>IF($N592="","",IF(INDEX('Per Invoice'!$D$2:$D$801,$N592)="","",INDEX('Per Invoice'!$D$2:$D$801,$N592)))</f>
        <v/>
      </c>
      <c r="E592">
        <f>IF($N592="","",IF(INDEX('Per Invoice'!$E$2:$E$801,$N592)="","",INDEX('Per Invoice'!$E$2:$E$801,$N592)))</f>
        <v/>
      </c>
      <c r="F592">
        <f>IF($N592="","",IF(INDEX('Per Invoice'!$F$2:$F$801,$N592)="","",INDEX('Per Invoice'!$F$2:$F$801,$N592)))</f>
        <v/>
      </c>
      <c r="G592">
        <f>IF($N592="","",IF(INDEX('Per Invoice'!$G$2:$G$801,$N592)="","",INDEX('Per Invoice'!$G$2:$G$801,$N592)))</f>
        <v/>
      </c>
      <c r="H592">
        <f>IF($N592="","",IF(INDEX('Per Invoice'!$H$2:$H$801,$N592)="","",INDEX('Per Invoice'!$H$2:$H$801,$N592)))</f>
        <v/>
      </c>
      <c r="I592" s="5">
        <f>IF($N592="","",IF(INDEX('Per Invoice'!$I$2:$I$801,$N592)="","",INDEX('Per Invoice'!$I$2:$I$801,$N592)))</f>
        <v/>
      </c>
      <c r="J592" s="5">
        <f>IF($N592="","",IF(INDEX('Per Invoice'!$J$2:$J$801,$N592)="","",INDEX('Per Invoice'!$J$2:$J$801,$N592)))</f>
        <v/>
      </c>
      <c r="K592" s="5">
        <f>IF($N592="","",IF(INDEX('Per Invoice'!$K$2:$K$801,$N592)="","",INDEX('Per Invoice'!$K$2:$K$801,$N592)))</f>
        <v/>
      </c>
      <c r="L592" s="5">
        <f>IF($N592="","",IF(INDEX('Per Invoice'!$L$2:$L$801,$N592)="","",INDEX('Per Invoice'!$L$2:$L$801,$N592)))</f>
        <v/>
      </c>
      <c r="M592" s="5">
        <f>IF($N592="","",IF(INDEX('Per Invoice'!$M$2:$M$801,$N592)="","",INDEX('Per Invoice'!$M$2:$M$801,$N592)))</f>
        <v/>
      </c>
      <c r="N592">
        <f>IF(ROWS($N$2:$N592)&lt;=COUNT('Per Invoice'!$O$2:$O$801),MATCH(ROWS($N$2:$N592),'Per Invoice'!$O$2:$O$801,0),"")</f>
        <v/>
      </c>
    </row>
    <row r="593">
      <c r="A593">
        <f>IF($N593="","",IF(INDEX('Per Invoice'!$A$2:$A$801,$N593)="","",INDEX('Per Invoice'!$A$2:$A$801,$N593)))</f>
        <v/>
      </c>
      <c r="B593">
        <f>IF($N593="","",IF(INDEX('Per Invoice'!$B$2:$B$801,$N593)="","",INDEX('Per Invoice'!$B$2:$B$801,$N593)))</f>
        <v/>
      </c>
      <c r="C593">
        <f>IF($N593="","",IF(INDEX('Per Invoice'!$C$2:$C$801,$N593)="","",INDEX('Per Invoice'!$C$2:$C$801,$N593)))</f>
        <v/>
      </c>
      <c r="D593">
        <f>IF($N593="","",IF(INDEX('Per Invoice'!$D$2:$D$801,$N593)="","",INDEX('Per Invoice'!$D$2:$D$801,$N593)))</f>
        <v/>
      </c>
      <c r="E593">
        <f>IF($N593="","",IF(INDEX('Per Invoice'!$E$2:$E$801,$N593)="","",INDEX('Per Invoice'!$E$2:$E$801,$N593)))</f>
        <v/>
      </c>
      <c r="F593">
        <f>IF($N593="","",IF(INDEX('Per Invoice'!$F$2:$F$801,$N593)="","",INDEX('Per Invoice'!$F$2:$F$801,$N593)))</f>
        <v/>
      </c>
      <c r="G593">
        <f>IF($N593="","",IF(INDEX('Per Invoice'!$G$2:$G$801,$N593)="","",INDEX('Per Invoice'!$G$2:$G$801,$N593)))</f>
        <v/>
      </c>
      <c r="H593">
        <f>IF($N593="","",IF(INDEX('Per Invoice'!$H$2:$H$801,$N593)="","",INDEX('Per Invoice'!$H$2:$H$801,$N593)))</f>
        <v/>
      </c>
      <c r="I593" s="5">
        <f>IF($N593="","",IF(INDEX('Per Invoice'!$I$2:$I$801,$N593)="","",INDEX('Per Invoice'!$I$2:$I$801,$N593)))</f>
        <v/>
      </c>
      <c r="J593" s="5">
        <f>IF($N593="","",IF(INDEX('Per Invoice'!$J$2:$J$801,$N593)="","",INDEX('Per Invoice'!$J$2:$J$801,$N593)))</f>
        <v/>
      </c>
      <c r="K593" s="5">
        <f>IF($N593="","",IF(INDEX('Per Invoice'!$K$2:$K$801,$N593)="","",INDEX('Per Invoice'!$K$2:$K$801,$N593)))</f>
        <v/>
      </c>
      <c r="L593" s="5">
        <f>IF($N593="","",IF(INDEX('Per Invoice'!$L$2:$L$801,$N593)="","",INDEX('Per Invoice'!$L$2:$L$801,$N593)))</f>
        <v/>
      </c>
      <c r="M593" s="5">
        <f>IF($N593="","",IF(INDEX('Per Invoice'!$M$2:$M$801,$N593)="","",INDEX('Per Invoice'!$M$2:$M$801,$N593)))</f>
        <v/>
      </c>
      <c r="N593">
        <f>IF(ROWS($N$2:$N593)&lt;=COUNT('Per Invoice'!$O$2:$O$801),MATCH(ROWS($N$2:$N593),'Per Invoice'!$O$2:$O$801,0),"")</f>
        <v/>
      </c>
    </row>
    <row r="594">
      <c r="A594">
        <f>IF($N594="","",IF(INDEX('Per Invoice'!$A$2:$A$801,$N594)="","",INDEX('Per Invoice'!$A$2:$A$801,$N594)))</f>
        <v/>
      </c>
      <c r="B594">
        <f>IF($N594="","",IF(INDEX('Per Invoice'!$B$2:$B$801,$N594)="","",INDEX('Per Invoice'!$B$2:$B$801,$N594)))</f>
        <v/>
      </c>
      <c r="C594">
        <f>IF($N594="","",IF(INDEX('Per Invoice'!$C$2:$C$801,$N594)="","",INDEX('Per Invoice'!$C$2:$C$801,$N594)))</f>
        <v/>
      </c>
      <c r="D594">
        <f>IF($N594="","",IF(INDEX('Per Invoice'!$D$2:$D$801,$N594)="","",INDEX('Per Invoice'!$D$2:$D$801,$N594)))</f>
        <v/>
      </c>
      <c r="E594">
        <f>IF($N594="","",IF(INDEX('Per Invoice'!$E$2:$E$801,$N594)="","",INDEX('Per Invoice'!$E$2:$E$801,$N594)))</f>
        <v/>
      </c>
      <c r="F594">
        <f>IF($N594="","",IF(INDEX('Per Invoice'!$F$2:$F$801,$N594)="","",INDEX('Per Invoice'!$F$2:$F$801,$N594)))</f>
        <v/>
      </c>
      <c r="G594">
        <f>IF($N594="","",IF(INDEX('Per Invoice'!$G$2:$G$801,$N594)="","",INDEX('Per Invoice'!$G$2:$G$801,$N594)))</f>
        <v/>
      </c>
      <c r="H594">
        <f>IF($N594="","",IF(INDEX('Per Invoice'!$H$2:$H$801,$N594)="","",INDEX('Per Invoice'!$H$2:$H$801,$N594)))</f>
        <v/>
      </c>
      <c r="I594" s="5">
        <f>IF($N594="","",IF(INDEX('Per Invoice'!$I$2:$I$801,$N594)="","",INDEX('Per Invoice'!$I$2:$I$801,$N594)))</f>
        <v/>
      </c>
      <c r="J594" s="5">
        <f>IF($N594="","",IF(INDEX('Per Invoice'!$J$2:$J$801,$N594)="","",INDEX('Per Invoice'!$J$2:$J$801,$N594)))</f>
        <v/>
      </c>
      <c r="K594" s="5">
        <f>IF($N594="","",IF(INDEX('Per Invoice'!$K$2:$K$801,$N594)="","",INDEX('Per Invoice'!$K$2:$K$801,$N594)))</f>
        <v/>
      </c>
      <c r="L594" s="5">
        <f>IF($N594="","",IF(INDEX('Per Invoice'!$L$2:$L$801,$N594)="","",INDEX('Per Invoice'!$L$2:$L$801,$N594)))</f>
        <v/>
      </c>
      <c r="M594" s="5">
        <f>IF($N594="","",IF(INDEX('Per Invoice'!$M$2:$M$801,$N594)="","",INDEX('Per Invoice'!$M$2:$M$801,$N594)))</f>
        <v/>
      </c>
      <c r="N594">
        <f>IF(ROWS($N$2:$N594)&lt;=COUNT('Per Invoice'!$O$2:$O$801),MATCH(ROWS($N$2:$N594),'Per Invoice'!$O$2:$O$801,0),"")</f>
        <v/>
      </c>
    </row>
    <row r="595">
      <c r="A595">
        <f>IF($N595="","",IF(INDEX('Per Invoice'!$A$2:$A$801,$N595)="","",INDEX('Per Invoice'!$A$2:$A$801,$N595)))</f>
        <v/>
      </c>
      <c r="B595">
        <f>IF($N595="","",IF(INDEX('Per Invoice'!$B$2:$B$801,$N595)="","",INDEX('Per Invoice'!$B$2:$B$801,$N595)))</f>
        <v/>
      </c>
      <c r="C595">
        <f>IF($N595="","",IF(INDEX('Per Invoice'!$C$2:$C$801,$N595)="","",INDEX('Per Invoice'!$C$2:$C$801,$N595)))</f>
        <v/>
      </c>
      <c r="D595">
        <f>IF($N595="","",IF(INDEX('Per Invoice'!$D$2:$D$801,$N595)="","",INDEX('Per Invoice'!$D$2:$D$801,$N595)))</f>
        <v/>
      </c>
      <c r="E595">
        <f>IF($N595="","",IF(INDEX('Per Invoice'!$E$2:$E$801,$N595)="","",INDEX('Per Invoice'!$E$2:$E$801,$N595)))</f>
        <v/>
      </c>
      <c r="F595">
        <f>IF($N595="","",IF(INDEX('Per Invoice'!$F$2:$F$801,$N595)="","",INDEX('Per Invoice'!$F$2:$F$801,$N595)))</f>
        <v/>
      </c>
      <c r="G595">
        <f>IF($N595="","",IF(INDEX('Per Invoice'!$G$2:$G$801,$N595)="","",INDEX('Per Invoice'!$G$2:$G$801,$N595)))</f>
        <v/>
      </c>
      <c r="H595">
        <f>IF($N595="","",IF(INDEX('Per Invoice'!$H$2:$H$801,$N595)="","",INDEX('Per Invoice'!$H$2:$H$801,$N595)))</f>
        <v/>
      </c>
      <c r="I595" s="5">
        <f>IF($N595="","",IF(INDEX('Per Invoice'!$I$2:$I$801,$N595)="","",INDEX('Per Invoice'!$I$2:$I$801,$N595)))</f>
        <v/>
      </c>
      <c r="J595" s="5">
        <f>IF($N595="","",IF(INDEX('Per Invoice'!$J$2:$J$801,$N595)="","",INDEX('Per Invoice'!$J$2:$J$801,$N595)))</f>
        <v/>
      </c>
      <c r="K595" s="5">
        <f>IF($N595="","",IF(INDEX('Per Invoice'!$K$2:$K$801,$N595)="","",INDEX('Per Invoice'!$K$2:$K$801,$N595)))</f>
        <v/>
      </c>
      <c r="L595" s="5">
        <f>IF($N595="","",IF(INDEX('Per Invoice'!$L$2:$L$801,$N595)="","",INDEX('Per Invoice'!$L$2:$L$801,$N595)))</f>
        <v/>
      </c>
      <c r="M595" s="5">
        <f>IF($N595="","",IF(INDEX('Per Invoice'!$M$2:$M$801,$N595)="","",INDEX('Per Invoice'!$M$2:$M$801,$N595)))</f>
        <v/>
      </c>
      <c r="N595">
        <f>IF(ROWS($N$2:$N595)&lt;=COUNT('Per Invoice'!$O$2:$O$801),MATCH(ROWS($N$2:$N595),'Per Invoice'!$O$2:$O$801,0),"")</f>
        <v/>
      </c>
    </row>
    <row r="596">
      <c r="A596">
        <f>IF($N596="","",IF(INDEX('Per Invoice'!$A$2:$A$801,$N596)="","",INDEX('Per Invoice'!$A$2:$A$801,$N596)))</f>
        <v/>
      </c>
      <c r="B596">
        <f>IF($N596="","",IF(INDEX('Per Invoice'!$B$2:$B$801,$N596)="","",INDEX('Per Invoice'!$B$2:$B$801,$N596)))</f>
        <v/>
      </c>
      <c r="C596">
        <f>IF($N596="","",IF(INDEX('Per Invoice'!$C$2:$C$801,$N596)="","",INDEX('Per Invoice'!$C$2:$C$801,$N596)))</f>
        <v/>
      </c>
      <c r="D596">
        <f>IF($N596="","",IF(INDEX('Per Invoice'!$D$2:$D$801,$N596)="","",INDEX('Per Invoice'!$D$2:$D$801,$N596)))</f>
        <v/>
      </c>
      <c r="E596">
        <f>IF($N596="","",IF(INDEX('Per Invoice'!$E$2:$E$801,$N596)="","",INDEX('Per Invoice'!$E$2:$E$801,$N596)))</f>
        <v/>
      </c>
      <c r="F596">
        <f>IF($N596="","",IF(INDEX('Per Invoice'!$F$2:$F$801,$N596)="","",INDEX('Per Invoice'!$F$2:$F$801,$N596)))</f>
        <v/>
      </c>
      <c r="G596">
        <f>IF($N596="","",IF(INDEX('Per Invoice'!$G$2:$G$801,$N596)="","",INDEX('Per Invoice'!$G$2:$G$801,$N596)))</f>
        <v/>
      </c>
      <c r="H596">
        <f>IF($N596="","",IF(INDEX('Per Invoice'!$H$2:$H$801,$N596)="","",INDEX('Per Invoice'!$H$2:$H$801,$N596)))</f>
        <v/>
      </c>
      <c r="I596" s="5">
        <f>IF($N596="","",IF(INDEX('Per Invoice'!$I$2:$I$801,$N596)="","",INDEX('Per Invoice'!$I$2:$I$801,$N596)))</f>
        <v/>
      </c>
      <c r="J596" s="5">
        <f>IF($N596="","",IF(INDEX('Per Invoice'!$J$2:$J$801,$N596)="","",INDEX('Per Invoice'!$J$2:$J$801,$N596)))</f>
        <v/>
      </c>
      <c r="K596" s="5">
        <f>IF($N596="","",IF(INDEX('Per Invoice'!$K$2:$K$801,$N596)="","",INDEX('Per Invoice'!$K$2:$K$801,$N596)))</f>
        <v/>
      </c>
      <c r="L596" s="5">
        <f>IF($N596="","",IF(INDEX('Per Invoice'!$L$2:$L$801,$N596)="","",INDEX('Per Invoice'!$L$2:$L$801,$N596)))</f>
        <v/>
      </c>
      <c r="M596" s="5">
        <f>IF($N596="","",IF(INDEX('Per Invoice'!$M$2:$M$801,$N596)="","",INDEX('Per Invoice'!$M$2:$M$801,$N596)))</f>
        <v/>
      </c>
      <c r="N596">
        <f>IF(ROWS($N$2:$N596)&lt;=COUNT('Per Invoice'!$O$2:$O$801),MATCH(ROWS($N$2:$N596),'Per Invoice'!$O$2:$O$801,0),"")</f>
        <v/>
      </c>
    </row>
    <row r="597">
      <c r="A597">
        <f>IF($N597="","",IF(INDEX('Per Invoice'!$A$2:$A$801,$N597)="","",INDEX('Per Invoice'!$A$2:$A$801,$N597)))</f>
        <v/>
      </c>
      <c r="B597">
        <f>IF($N597="","",IF(INDEX('Per Invoice'!$B$2:$B$801,$N597)="","",INDEX('Per Invoice'!$B$2:$B$801,$N597)))</f>
        <v/>
      </c>
      <c r="C597">
        <f>IF($N597="","",IF(INDEX('Per Invoice'!$C$2:$C$801,$N597)="","",INDEX('Per Invoice'!$C$2:$C$801,$N597)))</f>
        <v/>
      </c>
      <c r="D597">
        <f>IF($N597="","",IF(INDEX('Per Invoice'!$D$2:$D$801,$N597)="","",INDEX('Per Invoice'!$D$2:$D$801,$N597)))</f>
        <v/>
      </c>
      <c r="E597">
        <f>IF($N597="","",IF(INDEX('Per Invoice'!$E$2:$E$801,$N597)="","",INDEX('Per Invoice'!$E$2:$E$801,$N597)))</f>
        <v/>
      </c>
      <c r="F597">
        <f>IF($N597="","",IF(INDEX('Per Invoice'!$F$2:$F$801,$N597)="","",INDEX('Per Invoice'!$F$2:$F$801,$N597)))</f>
        <v/>
      </c>
      <c r="G597">
        <f>IF($N597="","",IF(INDEX('Per Invoice'!$G$2:$G$801,$N597)="","",INDEX('Per Invoice'!$G$2:$G$801,$N597)))</f>
        <v/>
      </c>
      <c r="H597">
        <f>IF($N597="","",IF(INDEX('Per Invoice'!$H$2:$H$801,$N597)="","",INDEX('Per Invoice'!$H$2:$H$801,$N597)))</f>
        <v/>
      </c>
      <c r="I597" s="5">
        <f>IF($N597="","",IF(INDEX('Per Invoice'!$I$2:$I$801,$N597)="","",INDEX('Per Invoice'!$I$2:$I$801,$N597)))</f>
        <v/>
      </c>
      <c r="J597" s="5">
        <f>IF($N597="","",IF(INDEX('Per Invoice'!$J$2:$J$801,$N597)="","",INDEX('Per Invoice'!$J$2:$J$801,$N597)))</f>
        <v/>
      </c>
      <c r="K597" s="5">
        <f>IF($N597="","",IF(INDEX('Per Invoice'!$K$2:$K$801,$N597)="","",INDEX('Per Invoice'!$K$2:$K$801,$N597)))</f>
        <v/>
      </c>
      <c r="L597" s="5">
        <f>IF($N597="","",IF(INDEX('Per Invoice'!$L$2:$L$801,$N597)="","",INDEX('Per Invoice'!$L$2:$L$801,$N597)))</f>
        <v/>
      </c>
      <c r="M597" s="5">
        <f>IF($N597="","",IF(INDEX('Per Invoice'!$M$2:$M$801,$N597)="","",INDEX('Per Invoice'!$M$2:$M$801,$N597)))</f>
        <v/>
      </c>
      <c r="N597">
        <f>IF(ROWS($N$2:$N597)&lt;=COUNT('Per Invoice'!$O$2:$O$801),MATCH(ROWS($N$2:$N597),'Per Invoice'!$O$2:$O$801,0),"")</f>
        <v/>
      </c>
    </row>
    <row r="598">
      <c r="A598">
        <f>IF($N598="","",IF(INDEX('Per Invoice'!$A$2:$A$801,$N598)="","",INDEX('Per Invoice'!$A$2:$A$801,$N598)))</f>
        <v/>
      </c>
      <c r="B598">
        <f>IF($N598="","",IF(INDEX('Per Invoice'!$B$2:$B$801,$N598)="","",INDEX('Per Invoice'!$B$2:$B$801,$N598)))</f>
        <v/>
      </c>
      <c r="C598">
        <f>IF($N598="","",IF(INDEX('Per Invoice'!$C$2:$C$801,$N598)="","",INDEX('Per Invoice'!$C$2:$C$801,$N598)))</f>
        <v/>
      </c>
      <c r="D598">
        <f>IF($N598="","",IF(INDEX('Per Invoice'!$D$2:$D$801,$N598)="","",INDEX('Per Invoice'!$D$2:$D$801,$N598)))</f>
        <v/>
      </c>
      <c r="E598">
        <f>IF($N598="","",IF(INDEX('Per Invoice'!$E$2:$E$801,$N598)="","",INDEX('Per Invoice'!$E$2:$E$801,$N598)))</f>
        <v/>
      </c>
      <c r="F598">
        <f>IF($N598="","",IF(INDEX('Per Invoice'!$F$2:$F$801,$N598)="","",INDEX('Per Invoice'!$F$2:$F$801,$N598)))</f>
        <v/>
      </c>
      <c r="G598">
        <f>IF($N598="","",IF(INDEX('Per Invoice'!$G$2:$G$801,$N598)="","",INDEX('Per Invoice'!$G$2:$G$801,$N598)))</f>
        <v/>
      </c>
      <c r="H598">
        <f>IF($N598="","",IF(INDEX('Per Invoice'!$H$2:$H$801,$N598)="","",INDEX('Per Invoice'!$H$2:$H$801,$N598)))</f>
        <v/>
      </c>
      <c r="I598" s="5">
        <f>IF($N598="","",IF(INDEX('Per Invoice'!$I$2:$I$801,$N598)="","",INDEX('Per Invoice'!$I$2:$I$801,$N598)))</f>
        <v/>
      </c>
      <c r="J598" s="5">
        <f>IF($N598="","",IF(INDEX('Per Invoice'!$J$2:$J$801,$N598)="","",INDEX('Per Invoice'!$J$2:$J$801,$N598)))</f>
        <v/>
      </c>
      <c r="K598" s="5">
        <f>IF($N598="","",IF(INDEX('Per Invoice'!$K$2:$K$801,$N598)="","",INDEX('Per Invoice'!$K$2:$K$801,$N598)))</f>
        <v/>
      </c>
      <c r="L598" s="5">
        <f>IF($N598="","",IF(INDEX('Per Invoice'!$L$2:$L$801,$N598)="","",INDEX('Per Invoice'!$L$2:$L$801,$N598)))</f>
        <v/>
      </c>
      <c r="M598" s="5">
        <f>IF($N598="","",IF(INDEX('Per Invoice'!$M$2:$M$801,$N598)="","",INDEX('Per Invoice'!$M$2:$M$801,$N598)))</f>
        <v/>
      </c>
      <c r="N598">
        <f>IF(ROWS($N$2:$N598)&lt;=COUNT('Per Invoice'!$O$2:$O$801),MATCH(ROWS($N$2:$N598),'Per Invoice'!$O$2:$O$801,0),"")</f>
        <v/>
      </c>
    </row>
    <row r="599">
      <c r="A599">
        <f>IF($N599="","",IF(INDEX('Per Invoice'!$A$2:$A$801,$N599)="","",INDEX('Per Invoice'!$A$2:$A$801,$N599)))</f>
        <v/>
      </c>
      <c r="B599">
        <f>IF($N599="","",IF(INDEX('Per Invoice'!$B$2:$B$801,$N599)="","",INDEX('Per Invoice'!$B$2:$B$801,$N599)))</f>
        <v/>
      </c>
      <c r="C599">
        <f>IF($N599="","",IF(INDEX('Per Invoice'!$C$2:$C$801,$N599)="","",INDEX('Per Invoice'!$C$2:$C$801,$N599)))</f>
        <v/>
      </c>
      <c r="D599">
        <f>IF($N599="","",IF(INDEX('Per Invoice'!$D$2:$D$801,$N599)="","",INDEX('Per Invoice'!$D$2:$D$801,$N599)))</f>
        <v/>
      </c>
      <c r="E599">
        <f>IF($N599="","",IF(INDEX('Per Invoice'!$E$2:$E$801,$N599)="","",INDEX('Per Invoice'!$E$2:$E$801,$N599)))</f>
        <v/>
      </c>
      <c r="F599">
        <f>IF($N599="","",IF(INDEX('Per Invoice'!$F$2:$F$801,$N599)="","",INDEX('Per Invoice'!$F$2:$F$801,$N599)))</f>
        <v/>
      </c>
      <c r="G599">
        <f>IF($N599="","",IF(INDEX('Per Invoice'!$G$2:$G$801,$N599)="","",INDEX('Per Invoice'!$G$2:$G$801,$N599)))</f>
        <v/>
      </c>
      <c r="H599">
        <f>IF($N599="","",IF(INDEX('Per Invoice'!$H$2:$H$801,$N599)="","",INDEX('Per Invoice'!$H$2:$H$801,$N599)))</f>
        <v/>
      </c>
      <c r="I599" s="5">
        <f>IF($N599="","",IF(INDEX('Per Invoice'!$I$2:$I$801,$N599)="","",INDEX('Per Invoice'!$I$2:$I$801,$N599)))</f>
        <v/>
      </c>
      <c r="J599" s="5">
        <f>IF($N599="","",IF(INDEX('Per Invoice'!$J$2:$J$801,$N599)="","",INDEX('Per Invoice'!$J$2:$J$801,$N599)))</f>
        <v/>
      </c>
      <c r="K599" s="5">
        <f>IF($N599="","",IF(INDEX('Per Invoice'!$K$2:$K$801,$N599)="","",INDEX('Per Invoice'!$K$2:$K$801,$N599)))</f>
        <v/>
      </c>
      <c r="L599" s="5">
        <f>IF($N599="","",IF(INDEX('Per Invoice'!$L$2:$L$801,$N599)="","",INDEX('Per Invoice'!$L$2:$L$801,$N599)))</f>
        <v/>
      </c>
      <c r="M599" s="5">
        <f>IF($N599="","",IF(INDEX('Per Invoice'!$M$2:$M$801,$N599)="","",INDEX('Per Invoice'!$M$2:$M$801,$N599)))</f>
        <v/>
      </c>
      <c r="N599">
        <f>IF(ROWS($N$2:$N599)&lt;=COUNT('Per Invoice'!$O$2:$O$801),MATCH(ROWS($N$2:$N599),'Per Invoice'!$O$2:$O$801,0),"")</f>
        <v/>
      </c>
    </row>
    <row r="600">
      <c r="A600">
        <f>IF($N600="","",IF(INDEX('Per Invoice'!$A$2:$A$801,$N600)="","",INDEX('Per Invoice'!$A$2:$A$801,$N600)))</f>
        <v/>
      </c>
      <c r="B600">
        <f>IF($N600="","",IF(INDEX('Per Invoice'!$B$2:$B$801,$N600)="","",INDEX('Per Invoice'!$B$2:$B$801,$N600)))</f>
        <v/>
      </c>
      <c r="C600">
        <f>IF($N600="","",IF(INDEX('Per Invoice'!$C$2:$C$801,$N600)="","",INDEX('Per Invoice'!$C$2:$C$801,$N600)))</f>
        <v/>
      </c>
      <c r="D600">
        <f>IF($N600="","",IF(INDEX('Per Invoice'!$D$2:$D$801,$N600)="","",INDEX('Per Invoice'!$D$2:$D$801,$N600)))</f>
        <v/>
      </c>
      <c r="E600">
        <f>IF($N600="","",IF(INDEX('Per Invoice'!$E$2:$E$801,$N600)="","",INDEX('Per Invoice'!$E$2:$E$801,$N600)))</f>
        <v/>
      </c>
      <c r="F600">
        <f>IF($N600="","",IF(INDEX('Per Invoice'!$F$2:$F$801,$N600)="","",INDEX('Per Invoice'!$F$2:$F$801,$N600)))</f>
        <v/>
      </c>
      <c r="G600">
        <f>IF($N600="","",IF(INDEX('Per Invoice'!$G$2:$G$801,$N600)="","",INDEX('Per Invoice'!$G$2:$G$801,$N600)))</f>
        <v/>
      </c>
      <c r="H600">
        <f>IF($N600="","",IF(INDEX('Per Invoice'!$H$2:$H$801,$N600)="","",INDEX('Per Invoice'!$H$2:$H$801,$N600)))</f>
        <v/>
      </c>
      <c r="I600" s="5">
        <f>IF($N600="","",IF(INDEX('Per Invoice'!$I$2:$I$801,$N600)="","",INDEX('Per Invoice'!$I$2:$I$801,$N600)))</f>
        <v/>
      </c>
      <c r="J600" s="5">
        <f>IF($N600="","",IF(INDEX('Per Invoice'!$J$2:$J$801,$N600)="","",INDEX('Per Invoice'!$J$2:$J$801,$N600)))</f>
        <v/>
      </c>
      <c r="K600" s="5">
        <f>IF($N600="","",IF(INDEX('Per Invoice'!$K$2:$K$801,$N600)="","",INDEX('Per Invoice'!$K$2:$K$801,$N600)))</f>
        <v/>
      </c>
      <c r="L600" s="5">
        <f>IF($N600="","",IF(INDEX('Per Invoice'!$L$2:$L$801,$N600)="","",INDEX('Per Invoice'!$L$2:$L$801,$N600)))</f>
        <v/>
      </c>
      <c r="M600" s="5">
        <f>IF($N600="","",IF(INDEX('Per Invoice'!$M$2:$M$801,$N600)="","",INDEX('Per Invoice'!$M$2:$M$801,$N600)))</f>
        <v/>
      </c>
      <c r="N600">
        <f>IF(ROWS($N$2:$N600)&lt;=COUNT('Per Invoice'!$O$2:$O$801),MATCH(ROWS($N$2:$N600),'Per Invoice'!$O$2:$O$801,0),"")</f>
        <v/>
      </c>
    </row>
    <row r="601">
      <c r="A601">
        <f>IF($N601="","",IF(INDEX('Per Invoice'!$A$2:$A$801,$N601)="","",INDEX('Per Invoice'!$A$2:$A$801,$N601)))</f>
        <v/>
      </c>
      <c r="B601">
        <f>IF($N601="","",IF(INDEX('Per Invoice'!$B$2:$B$801,$N601)="","",INDEX('Per Invoice'!$B$2:$B$801,$N601)))</f>
        <v/>
      </c>
      <c r="C601">
        <f>IF($N601="","",IF(INDEX('Per Invoice'!$C$2:$C$801,$N601)="","",INDEX('Per Invoice'!$C$2:$C$801,$N601)))</f>
        <v/>
      </c>
      <c r="D601">
        <f>IF($N601="","",IF(INDEX('Per Invoice'!$D$2:$D$801,$N601)="","",INDEX('Per Invoice'!$D$2:$D$801,$N601)))</f>
        <v/>
      </c>
      <c r="E601">
        <f>IF($N601="","",IF(INDEX('Per Invoice'!$E$2:$E$801,$N601)="","",INDEX('Per Invoice'!$E$2:$E$801,$N601)))</f>
        <v/>
      </c>
      <c r="F601">
        <f>IF($N601="","",IF(INDEX('Per Invoice'!$F$2:$F$801,$N601)="","",INDEX('Per Invoice'!$F$2:$F$801,$N601)))</f>
        <v/>
      </c>
      <c r="G601">
        <f>IF($N601="","",IF(INDEX('Per Invoice'!$G$2:$G$801,$N601)="","",INDEX('Per Invoice'!$G$2:$G$801,$N601)))</f>
        <v/>
      </c>
      <c r="H601">
        <f>IF($N601="","",IF(INDEX('Per Invoice'!$H$2:$H$801,$N601)="","",INDEX('Per Invoice'!$H$2:$H$801,$N601)))</f>
        <v/>
      </c>
      <c r="I601" s="5">
        <f>IF($N601="","",IF(INDEX('Per Invoice'!$I$2:$I$801,$N601)="","",INDEX('Per Invoice'!$I$2:$I$801,$N601)))</f>
        <v/>
      </c>
      <c r="J601" s="5">
        <f>IF($N601="","",IF(INDEX('Per Invoice'!$J$2:$J$801,$N601)="","",INDEX('Per Invoice'!$J$2:$J$801,$N601)))</f>
        <v/>
      </c>
      <c r="K601" s="5">
        <f>IF($N601="","",IF(INDEX('Per Invoice'!$K$2:$K$801,$N601)="","",INDEX('Per Invoice'!$K$2:$K$801,$N601)))</f>
        <v/>
      </c>
      <c r="L601" s="5">
        <f>IF($N601="","",IF(INDEX('Per Invoice'!$L$2:$L$801,$N601)="","",INDEX('Per Invoice'!$L$2:$L$801,$N601)))</f>
        <v/>
      </c>
      <c r="M601" s="5">
        <f>IF($N601="","",IF(INDEX('Per Invoice'!$M$2:$M$801,$N601)="","",INDEX('Per Invoice'!$M$2:$M$801,$N601)))</f>
        <v/>
      </c>
      <c r="N601">
        <f>IF(ROWS($N$2:$N601)&lt;=COUNT('Per Invoice'!$O$2:$O$801),MATCH(ROWS($N$2:$N601),'Per Invoice'!$O$2:$O$801,0),"")</f>
        <v/>
      </c>
    </row>
    <row r="602">
      <c r="A602">
        <f>IF($N602="","",IF(INDEX('Per Invoice'!$A$2:$A$801,$N602)="","",INDEX('Per Invoice'!$A$2:$A$801,$N602)))</f>
        <v/>
      </c>
      <c r="B602">
        <f>IF($N602="","",IF(INDEX('Per Invoice'!$B$2:$B$801,$N602)="","",INDEX('Per Invoice'!$B$2:$B$801,$N602)))</f>
        <v/>
      </c>
      <c r="C602">
        <f>IF($N602="","",IF(INDEX('Per Invoice'!$C$2:$C$801,$N602)="","",INDEX('Per Invoice'!$C$2:$C$801,$N602)))</f>
        <v/>
      </c>
      <c r="D602">
        <f>IF($N602="","",IF(INDEX('Per Invoice'!$D$2:$D$801,$N602)="","",INDEX('Per Invoice'!$D$2:$D$801,$N602)))</f>
        <v/>
      </c>
      <c r="E602">
        <f>IF($N602="","",IF(INDEX('Per Invoice'!$E$2:$E$801,$N602)="","",INDEX('Per Invoice'!$E$2:$E$801,$N602)))</f>
        <v/>
      </c>
      <c r="F602">
        <f>IF($N602="","",IF(INDEX('Per Invoice'!$F$2:$F$801,$N602)="","",INDEX('Per Invoice'!$F$2:$F$801,$N602)))</f>
        <v/>
      </c>
      <c r="G602">
        <f>IF($N602="","",IF(INDEX('Per Invoice'!$G$2:$G$801,$N602)="","",INDEX('Per Invoice'!$G$2:$G$801,$N602)))</f>
        <v/>
      </c>
      <c r="H602">
        <f>IF($N602="","",IF(INDEX('Per Invoice'!$H$2:$H$801,$N602)="","",INDEX('Per Invoice'!$H$2:$H$801,$N602)))</f>
        <v/>
      </c>
      <c r="I602" s="5">
        <f>IF($N602="","",IF(INDEX('Per Invoice'!$I$2:$I$801,$N602)="","",INDEX('Per Invoice'!$I$2:$I$801,$N602)))</f>
        <v/>
      </c>
      <c r="J602" s="5">
        <f>IF($N602="","",IF(INDEX('Per Invoice'!$J$2:$J$801,$N602)="","",INDEX('Per Invoice'!$J$2:$J$801,$N602)))</f>
        <v/>
      </c>
      <c r="K602" s="5">
        <f>IF($N602="","",IF(INDEX('Per Invoice'!$K$2:$K$801,$N602)="","",INDEX('Per Invoice'!$K$2:$K$801,$N602)))</f>
        <v/>
      </c>
      <c r="L602" s="5">
        <f>IF($N602="","",IF(INDEX('Per Invoice'!$L$2:$L$801,$N602)="","",INDEX('Per Invoice'!$L$2:$L$801,$N602)))</f>
        <v/>
      </c>
      <c r="M602" s="5">
        <f>IF($N602="","",IF(INDEX('Per Invoice'!$M$2:$M$801,$N602)="","",INDEX('Per Invoice'!$M$2:$M$801,$N602)))</f>
        <v/>
      </c>
      <c r="N602">
        <f>IF(ROWS($N$2:$N602)&lt;=COUNT('Per Invoice'!$O$2:$O$801),MATCH(ROWS($N$2:$N602),'Per Invoice'!$O$2:$O$801,0),"")</f>
        <v/>
      </c>
    </row>
    <row r="603">
      <c r="A603">
        <f>IF($N603="","",IF(INDEX('Per Invoice'!$A$2:$A$801,$N603)="","",INDEX('Per Invoice'!$A$2:$A$801,$N603)))</f>
        <v/>
      </c>
      <c r="B603">
        <f>IF($N603="","",IF(INDEX('Per Invoice'!$B$2:$B$801,$N603)="","",INDEX('Per Invoice'!$B$2:$B$801,$N603)))</f>
        <v/>
      </c>
      <c r="C603">
        <f>IF($N603="","",IF(INDEX('Per Invoice'!$C$2:$C$801,$N603)="","",INDEX('Per Invoice'!$C$2:$C$801,$N603)))</f>
        <v/>
      </c>
      <c r="D603">
        <f>IF($N603="","",IF(INDEX('Per Invoice'!$D$2:$D$801,$N603)="","",INDEX('Per Invoice'!$D$2:$D$801,$N603)))</f>
        <v/>
      </c>
      <c r="E603">
        <f>IF($N603="","",IF(INDEX('Per Invoice'!$E$2:$E$801,$N603)="","",INDEX('Per Invoice'!$E$2:$E$801,$N603)))</f>
        <v/>
      </c>
      <c r="F603">
        <f>IF($N603="","",IF(INDEX('Per Invoice'!$F$2:$F$801,$N603)="","",INDEX('Per Invoice'!$F$2:$F$801,$N603)))</f>
        <v/>
      </c>
      <c r="G603">
        <f>IF($N603="","",IF(INDEX('Per Invoice'!$G$2:$G$801,$N603)="","",INDEX('Per Invoice'!$G$2:$G$801,$N603)))</f>
        <v/>
      </c>
      <c r="H603">
        <f>IF($N603="","",IF(INDEX('Per Invoice'!$H$2:$H$801,$N603)="","",INDEX('Per Invoice'!$H$2:$H$801,$N603)))</f>
        <v/>
      </c>
      <c r="I603" s="5">
        <f>IF($N603="","",IF(INDEX('Per Invoice'!$I$2:$I$801,$N603)="","",INDEX('Per Invoice'!$I$2:$I$801,$N603)))</f>
        <v/>
      </c>
      <c r="J603" s="5">
        <f>IF($N603="","",IF(INDEX('Per Invoice'!$J$2:$J$801,$N603)="","",INDEX('Per Invoice'!$J$2:$J$801,$N603)))</f>
        <v/>
      </c>
      <c r="K603" s="5">
        <f>IF($N603="","",IF(INDEX('Per Invoice'!$K$2:$K$801,$N603)="","",INDEX('Per Invoice'!$K$2:$K$801,$N603)))</f>
        <v/>
      </c>
      <c r="L603" s="5">
        <f>IF($N603="","",IF(INDEX('Per Invoice'!$L$2:$L$801,$N603)="","",INDEX('Per Invoice'!$L$2:$L$801,$N603)))</f>
        <v/>
      </c>
      <c r="M603" s="5">
        <f>IF($N603="","",IF(INDEX('Per Invoice'!$M$2:$M$801,$N603)="","",INDEX('Per Invoice'!$M$2:$M$801,$N603)))</f>
        <v/>
      </c>
      <c r="N603">
        <f>IF(ROWS($N$2:$N603)&lt;=COUNT('Per Invoice'!$O$2:$O$801),MATCH(ROWS($N$2:$N603),'Per Invoice'!$O$2:$O$801,0),"")</f>
        <v/>
      </c>
    </row>
    <row r="604">
      <c r="A604">
        <f>IF($N604="","",IF(INDEX('Per Invoice'!$A$2:$A$801,$N604)="","",INDEX('Per Invoice'!$A$2:$A$801,$N604)))</f>
        <v/>
      </c>
      <c r="B604">
        <f>IF($N604="","",IF(INDEX('Per Invoice'!$B$2:$B$801,$N604)="","",INDEX('Per Invoice'!$B$2:$B$801,$N604)))</f>
        <v/>
      </c>
      <c r="C604">
        <f>IF($N604="","",IF(INDEX('Per Invoice'!$C$2:$C$801,$N604)="","",INDEX('Per Invoice'!$C$2:$C$801,$N604)))</f>
        <v/>
      </c>
      <c r="D604">
        <f>IF($N604="","",IF(INDEX('Per Invoice'!$D$2:$D$801,$N604)="","",INDEX('Per Invoice'!$D$2:$D$801,$N604)))</f>
        <v/>
      </c>
      <c r="E604">
        <f>IF($N604="","",IF(INDEX('Per Invoice'!$E$2:$E$801,$N604)="","",INDEX('Per Invoice'!$E$2:$E$801,$N604)))</f>
        <v/>
      </c>
      <c r="F604">
        <f>IF($N604="","",IF(INDEX('Per Invoice'!$F$2:$F$801,$N604)="","",INDEX('Per Invoice'!$F$2:$F$801,$N604)))</f>
        <v/>
      </c>
      <c r="G604">
        <f>IF($N604="","",IF(INDEX('Per Invoice'!$G$2:$G$801,$N604)="","",INDEX('Per Invoice'!$G$2:$G$801,$N604)))</f>
        <v/>
      </c>
      <c r="H604">
        <f>IF($N604="","",IF(INDEX('Per Invoice'!$H$2:$H$801,$N604)="","",INDEX('Per Invoice'!$H$2:$H$801,$N604)))</f>
        <v/>
      </c>
      <c r="I604" s="5">
        <f>IF($N604="","",IF(INDEX('Per Invoice'!$I$2:$I$801,$N604)="","",INDEX('Per Invoice'!$I$2:$I$801,$N604)))</f>
        <v/>
      </c>
      <c r="J604" s="5">
        <f>IF($N604="","",IF(INDEX('Per Invoice'!$J$2:$J$801,$N604)="","",INDEX('Per Invoice'!$J$2:$J$801,$N604)))</f>
        <v/>
      </c>
      <c r="K604" s="5">
        <f>IF($N604="","",IF(INDEX('Per Invoice'!$K$2:$K$801,$N604)="","",INDEX('Per Invoice'!$K$2:$K$801,$N604)))</f>
        <v/>
      </c>
      <c r="L604" s="5">
        <f>IF($N604="","",IF(INDEX('Per Invoice'!$L$2:$L$801,$N604)="","",INDEX('Per Invoice'!$L$2:$L$801,$N604)))</f>
        <v/>
      </c>
      <c r="M604" s="5">
        <f>IF($N604="","",IF(INDEX('Per Invoice'!$M$2:$M$801,$N604)="","",INDEX('Per Invoice'!$M$2:$M$801,$N604)))</f>
        <v/>
      </c>
      <c r="N604">
        <f>IF(ROWS($N$2:$N604)&lt;=COUNT('Per Invoice'!$O$2:$O$801),MATCH(ROWS($N$2:$N604),'Per Invoice'!$O$2:$O$801,0),"")</f>
        <v/>
      </c>
    </row>
    <row r="605">
      <c r="A605">
        <f>IF($N605="","",IF(INDEX('Per Invoice'!$A$2:$A$801,$N605)="","",INDEX('Per Invoice'!$A$2:$A$801,$N605)))</f>
        <v/>
      </c>
      <c r="B605">
        <f>IF($N605="","",IF(INDEX('Per Invoice'!$B$2:$B$801,$N605)="","",INDEX('Per Invoice'!$B$2:$B$801,$N605)))</f>
        <v/>
      </c>
      <c r="C605">
        <f>IF($N605="","",IF(INDEX('Per Invoice'!$C$2:$C$801,$N605)="","",INDEX('Per Invoice'!$C$2:$C$801,$N605)))</f>
        <v/>
      </c>
      <c r="D605">
        <f>IF($N605="","",IF(INDEX('Per Invoice'!$D$2:$D$801,$N605)="","",INDEX('Per Invoice'!$D$2:$D$801,$N605)))</f>
        <v/>
      </c>
      <c r="E605">
        <f>IF($N605="","",IF(INDEX('Per Invoice'!$E$2:$E$801,$N605)="","",INDEX('Per Invoice'!$E$2:$E$801,$N605)))</f>
        <v/>
      </c>
      <c r="F605">
        <f>IF($N605="","",IF(INDEX('Per Invoice'!$F$2:$F$801,$N605)="","",INDEX('Per Invoice'!$F$2:$F$801,$N605)))</f>
        <v/>
      </c>
      <c r="G605">
        <f>IF($N605="","",IF(INDEX('Per Invoice'!$G$2:$G$801,$N605)="","",INDEX('Per Invoice'!$G$2:$G$801,$N605)))</f>
        <v/>
      </c>
      <c r="H605">
        <f>IF($N605="","",IF(INDEX('Per Invoice'!$H$2:$H$801,$N605)="","",INDEX('Per Invoice'!$H$2:$H$801,$N605)))</f>
        <v/>
      </c>
      <c r="I605" s="5">
        <f>IF($N605="","",IF(INDEX('Per Invoice'!$I$2:$I$801,$N605)="","",INDEX('Per Invoice'!$I$2:$I$801,$N605)))</f>
        <v/>
      </c>
      <c r="J605" s="5">
        <f>IF($N605="","",IF(INDEX('Per Invoice'!$J$2:$J$801,$N605)="","",INDEX('Per Invoice'!$J$2:$J$801,$N605)))</f>
        <v/>
      </c>
      <c r="K605" s="5">
        <f>IF($N605="","",IF(INDEX('Per Invoice'!$K$2:$K$801,$N605)="","",INDEX('Per Invoice'!$K$2:$K$801,$N605)))</f>
        <v/>
      </c>
      <c r="L605" s="5">
        <f>IF($N605="","",IF(INDEX('Per Invoice'!$L$2:$L$801,$N605)="","",INDEX('Per Invoice'!$L$2:$L$801,$N605)))</f>
        <v/>
      </c>
      <c r="M605" s="5">
        <f>IF($N605="","",IF(INDEX('Per Invoice'!$M$2:$M$801,$N605)="","",INDEX('Per Invoice'!$M$2:$M$801,$N605)))</f>
        <v/>
      </c>
      <c r="N605">
        <f>IF(ROWS($N$2:$N605)&lt;=COUNT('Per Invoice'!$O$2:$O$801),MATCH(ROWS($N$2:$N605),'Per Invoice'!$O$2:$O$801,0),"")</f>
        <v/>
      </c>
    </row>
    <row r="606">
      <c r="A606">
        <f>IF($N606="","",IF(INDEX('Per Invoice'!$A$2:$A$801,$N606)="","",INDEX('Per Invoice'!$A$2:$A$801,$N606)))</f>
        <v/>
      </c>
      <c r="B606">
        <f>IF($N606="","",IF(INDEX('Per Invoice'!$B$2:$B$801,$N606)="","",INDEX('Per Invoice'!$B$2:$B$801,$N606)))</f>
        <v/>
      </c>
      <c r="C606">
        <f>IF($N606="","",IF(INDEX('Per Invoice'!$C$2:$C$801,$N606)="","",INDEX('Per Invoice'!$C$2:$C$801,$N606)))</f>
        <v/>
      </c>
      <c r="D606">
        <f>IF($N606="","",IF(INDEX('Per Invoice'!$D$2:$D$801,$N606)="","",INDEX('Per Invoice'!$D$2:$D$801,$N606)))</f>
        <v/>
      </c>
      <c r="E606">
        <f>IF($N606="","",IF(INDEX('Per Invoice'!$E$2:$E$801,$N606)="","",INDEX('Per Invoice'!$E$2:$E$801,$N606)))</f>
        <v/>
      </c>
      <c r="F606">
        <f>IF($N606="","",IF(INDEX('Per Invoice'!$F$2:$F$801,$N606)="","",INDEX('Per Invoice'!$F$2:$F$801,$N606)))</f>
        <v/>
      </c>
      <c r="G606">
        <f>IF($N606="","",IF(INDEX('Per Invoice'!$G$2:$G$801,$N606)="","",INDEX('Per Invoice'!$G$2:$G$801,$N606)))</f>
        <v/>
      </c>
      <c r="H606">
        <f>IF($N606="","",IF(INDEX('Per Invoice'!$H$2:$H$801,$N606)="","",INDEX('Per Invoice'!$H$2:$H$801,$N606)))</f>
        <v/>
      </c>
      <c r="I606" s="5">
        <f>IF($N606="","",IF(INDEX('Per Invoice'!$I$2:$I$801,$N606)="","",INDEX('Per Invoice'!$I$2:$I$801,$N606)))</f>
        <v/>
      </c>
      <c r="J606" s="5">
        <f>IF($N606="","",IF(INDEX('Per Invoice'!$J$2:$J$801,$N606)="","",INDEX('Per Invoice'!$J$2:$J$801,$N606)))</f>
        <v/>
      </c>
      <c r="K606" s="5">
        <f>IF($N606="","",IF(INDEX('Per Invoice'!$K$2:$K$801,$N606)="","",INDEX('Per Invoice'!$K$2:$K$801,$N606)))</f>
        <v/>
      </c>
      <c r="L606" s="5">
        <f>IF($N606="","",IF(INDEX('Per Invoice'!$L$2:$L$801,$N606)="","",INDEX('Per Invoice'!$L$2:$L$801,$N606)))</f>
        <v/>
      </c>
      <c r="M606" s="5">
        <f>IF($N606="","",IF(INDEX('Per Invoice'!$M$2:$M$801,$N606)="","",INDEX('Per Invoice'!$M$2:$M$801,$N606)))</f>
        <v/>
      </c>
      <c r="N606">
        <f>IF(ROWS($N$2:$N606)&lt;=COUNT('Per Invoice'!$O$2:$O$801),MATCH(ROWS($N$2:$N606),'Per Invoice'!$O$2:$O$801,0),"")</f>
        <v/>
      </c>
    </row>
    <row r="607">
      <c r="A607">
        <f>IF($N607="","",IF(INDEX('Per Invoice'!$A$2:$A$801,$N607)="","",INDEX('Per Invoice'!$A$2:$A$801,$N607)))</f>
        <v/>
      </c>
      <c r="B607">
        <f>IF($N607="","",IF(INDEX('Per Invoice'!$B$2:$B$801,$N607)="","",INDEX('Per Invoice'!$B$2:$B$801,$N607)))</f>
        <v/>
      </c>
      <c r="C607">
        <f>IF($N607="","",IF(INDEX('Per Invoice'!$C$2:$C$801,$N607)="","",INDEX('Per Invoice'!$C$2:$C$801,$N607)))</f>
        <v/>
      </c>
      <c r="D607">
        <f>IF($N607="","",IF(INDEX('Per Invoice'!$D$2:$D$801,$N607)="","",INDEX('Per Invoice'!$D$2:$D$801,$N607)))</f>
        <v/>
      </c>
      <c r="E607">
        <f>IF($N607="","",IF(INDEX('Per Invoice'!$E$2:$E$801,$N607)="","",INDEX('Per Invoice'!$E$2:$E$801,$N607)))</f>
        <v/>
      </c>
      <c r="F607">
        <f>IF($N607="","",IF(INDEX('Per Invoice'!$F$2:$F$801,$N607)="","",INDEX('Per Invoice'!$F$2:$F$801,$N607)))</f>
        <v/>
      </c>
      <c r="G607">
        <f>IF($N607="","",IF(INDEX('Per Invoice'!$G$2:$G$801,$N607)="","",INDEX('Per Invoice'!$G$2:$G$801,$N607)))</f>
        <v/>
      </c>
      <c r="H607">
        <f>IF($N607="","",IF(INDEX('Per Invoice'!$H$2:$H$801,$N607)="","",INDEX('Per Invoice'!$H$2:$H$801,$N607)))</f>
        <v/>
      </c>
      <c r="I607" s="5">
        <f>IF($N607="","",IF(INDEX('Per Invoice'!$I$2:$I$801,$N607)="","",INDEX('Per Invoice'!$I$2:$I$801,$N607)))</f>
        <v/>
      </c>
      <c r="J607" s="5">
        <f>IF($N607="","",IF(INDEX('Per Invoice'!$J$2:$J$801,$N607)="","",INDEX('Per Invoice'!$J$2:$J$801,$N607)))</f>
        <v/>
      </c>
      <c r="K607" s="5">
        <f>IF($N607="","",IF(INDEX('Per Invoice'!$K$2:$K$801,$N607)="","",INDEX('Per Invoice'!$K$2:$K$801,$N607)))</f>
        <v/>
      </c>
      <c r="L607" s="5">
        <f>IF($N607="","",IF(INDEX('Per Invoice'!$L$2:$L$801,$N607)="","",INDEX('Per Invoice'!$L$2:$L$801,$N607)))</f>
        <v/>
      </c>
      <c r="M607" s="5">
        <f>IF($N607="","",IF(INDEX('Per Invoice'!$M$2:$M$801,$N607)="","",INDEX('Per Invoice'!$M$2:$M$801,$N607)))</f>
        <v/>
      </c>
      <c r="N607">
        <f>IF(ROWS($N$2:$N607)&lt;=COUNT('Per Invoice'!$O$2:$O$801),MATCH(ROWS($N$2:$N607),'Per Invoice'!$O$2:$O$801,0),"")</f>
        <v/>
      </c>
    </row>
    <row r="608">
      <c r="A608">
        <f>IF($N608="","",IF(INDEX('Per Invoice'!$A$2:$A$801,$N608)="","",INDEX('Per Invoice'!$A$2:$A$801,$N608)))</f>
        <v/>
      </c>
      <c r="B608">
        <f>IF($N608="","",IF(INDEX('Per Invoice'!$B$2:$B$801,$N608)="","",INDEX('Per Invoice'!$B$2:$B$801,$N608)))</f>
        <v/>
      </c>
      <c r="C608">
        <f>IF($N608="","",IF(INDEX('Per Invoice'!$C$2:$C$801,$N608)="","",INDEX('Per Invoice'!$C$2:$C$801,$N608)))</f>
        <v/>
      </c>
      <c r="D608">
        <f>IF($N608="","",IF(INDEX('Per Invoice'!$D$2:$D$801,$N608)="","",INDEX('Per Invoice'!$D$2:$D$801,$N608)))</f>
        <v/>
      </c>
      <c r="E608">
        <f>IF($N608="","",IF(INDEX('Per Invoice'!$E$2:$E$801,$N608)="","",INDEX('Per Invoice'!$E$2:$E$801,$N608)))</f>
        <v/>
      </c>
      <c r="F608">
        <f>IF($N608="","",IF(INDEX('Per Invoice'!$F$2:$F$801,$N608)="","",INDEX('Per Invoice'!$F$2:$F$801,$N608)))</f>
        <v/>
      </c>
      <c r="G608">
        <f>IF($N608="","",IF(INDEX('Per Invoice'!$G$2:$G$801,$N608)="","",INDEX('Per Invoice'!$G$2:$G$801,$N608)))</f>
        <v/>
      </c>
      <c r="H608">
        <f>IF($N608="","",IF(INDEX('Per Invoice'!$H$2:$H$801,$N608)="","",INDEX('Per Invoice'!$H$2:$H$801,$N608)))</f>
        <v/>
      </c>
      <c r="I608" s="5">
        <f>IF($N608="","",IF(INDEX('Per Invoice'!$I$2:$I$801,$N608)="","",INDEX('Per Invoice'!$I$2:$I$801,$N608)))</f>
        <v/>
      </c>
      <c r="J608" s="5">
        <f>IF($N608="","",IF(INDEX('Per Invoice'!$J$2:$J$801,$N608)="","",INDEX('Per Invoice'!$J$2:$J$801,$N608)))</f>
        <v/>
      </c>
      <c r="K608" s="5">
        <f>IF($N608="","",IF(INDEX('Per Invoice'!$K$2:$K$801,$N608)="","",INDEX('Per Invoice'!$K$2:$K$801,$N608)))</f>
        <v/>
      </c>
      <c r="L608" s="5">
        <f>IF($N608="","",IF(INDEX('Per Invoice'!$L$2:$L$801,$N608)="","",INDEX('Per Invoice'!$L$2:$L$801,$N608)))</f>
        <v/>
      </c>
      <c r="M608" s="5">
        <f>IF($N608="","",IF(INDEX('Per Invoice'!$M$2:$M$801,$N608)="","",INDEX('Per Invoice'!$M$2:$M$801,$N608)))</f>
        <v/>
      </c>
      <c r="N608">
        <f>IF(ROWS($N$2:$N608)&lt;=COUNT('Per Invoice'!$O$2:$O$801),MATCH(ROWS($N$2:$N608),'Per Invoice'!$O$2:$O$801,0),"")</f>
        <v/>
      </c>
    </row>
    <row r="609">
      <c r="A609">
        <f>IF($N609="","",IF(INDEX('Per Invoice'!$A$2:$A$801,$N609)="","",INDEX('Per Invoice'!$A$2:$A$801,$N609)))</f>
        <v/>
      </c>
      <c r="B609">
        <f>IF($N609="","",IF(INDEX('Per Invoice'!$B$2:$B$801,$N609)="","",INDEX('Per Invoice'!$B$2:$B$801,$N609)))</f>
        <v/>
      </c>
      <c r="C609">
        <f>IF($N609="","",IF(INDEX('Per Invoice'!$C$2:$C$801,$N609)="","",INDEX('Per Invoice'!$C$2:$C$801,$N609)))</f>
        <v/>
      </c>
      <c r="D609">
        <f>IF($N609="","",IF(INDEX('Per Invoice'!$D$2:$D$801,$N609)="","",INDEX('Per Invoice'!$D$2:$D$801,$N609)))</f>
        <v/>
      </c>
      <c r="E609">
        <f>IF($N609="","",IF(INDEX('Per Invoice'!$E$2:$E$801,$N609)="","",INDEX('Per Invoice'!$E$2:$E$801,$N609)))</f>
        <v/>
      </c>
      <c r="F609">
        <f>IF($N609="","",IF(INDEX('Per Invoice'!$F$2:$F$801,$N609)="","",INDEX('Per Invoice'!$F$2:$F$801,$N609)))</f>
        <v/>
      </c>
      <c r="G609">
        <f>IF($N609="","",IF(INDEX('Per Invoice'!$G$2:$G$801,$N609)="","",INDEX('Per Invoice'!$G$2:$G$801,$N609)))</f>
        <v/>
      </c>
      <c r="H609">
        <f>IF($N609="","",IF(INDEX('Per Invoice'!$H$2:$H$801,$N609)="","",INDEX('Per Invoice'!$H$2:$H$801,$N609)))</f>
        <v/>
      </c>
      <c r="I609" s="5">
        <f>IF($N609="","",IF(INDEX('Per Invoice'!$I$2:$I$801,$N609)="","",INDEX('Per Invoice'!$I$2:$I$801,$N609)))</f>
        <v/>
      </c>
      <c r="J609" s="5">
        <f>IF($N609="","",IF(INDEX('Per Invoice'!$J$2:$J$801,$N609)="","",INDEX('Per Invoice'!$J$2:$J$801,$N609)))</f>
        <v/>
      </c>
      <c r="K609" s="5">
        <f>IF($N609="","",IF(INDEX('Per Invoice'!$K$2:$K$801,$N609)="","",INDEX('Per Invoice'!$K$2:$K$801,$N609)))</f>
        <v/>
      </c>
      <c r="L609" s="5">
        <f>IF($N609="","",IF(INDEX('Per Invoice'!$L$2:$L$801,$N609)="","",INDEX('Per Invoice'!$L$2:$L$801,$N609)))</f>
        <v/>
      </c>
      <c r="M609" s="5">
        <f>IF($N609="","",IF(INDEX('Per Invoice'!$M$2:$M$801,$N609)="","",INDEX('Per Invoice'!$M$2:$M$801,$N609)))</f>
        <v/>
      </c>
      <c r="N609">
        <f>IF(ROWS($N$2:$N609)&lt;=COUNT('Per Invoice'!$O$2:$O$801),MATCH(ROWS($N$2:$N609),'Per Invoice'!$O$2:$O$801,0),"")</f>
        <v/>
      </c>
    </row>
    <row r="610">
      <c r="A610">
        <f>IF($N610="","",IF(INDEX('Per Invoice'!$A$2:$A$801,$N610)="","",INDEX('Per Invoice'!$A$2:$A$801,$N610)))</f>
        <v/>
      </c>
      <c r="B610">
        <f>IF($N610="","",IF(INDEX('Per Invoice'!$B$2:$B$801,$N610)="","",INDEX('Per Invoice'!$B$2:$B$801,$N610)))</f>
        <v/>
      </c>
      <c r="C610">
        <f>IF($N610="","",IF(INDEX('Per Invoice'!$C$2:$C$801,$N610)="","",INDEX('Per Invoice'!$C$2:$C$801,$N610)))</f>
        <v/>
      </c>
      <c r="D610">
        <f>IF($N610="","",IF(INDEX('Per Invoice'!$D$2:$D$801,$N610)="","",INDEX('Per Invoice'!$D$2:$D$801,$N610)))</f>
        <v/>
      </c>
      <c r="E610">
        <f>IF($N610="","",IF(INDEX('Per Invoice'!$E$2:$E$801,$N610)="","",INDEX('Per Invoice'!$E$2:$E$801,$N610)))</f>
        <v/>
      </c>
      <c r="F610">
        <f>IF($N610="","",IF(INDEX('Per Invoice'!$F$2:$F$801,$N610)="","",INDEX('Per Invoice'!$F$2:$F$801,$N610)))</f>
        <v/>
      </c>
      <c r="G610">
        <f>IF($N610="","",IF(INDEX('Per Invoice'!$G$2:$G$801,$N610)="","",INDEX('Per Invoice'!$G$2:$G$801,$N610)))</f>
        <v/>
      </c>
      <c r="H610">
        <f>IF($N610="","",IF(INDEX('Per Invoice'!$H$2:$H$801,$N610)="","",INDEX('Per Invoice'!$H$2:$H$801,$N610)))</f>
        <v/>
      </c>
      <c r="I610" s="5">
        <f>IF($N610="","",IF(INDEX('Per Invoice'!$I$2:$I$801,$N610)="","",INDEX('Per Invoice'!$I$2:$I$801,$N610)))</f>
        <v/>
      </c>
      <c r="J610" s="5">
        <f>IF($N610="","",IF(INDEX('Per Invoice'!$J$2:$J$801,$N610)="","",INDEX('Per Invoice'!$J$2:$J$801,$N610)))</f>
        <v/>
      </c>
      <c r="K610" s="5">
        <f>IF($N610="","",IF(INDEX('Per Invoice'!$K$2:$K$801,$N610)="","",INDEX('Per Invoice'!$K$2:$K$801,$N610)))</f>
        <v/>
      </c>
      <c r="L610" s="5">
        <f>IF($N610="","",IF(INDEX('Per Invoice'!$L$2:$L$801,$N610)="","",INDEX('Per Invoice'!$L$2:$L$801,$N610)))</f>
        <v/>
      </c>
      <c r="M610" s="5">
        <f>IF($N610="","",IF(INDEX('Per Invoice'!$M$2:$M$801,$N610)="","",INDEX('Per Invoice'!$M$2:$M$801,$N610)))</f>
        <v/>
      </c>
      <c r="N610">
        <f>IF(ROWS($N$2:$N610)&lt;=COUNT('Per Invoice'!$O$2:$O$801),MATCH(ROWS($N$2:$N610),'Per Invoice'!$O$2:$O$801,0),"")</f>
        <v/>
      </c>
    </row>
    <row r="611">
      <c r="A611">
        <f>IF($N611="","",IF(INDEX('Per Invoice'!$A$2:$A$801,$N611)="","",INDEX('Per Invoice'!$A$2:$A$801,$N611)))</f>
        <v/>
      </c>
      <c r="B611">
        <f>IF($N611="","",IF(INDEX('Per Invoice'!$B$2:$B$801,$N611)="","",INDEX('Per Invoice'!$B$2:$B$801,$N611)))</f>
        <v/>
      </c>
      <c r="C611">
        <f>IF($N611="","",IF(INDEX('Per Invoice'!$C$2:$C$801,$N611)="","",INDEX('Per Invoice'!$C$2:$C$801,$N611)))</f>
        <v/>
      </c>
      <c r="D611">
        <f>IF($N611="","",IF(INDEX('Per Invoice'!$D$2:$D$801,$N611)="","",INDEX('Per Invoice'!$D$2:$D$801,$N611)))</f>
        <v/>
      </c>
      <c r="E611">
        <f>IF($N611="","",IF(INDEX('Per Invoice'!$E$2:$E$801,$N611)="","",INDEX('Per Invoice'!$E$2:$E$801,$N611)))</f>
        <v/>
      </c>
      <c r="F611">
        <f>IF($N611="","",IF(INDEX('Per Invoice'!$F$2:$F$801,$N611)="","",INDEX('Per Invoice'!$F$2:$F$801,$N611)))</f>
        <v/>
      </c>
      <c r="G611">
        <f>IF($N611="","",IF(INDEX('Per Invoice'!$G$2:$G$801,$N611)="","",INDEX('Per Invoice'!$G$2:$G$801,$N611)))</f>
        <v/>
      </c>
      <c r="H611">
        <f>IF($N611="","",IF(INDEX('Per Invoice'!$H$2:$H$801,$N611)="","",INDEX('Per Invoice'!$H$2:$H$801,$N611)))</f>
        <v/>
      </c>
      <c r="I611" s="5">
        <f>IF($N611="","",IF(INDEX('Per Invoice'!$I$2:$I$801,$N611)="","",INDEX('Per Invoice'!$I$2:$I$801,$N611)))</f>
        <v/>
      </c>
      <c r="J611" s="5">
        <f>IF($N611="","",IF(INDEX('Per Invoice'!$J$2:$J$801,$N611)="","",INDEX('Per Invoice'!$J$2:$J$801,$N611)))</f>
        <v/>
      </c>
      <c r="K611" s="5">
        <f>IF($N611="","",IF(INDEX('Per Invoice'!$K$2:$K$801,$N611)="","",INDEX('Per Invoice'!$K$2:$K$801,$N611)))</f>
        <v/>
      </c>
      <c r="L611" s="5">
        <f>IF($N611="","",IF(INDEX('Per Invoice'!$L$2:$L$801,$N611)="","",INDEX('Per Invoice'!$L$2:$L$801,$N611)))</f>
        <v/>
      </c>
      <c r="M611" s="5">
        <f>IF($N611="","",IF(INDEX('Per Invoice'!$M$2:$M$801,$N611)="","",INDEX('Per Invoice'!$M$2:$M$801,$N611)))</f>
        <v/>
      </c>
      <c r="N611">
        <f>IF(ROWS($N$2:$N611)&lt;=COUNT('Per Invoice'!$O$2:$O$801),MATCH(ROWS($N$2:$N611),'Per Invoice'!$O$2:$O$801,0),"")</f>
        <v/>
      </c>
    </row>
    <row r="612">
      <c r="A612">
        <f>IF($N612="","",IF(INDEX('Per Invoice'!$A$2:$A$801,$N612)="","",INDEX('Per Invoice'!$A$2:$A$801,$N612)))</f>
        <v/>
      </c>
      <c r="B612">
        <f>IF($N612="","",IF(INDEX('Per Invoice'!$B$2:$B$801,$N612)="","",INDEX('Per Invoice'!$B$2:$B$801,$N612)))</f>
        <v/>
      </c>
      <c r="C612">
        <f>IF($N612="","",IF(INDEX('Per Invoice'!$C$2:$C$801,$N612)="","",INDEX('Per Invoice'!$C$2:$C$801,$N612)))</f>
        <v/>
      </c>
      <c r="D612">
        <f>IF($N612="","",IF(INDEX('Per Invoice'!$D$2:$D$801,$N612)="","",INDEX('Per Invoice'!$D$2:$D$801,$N612)))</f>
        <v/>
      </c>
      <c r="E612">
        <f>IF($N612="","",IF(INDEX('Per Invoice'!$E$2:$E$801,$N612)="","",INDEX('Per Invoice'!$E$2:$E$801,$N612)))</f>
        <v/>
      </c>
      <c r="F612">
        <f>IF($N612="","",IF(INDEX('Per Invoice'!$F$2:$F$801,$N612)="","",INDEX('Per Invoice'!$F$2:$F$801,$N612)))</f>
        <v/>
      </c>
      <c r="G612">
        <f>IF($N612="","",IF(INDEX('Per Invoice'!$G$2:$G$801,$N612)="","",INDEX('Per Invoice'!$G$2:$G$801,$N612)))</f>
        <v/>
      </c>
      <c r="H612">
        <f>IF($N612="","",IF(INDEX('Per Invoice'!$H$2:$H$801,$N612)="","",INDEX('Per Invoice'!$H$2:$H$801,$N612)))</f>
        <v/>
      </c>
      <c r="I612" s="5">
        <f>IF($N612="","",IF(INDEX('Per Invoice'!$I$2:$I$801,$N612)="","",INDEX('Per Invoice'!$I$2:$I$801,$N612)))</f>
        <v/>
      </c>
      <c r="J612" s="5">
        <f>IF($N612="","",IF(INDEX('Per Invoice'!$J$2:$J$801,$N612)="","",INDEX('Per Invoice'!$J$2:$J$801,$N612)))</f>
        <v/>
      </c>
      <c r="K612" s="5">
        <f>IF($N612="","",IF(INDEX('Per Invoice'!$K$2:$K$801,$N612)="","",INDEX('Per Invoice'!$K$2:$K$801,$N612)))</f>
        <v/>
      </c>
      <c r="L612" s="5">
        <f>IF($N612="","",IF(INDEX('Per Invoice'!$L$2:$L$801,$N612)="","",INDEX('Per Invoice'!$L$2:$L$801,$N612)))</f>
        <v/>
      </c>
      <c r="M612" s="5">
        <f>IF($N612="","",IF(INDEX('Per Invoice'!$M$2:$M$801,$N612)="","",INDEX('Per Invoice'!$M$2:$M$801,$N612)))</f>
        <v/>
      </c>
      <c r="N612">
        <f>IF(ROWS($N$2:$N612)&lt;=COUNT('Per Invoice'!$O$2:$O$801),MATCH(ROWS($N$2:$N612),'Per Invoice'!$O$2:$O$801,0),"")</f>
        <v/>
      </c>
    </row>
    <row r="613">
      <c r="A613">
        <f>IF($N613="","",IF(INDEX('Per Invoice'!$A$2:$A$801,$N613)="","",INDEX('Per Invoice'!$A$2:$A$801,$N613)))</f>
        <v/>
      </c>
      <c r="B613">
        <f>IF($N613="","",IF(INDEX('Per Invoice'!$B$2:$B$801,$N613)="","",INDEX('Per Invoice'!$B$2:$B$801,$N613)))</f>
        <v/>
      </c>
      <c r="C613">
        <f>IF($N613="","",IF(INDEX('Per Invoice'!$C$2:$C$801,$N613)="","",INDEX('Per Invoice'!$C$2:$C$801,$N613)))</f>
        <v/>
      </c>
      <c r="D613">
        <f>IF($N613="","",IF(INDEX('Per Invoice'!$D$2:$D$801,$N613)="","",INDEX('Per Invoice'!$D$2:$D$801,$N613)))</f>
        <v/>
      </c>
      <c r="E613">
        <f>IF($N613="","",IF(INDEX('Per Invoice'!$E$2:$E$801,$N613)="","",INDEX('Per Invoice'!$E$2:$E$801,$N613)))</f>
        <v/>
      </c>
      <c r="F613">
        <f>IF($N613="","",IF(INDEX('Per Invoice'!$F$2:$F$801,$N613)="","",INDEX('Per Invoice'!$F$2:$F$801,$N613)))</f>
        <v/>
      </c>
      <c r="G613">
        <f>IF($N613="","",IF(INDEX('Per Invoice'!$G$2:$G$801,$N613)="","",INDEX('Per Invoice'!$G$2:$G$801,$N613)))</f>
        <v/>
      </c>
      <c r="H613">
        <f>IF($N613="","",IF(INDEX('Per Invoice'!$H$2:$H$801,$N613)="","",INDEX('Per Invoice'!$H$2:$H$801,$N613)))</f>
        <v/>
      </c>
      <c r="I613" s="5">
        <f>IF($N613="","",IF(INDEX('Per Invoice'!$I$2:$I$801,$N613)="","",INDEX('Per Invoice'!$I$2:$I$801,$N613)))</f>
        <v/>
      </c>
      <c r="J613" s="5">
        <f>IF($N613="","",IF(INDEX('Per Invoice'!$J$2:$J$801,$N613)="","",INDEX('Per Invoice'!$J$2:$J$801,$N613)))</f>
        <v/>
      </c>
      <c r="K613" s="5">
        <f>IF($N613="","",IF(INDEX('Per Invoice'!$K$2:$K$801,$N613)="","",INDEX('Per Invoice'!$K$2:$K$801,$N613)))</f>
        <v/>
      </c>
      <c r="L613" s="5">
        <f>IF($N613="","",IF(INDEX('Per Invoice'!$L$2:$L$801,$N613)="","",INDEX('Per Invoice'!$L$2:$L$801,$N613)))</f>
        <v/>
      </c>
      <c r="M613" s="5">
        <f>IF($N613="","",IF(INDEX('Per Invoice'!$M$2:$M$801,$N613)="","",INDEX('Per Invoice'!$M$2:$M$801,$N613)))</f>
        <v/>
      </c>
      <c r="N613">
        <f>IF(ROWS($N$2:$N613)&lt;=COUNT('Per Invoice'!$O$2:$O$801),MATCH(ROWS($N$2:$N613),'Per Invoice'!$O$2:$O$801,0),"")</f>
        <v/>
      </c>
    </row>
    <row r="614">
      <c r="A614">
        <f>IF($N614="","",IF(INDEX('Per Invoice'!$A$2:$A$801,$N614)="","",INDEX('Per Invoice'!$A$2:$A$801,$N614)))</f>
        <v/>
      </c>
      <c r="B614">
        <f>IF($N614="","",IF(INDEX('Per Invoice'!$B$2:$B$801,$N614)="","",INDEX('Per Invoice'!$B$2:$B$801,$N614)))</f>
        <v/>
      </c>
      <c r="C614">
        <f>IF($N614="","",IF(INDEX('Per Invoice'!$C$2:$C$801,$N614)="","",INDEX('Per Invoice'!$C$2:$C$801,$N614)))</f>
        <v/>
      </c>
      <c r="D614">
        <f>IF($N614="","",IF(INDEX('Per Invoice'!$D$2:$D$801,$N614)="","",INDEX('Per Invoice'!$D$2:$D$801,$N614)))</f>
        <v/>
      </c>
      <c r="E614">
        <f>IF($N614="","",IF(INDEX('Per Invoice'!$E$2:$E$801,$N614)="","",INDEX('Per Invoice'!$E$2:$E$801,$N614)))</f>
        <v/>
      </c>
      <c r="F614">
        <f>IF($N614="","",IF(INDEX('Per Invoice'!$F$2:$F$801,$N614)="","",INDEX('Per Invoice'!$F$2:$F$801,$N614)))</f>
        <v/>
      </c>
      <c r="G614">
        <f>IF($N614="","",IF(INDEX('Per Invoice'!$G$2:$G$801,$N614)="","",INDEX('Per Invoice'!$G$2:$G$801,$N614)))</f>
        <v/>
      </c>
      <c r="H614">
        <f>IF($N614="","",IF(INDEX('Per Invoice'!$H$2:$H$801,$N614)="","",INDEX('Per Invoice'!$H$2:$H$801,$N614)))</f>
        <v/>
      </c>
      <c r="I614" s="5">
        <f>IF($N614="","",IF(INDEX('Per Invoice'!$I$2:$I$801,$N614)="","",INDEX('Per Invoice'!$I$2:$I$801,$N614)))</f>
        <v/>
      </c>
      <c r="J614" s="5">
        <f>IF($N614="","",IF(INDEX('Per Invoice'!$J$2:$J$801,$N614)="","",INDEX('Per Invoice'!$J$2:$J$801,$N614)))</f>
        <v/>
      </c>
      <c r="K614" s="5">
        <f>IF($N614="","",IF(INDEX('Per Invoice'!$K$2:$K$801,$N614)="","",INDEX('Per Invoice'!$K$2:$K$801,$N614)))</f>
        <v/>
      </c>
      <c r="L614" s="5">
        <f>IF($N614="","",IF(INDEX('Per Invoice'!$L$2:$L$801,$N614)="","",INDEX('Per Invoice'!$L$2:$L$801,$N614)))</f>
        <v/>
      </c>
      <c r="M614" s="5">
        <f>IF($N614="","",IF(INDEX('Per Invoice'!$M$2:$M$801,$N614)="","",INDEX('Per Invoice'!$M$2:$M$801,$N614)))</f>
        <v/>
      </c>
      <c r="N614">
        <f>IF(ROWS($N$2:$N614)&lt;=COUNT('Per Invoice'!$O$2:$O$801),MATCH(ROWS($N$2:$N614),'Per Invoice'!$O$2:$O$801,0),"")</f>
        <v/>
      </c>
    </row>
    <row r="615">
      <c r="A615">
        <f>IF($N615="","",IF(INDEX('Per Invoice'!$A$2:$A$801,$N615)="","",INDEX('Per Invoice'!$A$2:$A$801,$N615)))</f>
        <v/>
      </c>
      <c r="B615">
        <f>IF($N615="","",IF(INDEX('Per Invoice'!$B$2:$B$801,$N615)="","",INDEX('Per Invoice'!$B$2:$B$801,$N615)))</f>
        <v/>
      </c>
      <c r="C615">
        <f>IF($N615="","",IF(INDEX('Per Invoice'!$C$2:$C$801,$N615)="","",INDEX('Per Invoice'!$C$2:$C$801,$N615)))</f>
        <v/>
      </c>
      <c r="D615">
        <f>IF($N615="","",IF(INDEX('Per Invoice'!$D$2:$D$801,$N615)="","",INDEX('Per Invoice'!$D$2:$D$801,$N615)))</f>
        <v/>
      </c>
      <c r="E615">
        <f>IF($N615="","",IF(INDEX('Per Invoice'!$E$2:$E$801,$N615)="","",INDEX('Per Invoice'!$E$2:$E$801,$N615)))</f>
        <v/>
      </c>
      <c r="F615">
        <f>IF($N615="","",IF(INDEX('Per Invoice'!$F$2:$F$801,$N615)="","",INDEX('Per Invoice'!$F$2:$F$801,$N615)))</f>
        <v/>
      </c>
      <c r="G615">
        <f>IF($N615="","",IF(INDEX('Per Invoice'!$G$2:$G$801,$N615)="","",INDEX('Per Invoice'!$G$2:$G$801,$N615)))</f>
        <v/>
      </c>
      <c r="H615">
        <f>IF($N615="","",IF(INDEX('Per Invoice'!$H$2:$H$801,$N615)="","",INDEX('Per Invoice'!$H$2:$H$801,$N615)))</f>
        <v/>
      </c>
      <c r="I615" s="5">
        <f>IF($N615="","",IF(INDEX('Per Invoice'!$I$2:$I$801,$N615)="","",INDEX('Per Invoice'!$I$2:$I$801,$N615)))</f>
        <v/>
      </c>
      <c r="J615" s="5">
        <f>IF($N615="","",IF(INDEX('Per Invoice'!$J$2:$J$801,$N615)="","",INDEX('Per Invoice'!$J$2:$J$801,$N615)))</f>
        <v/>
      </c>
      <c r="K615" s="5">
        <f>IF($N615="","",IF(INDEX('Per Invoice'!$K$2:$K$801,$N615)="","",INDEX('Per Invoice'!$K$2:$K$801,$N615)))</f>
        <v/>
      </c>
      <c r="L615" s="5">
        <f>IF($N615="","",IF(INDEX('Per Invoice'!$L$2:$L$801,$N615)="","",INDEX('Per Invoice'!$L$2:$L$801,$N615)))</f>
        <v/>
      </c>
      <c r="M615" s="5">
        <f>IF($N615="","",IF(INDEX('Per Invoice'!$M$2:$M$801,$N615)="","",INDEX('Per Invoice'!$M$2:$M$801,$N615)))</f>
        <v/>
      </c>
      <c r="N615">
        <f>IF(ROWS($N$2:$N615)&lt;=COUNT('Per Invoice'!$O$2:$O$801),MATCH(ROWS($N$2:$N615),'Per Invoice'!$O$2:$O$801,0),"")</f>
        <v/>
      </c>
    </row>
    <row r="616">
      <c r="A616">
        <f>IF($N616="","",IF(INDEX('Per Invoice'!$A$2:$A$801,$N616)="","",INDEX('Per Invoice'!$A$2:$A$801,$N616)))</f>
        <v/>
      </c>
      <c r="B616">
        <f>IF($N616="","",IF(INDEX('Per Invoice'!$B$2:$B$801,$N616)="","",INDEX('Per Invoice'!$B$2:$B$801,$N616)))</f>
        <v/>
      </c>
      <c r="C616">
        <f>IF($N616="","",IF(INDEX('Per Invoice'!$C$2:$C$801,$N616)="","",INDEX('Per Invoice'!$C$2:$C$801,$N616)))</f>
        <v/>
      </c>
      <c r="D616">
        <f>IF($N616="","",IF(INDEX('Per Invoice'!$D$2:$D$801,$N616)="","",INDEX('Per Invoice'!$D$2:$D$801,$N616)))</f>
        <v/>
      </c>
      <c r="E616">
        <f>IF($N616="","",IF(INDEX('Per Invoice'!$E$2:$E$801,$N616)="","",INDEX('Per Invoice'!$E$2:$E$801,$N616)))</f>
        <v/>
      </c>
      <c r="F616">
        <f>IF($N616="","",IF(INDEX('Per Invoice'!$F$2:$F$801,$N616)="","",INDEX('Per Invoice'!$F$2:$F$801,$N616)))</f>
        <v/>
      </c>
      <c r="G616">
        <f>IF($N616="","",IF(INDEX('Per Invoice'!$G$2:$G$801,$N616)="","",INDEX('Per Invoice'!$G$2:$G$801,$N616)))</f>
        <v/>
      </c>
      <c r="H616">
        <f>IF($N616="","",IF(INDEX('Per Invoice'!$H$2:$H$801,$N616)="","",INDEX('Per Invoice'!$H$2:$H$801,$N616)))</f>
        <v/>
      </c>
      <c r="I616" s="5">
        <f>IF($N616="","",IF(INDEX('Per Invoice'!$I$2:$I$801,$N616)="","",INDEX('Per Invoice'!$I$2:$I$801,$N616)))</f>
        <v/>
      </c>
      <c r="J616" s="5">
        <f>IF($N616="","",IF(INDEX('Per Invoice'!$J$2:$J$801,$N616)="","",INDEX('Per Invoice'!$J$2:$J$801,$N616)))</f>
        <v/>
      </c>
      <c r="K616" s="5">
        <f>IF($N616="","",IF(INDEX('Per Invoice'!$K$2:$K$801,$N616)="","",INDEX('Per Invoice'!$K$2:$K$801,$N616)))</f>
        <v/>
      </c>
      <c r="L616" s="5">
        <f>IF($N616="","",IF(INDEX('Per Invoice'!$L$2:$L$801,$N616)="","",INDEX('Per Invoice'!$L$2:$L$801,$N616)))</f>
        <v/>
      </c>
      <c r="M616" s="5">
        <f>IF($N616="","",IF(INDEX('Per Invoice'!$M$2:$M$801,$N616)="","",INDEX('Per Invoice'!$M$2:$M$801,$N616)))</f>
        <v/>
      </c>
      <c r="N616">
        <f>IF(ROWS($N$2:$N616)&lt;=COUNT('Per Invoice'!$O$2:$O$801),MATCH(ROWS($N$2:$N616),'Per Invoice'!$O$2:$O$801,0),"")</f>
        <v/>
      </c>
    </row>
    <row r="617">
      <c r="A617">
        <f>IF($N617="","",IF(INDEX('Per Invoice'!$A$2:$A$801,$N617)="","",INDEX('Per Invoice'!$A$2:$A$801,$N617)))</f>
        <v/>
      </c>
      <c r="B617">
        <f>IF($N617="","",IF(INDEX('Per Invoice'!$B$2:$B$801,$N617)="","",INDEX('Per Invoice'!$B$2:$B$801,$N617)))</f>
        <v/>
      </c>
      <c r="C617">
        <f>IF($N617="","",IF(INDEX('Per Invoice'!$C$2:$C$801,$N617)="","",INDEX('Per Invoice'!$C$2:$C$801,$N617)))</f>
        <v/>
      </c>
      <c r="D617">
        <f>IF($N617="","",IF(INDEX('Per Invoice'!$D$2:$D$801,$N617)="","",INDEX('Per Invoice'!$D$2:$D$801,$N617)))</f>
        <v/>
      </c>
      <c r="E617">
        <f>IF($N617="","",IF(INDEX('Per Invoice'!$E$2:$E$801,$N617)="","",INDEX('Per Invoice'!$E$2:$E$801,$N617)))</f>
        <v/>
      </c>
      <c r="F617">
        <f>IF($N617="","",IF(INDEX('Per Invoice'!$F$2:$F$801,$N617)="","",INDEX('Per Invoice'!$F$2:$F$801,$N617)))</f>
        <v/>
      </c>
      <c r="G617">
        <f>IF($N617="","",IF(INDEX('Per Invoice'!$G$2:$G$801,$N617)="","",INDEX('Per Invoice'!$G$2:$G$801,$N617)))</f>
        <v/>
      </c>
      <c r="H617">
        <f>IF($N617="","",IF(INDEX('Per Invoice'!$H$2:$H$801,$N617)="","",INDEX('Per Invoice'!$H$2:$H$801,$N617)))</f>
        <v/>
      </c>
      <c r="I617" s="5">
        <f>IF($N617="","",IF(INDEX('Per Invoice'!$I$2:$I$801,$N617)="","",INDEX('Per Invoice'!$I$2:$I$801,$N617)))</f>
        <v/>
      </c>
      <c r="J617" s="5">
        <f>IF($N617="","",IF(INDEX('Per Invoice'!$J$2:$J$801,$N617)="","",INDEX('Per Invoice'!$J$2:$J$801,$N617)))</f>
        <v/>
      </c>
      <c r="K617" s="5">
        <f>IF($N617="","",IF(INDEX('Per Invoice'!$K$2:$K$801,$N617)="","",INDEX('Per Invoice'!$K$2:$K$801,$N617)))</f>
        <v/>
      </c>
      <c r="L617" s="5">
        <f>IF($N617="","",IF(INDEX('Per Invoice'!$L$2:$L$801,$N617)="","",INDEX('Per Invoice'!$L$2:$L$801,$N617)))</f>
        <v/>
      </c>
      <c r="M617" s="5">
        <f>IF($N617="","",IF(INDEX('Per Invoice'!$M$2:$M$801,$N617)="","",INDEX('Per Invoice'!$M$2:$M$801,$N617)))</f>
        <v/>
      </c>
      <c r="N617">
        <f>IF(ROWS($N$2:$N617)&lt;=COUNT('Per Invoice'!$O$2:$O$801),MATCH(ROWS($N$2:$N617),'Per Invoice'!$O$2:$O$801,0),"")</f>
        <v/>
      </c>
    </row>
    <row r="618">
      <c r="A618">
        <f>IF($N618="","",IF(INDEX('Per Invoice'!$A$2:$A$801,$N618)="","",INDEX('Per Invoice'!$A$2:$A$801,$N618)))</f>
        <v/>
      </c>
      <c r="B618">
        <f>IF($N618="","",IF(INDEX('Per Invoice'!$B$2:$B$801,$N618)="","",INDEX('Per Invoice'!$B$2:$B$801,$N618)))</f>
        <v/>
      </c>
      <c r="C618">
        <f>IF($N618="","",IF(INDEX('Per Invoice'!$C$2:$C$801,$N618)="","",INDEX('Per Invoice'!$C$2:$C$801,$N618)))</f>
        <v/>
      </c>
      <c r="D618">
        <f>IF($N618="","",IF(INDEX('Per Invoice'!$D$2:$D$801,$N618)="","",INDEX('Per Invoice'!$D$2:$D$801,$N618)))</f>
        <v/>
      </c>
      <c r="E618">
        <f>IF($N618="","",IF(INDEX('Per Invoice'!$E$2:$E$801,$N618)="","",INDEX('Per Invoice'!$E$2:$E$801,$N618)))</f>
        <v/>
      </c>
      <c r="F618">
        <f>IF($N618="","",IF(INDEX('Per Invoice'!$F$2:$F$801,$N618)="","",INDEX('Per Invoice'!$F$2:$F$801,$N618)))</f>
        <v/>
      </c>
      <c r="G618">
        <f>IF($N618="","",IF(INDEX('Per Invoice'!$G$2:$G$801,$N618)="","",INDEX('Per Invoice'!$G$2:$G$801,$N618)))</f>
        <v/>
      </c>
      <c r="H618">
        <f>IF($N618="","",IF(INDEX('Per Invoice'!$H$2:$H$801,$N618)="","",INDEX('Per Invoice'!$H$2:$H$801,$N618)))</f>
        <v/>
      </c>
      <c r="I618" s="5">
        <f>IF($N618="","",IF(INDEX('Per Invoice'!$I$2:$I$801,$N618)="","",INDEX('Per Invoice'!$I$2:$I$801,$N618)))</f>
        <v/>
      </c>
      <c r="J618" s="5">
        <f>IF($N618="","",IF(INDEX('Per Invoice'!$J$2:$J$801,$N618)="","",INDEX('Per Invoice'!$J$2:$J$801,$N618)))</f>
        <v/>
      </c>
      <c r="K618" s="5">
        <f>IF($N618="","",IF(INDEX('Per Invoice'!$K$2:$K$801,$N618)="","",INDEX('Per Invoice'!$K$2:$K$801,$N618)))</f>
        <v/>
      </c>
      <c r="L618" s="5">
        <f>IF($N618="","",IF(INDEX('Per Invoice'!$L$2:$L$801,$N618)="","",INDEX('Per Invoice'!$L$2:$L$801,$N618)))</f>
        <v/>
      </c>
      <c r="M618" s="5">
        <f>IF($N618="","",IF(INDEX('Per Invoice'!$M$2:$M$801,$N618)="","",INDEX('Per Invoice'!$M$2:$M$801,$N618)))</f>
        <v/>
      </c>
      <c r="N618">
        <f>IF(ROWS($N$2:$N618)&lt;=COUNT('Per Invoice'!$O$2:$O$801),MATCH(ROWS($N$2:$N618),'Per Invoice'!$O$2:$O$801,0),"")</f>
        <v/>
      </c>
    </row>
    <row r="619">
      <c r="A619">
        <f>IF($N619="","",IF(INDEX('Per Invoice'!$A$2:$A$801,$N619)="","",INDEX('Per Invoice'!$A$2:$A$801,$N619)))</f>
        <v/>
      </c>
      <c r="B619">
        <f>IF($N619="","",IF(INDEX('Per Invoice'!$B$2:$B$801,$N619)="","",INDEX('Per Invoice'!$B$2:$B$801,$N619)))</f>
        <v/>
      </c>
      <c r="C619">
        <f>IF($N619="","",IF(INDEX('Per Invoice'!$C$2:$C$801,$N619)="","",INDEX('Per Invoice'!$C$2:$C$801,$N619)))</f>
        <v/>
      </c>
      <c r="D619">
        <f>IF($N619="","",IF(INDEX('Per Invoice'!$D$2:$D$801,$N619)="","",INDEX('Per Invoice'!$D$2:$D$801,$N619)))</f>
        <v/>
      </c>
      <c r="E619">
        <f>IF($N619="","",IF(INDEX('Per Invoice'!$E$2:$E$801,$N619)="","",INDEX('Per Invoice'!$E$2:$E$801,$N619)))</f>
        <v/>
      </c>
      <c r="F619">
        <f>IF($N619="","",IF(INDEX('Per Invoice'!$F$2:$F$801,$N619)="","",INDEX('Per Invoice'!$F$2:$F$801,$N619)))</f>
        <v/>
      </c>
      <c r="G619">
        <f>IF($N619="","",IF(INDEX('Per Invoice'!$G$2:$G$801,$N619)="","",INDEX('Per Invoice'!$G$2:$G$801,$N619)))</f>
        <v/>
      </c>
      <c r="H619">
        <f>IF($N619="","",IF(INDEX('Per Invoice'!$H$2:$H$801,$N619)="","",INDEX('Per Invoice'!$H$2:$H$801,$N619)))</f>
        <v/>
      </c>
      <c r="I619" s="5">
        <f>IF($N619="","",IF(INDEX('Per Invoice'!$I$2:$I$801,$N619)="","",INDEX('Per Invoice'!$I$2:$I$801,$N619)))</f>
        <v/>
      </c>
      <c r="J619" s="5">
        <f>IF($N619="","",IF(INDEX('Per Invoice'!$J$2:$J$801,$N619)="","",INDEX('Per Invoice'!$J$2:$J$801,$N619)))</f>
        <v/>
      </c>
      <c r="K619" s="5">
        <f>IF($N619="","",IF(INDEX('Per Invoice'!$K$2:$K$801,$N619)="","",INDEX('Per Invoice'!$K$2:$K$801,$N619)))</f>
        <v/>
      </c>
      <c r="L619" s="5">
        <f>IF($N619="","",IF(INDEX('Per Invoice'!$L$2:$L$801,$N619)="","",INDEX('Per Invoice'!$L$2:$L$801,$N619)))</f>
        <v/>
      </c>
      <c r="M619" s="5">
        <f>IF($N619="","",IF(INDEX('Per Invoice'!$M$2:$M$801,$N619)="","",INDEX('Per Invoice'!$M$2:$M$801,$N619)))</f>
        <v/>
      </c>
      <c r="N619">
        <f>IF(ROWS($N$2:$N619)&lt;=COUNT('Per Invoice'!$O$2:$O$801),MATCH(ROWS($N$2:$N619),'Per Invoice'!$O$2:$O$801,0),"")</f>
        <v/>
      </c>
    </row>
    <row r="620">
      <c r="A620">
        <f>IF($N620="","",IF(INDEX('Per Invoice'!$A$2:$A$801,$N620)="","",INDEX('Per Invoice'!$A$2:$A$801,$N620)))</f>
        <v/>
      </c>
      <c r="B620">
        <f>IF($N620="","",IF(INDEX('Per Invoice'!$B$2:$B$801,$N620)="","",INDEX('Per Invoice'!$B$2:$B$801,$N620)))</f>
        <v/>
      </c>
      <c r="C620">
        <f>IF($N620="","",IF(INDEX('Per Invoice'!$C$2:$C$801,$N620)="","",INDEX('Per Invoice'!$C$2:$C$801,$N620)))</f>
        <v/>
      </c>
      <c r="D620">
        <f>IF($N620="","",IF(INDEX('Per Invoice'!$D$2:$D$801,$N620)="","",INDEX('Per Invoice'!$D$2:$D$801,$N620)))</f>
        <v/>
      </c>
      <c r="E620">
        <f>IF($N620="","",IF(INDEX('Per Invoice'!$E$2:$E$801,$N620)="","",INDEX('Per Invoice'!$E$2:$E$801,$N620)))</f>
        <v/>
      </c>
      <c r="F620">
        <f>IF($N620="","",IF(INDEX('Per Invoice'!$F$2:$F$801,$N620)="","",INDEX('Per Invoice'!$F$2:$F$801,$N620)))</f>
        <v/>
      </c>
      <c r="G620">
        <f>IF($N620="","",IF(INDEX('Per Invoice'!$G$2:$G$801,$N620)="","",INDEX('Per Invoice'!$G$2:$G$801,$N620)))</f>
        <v/>
      </c>
      <c r="H620">
        <f>IF($N620="","",IF(INDEX('Per Invoice'!$H$2:$H$801,$N620)="","",INDEX('Per Invoice'!$H$2:$H$801,$N620)))</f>
        <v/>
      </c>
      <c r="I620" s="5">
        <f>IF($N620="","",IF(INDEX('Per Invoice'!$I$2:$I$801,$N620)="","",INDEX('Per Invoice'!$I$2:$I$801,$N620)))</f>
        <v/>
      </c>
      <c r="J620" s="5">
        <f>IF($N620="","",IF(INDEX('Per Invoice'!$J$2:$J$801,$N620)="","",INDEX('Per Invoice'!$J$2:$J$801,$N620)))</f>
        <v/>
      </c>
      <c r="K620" s="5">
        <f>IF($N620="","",IF(INDEX('Per Invoice'!$K$2:$K$801,$N620)="","",INDEX('Per Invoice'!$K$2:$K$801,$N620)))</f>
        <v/>
      </c>
      <c r="L620" s="5">
        <f>IF($N620="","",IF(INDEX('Per Invoice'!$L$2:$L$801,$N620)="","",INDEX('Per Invoice'!$L$2:$L$801,$N620)))</f>
        <v/>
      </c>
      <c r="M620" s="5">
        <f>IF($N620="","",IF(INDEX('Per Invoice'!$M$2:$M$801,$N620)="","",INDEX('Per Invoice'!$M$2:$M$801,$N620)))</f>
        <v/>
      </c>
      <c r="N620">
        <f>IF(ROWS($N$2:$N620)&lt;=COUNT('Per Invoice'!$O$2:$O$801),MATCH(ROWS($N$2:$N620),'Per Invoice'!$O$2:$O$801,0),"")</f>
        <v/>
      </c>
    </row>
    <row r="621">
      <c r="A621">
        <f>IF($N621="","",IF(INDEX('Per Invoice'!$A$2:$A$801,$N621)="","",INDEX('Per Invoice'!$A$2:$A$801,$N621)))</f>
        <v/>
      </c>
      <c r="B621">
        <f>IF($N621="","",IF(INDEX('Per Invoice'!$B$2:$B$801,$N621)="","",INDEX('Per Invoice'!$B$2:$B$801,$N621)))</f>
        <v/>
      </c>
      <c r="C621">
        <f>IF($N621="","",IF(INDEX('Per Invoice'!$C$2:$C$801,$N621)="","",INDEX('Per Invoice'!$C$2:$C$801,$N621)))</f>
        <v/>
      </c>
      <c r="D621">
        <f>IF($N621="","",IF(INDEX('Per Invoice'!$D$2:$D$801,$N621)="","",INDEX('Per Invoice'!$D$2:$D$801,$N621)))</f>
        <v/>
      </c>
      <c r="E621">
        <f>IF($N621="","",IF(INDEX('Per Invoice'!$E$2:$E$801,$N621)="","",INDEX('Per Invoice'!$E$2:$E$801,$N621)))</f>
        <v/>
      </c>
      <c r="F621">
        <f>IF($N621="","",IF(INDEX('Per Invoice'!$F$2:$F$801,$N621)="","",INDEX('Per Invoice'!$F$2:$F$801,$N621)))</f>
        <v/>
      </c>
      <c r="G621">
        <f>IF($N621="","",IF(INDEX('Per Invoice'!$G$2:$G$801,$N621)="","",INDEX('Per Invoice'!$G$2:$G$801,$N621)))</f>
        <v/>
      </c>
      <c r="H621">
        <f>IF($N621="","",IF(INDEX('Per Invoice'!$H$2:$H$801,$N621)="","",INDEX('Per Invoice'!$H$2:$H$801,$N621)))</f>
        <v/>
      </c>
      <c r="I621" s="5">
        <f>IF($N621="","",IF(INDEX('Per Invoice'!$I$2:$I$801,$N621)="","",INDEX('Per Invoice'!$I$2:$I$801,$N621)))</f>
        <v/>
      </c>
      <c r="J621" s="5">
        <f>IF($N621="","",IF(INDEX('Per Invoice'!$J$2:$J$801,$N621)="","",INDEX('Per Invoice'!$J$2:$J$801,$N621)))</f>
        <v/>
      </c>
      <c r="K621" s="5">
        <f>IF($N621="","",IF(INDEX('Per Invoice'!$K$2:$K$801,$N621)="","",INDEX('Per Invoice'!$K$2:$K$801,$N621)))</f>
        <v/>
      </c>
      <c r="L621" s="5">
        <f>IF($N621="","",IF(INDEX('Per Invoice'!$L$2:$L$801,$N621)="","",INDEX('Per Invoice'!$L$2:$L$801,$N621)))</f>
        <v/>
      </c>
      <c r="M621" s="5">
        <f>IF($N621="","",IF(INDEX('Per Invoice'!$M$2:$M$801,$N621)="","",INDEX('Per Invoice'!$M$2:$M$801,$N621)))</f>
        <v/>
      </c>
      <c r="N621">
        <f>IF(ROWS($N$2:$N621)&lt;=COUNT('Per Invoice'!$O$2:$O$801),MATCH(ROWS($N$2:$N621),'Per Invoice'!$O$2:$O$801,0),"")</f>
        <v/>
      </c>
    </row>
    <row r="622">
      <c r="A622">
        <f>IF($N622="","",IF(INDEX('Per Invoice'!$A$2:$A$801,$N622)="","",INDEX('Per Invoice'!$A$2:$A$801,$N622)))</f>
        <v/>
      </c>
      <c r="B622">
        <f>IF($N622="","",IF(INDEX('Per Invoice'!$B$2:$B$801,$N622)="","",INDEX('Per Invoice'!$B$2:$B$801,$N622)))</f>
        <v/>
      </c>
      <c r="C622">
        <f>IF($N622="","",IF(INDEX('Per Invoice'!$C$2:$C$801,$N622)="","",INDEX('Per Invoice'!$C$2:$C$801,$N622)))</f>
        <v/>
      </c>
      <c r="D622">
        <f>IF($N622="","",IF(INDEX('Per Invoice'!$D$2:$D$801,$N622)="","",INDEX('Per Invoice'!$D$2:$D$801,$N622)))</f>
        <v/>
      </c>
      <c r="E622">
        <f>IF($N622="","",IF(INDEX('Per Invoice'!$E$2:$E$801,$N622)="","",INDEX('Per Invoice'!$E$2:$E$801,$N622)))</f>
        <v/>
      </c>
      <c r="F622">
        <f>IF($N622="","",IF(INDEX('Per Invoice'!$F$2:$F$801,$N622)="","",INDEX('Per Invoice'!$F$2:$F$801,$N622)))</f>
        <v/>
      </c>
      <c r="G622">
        <f>IF($N622="","",IF(INDEX('Per Invoice'!$G$2:$G$801,$N622)="","",INDEX('Per Invoice'!$G$2:$G$801,$N622)))</f>
        <v/>
      </c>
      <c r="H622">
        <f>IF($N622="","",IF(INDEX('Per Invoice'!$H$2:$H$801,$N622)="","",INDEX('Per Invoice'!$H$2:$H$801,$N622)))</f>
        <v/>
      </c>
      <c r="I622" s="5">
        <f>IF($N622="","",IF(INDEX('Per Invoice'!$I$2:$I$801,$N622)="","",INDEX('Per Invoice'!$I$2:$I$801,$N622)))</f>
        <v/>
      </c>
      <c r="J622" s="5">
        <f>IF($N622="","",IF(INDEX('Per Invoice'!$J$2:$J$801,$N622)="","",INDEX('Per Invoice'!$J$2:$J$801,$N622)))</f>
        <v/>
      </c>
      <c r="K622" s="5">
        <f>IF($N622="","",IF(INDEX('Per Invoice'!$K$2:$K$801,$N622)="","",INDEX('Per Invoice'!$K$2:$K$801,$N622)))</f>
        <v/>
      </c>
      <c r="L622" s="5">
        <f>IF($N622="","",IF(INDEX('Per Invoice'!$L$2:$L$801,$N622)="","",INDEX('Per Invoice'!$L$2:$L$801,$N622)))</f>
        <v/>
      </c>
      <c r="M622" s="5">
        <f>IF($N622="","",IF(INDEX('Per Invoice'!$M$2:$M$801,$N622)="","",INDEX('Per Invoice'!$M$2:$M$801,$N622)))</f>
        <v/>
      </c>
      <c r="N622">
        <f>IF(ROWS($N$2:$N622)&lt;=COUNT('Per Invoice'!$O$2:$O$801),MATCH(ROWS($N$2:$N622),'Per Invoice'!$O$2:$O$801,0),"")</f>
        <v/>
      </c>
    </row>
    <row r="623">
      <c r="A623">
        <f>IF($N623="","",IF(INDEX('Per Invoice'!$A$2:$A$801,$N623)="","",INDEX('Per Invoice'!$A$2:$A$801,$N623)))</f>
        <v/>
      </c>
      <c r="B623">
        <f>IF($N623="","",IF(INDEX('Per Invoice'!$B$2:$B$801,$N623)="","",INDEX('Per Invoice'!$B$2:$B$801,$N623)))</f>
        <v/>
      </c>
      <c r="C623">
        <f>IF($N623="","",IF(INDEX('Per Invoice'!$C$2:$C$801,$N623)="","",INDEX('Per Invoice'!$C$2:$C$801,$N623)))</f>
        <v/>
      </c>
      <c r="D623">
        <f>IF($N623="","",IF(INDEX('Per Invoice'!$D$2:$D$801,$N623)="","",INDEX('Per Invoice'!$D$2:$D$801,$N623)))</f>
        <v/>
      </c>
      <c r="E623">
        <f>IF($N623="","",IF(INDEX('Per Invoice'!$E$2:$E$801,$N623)="","",INDEX('Per Invoice'!$E$2:$E$801,$N623)))</f>
        <v/>
      </c>
      <c r="F623">
        <f>IF($N623="","",IF(INDEX('Per Invoice'!$F$2:$F$801,$N623)="","",INDEX('Per Invoice'!$F$2:$F$801,$N623)))</f>
        <v/>
      </c>
      <c r="G623">
        <f>IF($N623="","",IF(INDEX('Per Invoice'!$G$2:$G$801,$N623)="","",INDEX('Per Invoice'!$G$2:$G$801,$N623)))</f>
        <v/>
      </c>
      <c r="H623">
        <f>IF($N623="","",IF(INDEX('Per Invoice'!$H$2:$H$801,$N623)="","",INDEX('Per Invoice'!$H$2:$H$801,$N623)))</f>
        <v/>
      </c>
      <c r="I623" s="5">
        <f>IF($N623="","",IF(INDEX('Per Invoice'!$I$2:$I$801,$N623)="","",INDEX('Per Invoice'!$I$2:$I$801,$N623)))</f>
        <v/>
      </c>
      <c r="J623" s="5">
        <f>IF($N623="","",IF(INDEX('Per Invoice'!$J$2:$J$801,$N623)="","",INDEX('Per Invoice'!$J$2:$J$801,$N623)))</f>
        <v/>
      </c>
      <c r="K623" s="5">
        <f>IF($N623="","",IF(INDEX('Per Invoice'!$K$2:$K$801,$N623)="","",INDEX('Per Invoice'!$K$2:$K$801,$N623)))</f>
        <v/>
      </c>
      <c r="L623" s="5">
        <f>IF($N623="","",IF(INDEX('Per Invoice'!$L$2:$L$801,$N623)="","",INDEX('Per Invoice'!$L$2:$L$801,$N623)))</f>
        <v/>
      </c>
      <c r="M623" s="5">
        <f>IF($N623="","",IF(INDEX('Per Invoice'!$M$2:$M$801,$N623)="","",INDEX('Per Invoice'!$M$2:$M$801,$N623)))</f>
        <v/>
      </c>
      <c r="N623">
        <f>IF(ROWS($N$2:$N623)&lt;=COUNT('Per Invoice'!$O$2:$O$801),MATCH(ROWS($N$2:$N623),'Per Invoice'!$O$2:$O$801,0),"")</f>
        <v/>
      </c>
    </row>
    <row r="624">
      <c r="A624">
        <f>IF($N624="","",IF(INDEX('Per Invoice'!$A$2:$A$801,$N624)="","",INDEX('Per Invoice'!$A$2:$A$801,$N624)))</f>
        <v/>
      </c>
      <c r="B624">
        <f>IF($N624="","",IF(INDEX('Per Invoice'!$B$2:$B$801,$N624)="","",INDEX('Per Invoice'!$B$2:$B$801,$N624)))</f>
        <v/>
      </c>
      <c r="C624">
        <f>IF($N624="","",IF(INDEX('Per Invoice'!$C$2:$C$801,$N624)="","",INDEX('Per Invoice'!$C$2:$C$801,$N624)))</f>
        <v/>
      </c>
      <c r="D624">
        <f>IF($N624="","",IF(INDEX('Per Invoice'!$D$2:$D$801,$N624)="","",INDEX('Per Invoice'!$D$2:$D$801,$N624)))</f>
        <v/>
      </c>
      <c r="E624">
        <f>IF($N624="","",IF(INDEX('Per Invoice'!$E$2:$E$801,$N624)="","",INDEX('Per Invoice'!$E$2:$E$801,$N624)))</f>
        <v/>
      </c>
      <c r="F624">
        <f>IF($N624="","",IF(INDEX('Per Invoice'!$F$2:$F$801,$N624)="","",INDEX('Per Invoice'!$F$2:$F$801,$N624)))</f>
        <v/>
      </c>
      <c r="G624">
        <f>IF($N624="","",IF(INDEX('Per Invoice'!$G$2:$G$801,$N624)="","",INDEX('Per Invoice'!$G$2:$G$801,$N624)))</f>
        <v/>
      </c>
      <c r="H624">
        <f>IF($N624="","",IF(INDEX('Per Invoice'!$H$2:$H$801,$N624)="","",INDEX('Per Invoice'!$H$2:$H$801,$N624)))</f>
        <v/>
      </c>
      <c r="I624" s="5">
        <f>IF($N624="","",IF(INDEX('Per Invoice'!$I$2:$I$801,$N624)="","",INDEX('Per Invoice'!$I$2:$I$801,$N624)))</f>
        <v/>
      </c>
      <c r="J624" s="5">
        <f>IF($N624="","",IF(INDEX('Per Invoice'!$J$2:$J$801,$N624)="","",INDEX('Per Invoice'!$J$2:$J$801,$N624)))</f>
        <v/>
      </c>
      <c r="K624" s="5">
        <f>IF($N624="","",IF(INDEX('Per Invoice'!$K$2:$K$801,$N624)="","",INDEX('Per Invoice'!$K$2:$K$801,$N624)))</f>
        <v/>
      </c>
      <c r="L624" s="5">
        <f>IF($N624="","",IF(INDEX('Per Invoice'!$L$2:$L$801,$N624)="","",INDEX('Per Invoice'!$L$2:$L$801,$N624)))</f>
        <v/>
      </c>
      <c r="M624" s="5">
        <f>IF($N624="","",IF(INDEX('Per Invoice'!$M$2:$M$801,$N624)="","",INDEX('Per Invoice'!$M$2:$M$801,$N624)))</f>
        <v/>
      </c>
      <c r="N624">
        <f>IF(ROWS($N$2:$N624)&lt;=COUNT('Per Invoice'!$O$2:$O$801),MATCH(ROWS($N$2:$N624),'Per Invoice'!$O$2:$O$801,0),"")</f>
        <v/>
      </c>
    </row>
    <row r="625">
      <c r="A625">
        <f>IF($N625="","",IF(INDEX('Per Invoice'!$A$2:$A$801,$N625)="","",INDEX('Per Invoice'!$A$2:$A$801,$N625)))</f>
        <v/>
      </c>
      <c r="B625">
        <f>IF($N625="","",IF(INDEX('Per Invoice'!$B$2:$B$801,$N625)="","",INDEX('Per Invoice'!$B$2:$B$801,$N625)))</f>
        <v/>
      </c>
      <c r="C625">
        <f>IF($N625="","",IF(INDEX('Per Invoice'!$C$2:$C$801,$N625)="","",INDEX('Per Invoice'!$C$2:$C$801,$N625)))</f>
        <v/>
      </c>
      <c r="D625">
        <f>IF($N625="","",IF(INDEX('Per Invoice'!$D$2:$D$801,$N625)="","",INDEX('Per Invoice'!$D$2:$D$801,$N625)))</f>
        <v/>
      </c>
      <c r="E625">
        <f>IF($N625="","",IF(INDEX('Per Invoice'!$E$2:$E$801,$N625)="","",INDEX('Per Invoice'!$E$2:$E$801,$N625)))</f>
        <v/>
      </c>
      <c r="F625">
        <f>IF($N625="","",IF(INDEX('Per Invoice'!$F$2:$F$801,$N625)="","",INDEX('Per Invoice'!$F$2:$F$801,$N625)))</f>
        <v/>
      </c>
      <c r="G625">
        <f>IF($N625="","",IF(INDEX('Per Invoice'!$G$2:$G$801,$N625)="","",INDEX('Per Invoice'!$G$2:$G$801,$N625)))</f>
        <v/>
      </c>
      <c r="H625">
        <f>IF($N625="","",IF(INDEX('Per Invoice'!$H$2:$H$801,$N625)="","",INDEX('Per Invoice'!$H$2:$H$801,$N625)))</f>
        <v/>
      </c>
      <c r="I625" s="5">
        <f>IF($N625="","",IF(INDEX('Per Invoice'!$I$2:$I$801,$N625)="","",INDEX('Per Invoice'!$I$2:$I$801,$N625)))</f>
        <v/>
      </c>
      <c r="J625" s="5">
        <f>IF($N625="","",IF(INDEX('Per Invoice'!$J$2:$J$801,$N625)="","",INDEX('Per Invoice'!$J$2:$J$801,$N625)))</f>
        <v/>
      </c>
      <c r="K625" s="5">
        <f>IF($N625="","",IF(INDEX('Per Invoice'!$K$2:$K$801,$N625)="","",INDEX('Per Invoice'!$K$2:$K$801,$N625)))</f>
        <v/>
      </c>
      <c r="L625" s="5">
        <f>IF($N625="","",IF(INDEX('Per Invoice'!$L$2:$L$801,$N625)="","",INDEX('Per Invoice'!$L$2:$L$801,$N625)))</f>
        <v/>
      </c>
      <c r="M625" s="5">
        <f>IF($N625="","",IF(INDEX('Per Invoice'!$M$2:$M$801,$N625)="","",INDEX('Per Invoice'!$M$2:$M$801,$N625)))</f>
        <v/>
      </c>
      <c r="N625">
        <f>IF(ROWS($N$2:$N625)&lt;=COUNT('Per Invoice'!$O$2:$O$801),MATCH(ROWS($N$2:$N625),'Per Invoice'!$O$2:$O$801,0),"")</f>
        <v/>
      </c>
    </row>
    <row r="626">
      <c r="A626">
        <f>IF($N626="","",IF(INDEX('Per Invoice'!$A$2:$A$801,$N626)="","",INDEX('Per Invoice'!$A$2:$A$801,$N626)))</f>
        <v/>
      </c>
      <c r="B626">
        <f>IF($N626="","",IF(INDEX('Per Invoice'!$B$2:$B$801,$N626)="","",INDEX('Per Invoice'!$B$2:$B$801,$N626)))</f>
        <v/>
      </c>
      <c r="C626">
        <f>IF($N626="","",IF(INDEX('Per Invoice'!$C$2:$C$801,$N626)="","",INDEX('Per Invoice'!$C$2:$C$801,$N626)))</f>
        <v/>
      </c>
      <c r="D626">
        <f>IF($N626="","",IF(INDEX('Per Invoice'!$D$2:$D$801,$N626)="","",INDEX('Per Invoice'!$D$2:$D$801,$N626)))</f>
        <v/>
      </c>
      <c r="E626">
        <f>IF($N626="","",IF(INDEX('Per Invoice'!$E$2:$E$801,$N626)="","",INDEX('Per Invoice'!$E$2:$E$801,$N626)))</f>
        <v/>
      </c>
      <c r="F626">
        <f>IF($N626="","",IF(INDEX('Per Invoice'!$F$2:$F$801,$N626)="","",INDEX('Per Invoice'!$F$2:$F$801,$N626)))</f>
        <v/>
      </c>
      <c r="G626">
        <f>IF($N626="","",IF(INDEX('Per Invoice'!$G$2:$G$801,$N626)="","",INDEX('Per Invoice'!$G$2:$G$801,$N626)))</f>
        <v/>
      </c>
      <c r="H626">
        <f>IF($N626="","",IF(INDEX('Per Invoice'!$H$2:$H$801,$N626)="","",INDEX('Per Invoice'!$H$2:$H$801,$N626)))</f>
        <v/>
      </c>
      <c r="I626" s="5">
        <f>IF($N626="","",IF(INDEX('Per Invoice'!$I$2:$I$801,$N626)="","",INDEX('Per Invoice'!$I$2:$I$801,$N626)))</f>
        <v/>
      </c>
      <c r="J626" s="5">
        <f>IF($N626="","",IF(INDEX('Per Invoice'!$J$2:$J$801,$N626)="","",INDEX('Per Invoice'!$J$2:$J$801,$N626)))</f>
        <v/>
      </c>
      <c r="K626" s="5">
        <f>IF($N626="","",IF(INDEX('Per Invoice'!$K$2:$K$801,$N626)="","",INDEX('Per Invoice'!$K$2:$K$801,$N626)))</f>
        <v/>
      </c>
      <c r="L626" s="5">
        <f>IF($N626="","",IF(INDEX('Per Invoice'!$L$2:$L$801,$N626)="","",INDEX('Per Invoice'!$L$2:$L$801,$N626)))</f>
        <v/>
      </c>
      <c r="M626" s="5">
        <f>IF($N626="","",IF(INDEX('Per Invoice'!$M$2:$M$801,$N626)="","",INDEX('Per Invoice'!$M$2:$M$801,$N626)))</f>
        <v/>
      </c>
      <c r="N626">
        <f>IF(ROWS($N$2:$N626)&lt;=COUNT('Per Invoice'!$O$2:$O$801),MATCH(ROWS($N$2:$N626),'Per Invoice'!$O$2:$O$801,0),"")</f>
        <v/>
      </c>
    </row>
    <row r="627">
      <c r="A627">
        <f>IF($N627="","",IF(INDEX('Per Invoice'!$A$2:$A$801,$N627)="","",INDEX('Per Invoice'!$A$2:$A$801,$N627)))</f>
        <v/>
      </c>
      <c r="B627">
        <f>IF($N627="","",IF(INDEX('Per Invoice'!$B$2:$B$801,$N627)="","",INDEX('Per Invoice'!$B$2:$B$801,$N627)))</f>
        <v/>
      </c>
      <c r="C627">
        <f>IF($N627="","",IF(INDEX('Per Invoice'!$C$2:$C$801,$N627)="","",INDEX('Per Invoice'!$C$2:$C$801,$N627)))</f>
        <v/>
      </c>
      <c r="D627">
        <f>IF($N627="","",IF(INDEX('Per Invoice'!$D$2:$D$801,$N627)="","",INDEX('Per Invoice'!$D$2:$D$801,$N627)))</f>
        <v/>
      </c>
      <c r="E627">
        <f>IF($N627="","",IF(INDEX('Per Invoice'!$E$2:$E$801,$N627)="","",INDEX('Per Invoice'!$E$2:$E$801,$N627)))</f>
        <v/>
      </c>
      <c r="F627">
        <f>IF($N627="","",IF(INDEX('Per Invoice'!$F$2:$F$801,$N627)="","",INDEX('Per Invoice'!$F$2:$F$801,$N627)))</f>
        <v/>
      </c>
      <c r="G627">
        <f>IF($N627="","",IF(INDEX('Per Invoice'!$G$2:$G$801,$N627)="","",INDEX('Per Invoice'!$G$2:$G$801,$N627)))</f>
        <v/>
      </c>
      <c r="H627">
        <f>IF($N627="","",IF(INDEX('Per Invoice'!$H$2:$H$801,$N627)="","",INDEX('Per Invoice'!$H$2:$H$801,$N627)))</f>
        <v/>
      </c>
      <c r="I627" s="5">
        <f>IF($N627="","",IF(INDEX('Per Invoice'!$I$2:$I$801,$N627)="","",INDEX('Per Invoice'!$I$2:$I$801,$N627)))</f>
        <v/>
      </c>
      <c r="J627" s="5">
        <f>IF($N627="","",IF(INDEX('Per Invoice'!$J$2:$J$801,$N627)="","",INDEX('Per Invoice'!$J$2:$J$801,$N627)))</f>
        <v/>
      </c>
      <c r="K627" s="5">
        <f>IF($N627="","",IF(INDEX('Per Invoice'!$K$2:$K$801,$N627)="","",INDEX('Per Invoice'!$K$2:$K$801,$N627)))</f>
        <v/>
      </c>
      <c r="L627" s="5">
        <f>IF($N627="","",IF(INDEX('Per Invoice'!$L$2:$L$801,$N627)="","",INDEX('Per Invoice'!$L$2:$L$801,$N627)))</f>
        <v/>
      </c>
      <c r="M627" s="5">
        <f>IF($N627="","",IF(INDEX('Per Invoice'!$M$2:$M$801,$N627)="","",INDEX('Per Invoice'!$M$2:$M$801,$N627)))</f>
        <v/>
      </c>
      <c r="N627">
        <f>IF(ROWS($N$2:$N627)&lt;=COUNT('Per Invoice'!$O$2:$O$801),MATCH(ROWS($N$2:$N627),'Per Invoice'!$O$2:$O$801,0),"")</f>
        <v/>
      </c>
    </row>
    <row r="628">
      <c r="A628">
        <f>IF($N628="","",IF(INDEX('Per Invoice'!$A$2:$A$801,$N628)="","",INDEX('Per Invoice'!$A$2:$A$801,$N628)))</f>
        <v/>
      </c>
      <c r="B628">
        <f>IF($N628="","",IF(INDEX('Per Invoice'!$B$2:$B$801,$N628)="","",INDEX('Per Invoice'!$B$2:$B$801,$N628)))</f>
        <v/>
      </c>
      <c r="C628">
        <f>IF($N628="","",IF(INDEX('Per Invoice'!$C$2:$C$801,$N628)="","",INDEX('Per Invoice'!$C$2:$C$801,$N628)))</f>
        <v/>
      </c>
      <c r="D628">
        <f>IF($N628="","",IF(INDEX('Per Invoice'!$D$2:$D$801,$N628)="","",INDEX('Per Invoice'!$D$2:$D$801,$N628)))</f>
        <v/>
      </c>
      <c r="E628">
        <f>IF($N628="","",IF(INDEX('Per Invoice'!$E$2:$E$801,$N628)="","",INDEX('Per Invoice'!$E$2:$E$801,$N628)))</f>
        <v/>
      </c>
      <c r="F628">
        <f>IF($N628="","",IF(INDEX('Per Invoice'!$F$2:$F$801,$N628)="","",INDEX('Per Invoice'!$F$2:$F$801,$N628)))</f>
        <v/>
      </c>
      <c r="G628">
        <f>IF($N628="","",IF(INDEX('Per Invoice'!$G$2:$G$801,$N628)="","",INDEX('Per Invoice'!$G$2:$G$801,$N628)))</f>
        <v/>
      </c>
      <c r="H628">
        <f>IF($N628="","",IF(INDEX('Per Invoice'!$H$2:$H$801,$N628)="","",INDEX('Per Invoice'!$H$2:$H$801,$N628)))</f>
        <v/>
      </c>
      <c r="I628" s="5">
        <f>IF($N628="","",IF(INDEX('Per Invoice'!$I$2:$I$801,$N628)="","",INDEX('Per Invoice'!$I$2:$I$801,$N628)))</f>
        <v/>
      </c>
      <c r="J628" s="5">
        <f>IF($N628="","",IF(INDEX('Per Invoice'!$J$2:$J$801,$N628)="","",INDEX('Per Invoice'!$J$2:$J$801,$N628)))</f>
        <v/>
      </c>
      <c r="K628" s="5">
        <f>IF($N628="","",IF(INDEX('Per Invoice'!$K$2:$K$801,$N628)="","",INDEX('Per Invoice'!$K$2:$K$801,$N628)))</f>
        <v/>
      </c>
      <c r="L628" s="5">
        <f>IF($N628="","",IF(INDEX('Per Invoice'!$L$2:$L$801,$N628)="","",INDEX('Per Invoice'!$L$2:$L$801,$N628)))</f>
        <v/>
      </c>
      <c r="M628" s="5">
        <f>IF($N628="","",IF(INDEX('Per Invoice'!$M$2:$M$801,$N628)="","",INDEX('Per Invoice'!$M$2:$M$801,$N628)))</f>
        <v/>
      </c>
      <c r="N628">
        <f>IF(ROWS($N$2:$N628)&lt;=COUNT('Per Invoice'!$O$2:$O$801),MATCH(ROWS($N$2:$N628),'Per Invoice'!$O$2:$O$801,0),"")</f>
        <v/>
      </c>
    </row>
    <row r="629">
      <c r="A629">
        <f>IF($N629="","",IF(INDEX('Per Invoice'!$A$2:$A$801,$N629)="","",INDEX('Per Invoice'!$A$2:$A$801,$N629)))</f>
        <v/>
      </c>
      <c r="B629">
        <f>IF($N629="","",IF(INDEX('Per Invoice'!$B$2:$B$801,$N629)="","",INDEX('Per Invoice'!$B$2:$B$801,$N629)))</f>
        <v/>
      </c>
      <c r="C629">
        <f>IF($N629="","",IF(INDEX('Per Invoice'!$C$2:$C$801,$N629)="","",INDEX('Per Invoice'!$C$2:$C$801,$N629)))</f>
        <v/>
      </c>
      <c r="D629">
        <f>IF($N629="","",IF(INDEX('Per Invoice'!$D$2:$D$801,$N629)="","",INDEX('Per Invoice'!$D$2:$D$801,$N629)))</f>
        <v/>
      </c>
      <c r="E629">
        <f>IF($N629="","",IF(INDEX('Per Invoice'!$E$2:$E$801,$N629)="","",INDEX('Per Invoice'!$E$2:$E$801,$N629)))</f>
        <v/>
      </c>
      <c r="F629">
        <f>IF($N629="","",IF(INDEX('Per Invoice'!$F$2:$F$801,$N629)="","",INDEX('Per Invoice'!$F$2:$F$801,$N629)))</f>
        <v/>
      </c>
      <c r="G629">
        <f>IF($N629="","",IF(INDEX('Per Invoice'!$G$2:$G$801,$N629)="","",INDEX('Per Invoice'!$G$2:$G$801,$N629)))</f>
        <v/>
      </c>
      <c r="H629">
        <f>IF($N629="","",IF(INDEX('Per Invoice'!$H$2:$H$801,$N629)="","",INDEX('Per Invoice'!$H$2:$H$801,$N629)))</f>
        <v/>
      </c>
      <c r="I629" s="5">
        <f>IF($N629="","",IF(INDEX('Per Invoice'!$I$2:$I$801,$N629)="","",INDEX('Per Invoice'!$I$2:$I$801,$N629)))</f>
        <v/>
      </c>
      <c r="J629" s="5">
        <f>IF($N629="","",IF(INDEX('Per Invoice'!$J$2:$J$801,$N629)="","",INDEX('Per Invoice'!$J$2:$J$801,$N629)))</f>
        <v/>
      </c>
      <c r="K629" s="5">
        <f>IF($N629="","",IF(INDEX('Per Invoice'!$K$2:$K$801,$N629)="","",INDEX('Per Invoice'!$K$2:$K$801,$N629)))</f>
        <v/>
      </c>
      <c r="L629" s="5">
        <f>IF($N629="","",IF(INDEX('Per Invoice'!$L$2:$L$801,$N629)="","",INDEX('Per Invoice'!$L$2:$L$801,$N629)))</f>
        <v/>
      </c>
      <c r="M629" s="5">
        <f>IF($N629="","",IF(INDEX('Per Invoice'!$M$2:$M$801,$N629)="","",INDEX('Per Invoice'!$M$2:$M$801,$N629)))</f>
        <v/>
      </c>
      <c r="N629">
        <f>IF(ROWS($N$2:$N629)&lt;=COUNT('Per Invoice'!$O$2:$O$801),MATCH(ROWS($N$2:$N629),'Per Invoice'!$O$2:$O$801,0),"")</f>
        <v/>
      </c>
    </row>
    <row r="630">
      <c r="A630">
        <f>IF($N630="","",IF(INDEX('Per Invoice'!$A$2:$A$801,$N630)="","",INDEX('Per Invoice'!$A$2:$A$801,$N630)))</f>
        <v/>
      </c>
      <c r="B630">
        <f>IF($N630="","",IF(INDEX('Per Invoice'!$B$2:$B$801,$N630)="","",INDEX('Per Invoice'!$B$2:$B$801,$N630)))</f>
        <v/>
      </c>
      <c r="C630">
        <f>IF($N630="","",IF(INDEX('Per Invoice'!$C$2:$C$801,$N630)="","",INDEX('Per Invoice'!$C$2:$C$801,$N630)))</f>
        <v/>
      </c>
      <c r="D630">
        <f>IF($N630="","",IF(INDEX('Per Invoice'!$D$2:$D$801,$N630)="","",INDEX('Per Invoice'!$D$2:$D$801,$N630)))</f>
        <v/>
      </c>
      <c r="E630">
        <f>IF($N630="","",IF(INDEX('Per Invoice'!$E$2:$E$801,$N630)="","",INDEX('Per Invoice'!$E$2:$E$801,$N630)))</f>
        <v/>
      </c>
      <c r="F630">
        <f>IF($N630="","",IF(INDEX('Per Invoice'!$F$2:$F$801,$N630)="","",INDEX('Per Invoice'!$F$2:$F$801,$N630)))</f>
        <v/>
      </c>
      <c r="G630">
        <f>IF($N630="","",IF(INDEX('Per Invoice'!$G$2:$G$801,$N630)="","",INDEX('Per Invoice'!$G$2:$G$801,$N630)))</f>
        <v/>
      </c>
      <c r="H630">
        <f>IF($N630="","",IF(INDEX('Per Invoice'!$H$2:$H$801,$N630)="","",INDEX('Per Invoice'!$H$2:$H$801,$N630)))</f>
        <v/>
      </c>
      <c r="I630" s="5">
        <f>IF($N630="","",IF(INDEX('Per Invoice'!$I$2:$I$801,$N630)="","",INDEX('Per Invoice'!$I$2:$I$801,$N630)))</f>
        <v/>
      </c>
      <c r="J630" s="5">
        <f>IF($N630="","",IF(INDEX('Per Invoice'!$J$2:$J$801,$N630)="","",INDEX('Per Invoice'!$J$2:$J$801,$N630)))</f>
        <v/>
      </c>
      <c r="K630" s="5">
        <f>IF($N630="","",IF(INDEX('Per Invoice'!$K$2:$K$801,$N630)="","",INDEX('Per Invoice'!$K$2:$K$801,$N630)))</f>
        <v/>
      </c>
      <c r="L630" s="5">
        <f>IF($N630="","",IF(INDEX('Per Invoice'!$L$2:$L$801,$N630)="","",INDEX('Per Invoice'!$L$2:$L$801,$N630)))</f>
        <v/>
      </c>
      <c r="M630" s="5">
        <f>IF($N630="","",IF(INDEX('Per Invoice'!$M$2:$M$801,$N630)="","",INDEX('Per Invoice'!$M$2:$M$801,$N630)))</f>
        <v/>
      </c>
      <c r="N630">
        <f>IF(ROWS($N$2:$N630)&lt;=COUNT('Per Invoice'!$O$2:$O$801),MATCH(ROWS($N$2:$N630),'Per Invoice'!$O$2:$O$801,0),"")</f>
        <v/>
      </c>
    </row>
    <row r="631">
      <c r="A631">
        <f>IF($N631="","",IF(INDEX('Per Invoice'!$A$2:$A$801,$N631)="","",INDEX('Per Invoice'!$A$2:$A$801,$N631)))</f>
        <v/>
      </c>
      <c r="B631">
        <f>IF($N631="","",IF(INDEX('Per Invoice'!$B$2:$B$801,$N631)="","",INDEX('Per Invoice'!$B$2:$B$801,$N631)))</f>
        <v/>
      </c>
      <c r="C631">
        <f>IF($N631="","",IF(INDEX('Per Invoice'!$C$2:$C$801,$N631)="","",INDEX('Per Invoice'!$C$2:$C$801,$N631)))</f>
        <v/>
      </c>
      <c r="D631">
        <f>IF($N631="","",IF(INDEX('Per Invoice'!$D$2:$D$801,$N631)="","",INDEX('Per Invoice'!$D$2:$D$801,$N631)))</f>
        <v/>
      </c>
      <c r="E631">
        <f>IF($N631="","",IF(INDEX('Per Invoice'!$E$2:$E$801,$N631)="","",INDEX('Per Invoice'!$E$2:$E$801,$N631)))</f>
        <v/>
      </c>
      <c r="F631">
        <f>IF($N631="","",IF(INDEX('Per Invoice'!$F$2:$F$801,$N631)="","",INDEX('Per Invoice'!$F$2:$F$801,$N631)))</f>
        <v/>
      </c>
      <c r="G631">
        <f>IF($N631="","",IF(INDEX('Per Invoice'!$G$2:$G$801,$N631)="","",INDEX('Per Invoice'!$G$2:$G$801,$N631)))</f>
        <v/>
      </c>
      <c r="H631">
        <f>IF($N631="","",IF(INDEX('Per Invoice'!$H$2:$H$801,$N631)="","",INDEX('Per Invoice'!$H$2:$H$801,$N631)))</f>
        <v/>
      </c>
      <c r="I631" s="5">
        <f>IF($N631="","",IF(INDEX('Per Invoice'!$I$2:$I$801,$N631)="","",INDEX('Per Invoice'!$I$2:$I$801,$N631)))</f>
        <v/>
      </c>
      <c r="J631" s="5">
        <f>IF($N631="","",IF(INDEX('Per Invoice'!$J$2:$J$801,$N631)="","",INDEX('Per Invoice'!$J$2:$J$801,$N631)))</f>
        <v/>
      </c>
      <c r="K631" s="5">
        <f>IF($N631="","",IF(INDEX('Per Invoice'!$K$2:$K$801,$N631)="","",INDEX('Per Invoice'!$K$2:$K$801,$N631)))</f>
        <v/>
      </c>
      <c r="L631" s="5">
        <f>IF($N631="","",IF(INDEX('Per Invoice'!$L$2:$L$801,$N631)="","",INDEX('Per Invoice'!$L$2:$L$801,$N631)))</f>
        <v/>
      </c>
      <c r="M631" s="5">
        <f>IF($N631="","",IF(INDEX('Per Invoice'!$M$2:$M$801,$N631)="","",INDEX('Per Invoice'!$M$2:$M$801,$N631)))</f>
        <v/>
      </c>
      <c r="N631">
        <f>IF(ROWS($N$2:$N631)&lt;=COUNT('Per Invoice'!$O$2:$O$801),MATCH(ROWS($N$2:$N631),'Per Invoice'!$O$2:$O$801,0),"")</f>
        <v/>
      </c>
    </row>
    <row r="632">
      <c r="A632">
        <f>IF($N632="","",IF(INDEX('Per Invoice'!$A$2:$A$801,$N632)="","",INDEX('Per Invoice'!$A$2:$A$801,$N632)))</f>
        <v/>
      </c>
      <c r="B632">
        <f>IF($N632="","",IF(INDEX('Per Invoice'!$B$2:$B$801,$N632)="","",INDEX('Per Invoice'!$B$2:$B$801,$N632)))</f>
        <v/>
      </c>
      <c r="C632">
        <f>IF($N632="","",IF(INDEX('Per Invoice'!$C$2:$C$801,$N632)="","",INDEX('Per Invoice'!$C$2:$C$801,$N632)))</f>
        <v/>
      </c>
      <c r="D632">
        <f>IF($N632="","",IF(INDEX('Per Invoice'!$D$2:$D$801,$N632)="","",INDEX('Per Invoice'!$D$2:$D$801,$N632)))</f>
        <v/>
      </c>
      <c r="E632">
        <f>IF($N632="","",IF(INDEX('Per Invoice'!$E$2:$E$801,$N632)="","",INDEX('Per Invoice'!$E$2:$E$801,$N632)))</f>
        <v/>
      </c>
      <c r="F632">
        <f>IF($N632="","",IF(INDEX('Per Invoice'!$F$2:$F$801,$N632)="","",INDEX('Per Invoice'!$F$2:$F$801,$N632)))</f>
        <v/>
      </c>
      <c r="G632">
        <f>IF($N632="","",IF(INDEX('Per Invoice'!$G$2:$G$801,$N632)="","",INDEX('Per Invoice'!$G$2:$G$801,$N632)))</f>
        <v/>
      </c>
      <c r="H632">
        <f>IF($N632="","",IF(INDEX('Per Invoice'!$H$2:$H$801,$N632)="","",INDEX('Per Invoice'!$H$2:$H$801,$N632)))</f>
        <v/>
      </c>
      <c r="I632" s="5">
        <f>IF($N632="","",IF(INDEX('Per Invoice'!$I$2:$I$801,$N632)="","",INDEX('Per Invoice'!$I$2:$I$801,$N632)))</f>
        <v/>
      </c>
      <c r="J632" s="5">
        <f>IF($N632="","",IF(INDEX('Per Invoice'!$J$2:$J$801,$N632)="","",INDEX('Per Invoice'!$J$2:$J$801,$N632)))</f>
        <v/>
      </c>
      <c r="K632" s="5">
        <f>IF($N632="","",IF(INDEX('Per Invoice'!$K$2:$K$801,$N632)="","",INDEX('Per Invoice'!$K$2:$K$801,$N632)))</f>
        <v/>
      </c>
      <c r="L632" s="5">
        <f>IF($N632="","",IF(INDEX('Per Invoice'!$L$2:$L$801,$N632)="","",INDEX('Per Invoice'!$L$2:$L$801,$N632)))</f>
        <v/>
      </c>
      <c r="M632" s="5">
        <f>IF($N632="","",IF(INDEX('Per Invoice'!$M$2:$M$801,$N632)="","",INDEX('Per Invoice'!$M$2:$M$801,$N632)))</f>
        <v/>
      </c>
      <c r="N632">
        <f>IF(ROWS($N$2:$N632)&lt;=COUNT('Per Invoice'!$O$2:$O$801),MATCH(ROWS($N$2:$N632),'Per Invoice'!$O$2:$O$801,0),"")</f>
        <v/>
      </c>
    </row>
    <row r="633">
      <c r="A633">
        <f>IF($N633="","",IF(INDEX('Per Invoice'!$A$2:$A$801,$N633)="","",INDEX('Per Invoice'!$A$2:$A$801,$N633)))</f>
        <v/>
      </c>
      <c r="B633">
        <f>IF($N633="","",IF(INDEX('Per Invoice'!$B$2:$B$801,$N633)="","",INDEX('Per Invoice'!$B$2:$B$801,$N633)))</f>
        <v/>
      </c>
      <c r="C633">
        <f>IF($N633="","",IF(INDEX('Per Invoice'!$C$2:$C$801,$N633)="","",INDEX('Per Invoice'!$C$2:$C$801,$N633)))</f>
        <v/>
      </c>
      <c r="D633">
        <f>IF($N633="","",IF(INDEX('Per Invoice'!$D$2:$D$801,$N633)="","",INDEX('Per Invoice'!$D$2:$D$801,$N633)))</f>
        <v/>
      </c>
      <c r="E633">
        <f>IF($N633="","",IF(INDEX('Per Invoice'!$E$2:$E$801,$N633)="","",INDEX('Per Invoice'!$E$2:$E$801,$N633)))</f>
        <v/>
      </c>
      <c r="F633">
        <f>IF($N633="","",IF(INDEX('Per Invoice'!$F$2:$F$801,$N633)="","",INDEX('Per Invoice'!$F$2:$F$801,$N633)))</f>
        <v/>
      </c>
      <c r="G633">
        <f>IF($N633="","",IF(INDEX('Per Invoice'!$G$2:$G$801,$N633)="","",INDEX('Per Invoice'!$G$2:$G$801,$N633)))</f>
        <v/>
      </c>
      <c r="H633">
        <f>IF($N633="","",IF(INDEX('Per Invoice'!$H$2:$H$801,$N633)="","",INDEX('Per Invoice'!$H$2:$H$801,$N633)))</f>
        <v/>
      </c>
      <c r="I633" s="5">
        <f>IF($N633="","",IF(INDEX('Per Invoice'!$I$2:$I$801,$N633)="","",INDEX('Per Invoice'!$I$2:$I$801,$N633)))</f>
        <v/>
      </c>
      <c r="J633" s="5">
        <f>IF($N633="","",IF(INDEX('Per Invoice'!$J$2:$J$801,$N633)="","",INDEX('Per Invoice'!$J$2:$J$801,$N633)))</f>
        <v/>
      </c>
      <c r="K633" s="5">
        <f>IF($N633="","",IF(INDEX('Per Invoice'!$K$2:$K$801,$N633)="","",INDEX('Per Invoice'!$K$2:$K$801,$N633)))</f>
        <v/>
      </c>
      <c r="L633" s="5">
        <f>IF($N633="","",IF(INDEX('Per Invoice'!$L$2:$L$801,$N633)="","",INDEX('Per Invoice'!$L$2:$L$801,$N633)))</f>
        <v/>
      </c>
      <c r="M633" s="5">
        <f>IF($N633="","",IF(INDEX('Per Invoice'!$M$2:$M$801,$N633)="","",INDEX('Per Invoice'!$M$2:$M$801,$N633)))</f>
        <v/>
      </c>
      <c r="N633">
        <f>IF(ROWS($N$2:$N633)&lt;=COUNT('Per Invoice'!$O$2:$O$801),MATCH(ROWS($N$2:$N633),'Per Invoice'!$O$2:$O$801,0),"")</f>
        <v/>
      </c>
    </row>
    <row r="634">
      <c r="A634">
        <f>IF($N634="","",IF(INDEX('Per Invoice'!$A$2:$A$801,$N634)="","",INDEX('Per Invoice'!$A$2:$A$801,$N634)))</f>
        <v/>
      </c>
      <c r="B634">
        <f>IF($N634="","",IF(INDEX('Per Invoice'!$B$2:$B$801,$N634)="","",INDEX('Per Invoice'!$B$2:$B$801,$N634)))</f>
        <v/>
      </c>
      <c r="C634">
        <f>IF($N634="","",IF(INDEX('Per Invoice'!$C$2:$C$801,$N634)="","",INDEX('Per Invoice'!$C$2:$C$801,$N634)))</f>
        <v/>
      </c>
      <c r="D634">
        <f>IF($N634="","",IF(INDEX('Per Invoice'!$D$2:$D$801,$N634)="","",INDEX('Per Invoice'!$D$2:$D$801,$N634)))</f>
        <v/>
      </c>
      <c r="E634">
        <f>IF($N634="","",IF(INDEX('Per Invoice'!$E$2:$E$801,$N634)="","",INDEX('Per Invoice'!$E$2:$E$801,$N634)))</f>
        <v/>
      </c>
      <c r="F634">
        <f>IF($N634="","",IF(INDEX('Per Invoice'!$F$2:$F$801,$N634)="","",INDEX('Per Invoice'!$F$2:$F$801,$N634)))</f>
        <v/>
      </c>
      <c r="G634">
        <f>IF($N634="","",IF(INDEX('Per Invoice'!$G$2:$G$801,$N634)="","",INDEX('Per Invoice'!$G$2:$G$801,$N634)))</f>
        <v/>
      </c>
      <c r="H634">
        <f>IF($N634="","",IF(INDEX('Per Invoice'!$H$2:$H$801,$N634)="","",INDEX('Per Invoice'!$H$2:$H$801,$N634)))</f>
        <v/>
      </c>
      <c r="I634" s="5">
        <f>IF($N634="","",IF(INDEX('Per Invoice'!$I$2:$I$801,$N634)="","",INDEX('Per Invoice'!$I$2:$I$801,$N634)))</f>
        <v/>
      </c>
      <c r="J634" s="5">
        <f>IF($N634="","",IF(INDEX('Per Invoice'!$J$2:$J$801,$N634)="","",INDEX('Per Invoice'!$J$2:$J$801,$N634)))</f>
        <v/>
      </c>
      <c r="K634" s="5">
        <f>IF($N634="","",IF(INDEX('Per Invoice'!$K$2:$K$801,$N634)="","",INDEX('Per Invoice'!$K$2:$K$801,$N634)))</f>
        <v/>
      </c>
      <c r="L634" s="5">
        <f>IF($N634="","",IF(INDEX('Per Invoice'!$L$2:$L$801,$N634)="","",INDEX('Per Invoice'!$L$2:$L$801,$N634)))</f>
        <v/>
      </c>
      <c r="M634" s="5">
        <f>IF($N634="","",IF(INDEX('Per Invoice'!$M$2:$M$801,$N634)="","",INDEX('Per Invoice'!$M$2:$M$801,$N634)))</f>
        <v/>
      </c>
      <c r="N634">
        <f>IF(ROWS($N$2:$N634)&lt;=COUNT('Per Invoice'!$O$2:$O$801),MATCH(ROWS($N$2:$N634),'Per Invoice'!$O$2:$O$801,0),"")</f>
        <v/>
      </c>
    </row>
    <row r="635">
      <c r="A635">
        <f>IF($N635="","",IF(INDEX('Per Invoice'!$A$2:$A$801,$N635)="","",INDEX('Per Invoice'!$A$2:$A$801,$N635)))</f>
        <v/>
      </c>
      <c r="B635">
        <f>IF($N635="","",IF(INDEX('Per Invoice'!$B$2:$B$801,$N635)="","",INDEX('Per Invoice'!$B$2:$B$801,$N635)))</f>
        <v/>
      </c>
      <c r="C635">
        <f>IF($N635="","",IF(INDEX('Per Invoice'!$C$2:$C$801,$N635)="","",INDEX('Per Invoice'!$C$2:$C$801,$N635)))</f>
        <v/>
      </c>
      <c r="D635">
        <f>IF($N635="","",IF(INDEX('Per Invoice'!$D$2:$D$801,$N635)="","",INDEX('Per Invoice'!$D$2:$D$801,$N635)))</f>
        <v/>
      </c>
      <c r="E635">
        <f>IF($N635="","",IF(INDEX('Per Invoice'!$E$2:$E$801,$N635)="","",INDEX('Per Invoice'!$E$2:$E$801,$N635)))</f>
        <v/>
      </c>
      <c r="F635">
        <f>IF($N635="","",IF(INDEX('Per Invoice'!$F$2:$F$801,$N635)="","",INDEX('Per Invoice'!$F$2:$F$801,$N635)))</f>
        <v/>
      </c>
      <c r="G635">
        <f>IF($N635="","",IF(INDEX('Per Invoice'!$G$2:$G$801,$N635)="","",INDEX('Per Invoice'!$G$2:$G$801,$N635)))</f>
        <v/>
      </c>
      <c r="H635">
        <f>IF($N635="","",IF(INDEX('Per Invoice'!$H$2:$H$801,$N635)="","",INDEX('Per Invoice'!$H$2:$H$801,$N635)))</f>
        <v/>
      </c>
      <c r="I635" s="5">
        <f>IF($N635="","",IF(INDEX('Per Invoice'!$I$2:$I$801,$N635)="","",INDEX('Per Invoice'!$I$2:$I$801,$N635)))</f>
        <v/>
      </c>
      <c r="J635" s="5">
        <f>IF($N635="","",IF(INDEX('Per Invoice'!$J$2:$J$801,$N635)="","",INDEX('Per Invoice'!$J$2:$J$801,$N635)))</f>
        <v/>
      </c>
      <c r="K635" s="5">
        <f>IF($N635="","",IF(INDEX('Per Invoice'!$K$2:$K$801,$N635)="","",INDEX('Per Invoice'!$K$2:$K$801,$N635)))</f>
        <v/>
      </c>
      <c r="L635" s="5">
        <f>IF($N635="","",IF(INDEX('Per Invoice'!$L$2:$L$801,$N635)="","",INDEX('Per Invoice'!$L$2:$L$801,$N635)))</f>
        <v/>
      </c>
      <c r="M635" s="5">
        <f>IF($N635="","",IF(INDEX('Per Invoice'!$M$2:$M$801,$N635)="","",INDEX('Per Invoice'!$M$2:$M$801,$N635)))</f>
        <v/>
      </c>
      <c r="N635">
        <f>IF(ROWS($N$2:$N635)&lt;=COUNT('Per Invoice'!$O$2:$O$801),MATCH(ROWS($N$2:$N635),'Per Invoice'!$O$2:$O$801,0),"")</f>
        <v/>
      </c>
    </row>
    <row r="636">
      <c r="A636">
        <f>IF($N636="","",IF(INDEX('Per Invoice'!$A$2:$A$801,$N636)="","",INDEX('Per Invoice'!$A$2:$A$801,$N636)))</f>
        <v/>
      </c>
      <c r="B636">
        <f>IF($N636="","",IF(INDEX('Per Invoice'!$B$2:$B$801,$N636)="","",INDEX('Per Invoice'!$B$2:$B$801,$N636)))</f>
        <v/>
      </c>
      <c r="C636">
        <f>IF($N636="","",IF(INDEX('Per Invoice'!$C$2:$C$801,$N636)="","",INDEX('Per Invoice'!$C$2:$C$801,$N636)))</f>
        <v/>
      </c>
      <c r="D636">
        <f>IF($N636="","",IF(INDEX('Per Invoice'!$D$2:$D$801,$N636)="","",INDEX('Per Invoice'!$D$2:$D$801,$N636)))</f>
        <v/>
      </c>
      <c r="E636">
        <f>IF($N636="","",IF(INDEX('Per Invoice'!$E$2:$E$801,$N636)="","",INDEX('Per Invoice'!$E$2:$E$801,$N636)))</f>
        <v/>
      </c>
      <c r="F636">
        <f>IF($N636="","",IF(INDEX('Per Invoice'!$F$2:$F$801,$N636)="","",INDEX('Per Invoice'!$F$2:$F$801,$N636)))</f>
        <v/>
      </c>
      <c r="G636">
        <f>IF($N636="","",IF(INDEX('Per Invoice'!$G$2:$G$801,$N636)="","",INDEX('Per Invoice'!$G$2:$G$801,$N636)))</f>
        <v/>
      </c>
      <c r="H636">
        <f>IF($N636="","",IF(INDEX('Per Invoice'!$H$2:$H$801,$N636)="","",INDEX('Per Invoice'!$H$2:$H$801,$N636)))</f>
        <v/>
      </c>
      <c r="I636" s="5">
        <f>IF($N636="","",IF(INDEX('Per Invoice'!$I$2:$I$801,$N636)="","",INDEX('Per Invoice'!$I$2:$I$801,$N636)))</f>
        <v/>
      </c>
      <c r="J636" s="5">
        <f>IF($N636="","",IF(INDEX('Per Invoice'!$J$2:$J$801,$N636)="","",INDEX('Per Invoice'!$J$2:$J$801,$N636)))</f>
        <v/>
      </c>
      <c r="K636" s="5">
        <f>IF($N636="","",IF(INDEX('Per Invoice'!$K$2:$K$801,$N636)="","",INDEX('Per Invoice'!$K$2:$K$801,$N636)))</f>
        <v/>
      </c>
      <c r="L636" s="5">
        <f>IF($N636="","",IF(INDEX('Per Invoice'!$L$2:$L$801,$N636)="","",INDEX('Per Invoice'!$L$2:$L$801,$N636)))</f>
        <v/>
      </c>
      <c r="M636" s="5">
        <f>IF($N636="","",IF(INDEX('Per Invoice'!$M$2:$M$801,$N636)="","",INDEX('Per Invoice'!$M$2:$M$801,$N636)))</f>
        <v/>
      </c>
      <c r="N636">
        <f>IF(ROWS($N$2:$N636)&lt;=COUNT('Per Invoice'!$O$2:$O$801),MATCH(ROWS($N$2:$N636),'Per Invoice'!$O$2:$O$801,0),"")</f>
        <v/>
      </c>
    </row>
    <row r="637">
      <c r="A637">
        <f>IF($N637="","",IF(INDEX('Per Invoice'!$A$2:$A$801,$N637)="","",INDEX('Per Invoice'!$A$2:$A$801,$N637)))</f>
        <v/>
      </c>
      <c r="B637">
        <f>IF($N637="","",IF(INDEX('Per Invoice'!$B$2:$B$801,$N637)="","",INDEX('Per Invoice'!$B$2:$B$801,$N637)))</f>
        <v/>
      </c>
      <c r="C637">
        <f>IF($N637="","",IF(INDEX('Per Invoice'!$C$2:$C$801,$N637)="","",INDEX('Per Invoice'!$C$2:$C$801,$N637)))</f>
        <v/>
      </c>
      <c r="D637">
        <f>IF($N637="","",IF(INDEX('Per Invoice'!$D$2:$D$801,$N637)="","",INDEX('Per Invoice'!$D$2:$D$801,$N637)))</f>
        <v/>
      </c>
      <c r="E637">
        <f>IF($N637="","",IF(INDEX('Per Invoice'!$E$2:$E$801,$N637)="","",INDEX('Per Invoice'!$E$2:$E$801,$N637)))</f>
        <v/>
      </c>
      <c r="F637">
        <f>IF($N637="","",IF(INDEX('Per Invoice'!$F$2:$F$801,$N637)="","",INDEX('Per Invoice'!$F$2:$F$801,$N637)))</f>
        <v/>
      </c>
      <c r="G637">
        <f>IF($N637="","",IF(INDEX('Per Invoice'!$G$2:$G$801,$N637)="","",INDEX('Per Invoice'!$G$2:$G$801,$N637)))</f>
        <v/>
      </c>
      <c r="H637">
        <f>IF($N637="","",IF(INDEX('Per Invoice'!$H$2:$H$801,$N637)="","",INDEX('Per Invoice'!$H$2:$H$801,$N637)))</f>
        <v/>
      </c>
      <c r="I637" s="5">
        <f>IF($N637="","",IF(INDEX('Per Invoice'!$I$2:$I$801,$N637)="","",INDEX('Per Invoice'!$I$2:$I$801,$N637)))</f>
        <v/>
      </c>
      <c r="J637" s="5">
        <f>IF($N637="","",IF(INDEX('Per Invoice'!$J$2:$J$801,$N637)="","",INDEX('Per Invoice'!$J$2:$J$801,$N637)))</f>
        <v/>
      </c>
      <c r="K637" s="5">
        <f>IF($N637="","",IF(INDEX('Per Invoice'!$K$2:$K$801,$N637)="","",INDEX('Per Invoice'!$K$2:$K$801,$N637)))</f>
        <v/>
      </c>
      <c r="L637" s="5">
        <f>IF($N637="","",IF(INDEX('Per Invoice'!$L$2:$L$801,$N637)="","",INDEX('Per Invoice'!$L$2:$L$801,$N637)))</f>
        <v/>
      </c>
      <c r="M637" s="5">
        <f>IF($N637="","",IF(INDEX('Per Invoice'!$M$2:$M$801,$N637)="","",INDEX('Per Invoice'!$M$2:$M$801,$N637)))</f>
        <v/>
      </c>
      <c r="N637">
        <f>IF(ROWS($N$2:$N637)&lt;=COUNT('Per Invoice'!$O$2:$O$801),MATCH(ROWS($N$2:$N637),'Per Invoice'!$O$2:$O$801,0),"")</f>
        <v/>
      </c>
    </row>
    <row r="638">
      <c r="A638">
        <f>IF($N638="","",IF(INDEX('Per Invoice'!$A$2:$A$801,$N638)="","",INDEX('Per Invoice'!$A$2:$A$801,$N638)))</f>
        <v/>
      </c>
      <c r="B638">
        <f>IF($N638="","",IF(INDEX('Per Invoice'!$B$2:$B$801,$N638)="","",INDEX('Per Invoice'!$B$2:$B$801,$N638)))</f>
        <v/>
      </c>
      <c r="C638">
        <f>IF($N638="","",IF(INDEX('Per Invoice'!$C$2:$C$801,$N638)="","",INDEX('Per Invoice'!$C$2:$C$801,$N638)))</f>
        <v/>
      </c>
      <c r="D638">
        <f>IF($N638="","",IF(INDEX('Per Invoice'!$D$2:$D$801,$N638)="","",INDEX('Per Invoice'!$D$2:$D$801,$N638)))</f>
        <v/>
      </c>
      <c r="E638">
        <f>IF($N638="","",IF(INDEX('Per Invoice'!$E$2:$E$801,$N638)="","",INDEX('Per Invoice'!$E$2:$E$801,$N638)))</f>
        <v/>
      </c>
      <c r="F638">
        <f>IF($N638="","",IF(INDEX('Per Invoice'!$F$2:$F$801,$N638)="","",INDEX('Per Invoice'!$F$2:$F$801,$N638)))</f>
        <v/>
      </c>
      <c r="G638">
        <f>IF($N638="","",IF(INDEX('Per Invoice'!$G$2:$G$801,$N638)="","",INDEX('Per Invoice'!$G$2:$G$801,$N638)))</f>
        <v/>
      </c>
      <c r="H638">
        <f>IF($N638="","",IF(INDEX('Per Invoice'!$H$2:$H$801,$N638)="","",INDEX('Per Invoice'!$H$2:$H$801,$N638)))</f>
        <v/>
      </c>
      <c r="I638" s="5">
        <f>IF($N638="","",IF(INDEX('Per Invoice'!$I$2:$I$801,$N638)="","",INDEX('Per Invoice'!$I$2:$I$801,$N638)))</f>
        <v/>
      </c>
      <c r="J638" s="5">
        <f>IF($N638="","",IF(INDEX('Per Invoice'!$J$2:$J$801,$N638)="","",INDEX('Per Invoice'!$J$2:$J$801,$N638)))</f>
        <v/>
      </c>
      <c r="K638" s="5">
        <f>IF($N638="","",IF(INDEX('Per Invoice'!$K$2:$K$801,$N638)="","",INDEX('Per Invoice'!$K$2:$K$801,$N638)))</f>
        <v/>
      </c>
      <c r="L638" s="5">
        <f>IF($N638="","",IF(INDEX('Per Invoice'!$L$2:$L$801,$N638)="","",INDEX('Per Invoice'!$L$2:$L$801,$N638)))</f>
        <v/>
      </c>
      <c r="M638" s="5">
        <f>IF($N638="","",IF(INDEX('Per Invoice'!$M$2:$M$801,$N638)="","",INDEX('Per Invoice'!$M$2:$M$801,$N638)))</f>
        <v/>
      </c>
      <c r="N638">
        <f>IF(ROWS($N$2:$N638)&lt;=COUNT('Per Invoice'!$O$2:$O$801),MATCH(ROWS($N$2:$N638),'Per Invoice'!$O$2:$O$801,0),"")</f>
        <v/>
      </c>
    </row>
    <row r="639">
      <c r="A639">
        <f>IF($N639="","",IF(INDEX('Per Invoice'!$A$2:$A$801,$N639)="","",INDEX('Per Invoice'!$A$2:$A$801,$N639)))</f>
        <v/>
      </c>
      <c r="B639">
        <f>IF($N639="","",IF(INDEX('Per Invoice'!$B$2:$B$801,$N639)="","",INDEX('Per Invoice'!$B$2:$B$801,$N639)))</f>
        <v/>
      </c>
      <c r="C639">
        <f>IF($N639="","",IF(INDEX('Per Invoice'!$C$2:$C$801,$N639)="","",INDEX('Per Invoice'!$C$2:$C$801,$N639)))</f>
        <v/>
      </c>
      <c r="D639">
        <f>IF($N639="","",IF(INDEX('Per Invoice'!$D$2:$D$801,$N639)="","",INDEX('Per Invoice'!$D$2:$D$801,$N639)))</f>
        <v/>
      </c>
      <c r="E639">
        <f>IF($N639="","",IF(INDEX('Per Invoice'!$E$2:$E$801,$N639)="","",INDEX('Per Invoice'!$E$2:$E$801,$N639)))</f>
        <v/>
      </c>
      <c r="F639">
        <f>IF($N639="","",IF(INDEX('Per Invoice'!$F$2:$F$801,$N639)="","",INDEX('Per Invoice'!$F$2:$F$801,$N639)))</f>
        <v/>
      </c>
      <c r="G639">
        <f>IF($N639="","",IF(INDEX('Per Invoice'!$G$2:$G$801,$N639)="","",INDEX('Per Invoice'!$G$2:$G$801,$N639)))</f>
        <v/>
      </c>
      <c r="H639">
        <f>IF($N639="","",IF(INDEX('Per Invoice'!$H$2:$H$801,$N639)="","",INDEX('Per Invoice'!$H$2:$H$801,$N639)))</f>
        <v/>
      </c>
      <c r="I639" s="5">
        <f>IF($N639="","",IF(INDEX('Per Invoice'!$I$2:$I$801,$N639)="","",INDEX('Per Invoice'!$I$2:$I$801,$N639)))</f>
        <v/>
      </c>
      <c r="J639" s="5">
        <f>IF($N639="","",IF(INDEX('Per Invoice'!$J$2:$J$801,$N639)="","",INDEX('Per Invoice'!$J$2:$J$801,$N639)))</f>
        <v/>
      </c>
      <c r="K639" s="5">
        <f>IF($N639="","",IF(INDEX('Per Invoice'!$K$2:$K$801,$N639)="","",INDEX('Per Invoice'!$K$2:$K$801,$N639)))</f>
        <v/>
      </c>
      <c r="L639" s="5">
        <f>IF($N639="","",IF(INDEX('Per Invoice'!$L$2:$L$801,$N639)="","",INDEX('Per Invoice'!$L$2:$L$801,$N639)))</f>
        <v/>
      </c>
      <c r="M639" s="5">
        <f>IF($N639="","",IF(INDEX('Per Invoice'!$M$2:$M$801,$N639)="","",INDEX('Per Invoice'!$M$2:$M$801,$N639)))</f>
        <v/>
      </c>
      <c r="N639">
        <f>IF(ROWS($N$2:$N639)&lt;=COUNT('Per Invoice'!$O$2:$O$801),MATCH(ROWS($N$2:$N639),'Per Invoice'!$O$2:$O$801,0),"")</f>
        <v/>
      </c>
    </row>
    <row r="640">
      <c r="A640">
        <f>IF($N640="","",IF(INDEX('Per Invoice'!$A$2:$A$801,$N640)="","",INDEX('Per Invoice'!$A$2:$A$801,$N640)))</f>
        <v/>
      </c>
      <c r="B640">
        <f>IF($N640="","",IF(INDEX('Per Invoice'!$B$2:$B$801,$N640)="","",INDEX('Per Invoice'!$B$2:$B$801,$N640)))</f>
        <v/>
      </c>
      <c r="C640">
        <f>IF($N640="","",IF(INDEX('Per Invoice'!$C$2:$C$801,$N640)="","",INDEX('Per Invoice'!$C$2:$C$801,$N640)))</f>
        <v/>
      </c>
      <c r="D640">
        <f>IF($N640="","",IF(INDEX('Per Invoice'!$D$2:$D$801,$N640)="","",INDEX('Per Invoice'!$D$2:$D$801,$N640)))</f>
        <v/>
      </c>
      <c r="E640">
        <f>IF($N640="","",IF(INDEX('Per Invoice'!$E$2:$E$801,$N640)="","",INDEX('Per Invoice'!$E$2:$E$801,$N640)))</f>
        <v/>
      </c>
      <c r="F640">
        <f>IF($N640="","",IF(INDEX('Per Invoice'!$F$2:$F$801,$N640)="","",INDEX('Per Invoice'!$F$2:$F$801,$N640)))</f>
        <v/>
      </c>
      <c r="G640">
        <f>IF($N640="","",IF(INDEX('Per Invoice'!$G$2:$G$801,$N640)="","",INDEX('Per Invoice'!$G$2:$G$801,$N640)))</f>
        <v/>
      </c>
      <c r="H640">
        <f>IF($N640="","",IF(INDEX('Per Invoice'!$H$2:$H$801,$N640)="","",INDEX('Per Invoice'!$H$2:$H$801,$N640)))</f>
        <v/>
      </c>
      <c r="I640" s="5">
        <f>IF($N640="","",IF(INDEX('Per Invoice'!$I$2:$I$801,$N640)="","",INDEX('Per Invoice'!$I$2:$I$801,$N640)))</f>
        <v/>
      </c>
      <c r="J640" s="5">
        <f>IF($N640="","",IF(INDEX('Per Invoice'!$J$2:$J$801,$N640)="","",INDEX('Per Invoice'!$J$2:$J$801,$N640)))</f>
        <v/>
      </c>
      <c r="K640" s="5">
        <f>IF($N640="","",IF(INDEX('Per Invoice'!$K$2:$K$801,$N640)="","",INDEX('Per Invoice'!$K$2:$K$801,$N640)))</f>
        <v/>
      </c>
      <c r="L640" s="5">
        <f>IF($N640="","",IF(INDEX('Per Invoice'!$L$2:$L$801,$N640)="","",INDEX('Per Invoice'!$L$2:$L$801,$N640)))</f>
        <v/>
      </c>
      <c r="M640" s="5">
        <f>IF($N640="","",IF(INDEX('Per Invoice'!$M$2:$M$801,$N640)="","",INDEX('Per Invoice'!$M$2:$M$801,$N640)))</f>
        <v/>
      </c>
      <c r="N640">
        <f>IF(ROWS($N$2:$N640)&lt;=COUNT('Per Invoice'!$O$2:$O$801),MATCH(ROWS($N$2:$N640),'Per Invoice'!$O$2:$O$801,0),"")</f>
        <v/>
      </c>
    </row>
    <row r="641">
      <c r="A641">
        <f>IF($N641="","",IF(INDEX('Per Invoice'!$A$2:$A$801,$N641)="","",INDEX('Per Invoice'!$A$2:$A$801,$N641)))</f>
        <v/>
      </c>
      <c r="B641">
        <f>IF($N641="","",IF(INDEX('Per Invoice'!$B$2:$B$801,$N641)="","",INDEX('Per Invoice'!$B$2:$B$801,$N641)))</f>
        <v/>
      </c>
      <c r="C641">
        <f>IF($N641="","",IF(INDEX('Per Invoice'!$C$2:$C$801,$N641)="","",INDEX('Per Invoice'!$C$2:$C$801,$N641)))</f>
        <v/>
      </c>
      <c r="D641">
        <f>IF($N641="","",IF(INDEX('Per Invoice'!$D$2:$D$801,$N641)="","",INDEX('Per Invoice'!$D$2:$D$801,$N641)))</f>
        <v/>
      </c>
      <c r="E641">
        <f>IF($N641="","",IF(INDEX('Per Invoice'!$E$2:$E$801,$N641)="","",INDEX('Per Invoice'!$E$2:$E$801,$N641)))</f>
        <v/>
      </c>
      <c r="F641">
        <f>IF($N641="","",IF(INDEX('Per Invoice'!$F$2:$F$801,$N641)="","",INDEX('Per Invoice'!$F$2:$F$801,$N641)))</f>
        <v/>
      </c>
      <c r="G641">
        <f>IF($N641="","",IF(INDEX('Per Invoice'!$G$2:$G$801,$N641)="","",INDEX('Per Invoice'!$G$2:$G$801,$N641)))</f>
        <v/>
      </c>
      <c r="H641">
        <f>IF($N641="","",IF(INDEX('Per Invoice'!$H$2:$H$801,$N641)="","",INDEX('Per Invoice'!$H$2:$H$801,$N641)))</f>
        <v/>
      </c>
      <c r="I641" s="5">
        <f>IF($N641="","",IF(INDEX('Per Invoice'!$I$2:$I$801,$N641)="","",INDEX('Per Invoice'!$I$2:$I$801,$N641)))</f>
        <v/>
      </c>
      <c r="J641" s="5">
        <f>IF($N641="","",IF(INDEX('Per Invoice'!$J$2:$J$801,$N641)="","",INDEX('Per Invoice'!$J$2:$J$801,$N641)))</f>
        <v/>
      </c>
      <c r="K641" s="5">
        <f>IF($N641="","",IF(INDEX('Per Invoice'!$K$2:$K$801,$N641)="","",INDEX('Per Invoice'!$K$2:$K$801,$N641)))</f>
        <v/>
      </c>
      <c r="L641" s="5">
        <f>IF($N641="","",IF(INDEX('Per Invoice'!$L$2:$L$801,$N641)="","",INDEX('Per Invoice'!$L$2:$L$801,$N641)))</f>
        <v/>
      </c>
      <c r="M641" s="5">
        <f>IF($N641="","",IF(INDEX('Per Invoice'!$M$2:$M$801,$N641)="","",INDEX('Per Invoice'!$M$2:$M$801,$N641)))</f>
        <v/>
      </c>
      <c r="N641">
        <f>IF(ROWS($N$2:$N641)&lt;=COUNT('Per Invoice'!$O$2:$O$801),MATCH(ROWS($N$2:$N641),'Per Invoice'!$O$2:$O$801,0),"")</f>
        <v/>
      </c>
    </row>
    <row r="642">
      <c r="A642">
        <f>IF($N642="","",IF(INDEX('Per Invoice'!$A$2:$A$801,$N642)="","",INDEX('Per Invoice'!$A$2:$A$801,$N642)))</f>
        <v/>
      </c>
      <c r="B642">
        <f>IF($N642="","",IF(INDEX('Per Invoice'!$B$2:$B$801,$N642)="","",INDEX('Per Invoice'!$B$2:$B$801,$N642)))</f>
        <v/>
      </c>
      <c r="C642">
        <f>IF($N642="","",IF(INDEX('Per Invoice'!$C$2:$C$801,$N642)="","",INDEX('Per Invoice'!$C$2:$C$801,$N642)))</f>
        <v/>
      </c>
      <c r="D642">
        <f>IF($N642="","",IF(INDEX('Per Invoice'!$D$2:$D$801,$N642)="","",INDEX('Per Invoice'!$D$2:$D$801,$N642)))</f>
        <v/>
      </c>
      <c r="E642">
        <f>IF($N642="","",IF(INDEX('Per Invoice'!$E$2:$E$801,$N642)="","",INDEX('Per Invoice'!$E$2:$E$801,$N642)))</f>
        <v/>
      </c>
      <c r="F642">
        <f>IF($N642="","",IF(INDEX('Per Invoice'!$F$2:$F$801,$N642)="","",INDEX('Per Invoice'!$F$2:$F$801,$N642)))</f>
        <v/>
      </c>
      <c r="G642">
        <f>IF($N642="","",IF(INDEX('Per Invoice'!$G$2:$G$801,$N642)="","",INDEX('Per Invoice'!$G$2:$G$801,$N642)))</f>
        <v/>
      </c>
      <c r="H642">
        <f>IF($N642="","",IF(INDEX('Per Invoice'!$H$2:$H$801,$N642)="","",INDEX('Per Invoice'!$H$2:$H$801,$N642)))</f>
        <v/>
      </c>
      <c r="I642" s="5">
        <f>IF($N642="","",IF(INDEX('Per Invoice'!$I$2:$I$801,$N642)="","",INDEX('Per Invoice'!$I$2:$I$801,$N642)))</f>
        <v/>
      </c>
      <c r="J642" s="5">
        <f>IF($N642="","",IF(INDEX('Per Invoice'!$J$2:$J$801,$N642)="","",INDEX('Per Invoice'!$J$2:$J$801,$N642)))</f>
        <v/>
      </c>
      <c r="K642" s="5">
        <f>IF($N642="","",IF(INDEX('Per Invoice'!$K$2:$K$801,$N642)="","",INDEX('Per Invoice'!$K$2:$K$801,$N642)))</f>
        <v/>
      </c>
      <c r="L642" s="5">
        <f>IF($N642="","",IF(INDEX('Per Invoice'!$L$2:$L$801,$N642)="","",INDEX('Per Invoice'!$L$2:$L$801,$N642)))</f>
        <v/>
      </c>
      <c r="M642" s="5">
        <f>IF($N642="","",IF(INDEX('Per Invoice'!$M$2:$M$801,$N642)="","",INDEX('Per Invoice'!$M$2:$M$801,$N642)))</f>
        <v/>
      </c>
      <c r="N642">
        <f>IF(ROWS($N$2:$N642)&lt;=COUNT('Per Invoice'!$O$2:$O$801),MATCH(ROWS($N$2:$N642),'Per Invoice'!$O$2:$O$801,0),"")</f>
        <v/>
      </c>
    </row>
    <row r="643">
      <c r="A643">
        <f>IF($N643="","",IF(INDEX('Per Invoice'!$A$2:$A$801,$N643)="","",INDEX('Per Invoice'!$A$2:$A$801,$N643)))</f>
        <v/>
      </c>
      <c r="B643">
        <f>IF($N643="","",IF(INDEX('Per Invoice'!$B$2:$B$801,$N643)="","",INDEX('Per Invoice'!$B$2:$B$801,$N643)))</f>
        <v/>
      </c>
      <c r="C643">
        <f>IF($N643="","",IF(INDEX('Per Invoice'!$C$2:$C$801,$N643)="","",INDEX('Per Invoice'!$C$2:$C$801,$N643)))</f>
        <v/>
      </c>
      <c r="D643">
        <f>IF($N643="","",IF(INDEX('Per Invoice'!$D$2:$D$801,$N643)="","",INDEX('Per Invoice'!$D$2:$D$801,$N643)))</f>
        <v/>
      </c>
      <c r="E643">
        <f>IF($N643="","",IF(INDEX('Per Invoice'!$E$2:$E$801,$N643)="","",INDEX('Per Invoice'!$E$2:$E$801,$N643)))</f>
        <v/>
      </c>
      <c r="F643">
        <f>IF($N643="","",IF(INDEX('Per Invoice'!$F$2:$F$801,$N643)="","",INDEX('Per Invoice'!$F$2:$F$801,$N643)))</f>
        <v/>
      </c>
      <c r="G643">
        <f>IF($N643="","",IF(INDEX('Per Invoice'!$G$2:$G$801,$N643)="","",INDEX('Per Invoice'!$G$2:$G$801,$N643)))</f>
        <v/>
      </c>
      <c r="H643">
        <f>IF($N643="","",IF(INDEX('Per Invoice'!$H$2:$H$801,$N643)="","",INDEX('Per Invoice'!$H$2:$H$801,$N643)))</f>
        <v/>
      </c>
      <c r="I643" s="5">
        <f>IF($N643="","",IF(INDEX('Per Invoice'!$I$2:$I$801,$N643)="","",INDEX('Per Invoice'!$I$2:$I$801,$N643)))</f>
        <v/>
      </c>
      <c r="J643" s="5">
        <f>IF($N643="","",IF(INDEX('Per Invoice'!$J$2:$J$801,$N643)="","",INDEX('Per Invoice'!$J$2:$J$801,$N643)))</f>
        <v/>
      </c>
      <c r="K643" s="5">
        <f>IF($N643="","",IF(INDEX('Per Invoice'!$K$2:$K$801,$N643)="","",INDEX('Per Invoice'!$K$2:$K$801,$N643)))</f>
        <v/>
      </c>
      <c r="L643" s="5">
        <f>IF($N643="","",IF(INDEX('Per Invoice'!$L$2:$L$801,$N643)="","",INDEX('Per Invoice'!$L$2:$L$801,$N643)))</f>
        <v/>
      </c>
      <c r="M643" s="5">
        <f>IF($N643="","",IF(INDEX('Per Invoice'!$M$2:$M$801,$N643)="","",INDEX('Per Invoice'!$M$2:$M$801,$N643)))</f>
        <v/>
      </c>
      <c r="N643">
        <f>IF(ROWS($N$2:$N643)&lt;=COUNT('Per Invoice'!$O$2:$O$801),MATCH(ROWS($N$2:$N643),'Per Invoice'!$O$2:$O$801,0),"")</f>
        <v/>
      </c>
    </row>
    <row r="644">
      <c r="A644">
        <f>IF($N644="","",IF(INDEX('Per Invoice'!$A$2:$A$801,$N644)="","",INDEX('Per Invoice'!$A$2:$A$801,$N644)))</f>
        <v/>
      </c>
      <c r="B644">
        <f>IF($N644="","",IF(INDEX('Per Invoice'!$B$2:$B$801,$N644)="","",INDEX('Per Invoice'!$B$2:$B$801,$N644)))</f>
        <v/>
      </c>
      <c r="C644">
        <f>IF($N644="","",IF(INDEX('Per Invoice'!$C$2:$C$801,$N644)="","",INDEX('Per Invoice'!$C$2:$C$801,$N644)))</f>
        <v/>
      </c>
      <c r="D644">
        <f>IF($N644="","",IF(INDEX('Per Invoice'!$D$2:$D$801,$N644)="","",INDEX('Per Invoice'!$D$2:$D$801,$N644)))</f>
        <v/>
      </c>
      <c r="E644">
        <f>IF($N644="","",IF(INDEX('Per Invoice'!$E$2:$E$801,$N644)="","",INDEX('Per Invoice'!$E$2:$E$801,$N644)))</f>
        <v/>
      </c>
      <c r="F644">
        <f>IF($N644="","",IF(INDEX('Per Invoice'!$F$2:$F$801,$N644)="","",INDEX('Per Invoice'!$F$2:$F$801,$N644)))</f>
        <v/>
      </c>
      <c r="G644">
        <f>IF($N644="","",IF(INDEX('Per Invoice'!$G$2:$G$801,$N644)="","",INDEX('Per Invoice'!$G$2:$G$801,$N644)))</f>
        <v/>
      </c>
      <c r="H644">
        <f>IF($N644="","",IF(INDEX('Per Invoice'!$H$2:$H$801,$N644)="","",INDEX('Per Invoice'!$H$2:$H$801,$N644)))</f>
        <v/>
      </c>
      <c r="I644" s="5">
        <f>IF($N644="","",IF(INDEX('Per Invoice'!$I$2:$I$801,$N644)="","",INDEX('Per Invoice'!$I$2:$I$801,$N644)))</f>
        <v/>
      </c>
      <c r="J644" s="5">
        <f>IF($N644="","",IF(INDEX('Per Invoice'!$J$2:$J$801,$N644)="","",INDEX('Per Invoice'!$J$2:$J$801,$N644)))</f>
        <v/>
      </c>
      <c r="K644" s="5">
        <f>IF($N644="","",IF(INDEX('Per Invoice'!$K$2:$K$801,$N644)="","",INDEX('Per Invoice'!$K$2:$K$801,$N644)))</f>
        <v/>
      </c>
      <c r="L644" s="5">
        <f>IF($N644="","",IF(INDEX('Per Invoice'!$L$2:$L$801,$N644)="","",INDEX('Per Invoice'!$L$2:$L$801,$N644)))</f>
        <v/>
      </c>
      <c r="M644" s="5">
        <f>IF($N644="","",IF(INDEX('Per Invoice'!$M$2:$M$801,$N644)="","",INDEX('Per Invoice'!$M$2:$M$801,$N644)))</f>
        <v/>
      </c>
      <c r="N644">
        <f>IF(ROWS($N$2:$N644)&lt;=COUNT('Per Invoice'!$O$2:$O$801),MATCH(ROWS($N$2:$N644),'Per Invoice'!$O$2:$O$801,0),"")</f>
        <v/>
      </c>
    </row>
    <row r="645">
      <c r="A645">
        <f>IF($N645="","",IF(INDEX('Per Invoice'!$A$2:$A$801,$N645)="","",INDEX('Per Invoice'!$A$2:$A$801,$N645)))</f>
        <v/>
      </c>
      <c r="B645">
        <f>IF($N645="","",IF(INDEX('Per Invoice'!$B$2:$B$801,$N645)="","",INDEX('Per Invoice'!$B$2:$B$801,$N645)))</f>
        <v/>
      </c>
      <c r="C645">
        <f>IF($N645="","",IF(INDEX('Per Invoice'!$C$2:$C$801,$N645)="","",INDEX('Per Invoice'!$C$2:$C$801,$N645)))</f>
        <v/>
      </c>
      <c r="D645">
        <f>IF($N645="","",IF(INDEX('Per Invoice'!$D$2:$D$801,$N645)="","",INDEX('Per Invoice'!$D$2:$D$801,$N645)))</f>
        <v/>
      </c>
      <c r="E645">
        <f>IF($N645="","",IF(INDEX('Per Invoice'!$E$2:$E$801,$N645)="","",INDEX('Per Invoice'!$E$2:$E$801,$N645)))</f>
        <v/>
      </c>
      <c r="F645">
        <f>IF($N645="","",IF(INDEX('Per Invoice'!$F$2:$F$801,$N645)="","",INDEX('Per Invoice'!$F$2:$F$801,$N645)))</f>
        <v/>
      </c>
      <c r="G645">
        <f>IF($N645="","",IF(INDEX('Per Invoice'!$G$2:$G$801,$N645)="","",INDEX('Per Invoice'!$G$2:$G$801,$N645)))</f>
        <v/>
      </c>
      <c r="H645">
        <f>IF($N645="","",IF(INDEX('Per Invoice'!$H$2:$H$801,$N645)="","",INDEX('Per Invoice'!$H$2:$H$801,$N645)))</f>
        <v/>
      </c>
      <c r="I645" s="5">
        <f>IF($N645="","",IF(INDEX('Per Invoice'!$I$2:$I$801,$N645)="","",INDEX('Per Invoice'!$I$2:$I$801,$N645)))</f>
        <v/>
      </c>
      <c r="J645" s="5">
        <f>IF($N645="","",IF(INDEX('Per Invoice'!$J$2:$J$801,$N645)="","",INDEX('Per Invoice'!$J$2:$J$801,$N645)))</f>
        <v/>
      </c>
      <c r="K645" s="5">
        <f>IF($N645="","",IF(INDEX('Per Invoice'!$K$2:$K$801,$N645)="","",INDEX('Per Invoice'!$K$2:$K$801,$N645)))</f>
        <v/>
      </c>
      <c r="L645" s="5">
        <f>IF($N645="","",IF(INDEX('Per Invoice'!$L$2:$L$801,$N645)="","",INDEX('Per Invoice'!$L$2:$L$801,$N645)))</f>
        <v/>
      </c>
      <c r="M645" s="5">
        <f>IF($N645="","",IF(INDEX('Per Invoice'!$M$2:$M$801,$N645)="","",INDEX('Per Invoice'!$M$2:$M$801,$N645)))</f>
        <v/>
      </c>
      <c r="N645">
        <f>IF(ROWS($N$2:$N645)&lt;=COUNT('Per Invoice'!$O$2:$O$801),MATCH(ROWS($N$2:$N645),'Per Invoice'!$O$2:$O$801,0),"")</f>
        <v/>
      </c>
    </row>
    <row r="646">
      <c r="A646">
        <f>IF($N646="","",IF(INDEX('Per Invoice'!$A$2:$A$801,$N646)="","",INDEX('Per Invoice'!$A$2:$A$801,$N646)))</f>
        <v/>
      </c>
      <c r="B646">
        <f>IF($N646="","",IF(INDEX('Per Invoice'!$B$2:$B$801,$N646)="","",INDEX('Per Invoice'!$B$2:$B$801,$N646)))</f>
        <v/>
      </c>
      <c r="C646">
        <f>IF($N646="","",IF(INDEX('Per Invoice'!$C$2:$C$801,$N646)="","",INDEX('Per Invoice'!$C$2:$C$801,$N646)))</f>
        <v/>
      </c>
      <c r="D646">
        <f>IF($N646="","",IF(INDEX('Per Invoice'!$D$2:$D$801,$N646)="","",INDEX('Per Invoice'!$D$2:$D$801,$N646)))</f>
        <v/>
      </c>
      <c r="E646">
        <f>IF($N646="","",IF(INDEX('Per Invoice'!$E$2:$E$801,$N646)="","",INDEX('Per Invoice'!$E$2:$E$801,$N646)))</f>
        <v/>
      </c>
      <c r="F646">
        <f>IF($N646="","",IF(INDEX('Per Invoice'!$F$2:$F$801,$N646)="","",INDEX('Per Invoice'!$F$2:$F$801,$N646)))</f>
        <v/>
      </c>
      <c r="G646">
        <f>IF($N646="","",IF(INDEX('Per Invoice'!$G$2:$G$801,$N646)="","",INDEX('Per Invoice'!$G$2:$G$801,$N646)))</f>
        <v/>
      </c>
      <c r="H646">
        <f>IF($N646="","",IF(INDEX('Per Invoice'!$H$2:$H$801,$N646)="","",INDEX('Per Invoice'!$H$2:$H$801,$N646)))</f>
        <v/>
      </c>
      <c r="I646" s="5">
        <f>IF($N646="","",IF(INDEX('Per Invoice'!$I$2:$I$801,$N646)="","",INDEX('Per Invoice'!$I$2:$I$801,$N646)))</f>
        <v/>
      </c>
      <c r="J646" s="5">
        <f>IF($N646="","",IF(INDEX('Per Invoice'!$J$2:$J$801,$N646)="","",INDEX('Per Invoice'!$J$2:$J$801,$N646)))</f>
        <v/>
      </c>
      <c r="K646" s="5">
        <f>IF($N646="","",IF(INDEX('Per Invoice'!$K$2:$K$801,$N646)="","",INDEX('Per Invoice'!$K$2:$K$801,$N646)))</f>
        <v/>
      </c>
      <c r="L646" s="5">
        <f>IF($N646="","",IF(INDEX('Per Invoice'!$L$2:$L$801,$N646)="","",INDEX('Per Invoice'!$L$2:$L$801,$N646)))</f>
        <v/>
      </c>
      <c r="M646" s="5">
        <f>IF($N646="","",IF(INDEX('Per Invoice'!$M$2:$M$801,$N646)="","",INDEX('Per Invoice'!$M$2:$M$801,$N646)))</f>
        <v/>
      </c>
      <c r="N646">
        <f>IF(ROWS($N$2:$N646)&lt;=COUNT('Per Invoice'!$O$2:$O$801),MATCH(ROWS($N$2:$N646),'Per Invoice'!$O$2:$O$801,0),"")</f>
        <v/>
      </c>
    </row>
    <row r="647">
      <c r="A647">
        <f>IF($N647="","",IF(INDEX('Per Invoice'!$A$2:$A$801,$N647)="","",INDEX('Per Invoice'!$A$2:$A$801,$N647)))</f>
        <v/>
      </c>
      <c r="B647">
        <f>IF($N647="","",IF(INDEX('Per Invoice'!$B$2:$B$801,$N647)="","",INDEX('Per Invoice'!$B$2:$B$801,$N647)))</f>
        <v/>
      </c>
      <c r="C647">
        <f>IF($N647="","",IF(INDEX('Per Invoice'!$C$2:$C$801,$N647)="","",INDEX('Per Invoice'!$C$2:$C$801,$N647)))</f>
        <v/>
      </c>
      <c r="D647">
        <f>IF($N647="","",IF(INDEX('Per Invoice'!$D$2:$D$801,$N647)="","",INDEX('Per Invoice'!$D$2:$D$801,$N647)))</f>
        <v/>
      </c>
      <c r="E647">
        <f>IF($N647="","",IF(INDEX('Per Invoice'!$E$2:$E$801,$N647)="","",INDEX('Per Invoice'!$E$2:$E$801,$N647)))</f>
        <v/>
      </c>
      <c r="F647">
        <f>IF($N647="","",IF(INDEX('Per Invoice'!$F$2:$F$801,$N647)="","",INDEX('Per Invoice'!$F$2:$F$801,$N647)))</f>
        <v/>
      </c>
      <c r="G647">
        <f>IF($N647="","",IF(INDEX('Per Invoice'!$G$2:$G$801,$N647)="","",INDEX('Per Invoice'!$G$2:$G$801,$N647)))</f>
        <v/>
      </c>
      <c r="H647">
        <f>IF($N647="","",IF(INDEX('Per Invoice'!$H$2:$H$801,$N647)="","",INDEX('Per Invoice'!$H$2:$H$801,$N647)))</f>
        <v/>
      </c>
      <c r="I647" s="5">
        <f>IF($N647="","",IF(INDEX('Per Invoice'!$I$2:$I$801,$N647)="","",INDEX('Per Invoice'!$I$2:$I$801,$N647)))</f>
        <v/>
      </c>
      <c r="J647" s="5">
        <f>IF($N647="","",IF(INDEX('Per Invoice'!$J$2:$J$801,$N647)="","",INDEX('Per Invoice'!$J$2:$J$801,$N647)))</f>
        <v/>
      </c>
      <c r="K647" s="5">
        <f>IF($N647="","",IF(INDEX('Per Invoice'!$K$2:$K$801,$N647)="","",INDEX('Per Invoice'!$K$2:$K$801,$N647)))</f>
        <v/>
      </c>
      <c r="L647" s="5">
        <f>IF($N647="","",IF(INDEX('Per Invoice'!$L$2:$L$801,$N647)="","",INDEX('Per Invoice'!$L$2:$L$801,$N647)))</f>
        <v/>
      </c>
      <c r="M647" s="5">
        <f>IF($N647="","",IF(INDEX('Per Invoice'!$M$2:$M$801,$N647)="","",INDEX('Per Invoice'!$M$2:$M$801,$N647)))</f>
        <v/>
      </c>
      <c r="N647">
        <f>IF(ROWS($N$2:$N647)&lt;=COUNT('Per Invoice'!$O$2:$O$801),MATCH(ROWS($N$2:$N647),'Per Invoice'!$O$2:$O$801,0),"")</f>
        <v/>
      </c>
    </row>
    <row r="648">
      <c r="A648">
        <f>IF($N648="","",IF(INDEX('Per Invoice'!$A$2:$A$801,$N648)="","",INDEX('Per Invoice'!$A$2:$A$801,$N648)))</f>
        <v/>
      </c>
      <c r="B648">
        <f>IF($N648="","",IF(INDEX('Per Invoice'!$B$2:$B$801,$N648)="","",INDEX('Per Invoice'!$B$2:$B$801,$N648)))</f>
        <v/>
      </c>
      <c r="C648">
        <f>IF($N648="","",IF(INDEX('Per Invoice'!$C$2:$C$801,$N648)="","",INDEX('Per Invoice'!$C$2:$C$801,$N648)))</f>
        <v/>
      </c>
      <c r="D648">
        <f>IF($N648="","",IF(INDEX('Per Invoice'!$D$2:$D$801,$N648)="","",INDEX('Per Invoice'!$D$2:$D$801,$N648)))</f>
        <v/>
      </c>
      <c r="E648">
        <f>IF($N648="","",IF(INDEX('Per Invoice'!$E$2:$E$801,$N648)="","",INDEX('Per Invoice'!$E$2:$E$801,$N648)))</f>
        <v/>
      </c>
      <c r="F648">
        <f>IF($N648="","",IF(INDEX('Per Invoice'!$F$2:$F$801,$N648)="","",INDEX('Per Invoice'!$F$2:$F$801,$N648)))</f>
        <v/>
      </c>
      <c r="G648">
        <f>IF($N648="","",IF(INDEX('Per Invoice'!$G$2:$G$801,$N648)="","",INDEX('Per Invoice'!$G$2:$G$801,$N648)))</f>
        <v/>
      </c>
      <c r="H648">
        <f>IF($N648="","",IF(INDEX('Per Invoice'!$H$2:$H$801,$N648)="","",INDEX('Per Invoice'!$H$2:$H$801,$N648)))</f>
        <v/>
      </c>
      <c r="I648" s="5">
        <f>IF($N648="","",IF(INDEX('Per Invoice'!$I$2:$I$801,$N648)="","",INDEX('Per Invoice'!$I$2:$I$801,$N648)))</f>
        <v/>
      </c>
      <c r="J648" s="5">
        <f>IF($N648="","",IF(INDEX('Per Invoice'!$J$2:$J$801,$N648)="","",INDEX('Per Invoice'!$J$2:$J$801,$N648)))</f>
        <v/>
      </c>
      <c r="K648" s="5">
        <f>IF($N648="","",IF(INDEX('Per Invoice'!$K$2:$K$801,$N648)="","",INDEX('Per Invoice'!$K$2:$K$801,$N648)))</f>
        <v/>
      </c>
      <c r="L648" s="5">
        <f>IF($N648="","",IF(INDEX('Per Invoice'!$L$2:$L$801,$N648)="","",INDEX('Per Invoice'!$L$2:$L$801,$N648)))</f>
        <v/>
      </c>
      <c r="M648" s="5">
        <f>IF($N648="","",IF(INDEX('Per Invoice'!$M$2:$M$801,$N648)="","",INDEX('Per Invoice'!$M$2:$M$801,$N648)))</f>
        <v/>
      </c>
      <c r="N648">
        <f>IF(ROWS($N$2:$N648)&lt;=COUNT('Per Invoice'!$O$2:$O$801),MATCH(ROWS($N$2:$N648),'Per Invoice'!$O$2:$O$801,0),"")</f>
        <v/>
      </c>
    </row>
    <row r="649">
      <c r="A649">
        <f>IF($N649="","",IF(INDEX('Per Invoice'!$A$2:$A$801,$N649)="","",INDEX('Per Invoice'!$A$2:$A$801,$N649)))</f>
        <v/>
      </c>
      <c r="B649">
        <f>IF($N649="","",IF(INDEX('Per Invoice'!$B$2:$B$801,$N649)="","",INDEX('Per Invoice'!$B$2:$B$801,$N649)))</f>
        <v/>
      </c>
      <c r="C649">
        <f>IF($N649="","",IF(INDEX('Per Invoice'!$C$2:$C$801,$N649)="","",INDEX('Per Invoice'!$C$2:$C$801,$N649)))</f>
        <v/>
      </c>
      <c r="D649">
        <f>IF($N649="","",IF(INDEX('Per Invoice'!$D$2:$D$801,$N649)="","",INDEX('Per Invoice'!$D$2:$D$801,$N649)))</f>
        <v/>
      </c>
      <c r="E649">
        <f>IF($N649="","",IF(INDEX('Per Invoice'!$E$2:$E$801,$N649)="","",INDEX('Per Invoice'!$E$2:$E$801,$N649)))</f>
        <v/>
      </c>
      <c r="F649">
        <f>IF($N649="","",IF(INDEX('Per Invoice'!$F$2:$F$801,$N649)="","",INDEX('Per Invoice'!$F$2:$F$801,$N649)))</f>
        <v/>
      </c>
      <c r="G649">
        <f>IF($N649="","",IF(INDEX('Per Invoice'!$G$2:$G$801,$N649)="","",INDEX('Per Invoice'!$G$2:$G$801,$N649)))</f>
        <v/>
      </c>
      <c r="H649">
        <f>IF($N649="","",IF(INDEX('Per Invoice'!$H$2:$H$801,$N649)="","",INDEX('Per Invoice'!$H$2:$H$801,$N649)))</f>
        <v/>
      </c>
      <c r="I649" s="5">
        <f>IF($N649="","",IF(INDEX('Per Invoice'!$I$2:$I$801,$N649)="","",INDEX('Per Invoice'!$I$2:$I$801,$N649)))</f>
        <v/>
      </c>
      <c r="J649" s="5">
        <f>IF($N649="","",IF(INDEX('Per Invoice'!$J$2:$J$801,$N649)="","",INDEX('Per Invoice'!$J$2:$J$801,$N649)))</f>
        <v/>
      </c>
      <c r="K649" s="5">
        <f>IF($N649="","",IF(INDEX('Per Invoice'!$K$2:$K$801,$N649)="","",INDEX('Per Invoice'!$K$2:$K$801,$N649)))</f>
        <v/>
      </c>
      <c r="L649" s="5">
        <f>IF($N649="","",IF(INDEX('Per Invoice'!$L$2:$L$801,$N649)="","",INDEX('Per Invoice'!$L$2:$L$801,$N649)))</f>
        <v/>
      </c>
      <c r="M649" s="5">
        <f>IF($N649="","",IF(INDEX('Per Invoice'!$M$2:$M$801,$N649)="","",INDEX('Per Invoice'!$M$2:$M$801,$N649)))</f>
        <v/>
      </c>
      <c r="N649">
        <f>IF(ROWS($N$2:$N649)&lt;=COUNT('Per Invoice'!$O$2:$O$801),MATCH(ROWS($N$2:$N649),'Per Invoice'!$O$2:$O$801,0),"")</f>
        <v/>
      </c>
    </row>
    <row r="650">
      <c r="A650">
        <f>IF($N650="","",IF(INDEX('Per Invoice'!$A$2:$A$801,$N650)="","",INDEX('Per Invoice'!$A$2:$A$801,$N650)))</f>
        <v/>
      </c>
      <c r="B650">
        <f>IF($N650="","",IF(INDEX('Per Invoice'!$B$2:$B$801,$N650)="","",INDEX('Per Invoice'!$B$2:$B$801,$N650)))</f>
        <v/>
      </c>
      <c r="C650">
        <f>IF($N650="","",IF(INDEX('Per Invoice'!$C$2:$C$801,$N650)="","",INDEX('Per Invoice'!$C$2:$C$801,$N650)))</f>
        <v/>
      </c>
      <c r="D650">
        <f>IF($N650="","",IF(INDEX('Per Invoice'!$D$2:$D$801,$N650)="","",INDEX('Per Invoice'!$D$2:$D$801,$N650)))</f>
        <v/>
      </c>
      <c r="E650">
        <f>IF($N650="","",IF(INDEX('Per Invoice'!$E$2:$E$801,$N650)="","",INDEX('Per Invoice'!$E$2:$E$801,$N650)))</f>
        <v/>
      </c>
      <c r="F650">
        <f>IF($N650="","",IF(INDEX('Per Invoice'!$F$2:$F$801,$N650)="","",INDEX('Per Invoice'!$F$2:$F$801,$N650)))</f>
        <v/>
      </c>
      <c r="G650">
        <f>IF($N650="","",IF(INDEX('Per Invoice'!$G$2:$G$801,$N650)="","",INDEX('Per Invoice'!$G$2:$G$801,$N650)))</f>
        <v/>
      </c>
      <c r="H650">
        <f>IF($N650="","",IF(INDEX('Per Invoice'!$H$2:$H$801,$N650)="","",INDEX('Per Invoice'!$H$2:$H$801,$N650)))</f>
        <v/>
      </c>
      <c r="I650" s="5">
        <f>IF($N650="","",IF(INDEX('Per Invoice'!$I$2:$I$801,$N650)="","",INDEX('Per Invoice'!$I$2:$I$801,$N650)))</f>
        <v/>
      </c>
      <c r="J650" s="5">
        <f>IF($N650="","",IF(INDEX('Per Invoice'!$J$2:$J$801,$N650)="","",INDEX('Per Invoice'!$J$2:$J$801,$N650)))</f>
        <v/>
      </c>
      <c r="K650" s="5">
        <f>IF($N650="","",IF(INDEX('Per Invoice'!$K$2:$K$801,$N650)="","",INDEX('Per Invoice'!$K$2:$K$801,$N650)))</f>
        <v/>
      </c>
      <c r="L650" s="5">
        <f>IF($N650="","",IF(INDEX('Per Invoice'!$L$2:$L$801,$N650)="","",INDEX('Per Invoice'!$L$2:$L$801,$N650)))</f>
        <v/>
      </c>
      <c r="M650" s="5">
        <f>IF($N650="","",IF(INDEX('Per Invoice'!$M$2:$M$801,$N650)="","",INDEX('Per Invoice'!$M$2:$M$801,$N650)))</f>
        <v/>
      </c>
      <c r="N650">
        <f>IF(ROWS($N$2:$N650)&lt;=COUNT('Per Invoice'!$O$2:$O$801),MATCH(ROWS($N$2:$N650),'Per Invoice'!$O$2:$O$801,0),"")</f>
        <v/>
      </c>
    </row>
    <row r="651">
      <c r="A651">
        <f>IF($N651="","",IF(INDEX('Per Invoice'!$A$2:$A$801,$N651)="","",INDEX('Per Invoice'!$A$2:$A$801,$N651)))</f>
        <v/>
      </c>
      <c r="B651">
        <f>IF($N651="","",IF(INDEX('Per Invoice'!$B$2:$B$801,$N651)="","",INDEX('Per Invoice'!$B$2:$B$801,$N651)))</f>
        <v/>
      </c>
      <c r="C651">
        <f>IF($N651="","",IF(INDEX('Per Invoice'!$C$2:$C$801,$N651)="","",INDEX('Per Invoice'!$C$2:$C$801,$N651)))</f>
        <v/>
      </c>
      <c r="D651">
        <f>IF($N651="","",IF(INDEX('Per Invoice'!$D$2:$D$801,$N651)="","",INDEX('Per Invoice'!$D$2:$D$801,$N651)))</f>
        <v/>
      </c>
      <c r="E651">
        <f>IF($N651="","",IF(INDEX('Per Invoice'!$E$2:$E$801,$N651)="","",INDEX('Per Invoice'!$E$2:$E$801,$N651)))</f>
        <v/>
      </c>
      <c r="F651">
        <f>IF($N651="","",IF(INDEX('Per Invoice'!$F$2:$F$801,$N651)="","",INDEX('Per Invoice'!$F$2:$F$801,$N651)))</f>
        <v/>
      </c>
      <c r="G651">
        <f>IF($N651="","",IF(INDEX('Per Invoice'!$G$2:$G$801,$N651)="","",INDEX('Per Invoice'!$G$2:$G$801,$N651)))</f>
        <v/>
      </c>
      <c r="H651">
        <f>IF($N651="","",IF(INDEX('Per Invoice'!$H$2:$H$801,$N651)="","",INDEX('Per Invoice'!$H$2:$H$801,$N651)))</f>
        <v/>
      </c>
      <c r="I651" s="5">
        <f>IF($N651="","",IF(INDEX('Per Invoice'!$I$2:$I$801,$N651)="","",INDEX('Per Invoice'!$I$2:$I$801,$N651)))</f>
        <v/>
      </c>
      <c r="J651" s="5">
        <f>IF($N651="","",IF(INDEX('Per Invoice'!$J$2:$J$801,$N651)="","",INDEX('Per Invoice'!$J$2:$J$801,$N651)))</f>
        <v/>
      </c>
      <c r="K651" s="5">
        <f>IF($N651="","",IF(INDEX('Per Invoice'!$K$2:$K$801,$N651)="","",INDEX('Per Invoice'!$K$2:$K$801,$N651)))</f>
        <v/>
      </c>
      <c r="L651" s="5">
        <f>IF($N651="","",IF(INDEX('Per Invoice'!$L$2:$L$801,$N651)="","",INDEX('Per Invoice'!$L$2:$L$801,$N651)))</f>
        <v/>
      </c>
      <c r="M651" s="5">
        <f>IF($N651="","",IF(INDEX('Per Invoice'!$M$2:$M$801,$N651)="","",INDEX('Per Invoice'!$M$2:$M$801,$N651)))</f>
        <v/>
      </c>
      <c r="N651">
        <f>IF(ROWS($N$2:$N651)&lt;=COUNT('Per Invoice'!$O$2:$O$801),MATCH(ROWS($N$2:$N651),'Per Invoice'!$O$2:$O$801,0),"")</f>
        <v/>
      </c>
    </row>
    <row r="652">
      <c r="A652">
        <f>IF($N652="","",IF(INDEX('Per Invoice'!$A$2:$A$801,$N652)="","",INDEX('Per Invoice'!$A$2:$A$801,$N652)))</f>
        <v/>
      </c>
      <c r="B652">
        <f>IF($N652="","",IF(INDEX('Per Invoice'!$B$2:$B$801,$N652)="","",INDEX('Per Invoice'!$B$2:$B$801,$N652)))</f>
        <v/>
      </c>
      <c r="C652">
        <f>IF($N652="","",IF(INDEX('Per Invoice'!$C$2:$C$801,$N652)="","",INDEX('Per Invoice'!$C$2:$C$801,$N652)))</f>
        <v/>
      </c>
      <c r="D652">
        <f>IF($N652="","",IF(INDEX('Per Invoice'!$D$2:$D$801,$N652)="","",INDEX('Per Invoice'!$D$2:$D$801,$N652)))</f>
        <v/>
      </c>
      <c r="E652">
        <f>IF($N652="","",IF(INDEX('Per Invoice'!$E$2:$E$801,$N652)="","",INDEX('Per Invoice'!$E$2:$E$801,$N652)))</f>
        <v/>
      </c>
      <c r="F652">
        <f>IF($N652="","",IF(INDEX('Per Invoice'!$F$2:$F$801,$N652)="","",INDEX('Per Invoice'!$F$2:$F$801,$N652)))</f>
        <v/>
      </c>
      <c r="G652">
        <f>IF($N652="","",IF(INDEX('Per Invoice'!$G$2:$G$801,$N652)="","",INDEX('Per Invoice'!$G$2:$G$801,$N652)))</f>
        <v/>
      </c>
      <c r="H652">
        <f>IF($N652="","",IF(INDEX('Per Invoice'!$H$2:$H$801,$N652)="","",INDEX('Per Invoice'!$H$2:$H$801,$N652)))</f>
        <v/>
      </c>
      <c r="I652" s="5">
        <f>IF($N652="","",IF(INDEX('Per Invoice'!$I$2:$I$801,$N652)="","",INDEX('Per Invoice'!$I$2:$I$801,$N652)))</f>
        <v/>
      </c>
      <c r="J652" s="5">
        <f>IF($N652="","",IF(INDEX('Per Invoice'!$J$2:$J$801,$N652)="","",INDEX('Per Invoice'!$J$2:$J$801,$N652)))</f>
        <v/>
      </c>
      <c r="K652" s="5">
        <f>IF($N652="","",IF(INDEX('Per Invoice'!$K$2:$K$801,$N652)="","",INDEX('Per Invoice'!$K$2:$K$801,$N652)))</f>
        <v/>
      </c>
      <c r="L652" s="5">
        <f>IF($N652="","",IF(INDEX('Per Invoice'!$L$2:$L$801,$N652)="","",INDEX('Per Invoice'!$L$2:$L$801,$N652)))</f>
        <v/>
      </c>
      <c r="M652" s="5">
        <f>IF($N652="","",IF(INDEX('Per Invoice'!$M$2:$M$801,$N652)="","",INDEX('Per Invoice'!$M$2:$M$801,$N652)))</f>
        <v/>
      </c>
      <c r="N652">
        <f>IF(ROWS($N$2:$N652)&lt;=COUNT('Per Invoice'!$O$2:$O$801),MATCH(ROWS($N$2:$N652),'Per Invoice'!$O$2:$O$801,0),"")</f>
        <v/>
      </c>
    </row>
    <row r="653">
      <c r="A653">
        <f>IF($N653="","",IF(INDEX('Per Invoice'!$A$2:$A$801,$N653)="","",INDEX('Per Invoice'!$A$2:$A$801,$N653)))</f>
        <v/>
      </c>
      <c r="B653">
        <f>IF($N653="","",IF(INDEX('Per Invoice'!$B$2:$B$801,$N653)="","",INDEX('Per Invoice'!$B$2:$B$801,$N653)))</f>
        <v/>
      </c>
      <c r="C653">
        <f>IF($N653="","",IF(INDEX('Per Invoice'!$C$2:$C$801,$N653)="","",INDEX('Per Invoice'!$C$2:$C$801,$N653)))</f>
        <v/>
      </c>
      <c r="D653">
        <f>IF($N653="","",IF(INDEX('Per Invoice'!$D$2:$D$801,$N653)="","",INDEX('Per Invoice'!$D$2:$D$801,$N653)))</f>
        <v/>
      </c>
      <c r="E653">
        <f>IF($N653="","",IF(INDEX('Per Invoice'!$E$2:$E$801,$N653)="","",INDEX('Per Invoice'!$E$2:$E$801,$N653)))</f>
        <v/>
      </c>
      <c r="F653">
        <f>IF($N653="","",IF(INDEX('Per Invoice'!$F$2:$F$801,$N653)="","",INDEX('Per Invoice'!$F$2:$F$801,$N653)))</f>
        <v/>
      </c>
      <c r="G653">
        <f>IF($N653="","",IF(INDEX('Per Invoice'!$G$2:$G$801,$N653)="","",INDEX('Per Invoice'!$G$2:$G$801,$N653)))</f>
        <v/>
      </c>
      <c r="H653">
        <f>IF($N653="","",IF(INDEX('Per Invoice'!$H$2:$H$801,$N653)="","",INDEX('Per Invoice'!$H$2:$H$801,$N653)))</f>
        <v/>
      </c>
      <c r="I653" s="5">
        <f>IF($N653="","",IF(INDEX('Per Invoice'!$I$2:$I$801,$N653)="","",INDEX('Per Invoice'!$I$2:$I$801,$N653)))</f>
        <v/>
      </c>
      <c r="J653" s="5">
        <f>IF($N653="","",IF(INDEX('Per Invoice'!$J$2:$J$801,$N653)="","",INDEX('Per Invoice'!$J$2:$J$801,$N653)))</f>
        <v/>
      </c>
      <c r="K653" s="5">
        <f>IF($N653="","",IF(INDEX('Per Invoice'!$K$2:$K$801,$N653)="","",INDEX('Per Invoice'!$K$2:$K$801,$N653)))</f>
        <v/>
      </c>
      <c r="L653" s="5">
        <f>IF($N653="","",IF(INDEX('Per Invoice'!$L$2:$L$801,$N653)="","",INDEX('Per Invoice'!$L$2:$L$801,$N653)))</f>
        <v/>
      </c>
      <c r="M653" s="5">
        <f>IF($N653="","",IF(INDEX('Per Invoice'!$M$2:$M$801,$N653)="","",INDEX('Per Invoice'!$M$2:$M$801,$N653)))</f>
        <v/>
      </c>
      <c r="N653">
        <f>IF(ROWS($N$2:$N653)&lt;=COUNT('Per Invoice'!$O$2:$O$801),MATCH(ROWS($N$2:$N653),'Per Invoice'!$O$2:$O$801,0),"")</f>
        <v/>
      </c>
    </row>
    <row r="654">
      <c r="A654">
        <f>IF($N654="","",IF(INDEX('Per Invoice'!$A$2:$A$801,$N654)="","",INDEX('Per Invoice'!$A$2:$A$801,$N654)))</f>
        <v/>
      </c>
      <c r="B654">
        <f>IF($N654="","",IF(INDEX('Per Invoice'!$B$2:$B$801,$N654)="","",INDEX('Per Invoice'!$B$2:$B$801,$N654)))</f>
        <v/>
      </c>
      <c r="C654">
        <f>IF($N654="","",IF(INDEX('Per Invoice'!$C$2:$C$801,$N654)="","",INDEX('Per Invoice'!$C$2:$C$801,$N654)))</f>
        <v/>
      </c>
      <c r="D654">
        <f>IF($N654="","",IF(INDEX('Per Invoice'!$D$2:$D$801,$N654)="","",INDEX('Per Invoice'!$D$2:$D$801,$N654)))</f>
        <v/>
      </c>
      <c r="E654">
        <f>IF($N654="","",IF(INDEX('Per Invoice'!$E$2:$E$801,$N654)="","",INDEX('Per Invoice'!$E$2:$E$801,$N654)))</f>
        <v/>
      </c>
      <c r="F654">
        <f>IF($N654="","",IF(INDEX('Per Invoice'!$F$2:$F$801,$N654)="","",INDEX('Per Invoice'!$F$2:$F$801,$N654)))</f>
        <v/>
      </c>
      <c r="G654">
        <f>IF($N654="","",IF(INDEX('Per Invoice'!$G$2:$G$801,$N654)="","",INDEX('Per Invoice'!$G$2:$G$801,$N654)))</f>
        <v/>
      </c>
      <c r="H654">
        <f>IF($N654="","",IF(INDEX('Per Invoice'!$H$2:$H$801,$N654)="","",INDEX('Per Invoice'!$H$2:$H$801,$N654)))</f>
        <v/>
      </c>
      <c r="I654" s="5">
        <f>IF($N654="","",IF(INDEX('Per Invoice'!$I$2:$I$801,$N654)="","",INDEX('Per Invoice'!$I$2:$I$801,$N654)))</f>
        <v/>
      </c>
      <c r="J654" s="5">
        <f>IF($N654="","",IF(INDEX('Per Invoice'!$J$2:$J$801,$N654)="","",INDEX('Per Invoice'!$J$2:$J$801,$N654)))</f>
        <v/>
      </c>
      <c r="K654" s="5">
        <f>IF($N654="","",IF(INDEX('Per Invoice'!$K$2:$K$801,$N654)="","",INDEX('Per Invoice'!$K$2:$K$801,$N654)))</f>
        <v/>
      </c>
      <c r="L654" s="5">
        <f>IF($N654="","",IF(INDEX('Per Invoice'!$L$2:$L$801,$N654)="","",INDEX('Per Invoice'!$L$2:$L$801,$N654)))</f>
        <v/>
      </c>
      <c r="M654" s="5">
        <f>IF($N654="","",IF(INDEX('Per Invoice'!$M$2:$M$801,$N654)="","",INDEX('Per Invoice'!$M$2:$M$801,$N654)))</f>
        <v/>
      </c>
      <c r="N654">
        <f>IF(ROWS($N$2:$N654)&lt;=COUNT('Per Invoice'!$O$2:$O$801),MATCH(ROWS($N$2:$N654),'Per Invoice'!$O$2:$O$801,0),"")</f>
        <v/>
      </c>
    </row>
    <row r="655">
      <c r="A655">
        <f>IF($N655="","",IF(INDEX('Per Invoice'!$A$2:$A$801,$N655)="","",INDEX('Per Invoice'!$A$2:$A$801,$N655)))</f>
        <v/>
      </c>
      <c r="B655">
        <f>IF($N655="","",IF(INDEX('Per Invoice'!$B$2:$B$801,$N655)="","",INDEX('Per Invoice'!$B$2:$B$801,$N655)))</f>
        <v/>
      </c>
      <c r="C655">
        <f>IF($N655="","",IF(INDEX('Per Invoice'!$C$2:$C$801,$N655)="","",INDEX('Per Invoice'!$C$2:$C$801,$N655)))</f>
        <v/>
      </c>
      <c r="D655">
        <f>IF($N655="","",IF(INDEX('Per Invoice'!$D$2:$D$801,$N655)="","",INDEX('Per Invoice'!$D$2:$D$801,$N655)))</f>
        <v/>
      </c>
      <c r="E655">
        <f>IF($N655="","",IF(INDEX('Per Invoice'!$E$2:$E$801,$N655)="","",INDEX('Per Invoice'!$E$2:$E$801,$N655)))</f>
        <v/>
      </c>
      <c r="F655">
        <f>IF($N655="","",IF(INDEX('Per Invoice'!$F$2:$F$801,$N655)="","",INDEX('Per Invoice'!$F$2:$F$801,$N655)))</f>
        <v/>
      </c>
      <c r="G655">
        <f>IF($N655="","",IF(INDEX('Per Invoice'!$G$2:$G$801,$N655)="","",INDEX('Per Invoice'!$G$2:$G$801,$N655)))</f>
        <v/>
      </c>
      <c r="H655">
        <f>IF($N655="","",IF(INDEX('Per Invoice'!$H$2:$H$801,$N655)="","",INDEX('Per Invoice'!$H$2:$H$801,$N655)))</f>
        <v/>
      </c>
      <c r="I655" s="5">
        <f>IF($N655="","",IF(INDEX('Per Invoice'!$I$2:$I$801,$N655)="","",INDEX('Per Invoice'!$I$2:$I$801,$N655)))</f>
        <v/>
      </c>
      <c r="J655" s="5">
        <f>IF($N655="","",IF(INDEX('Per Invoice'!$J$2:$J$801,$N655)="","",INDEX('Per Invoice'!$J$2:$J$801,$N655)))</f>
        <v/>
      </c>
      <c r="K655" s="5">
        <f>IF($N655="","",IF(INDEX('Per Invoice'!$K$2:$K$801,$N655)="","",INDEX('Per Invoice'!$K$2:$K$801,$N655)))</f>
        <v/>
      </c>
      <c r="L655" s="5">
        <f>IF($N655="","",IF(INDEX('Per Invoice'!$L$2:$L$801,$N655)="","",INDEX('Per Invoice'!$L$2:$L$801,$N655)))</f>
        <v/>
      </c>
      <c r="M655" s="5">
        <f>IF($N655="","",IF(INDEX('Per Invoice'!$M$2:$M$801,$N655)="","",INDEX('Per Invoice'!$M$2:$M$801,$N655)))</f>
        <v/>
      </c>
      <c r="N655">
        <f>IF(ROWS($N$2:$N655)&lt;=COUNT('Per Invoice'!$O$2:$O$801),MATCH(ROWS($N$2:$N655),'Per Invoice'!$O$2:$O$801,0),"")</f>
        <v/>
      </c>
    </row>
    <row r="656">
      <c r="A656">
        <f>IF($N656="","",IF(INDEX('Per Invoice'!$A$2:$A$801,$N656)="","",INDEX('Per Invoice'!$A$2:$A$801,$N656)))</f>
        <v/>
      </c>
      <c r="B656">
        <f>IF($N656="","",IF(INDEX('Per Invoice'!$B$2:$B$801,$N656)="","",INDEX('Per Invoice'!$B$2:$B$801,$N656)))</f>
        <v/>
      </c>
      <c r="C656">
        <f>IF($N656="","",IF(INDEX('Per Invoice'!$C$2:$C$801,$N656)="","",INDEX('Per Invoice'!$C$2:$C$801,$N656)))</f>
        <v/>
      </c>
      <c r="D656">
        <f>IF($N656="","",IF(INDEX('Per Invoice'!$D$2:$D$801,$N656)="","",INDEX('Per Invoice'!$D$2:$D$801,$N656)))</f>
        <v/>
      </c>
      <c r="E656">
        <f>IF($N656="","",IF(INDEX('Per Invoice'!$E$2:$E$801,$N656)="","",INDEX('Per Invoice'!$E$2:$E$801,$N656)))</f>
        <v/>
      </c>
      <c r="F656">
        <f>IF($N656="","",IF(INDEX('Per Invoice'!$F$2:$F$801,$N656)="","",INDEX('Per Invoice'!$F$2:$F$801,$N656)))</f>
        <v/>
      </c>
      <c r="G656">
        <f>IF($N656="","",IF(INDEX('Per Invoice'!$G$2:$G$801,$N656)="","",INDEX('Per Invoice'!$G$2:$G$801,$N656)))</f>
        <v/>
      </c>
      <c r="H656">
        <f>IF($N656="","",IF(INDEX('Per Invoice'!$H$2:$H$801,$N656)="","",INDEX('Per Invoice'!$H$2:$H$801,$N656)))</f>
        <v/>
      </c>
      <c r="I656" s="5">
        <f>IF($N656="","",IF(INDEX('Per Invoice'!$I$2:$I$801,$N656)="","",INDEX('Per Invoice'!$I$2:$I$801,$N656)))</f>
        <v/>
      </c>
      <c r="J656" s="5">
        <f>IF($N656="","",IF(INDEX('Per Invoice'!$J$2:$J$801,$N656)="","",INDEX('Per Invoice'!$J$2:$J$801,$N656)))</f>
        <v/>
      </c>
      <c r="K656" s="5">
        <f>IF($N656="","",IF(INDEX('Per Invoice'!$K$2:$K$801,$N656)="","",INDEX('Per Invoice'!$K$2:$K$801,$N656)))</f>
        <v/>
      </c>
      <c r="L656" s="5">
        <f>IF($N656="","",IF(INDEX('Per Invoice'!$L$2:$L$801,$N656)="","",INDEX('Per Invoice'!$L$2:$L$801,$N656)))</f>
        <v/>
      </c>
      <c r="M656" s="5">
        <f>IF($N656="","",IF(INDEX('Per Invoice'!$M$2:$M$801,$N656)="","",INDEX('Per Invoice'!$M$2:$M$801,$N656)))</f>
        <v/>
      </c>
      <c r="N656">
        <f>IF(ROWS($N$2:$N656)&lt;=COUNT('Per Invoice'!$O$2:$O$801),MATCH(ROWS($N$2:$N656),'Per Invoice'!$O$2:$O$801,0),"")</f>
        <v/>
      </c>
    </row>
    <row r="657">
      <c r="A657">
        <f>IF($N657="","",IF(INDEX('Per Invoice'!$A$2:$A$801,$N657)="","",INDEX('Per Invoice'!$A$2:$A$801,$N657)))</f>
        <v/>
      </c>
      <c r="B657">
        <f>IF($N657="","",IF(INDEX('Per Invoice'!$B$2:$B$801,$N657)="","",INDEX('Per Invoice'!$B$2:$B$801,$N657)))</f>
        <v/>
      </c>
      <c r="C657">
        <f>IF($N657="","",IF(INDEX('Per Invoice'!$C$2:$C$801,$N657)="","",INDEX('Per Invoice'!$C$2:$C$801,$N657)))</f>
        <v/>
      </c>
      <c r="D657">
        <f>IF($N657="","",IF(INDEX('Per Invoice'!$D$2:$D$801,$N657)="","",INDEX('Per Invoice'!$D$2:$D$801,$N657)))</f>
        <v/>
      </c>
      <c r="E657">
        <f>IF($N657="","",IF(INDEX('Per Invoice'!$E$2:$E$801,$N657)="","",INDEX('Per Invoice'!$E$2:$E$801,$N657)))</f>
        <v/>
      </c>
      <c r="F657">
        <f>IF($N657="","",IF(INDEX('Per Invoice'!$F$2:$F$801,$N657)="","",INDEX('Per Invoice'!$F$2:$F$801,$N657)))</f>
        <v/>
      </c>
      <c r="G657">
        <f>IF($N657="","",IF(INDEX('Per Invoice'!$G$2:$G$801,$N657)="","",INDEX('Per Invoice'!$G$2:$G$801,$N657)))</f>
        <v/>
      </c>
      <c r="H657">
        <f>IF($N657="","",IF(INDEX('Per Invoice'!$H$2:$H$801,$N657)="","",INDEX('Per Invoice'!$H$2:$H$801,$N657)))</f>
        <v/>
      </c>
      <c r="I657" s="5">
        <f>IF($N657="","",IF(INDEX('Per Invoice'!$I$2:$I$801,$N657)="","",INDEX('Per Invoice'!$I$2:$I$801,$N657)))</f>
        <v/>
      </c>
      <c r="J657" s="5">
        <f>IF($N657="","",IF(INDEX('Per Invoice'!$J$2:$J$801,$N657)="","",INDEX('Per Invoice'!$J$2:$J$801,$N657)))</f>
        <v/>
      </c>
      <c r="K657" s="5">
        <f>IF($N657="","",IF(INDEX('Per Invoice'!$K$2:$K$801,$N657)="","",INDEX('Per Invoice'!$K$2:$K$801,$N657)))</f>
        <v/>
      </c>
      <c r="L657" s="5">
        <f>IF($N657="","",IF(INDEX('Per Invoice'!$L$2:$L$801,$N657)="","",INDEX('Per Invoice'!$L$2:$L$801,$N657)))</f>
        <v/>
      </c>
      <c r="M657" s="5">
        <f>IF($N657="","",IF(INDEX('Per Invoice'!$M$2:$M$801,$N657)="","",INDEX('Per Invoice'!$M$2:$M$801,$N657)))</f>
        <v/>
      </c>
      <c r="N657">
        <f>IF(ROWS($N$2:$N657)&lt;=COUNT('Per Invoice'!$O$2:$O$801),MATCH(ROWS($N$2:$N657),'Per Invoice'!$O$2:$O$801,0),"")</f>
        <v/>
      </c>
    </row>
    <row r="658">
      <c r="A658">
        <f>IF($N658="","",IF(INDEX('Per Invoice'!$A$2:$A$801,$N658)="","",INDEX('Per Invoice'!$A$2:$A$801,$N658)))</f>
        <v/>
      </c>
      <c r="B658">
        <f>IF($N658="","",IF(INDEX('Per Invoice'!$B$2:$B$801,$N658)="","",INDEX('Per Invoice'!$B$2:$B$801,$N658)))</f>
        <v/>
      </c>
      <c r="C658">
        <f>IF($N658="","",IF(INDEX('Per Invoice'!$C$2:$C$801,$N658)="","",INDEX('Per Invoice'!$C$2:$C$801,$N658)))</f>
        <v/>
      </c>
      <c r="D658">
        <f>IF($N658="","",IF(INDEX('Per Invoice'!$D$2:$D$801,$N658)="","",INDEX('Per Invoice'!$D$2:$D$801,$N658)))</f>
        <v/>
      </c>
      <c r="E658">
        <f>IF($N658="","",IF(INDEX('Per Invoice'!$E$2:$E$801,$N658)="","",INDEX('Per Invoice'!$E$2:$E$801,$N658)))</f>
        <v/>
      </c>
      <c r="F658">
        <f>IF($N658="","",IF(INDEX('Per Invoice'!$F$2:$F$801,$N658)="","",INDEX('Per Invoice'!$F$2:$F$801,$N658)))</f>
        <v/>
      </c>
      <c r="G658">
        <f>IF($N658="","",IF(INDEX('Per Invoice'!$G$2:$G$801,$N658)="","",INDEX('Per Invoice'!$G$2:$G$801,$N658)))</f>
        <v/>
      </c>
      <c r="H658">
        <f>IF($N658="","",IF(INDEX('Per Invoice'!$H$2:$H$801,$N658)="","",INDEX('Per Invoice'!$H$2:$H$801,$N658)))</f>
        <v/>
      </c>
      <c r="I658" s="5">
        <f>IF($N658="","",IF(INDEX('Per Invoice'!$I$2:$I$801,$N658)="","",INDEX('Per Invoice'!$I$2:$I$801,$N658)))</f>
        <v/>
      </c>
      <c r="J658" s="5">
        <f>IF($N658="","",IF(INDEX('Per Invoice'!$J$2:$J$801,$N658)="","",INDEX('Per Invoice'!$J$2:$J$801,$N658)))</f>
        <v/>
      </c>
      <c r="K658" s="5">
        <f>IF($N658="","",IF(INDEX('Per Invoice'!$K$2:$K$801,$N658)="","",INDEX('Per Invoice'!$K$2:$K$801,$N658)))</f>
        <v/>
      </c>
      <c r="L658" s="5">
        <f>IF($N658="","",IF(INDEX('Per Invoice'!$L$2:$L$801,$N658)="","",INDEX('Per Invoice'!$L$2:$L$801,$N658)))</f>
        <v/>
      </c>
      <c r="M658" s="5">
        <f>IF($N658="","",IF(INDEX('Per Invoice'!$M$2:$M$801,$N658)="","",INDEX('Per Invoice'!$M$2:$M$801,$N658)))</f>
        <v/>
      </c>
      <c r="N658">
        <f>IF(ROWS($N$2:$N658)&lt;=COUNT('Per Invoice'!$O$2:$O$801),MATCH(ROWS($N$2:$N658),'Per Invoice'!$O$2:$O$801,0),"")</f>
        <v/>
      </c>
    </row>
    <row r="659">
      <c r="A659">
        <f>IF($N659="","",IF(INDEX('Per Invoice'!$A$2:$A$801,$N659)="","",INDEX('Per Invoice'!$A$2:$A$801,$N659)))</f>
        <v/>
      </c>
      <c r="B659">
        <f>IF($N659="","",IF(INDEX('Per Invoice'!$B$2:$B$801,$N659)="","",INDEX('Per Invoice'!$B$2:$B$801,$N659)))</f>
        <v/>
      </c>
      <c r="C659">
        <f>IF($N659="","",IF(INDEX('Per Invoice'!$C$2:$C$801,$N659)="","",INDEX('Per Invoice'!$C$2:$C$801,$N659)))</f>
        <v/>
      </c>
      <c r="D659">
        <f>IF($N659="","",IF(INDEX('Per Invoice'!$D$2:$D$801,$N659)="","",INDEX('Per Invoice'!$D$2:$D$801,$N659)))</f>
        <v/>
      </c>
      <c r="E659">
        <f>IF($N659="","",IF(INDEX('Per Invoice'!$E$2:$E$801,$N659)="","",INDEX('Per Invoice'!$E$2:$E$801,$N659)))</f>
        <v/>
      </c>
      <c r="F659">
        <f>IF($N659="","",IF(INDEX('Per Invoice'!$F$2:$F$801,$N659)="","",INDEX('Per Invoice'!$F$2:$F$801,$N659)))</f>
        <v/>
      </c>
      <c r="G659">
        <f>IF($N659="","",IF(INDEX('Per Invoice'!$G$2:$G$801,$N659)="","",INDEX('Per Invoice'!$G$2:$G$801,$N659)))</f>
        <v/>
      </c>
      <c r="H659">
        <f>IF($N659="","",IF(INDEX('Per Invoice'!$H$2:$H$801,$N659)="","",INDEX('Per Invoice'!$H$2:$H$801,$N659)))</f>
        <v/>
      </c>
      <c r="I659" s="5">
        <f>IF($N659="","",IF(INDEX('Per Invoice'!$I$2:$I$801,$N659)="","",INDEX('Per Invoice'!$I$2:$I$801,$N659)))</f>
        <v/>
      </c>
      <c r="J659" s="5">
        <f>IF($N659="","",IF(INDEX('Per Invoice'!$J$2:$J$801,$N659)="","",INDEX('Per Invoice'!$J$2:$J$801,$N659)))</f>
        <v/>
      </c>
      <c r="K659" s="5">
        <f>IF($N659="","",IF(INDEX('Per Invoice'!$K$2:$K$801,$N659)="","",INDEX('Per Invoice'!$K$2:$K$801,$N659)))</f>
        <v/>
      </c>
      <c r="L659" s="5">
        <f>IF($N659="","",IF(INDEX('Per Invoice'!$L$2:$L$801,$N659)="","",INDEX('Per Invoice'!$L$2:$L$801,$N659)))</f>
        <v/>
      </c>
      <c r="M659" s="5">
        <f>IF($N659="","",IF(INDEX('Per Invoice'!$M$2:$M$801,$N659)="","",INDEX('Per Invoice'!$M$2:$M$801,$N659)))</f>
        <v/>
      </c>
      <c r="N659">
        <f>IF(ROWS($N$2:$N659)&lt;=COUNT('Per Invoice'!$O$2:$O$801),MATCH(ROWS($N$2:$N659),'Per Invoice'!$O$2:$O$801,0),"")</f>
        <v/>
      </c>
    </row>
    <row r="660">
      <c r="A660">
        <f>IF($N660="","",IF(INDEX('Per Invoice'!$A$2:$A$801,$N660)="","",INDEX('Per Invoice'!$A$2:$A$801,$N660)))</f>
        <v/>
      </c>
      <c r="B660">
        <f>IF($N660="","",IF(INDEX('Per Invoice'!$B$2:$B$801,$N660)="","",INDEX('Per Invoice'!$B$2:$B$801,$N660)))</f>
        <v/>
      </c>
      <c r="C660">
        <f>IF($N660="","",IF(INDEX('Per Invoice'!$C$2:$C$801,$N660)="","",INDEX('Per Invoice'!$C$2:$C$801,$N660)))</f>
        <v/>
      </c>
      <c r="D660">
        <f>IF($N660="","",IF(INDEX('Per Invoice'!$D$2:$D$801,$N660)="","",INDEX('Per Invoice'!$D$2:$D$801,$N660)))</f>
        <v/>
      </c>
      <c r="E660">
        <f>IF($N660="","",IF(INDEX('Per Invoice'!$E$2:$E$801,$N660)="","",INDEX('Per Invoice'!$E$2:$E$801,$N660)))</f>
        <v/>
      </c>
      <c r="F660">
        <f>IF($N660="","",IF(INDEX('Per Invoice'!$F$2:$F$801,$N660)="","",INDEX('Per Invoice'!$F$2:$F$801,$N660)))</f>
        <v/>
      </c>
      <c r="G660">
        <f>IF($N660="","",IF(INDEX('Per Invoice'!$G$2:$G$801,$N660)="","",INDEX('Per Invoice'!$G$2:$G$801,$N660)))</f>
        <v/>
      </c>
      <c r="H660">
        <f>IF($N660="","",IF(INDEX('Per Invoice'!$H$2:$H$801,$N660)="","",INDEX('Per Invoice'!$H$2:$H$801,$N660)))</f>
        <v/>
      </c>
      <c r="I660" s="5">
        <f>IF($N660="","",IF(INDEX('Per Invoice'!$I$2:$I$801,$N660)="","",INDEX('Per Invoice'!$I$2:$I$801,$N660)))</f>
        <v/>
      </c>
      <c r="J660" s="5">
        <f>IF($N660="","",IF(INDEX('Per Invoice'!$J$2:$J$801,$N660)="","",INDEX('Per Invoice'!$J$2:$J$801,$N660)))</f>
        <v/>
      </c>
      <c r="K660" s="5">
        <f>IF($N660="","",IF(INDEX('Per Invoice'!$K$2:$K$801,$N660)="","",INDEX('Per Invoice'!$K$2:$K$801,$N660)))</f>
        <v/>
      </c>
      <c r="L660" s="5">
        <f>IF($N660="","",IF(INDEX('Per Invoice'!$L$2:$L$801,$N660)="","",INDEX('Per Invoice'!$L$2:$L$801,$N660)))</f>
        <v/>
      </c>
      <c r="M660" s="5">
        <f>IF($N660="","",IF(INDEX('Per Invoice'!$M$2:$M$801,$N660)="","",INDEX('Per Invoice'!$M$2:$M$801,$N660)))</f>
        <v/>
      </c>
      <c r="N660">
        <f>IF(ROWS($N$2:$N660)&lt;=COUNT('Per Invoice'!$O$2:$O$801),MATCH(ROWS($N$2:$N660),'Per Invoice'!$O$2:$O$801,0),"")</f>
        <v/>
      </c>
    </row>
    <row r="661">
      <c r="A661">
        <f>IF($N661="","",IF(INDEX('Per Invoice'!$A$2:$A$801,$N661)="","",INDEX('Per Invoice'!$A$2:$A$801,$N661)))</f>
        <v/>
      </c>
      <c r="B661">
        <f>IF($N661="","",IF(INDEX('Per Invoice'!$B$2:$B$801,$N661)="","",INDEX('Per Invoice'!$B$2:$B$801,$N661)))</f>
        <v/>
      </c>
      <c r="C661">
        <f>IF($N661="","",IF(INDEX('Per Invoice'!$C$2:$C$801,$N661)="","",INDEX('Per Invoice'!$C$2:$C$801,$N661)))</f>
        <v/>
      </c>
      <c r="D661">
        <f>IF($N661="","",IF(INDEX('Per Invoice'!$D$2:$D$801,$N661)="","",INDEX('Per Invoice'!$D$2:$D$801,$N661)))</f>
        <v/>
      </c>
      <c r="E661">
        <f>IF($N661="","",IF(INDEX('Per Invoice'!$E$2:$E$801,$N661)="","",INDEX('Per Invoice'!$E$2:$E$801,$N661)))</f>
        <v/>
      </c>
      <c r="F661">
        <f>IF($N661="","",IF(INDEX('Per Invoice'!$F$2:$F$801,$N661)="","",INDEX('Per Invoice'!$F$2:$F$801,$N661)))</f>
        <v/>
      </c>
      <c r="G661">
        <f>IF($N661="","",IF(INDEX('Per Invoice'!$G$2:$G$801,$N661)="","",INDEX('Per Invoice'!$G$2:$G$801,$N661)))</f>
        <v/>
      </c>
      <c r="H661">
        <f>IF($N661="","",IF(INDEX('Per Invoice'!$H$2:$H$801,$N661)="","",INDEX('Per Invoice'!$H$2:$H$801,$N661)))</f>
        <v/>
      </c>
      <c r="I661" s="5">
        <f>IF($N661="","",IF(INDEX('Per Invoice'!$I$2:$I$801,$N661)="","",INDEX('Per Invoice'!$I$2:$I$801,$N661)))</f>
        <v/>
      </c>
      <c r="J661" s="5">
        <f>IF($N661="","",IF(INDEX('Per Invoice'!$J$2:$J$801,$N661)="","",INDEX('Per Invoice'!$J$2:$J$801,$N661)))</f>
        <v/>
      </c>
      <c r="K661" s="5">
        <f>IF($N661="","",IF(INDEX('Per Invoice'!$K$2:$K$801,$N661)="","",INDEX('Per Invoice'!$K$2:$K$801,$N661)))</f>
        <v/>
      </c>
      <c r="L661" s="5">
        <f>IF($N661="","",IF(INDEX('Per Invoice'!$L$2:$L$801,$N661)="","",INDEX('Per Invoice'!$L$2:$L$801,$N661)))</f>
        <v/>
      </c>
      <c r="M661" s="5">
        <f>IF($N661="","",IF(INDEX('Per Invoice'!$M$2:$M$801,$N661)="","",INDEX('Per Invoice'!$M$2:$M$801,$N661)))</f>
        <v/>
      </c>
      <c r="N661">
        <f>IF(ROWS($N$2:$N661)&lt;=COUNT('Per Invoice'!$O$2:$O$801),MATCH(ROWS($N$2:$N661),'Per Invoice'!$O$2:$O$801,0),"")</f>
        <v/>
      </c>
    </row>
    <row r="662">
      <c r="A662">
        <f>IF($N662="","",IF(INDEX('Per Invoice'!$A$2:$A$801,$N662)="","",INDEX('Per Invoice'!$A$2:$A$801,$N662)))</f>
        <v/>
      </c>
      <c r="B662">
        <f>IF($N662="","",IF(INDEX('Per Invoice'!$B$2:$B$801,$N662)="","",INDEX('Per Invoice'!$B$2:$B$801,$N662)))</f>
        <v/>
      </c>
      <c r="C662">
        <f>IF($N662="","",IF(INDEX('Per Invoice'!$C$2:$C$801,$N662)="","",INDEX('Per Invoice'!$C$2:$C$801,$N662)))</f>
        <v/>
      </c>
      <c r="D662">
        <f>IF($N662="","",IF(INDEX('Per Invoice'!$D$2:$D$801,$N662)="","",INDEX('Per Invoice'!$D$2:$D$801,$N662)))</f>
        <v/>
      </c>
      <c r="E662">
        <f>IF($N662="","",IF(INDEX('Per Invoice'!$E$2:$E$801,$N662)="","",INDEX('Per Invoice'!$E$2:$E$801,$N662)))</f>
        <v/>
      </c>
      <c r="F662">
        <f>IF($N662="","",IF(INDEX('Per Invoice'!$F$2:$F$801,$N662)="","",INDEX('Per Invoice'!$F$2:$F$801,$N662)))</f>
        <v/>
      </c>
      <c r="G662">
        <f>IF($N662="","",IF(INDEX('Per Invoice'!$G$2:$G$801,$N662)="","",INDEX('Per Invoice'!$G$2:$G$801,$N662)))</f>
        <v/>
      </c>
      <c r="H662">
        <f>IF($N662="","",IF(INDEX('Per Invoice'!$H$2:$H$801,$N662)="","",INDEX('Per Invoice'!$H$2:$H$801,$N662)))</f>
        <v/>
      </c>
      <c r="I662" s="5">
        <f>IF($N662="","",IF(INDEX('Per Invoice'!$I$2:$I$801,$N662)="","",INDEX('Per Invoice'!$I$2:$I$801,$N662)))</f>
        <v/>
      </c>
      <c r="J662" s="5">
        <f>IF($N662="","",IF(INDEX('Per Invoice'!$J$2:$J$801,$N662)="","",INDEX('Per Invoice'!$J$2:$J$801,$N662)))</f>
        <v/>
      </c>
      <c r="K662" s="5">
        <f>IF($N662="","",IF(INDEX('Per Invoice'!$K$2:$K$801,$N662)="","",INDEX('Per Invoice'!$K$2:$K$801,$N662)))</f>
        <v/>
      </c>
      <c r="L662" s="5">
        <f>IF($N662="","",IF(INDEX('Per Invoice'!$L$2:$L$801,$N662)="","",INDEX('Per Invoice'!$L$2:$L$801,$N662)))</f>
        <v/>
      </c>
      <c r="M662" s="5">
        <f>IF($N662="","",IF(INDEX('Per Invoice'!$M$2:$M$801,$N662)="","",INDEX('Per Invoice'!$M$2:$M$801,$N662)))</f>
        <v/>
      </c>
      <c r="N662">
        <f>IF(ROWS($N$2:$N662)&lt;=COUNT('Per Invoice'!$O$2:$O$801),MATCH(ROWS($N$2:$N662),'Per Invoice'!$O$2:$O$801,0),"")</f>
        <v/>
      </c>
    </row>
    <row r="663">
      <c r="A663">
        <f>IF($N663="","",IF(INDEX('Per Invoice'!$A$2:$A$801,$N663)="","",INDEX('Per Invoice'!$A$2:$A$801,$N663)))</f>
        <v/>
      </c>
      <c r="B663">
        <f>IF($N663="","",IF(INDEX('Per Invoice'!$B$2:$B$801,$N663)="","",INDEX('Per Invoice'!$B$2:$B$801,$N663)))</f>
        <v/>
      </c>
      <c r="C663">
        <f>IF($N663="","",IF(INDEX('Per Invoice'!$C$2:$C$801,$N663)="","",INDEX('Per Invoice'!$C$2:$C$801,$N663)))</f>
        <v/>
      </c>
      <c r="D663">
        <f>IF($N663="","",IF(INDEX('Per Invoice'!$D$2:$D$801,$N663)="","",INDEX('Per Invoice'!$D$2:$D$801,$N663)))</f>
        <v/>
      </c>
      <c r="E663">
        <f>IF($N663="","",IF(INDEX('Per Invoice'!$E$2:$E$801,$N663)="","",INDEX('Per Invoice'!$E$2:$E$801,$N663)))</f>
        <v/>
      </c>
      <c r="F663">
        <f>IF($N663="","",IF(INDEX('Per Invoice'!$F$2:$F$801,$N663)="","",INDEX('Per Invoice'!$F$2:$F$801,$N663)))</f>
        <v/>
      </c>
      <c r="G663">
        <f>IF($N663="","",IF(INDEX('Per Invoice'!$G$2:$G$801,$N663)="","",INDEX('Per Invoice'!$G$2:$G$801,$N663)))</f>
        <v/>
      </c>
      <c r="H663">
        <f>IF($N663="","",IF(INDEX('Per Invoice'!$H$2:$H$801,$N663)="","",INDEX('Per Invoice'!$H$2:$H$801,$N663)))</f>
        <v/>
      </c>
      <c r="I663" s="5">
        <f>IF($N663="","",IF(INDEX('Per Invoice'!$I$2:$I$801,$N663)="","",INDEX('Per Invoice'!$I$2:$I$801,$N663)))</f>
        <v/>
      </c>
      <c r="J663" s="5">
        <f>IF($N663="","",IF(INDEX('Per Invoice'!$J$2:$J$801,$N663)="","",INDEX('Per Invoice'!$J$2:$J$801,$N663)))</f>
        <v/>
      </c>
      <c r="K663" s="5">
        <f>IF($N663="","",IF(INDEX('Per Invoice'!$K$2:$K$801,$N663)="","",INDEX('Per Invoice'!$K$2:$K$801,$N663)))</f>
        <v/>
      </c>
      <c r="L663" s="5">
        <f>IF($N663="","",IF(INDEX('Per Invoice'!$L$2:$L$801,$N663)="","",INDEX('Per Invoice'!$L$2:$L$801,$N663)))</f>
        <v/>
      </c>
      <c r="M663" s="5">
        <f>IF($N663="","",IF(INDEX('Per Invoice'!$M$2:$M$801,$N663)="","",INDEX('Per Invoice'!$M$2:$M$801,$N663)))</f>
        <v/>
      </c>
      <c r="N663">
        <f>IF(ROWS($N$2:$N663)&lt;=COUNT('Per Invoice'!$O$2:$O$801),MATCH(ROWS($N$2:$N663),'Per Invoice'!$O$2:$O$801,0),"")</f>
        <v/>
      </c>
    </row>
    <row r="664">
      <c r="A664">
        <f>IF($N664="","",IF(INDEX('Per Invoice'!$A$2:$A$801,$N664)="","",INDEX('Per Invoice'!$A$2:$A$801,$N664)))</f>
        <v/>
      </c>
      <c r="B664">
        <f>IF($N664="","",IF(INDEX('Per Invoice'!$B$2:$B$801,$N664)="","",INDEX('Per Invoice'!$B$2:$B$801,$N664)))</f>
        <v/>
      </c>
      <c r="C664">
        <f>IF($N664="","",IF(INDEX('Per Invoice'!$C$2:$C$801,$N664)="","",INDEX('Per Invoice'!$C$2:$C$801,$N664)))</f>
        <v/>
      </c>
      <c r="D664">
        <f>IF($N664="","",IF(INDEX('Per Invoice'!$D$2:$D$801,$N664)="","",INDEX('Per Invoice'!$D$2:$D$801,$N664)))</f>
        <v/>
      </c>
      <c r="E664">
        <f>IF($N664="","",IF(INDEX('Per Invoice'!$E$2:$E$801,$N664)="","",INDEX('Per Invoice'!$E$2:$E$801,$N664)))</f>
        <v/>
      </c>
      <c r="F664">
        <f>IF($N664="","",IF(INDEX('Per Invoice'!$F$2:$F$801,$N664)="","",INDEX('Per Invoice'!$F$2:$F$801,$N664)))</f>
        <v/>
      </c>
      <c r="G664">
        <f>IF($N664="","",IF(INDEX('Per Invoice'!$G$2:$G$801,$N664)="","",INDEX('Per Invoice'!$G$2:$G$801,$N664)))</f>
        <v/>
      </c>
      <c r="H664">
        <f>IF($N664="","",IF(INDEX('Per Invoice'!$H$2:$H$801,$N664)="","",INDEX('Per Invoice'!$H$2:$H$801,$N664)))</f>
        <v/>
      </c>
      <c r="I664" s="5">
        <f>IF($N664="","",IF(INDEX('Per Invoice'!$I$2:$I$801,$N664)="","",INDEX('Per Invoice'!$I$2:$I$801,$N664)))</f>
        <v/>
      </c>
      <c r="J664" s="5">
        <f>IF($N664="","",IF(INDEX('Per Invoice'!$J$2:$J$801,$N664)="","",INDEX('Per Invoice'!$J$2:$J$801,$N664)))</f>
        <v/>
      </c>
      <c r="K664" s="5">
        <f>IF($N664="","",IF(INDEX('Per Invoice'!$K$2:$K$801,$N664)="","",INDEX('Per Invoice'!$K$2:$K$801,$N664)))</f>
        <v/>
      </c>
      <c r="L664" s="5">
        <f>IF($N664="","",IF(INDEX('Per Invoice'!$L$2:$L$801,$N664)="","",INDEX('Per Invoice'!$L$2:$L$801,$N664)))</f>
        <v/>
      </c>
      <c r="M664" s="5">
        <f>IF($N664="","",IF(INDEX('Per Invoice'!$M$2:$M$801,$N664)="","",INDEX('Per Invoice'!$M$2:$M$801,$N664)))</f>
        <v/>
      </c>
      <c r="N664">
        <f>IF(ROWS($N$2:$N664)&lt;=COUNT('Per Invoice'!$O$2:$O$801),MATCH(ROWS($N$2:$N664),'Per Invoice'!$O$2:$O$801,0),"")</f>
        <v/>
      </c>
    </row>
    <row r="665">
      <c r="A665">
        <f>IF($N665="","",IF(INDEX('Per Invoice'!$A$2:$A$801,$N665)="","",INDEX('Per Invoice'!$A$2:$A$801,$N665)))</f>
        <v/>
      </c>
      <c r="B665">
        <f>IF($N665="","",IF(INDEX('Per Invoice'!$B$2:$B$801,$N665)="","",INDEX('Per Invoice'!$B$2:$B$801,$N665)))</f>
        <v/>
      </c>
      <c r="C665">
        <f>IF($N665="","",IF(INDEX('Per Invoice'!$C$2:$C$801,$N665)="","",INDEX('Per Invoice'!$C$2:$C$801,$N665)))</f>
        <v/>
      </c>
      <c r="D665">
        <f>IF($N665="","",IF(INDEX('Per Invoice'!$D$2:$D$801,$N665)="","",INDEX('Per Invoice'!$D$2:$D$801,$N665)))</f>
        <v/>
      </c>
      <c r="E665">
        <f>IF($N665="","",IF(INDEX('Per Invoice'!$E$2:$E$801,$N665)="","",INDEX('Per Invoice'!$E$2:$E$801,$N665)))</f>
        <v/>
      </c>
      <c r="F665">
        <f>IF($N665="","",IF(INDEX('Per Invoice'!$F$2:$F$801,$N665)="","",INDEX('Per Invoice'!$F$2:$F$801,$N665)))</f>
        <v/>
      </c>
      <c r="G665">
        <f>IF($N665="","",IF(INDEX('Per Invoice'!$G$2:$G$801,$N665)="","",INDEX('Per Invoice'!$G$2:$G$801,$N665)))</f>
        <v/>
      </c>
      <c r="H665">
        <f>IF($N665="","",IF(INDEX('Per Invoice'!$H$2:$H$801,$N665)="","",INDEX('Per Invoice'!$H$2:$H$801,$N665)))</f>
        <v/>
      </c>
      <c r="I665" s="5">
        <f>IF($N665="","",IF(INDEX('Per Invoice'!$I$2:$I$801,$N665)="","",INDEX('Per Invoice'!$I$2:$I$801,$N665)))</f>
        <v/>
      </c>
      <c r="J665" s="5">
        <f>IF($N665="","",IF(INDEX('Per Invoice'!$J$2:$J$801,$N665)="","",INDEX('Per Invoice'!$J$2:$J$801,$N665)))</f>
        <v/>
      </c>
      <c r="K665" s="5">
        <f>IF($N665="","",IF(INDEX('Per Invoice'!$K$2:$K$801,$N665)="","",INDEX('Per Invoice'!$K$2:$K$801,$N665)))</f>
        <v/>
      </c>
      <c r="L665" s="5">
        <f>IF($N665="","",IF(INDEX('Per Invoice'!$L$2:$L$801,$N665)="","",INDEX('Per Invoice'!$L$2:$L$801,$N665)))</f>
        <v/>
      </c>
      <c r="M665" s="5">
        <f>IF($N665="","",IF(INDEX('Per Invoice'!$M$2:$M$801,$N665)="","",INDEX('Per Invoice'!$M$2:$M$801,$N665)))</f>
        <v/>
      </c>
      <c r="N665">
        <f>IF(ROWS($N$2:$N665)&lt;=COUNT('Per Invoice'!$O$2:$O$801),MATCH(ROWS($N$2:$N665),'Per Invoice'!$O$2:$O$801,0),"")</f>
        <v/>
      </c>
    </row>
    <row r="666">
      <c r="A666">
        <f>IF($N666="","",IF(INDEX('Per Invoice'!$A$2:$A$801,$N666)="","",INDEX('Per Invoice'!$A$2:$A$801,$N666)))</f>
        <v/>
      </c>
      <c r="B666">
        <f>IF($N666="","",IF(INDEX('Per Invoice'!$B$2:$B$801,$N666)="","",INDEX('Per Invoice'!$B$2:$B$801,$N666)))</f>
        <v/>
      </c>
      <c r="C666">
        <f>IF($N666="","",IF(INDEX('Per Invoice'!$C$2:$C$801,$N666)="","",INDEX('Per Invoice'!$C$2:$C$801,$N666)))</f>
        <v/>
      </c>
      <c r="D666">
        <f>IF($N666="","",IF(INDEX('Per Invoice'!$D$2:$D$801,$N666)="","",INDEX('Per Invoice'!$D$2:$D$801,$N666)))</f>
        <v/>
      </c>
      <c r="E666">
        <f>IF($N666="","",IF(INDEX('Per Invoice'!$E$2:$E$801,$N666)="","",INDEX('Per Invoice'!$E$2:$E$801,$N666)))</f>
        <v/>
      </c>
      <c r="F666">
        <f>IF($N666="","",IF(INDEX('Per Invoice'!$F$2:$F$801,$N666)="","",INDEX('Per Invoice'!$F$2:$F$801,$N666)))</f>
        <v/>
      </c>
      <c r="G666">
        <f>IF($N666="","",IF(INDEX('Per Invoice'!$G$2:$G$801,$N666)="","",INDEX('Per Invoice'!$G$2:$G$801,$N666)))</f>
        <v/>
      </c>
      <c r="H666">
        <f>IF($N666="","",IF(INDEX('Per Invoice'!$H$2:$H$801,$N666)="","",INDEX('Per Invoice'!$H$2:$H$801,$N666)))</f>
        <v/>
      </c>
      <c r="I666" s="5">
        <f>IF($N666="","",IF(INDEX('Per Invoice'!$I$2:$I$801,$N666)="","",INDEX('Per Invoice'!$I$2:$I$801,$N666)))</f>
        <v/>
      </c>
      <c r="J666" s="5">
        <f>IF($N666="","",IF(INDEX('Per Invoice'!$J$2:$J$801,$N666)="","",INDEX('Per Invoice'!$J$2:$J$801,$N666)))</f>
        <v/>
      </c>
      <c r="K666" s="5">
        <f>IF($N666="","",IF(INDEX('Per Invoice'!$K$2:$K$801,$N666)="","",INDEX('Per Invoice'!$K$2:$K$801,$N666)))</f>
        <v/>
      </c>
      <c r="L666" s="5">
        <f>IF($N666="","",IF(INDEX('Per Invoice'!$L$2:$L$801,$N666)="","",INDEX('Per Invoice'!$L$2:$L$801,$N666)))</f>
        <v/>
      </c>
      <c r="M666" s="5">
        <f>IF($N666="","",IF(INDEX('Per Invoice'!$M$2:$M$801,$N666)="","",INDEX('Per Invoice'!$M$2:$M$801,$N666)))</f>
        <v/>
      </c>
      <c r="N666">
        <f>IF(ROWS($N$2:$N666)&lt;=COUNT('Per Invoice'!$O$2:$O$801),MATCH(ROWS($N$2:$N666),'Per Invoice'!$O$2:$O$801,0),"")</f>
        <v/>
      </c>
    </row>
    <row r="667">
      <c r="A667">
        <f>IF($N667="","",IF(INDEX('Per Invoice'!$A$2:$A$801,$N667)="","",INDEX('Per Invoice'!$A$2:$A$801,$N667)))</f>
        <v/>
      </c>
      <c r="B667">
        <f>IF($N667="","",IF(INDEX('Per Invoice'!$B$2:$B$801,$N667)="","",INDEX('Per Invoice'!$B$2:$B$801,$N667)))</f>
        <v/>
      </c>
      <c r="C667">
        <f>IF($N667="","",IF(INDEX('Per Invoice'!$C$2:$C$801,$N667)="","",INDEX('Per Invoice'!$C$2:$C$801,$N667)))</f>
        <v/>
      </c>
      <c r="D667">
        <f>IF($N667="","",IF(INDEX('Per Invoice'!$D$2:$D$801,$N667)="","",INDEX('Per Invoice'!$D$2:$D$801,$N667)))</f>
        <v/>
      </c>
      <c r="E667">
        <f>IF($N667="","",IF(INDEX('Per Invoice'!$E$2:$E$801,$N667)="","",INDEX('Per Invoice'!$E$2:$E$801,$N667)))</f>
        <v/>
      </c>
      <c r="F667">
        <f>IF($N667="","",IF(INDEX('Per Invoice'!$F$2:$F$801,$N667)="","",INDEX('Per Invoice'!$F$2:$F$801,$N667)))</f>
        <v/>
      </c>
      <c r="G667">
        <f>IF($N667="","",IF(INDEX('Per Invoice'!$G$2:$G$801,$N667)="","",INDEX('Per Invoice'!$G$2:$G$801,$N667)))</f>
        <v/>
      </c>
      <c r="H667">
        <f>IF($N667="","",IF(INDEX('Per Invoice'!$H$2:$H$801,$N667)="","",INDEX('Per Invoice'!$H$2:$H$801,$N667)))</f>
        <v/>
      </c>
      <c r="I667" s="5">
        <f>IF($N667="","",IF(INDEX('Per Invoice'!$I$2:$I$801,$N667)="","",INDEX('Per Invoice'!$I$2:$I$801,$N667)))</f>
        <v/>
      </c>
      <c r="J667" s="5">
        <f>IF($N667="","",IF(INDEX('Per Invoice'!$J$2:$J$801,$N667)="","",INDEX('Per Invoice'!$J$2:$J$801,$N667)))</f>
        <v/>
      </c>
      <c r="K667" s="5">
        <f>IF($N667="","",IF(INDEX('Per Invoice'!$K$2:$K$801,$N667)="","",INDEX('Per Invoice'!$K$2:$K$801,$N667)))</f>
        <v/>
      </c>
      <c r="L667" s="5">
        <f>IF($N667="","",IF(INDEX('Per Invoice'!$L$2:$L$801,$N667)="","",INDEX('Per Invoice'!$L$2:$L$801,$N667)))</f>
        <v/>
      </c>
      <c r="M667" s="5">
        <f>IF($N667="","",IF(INDEX('Per Invoice'!$M$2:$M$801,$N667)="","",INDEX('Per Invoice'!$M$2:$M$801,$N667)))</f>
        <v/>
      </c>
      <c r="N667">
        <f>IF(ROWS($N$2:$N667)&lt;=COUNT('Per Invoice'!$O$2:$O$801),MATCH(ROWS($N$2:$N667),'Per Invoice'!$O$2:$O$801,0),"")</f>
        <v/>
      </c>
    </row>
    <row r="668">
      <c r="A668">
        <f>IF($N668="","",IF(INDEX('Per Invoice'!$A$2:$A$801,$N668)="","",INDEX('Per Invoice'!$A$2:$A$801,$N668)))</f>
        <v/>
      </c>
      <c r="B668">
        <f>IF($N668="","",IF(INDEX('Per Invoice'!$B$2:$B$801,$N668)="","",INDEX('Per Invoice'!$B$2:$B$801,$N668)))</f>
        <v/>
      </c>
      <c r="C668">
        <f>IF($N668="","",IF(INDEX('Per Invoice'!$C$2:$C$801,$N668)="","",INDEX('Per Invoice'!$C$2:$C$801,$N668)))</f>
        <v/>
      </c>
      <c r="D668">
        <f>IF($N668="","",IF(INDEX('Per Invoice'!$D$2:$D$801,$N668)="","",INDEX('Per Invoice'!$D$2:$D$801,$N668)))</f>
        <v/>
      </c>
      <c r="E668">
        <f>IF($N668="","",IF(INDEX('Per Invoice'!$E$2:$E$801,$N668)="","",INDEX('Per Invoice'!$E$2:$E$801,$N668)))</f>
        <v/>
      </c>
      <c r="F668">
        <f>IF($N668="","",IF(INDEX('Per Invoice'!$F$2:$F$801,$N668)="","",INDEX('Per Invoice'!$F$2:$F$801,$N668)))</f>
        <v/>
      </c>
      <c r="G668">
        <f>IF($N668="","",IF(INDEX('Per Invoice'!$G$2:$G$801,$N668)="","",INDEX('Per Invoice'!$G$2:$G$801,$N668)))</f>
        <v/>
      </c>
      <c r="H668">
        <f>IF($N668="","",IF(INDEX('Per Invoice'!$H$2:$H$801,$N668)="","",INDEX('Per Invoice'!$H$2:$H$801,$N668)))</f>
        <v/>
      </c>
      <c r="I668" s="5">
        <f>IF($N668="","",IF(INDEX('Per Invoice'!$I$2:$I$801,$N668)="","",INDEX('Per Invoice'!$I$2:$I$801,$N668)))</f>
        <v/>
      </c>
      <c r="J668" s="5">
        <f>IF($N668="","",IF(INDEX('Per Invoice'!$J$2:$J$801,$N668)="","",INDEX('Per Invoice'!$J$2:$J$801,$N668)))</f>
        <v/>
      </c>
      <c r="K668" s="5">
        <f>IF($N668="","",IF(INDEX('Per Invoice'!$K$2:$K$801,$N668)="","",INDEX('Per Invoice'!$K$2:$K$801,$N668)))</f>
        <v/>
      </c>
      <c r="L668" s="5">
        <f>IF($N668="","",IF(INDEX('Per Invoice'!$L$2:$L$801,$N668)="","",INDEX('Per Invoice'!$L$2:$L$801,$N668)))</f>
        <v/>
      </c>
      <c r="M668" s="5">
        <f>IF($N668="","",IF(INDEX('Per Invoice'!$M$2:$M$801,$N668)="","",INDEX('Per Invoice'!$M$2:$M$801,$N668)))</f>
        <v/>
      </c>
      <c r="N668">
        <f>IF(ROWS($N$2:$N668)&lt;=COUNT('Per Invoice'!$O$2:$O$801),MATCH(ROWS($N$2:$N668),'Per Invoice'!$O$2:$O$801,0),"")</f>
        <v/>
      </c>
    </row>
    <row r="669">
      <c r="A669">
        <f>IF($N669="","",IF(INDEX('Per Invoice'!$A$2:$A$801,$N669)="","",INDEX('Per Invoice'!$A$2:$A$801,$N669)))</f>
        <v/>
      </c>
      <c r="B669">
        <f>IF($N669="","",IF(INDEX('Per Invoice'!$B$2:$B$801,$N669)="","",INDEX('Per Invoice'!$B$2:$B$801,$N669)))</f>
        <v/>
      </c>
      <c r="C669">
        <f>IF($N669="","",IF(INDEX('Per Invoice'!$C$2:$C$801,$N669)="","",INDEX('Per Invoice'!$C$2:$C$801,$N669)))</f>
        <v/>
      </c>
      <c r="D669">
        <f>IF($N669="","",IF(INDEX('Per Invoice'!$D$2:$D$801,$N669)="","",INDEX('Per Invoice'!$D$2:$D$801,$N669)))</f>
        <v/>
      </c>
      <c r="E669">
        <f>IF($N669="","",IF(INDEX('Per Invoice'!$E$2:$E$801,$N669)="","",INDEX('Per Invoice'!$E$2:$E$801,$N669)))</f>
        <v/>
      </c>
      <c r="F669">
        <f>IF($N669="","",IF(INDEX('Per Invoice'!$F$2:$F$801,$N669)="","",INDEX('Per Invoice'!$F$2:$F$801,$N669)))</f>
        <v/>
      </c>
      <c r="G669">
        <f>IF($N669="","",IF(INDEX('Per Invoice'!$G$2:$G$801,$N669)="","",INDEX('Per Invoice'!$G$2:$G$801,$N669)))</f>
        <v/>
      </c>
      <c r="H669">
        <f>IF($N669="","",IF(INDEX('Per Invoice'!$H$2:$H$801,$N669)="","",INDEX('Per Invoice'!$H$2:$H$801,$N669)))</f>
        <v/>
      </c>
      <c r="I669" s="5">
        <f>IF($N669="","",IF(INDEX('Per Invoice'!$I$2:$I$801,$N669)="","",INDEX('Per Invoice'!$I$2:$I$801,$N669)))</f>
        <v/>
      </c>
      <c r="J669" s="5">
        <f>IF($N669="","",IF(INDEX('Per Invoice'!$J$2:$J$801,$N669)="","",INDEX('Per Invoice'!$J$2:$J$801,$N669)))</f>
        <v/>
      </c>
      <c r="K669" s="5">
        <f>IF($N669="","",IF(INDEX('Per Invoice'!$K$2:$K$801,$N669)="","",INDEX('Per Invoice'!$K$2:$K$801,$N669)))</f>
        <v/>
      </c>
      <c r="L669" s="5">
        <f>IF($N669="","",IF(INDEX('Per Invoice'!$L$2:$L$801,$N669)="","",INDEX('Per Invoice'!$L$2:$L$801,$N669)))</f>
        <v/>
      </c>
      <c r="M669" s="5">
        <f>IF($N669="","",IF(INDEX('Per Invoice'!$M$2:$M$801,$N669)="","",INDEX('Per Invoice'!$M$2:$M$801,$N669)))</f>
        <v/>
      </c>
      <c r="N669">
        <f>IF(ROWS($N$2:$N669)&lt;=COUNT('Per Invoice'!$O$2:$O$801),MATCH(ROWS($N$2:$N669),'Per Invoice'!$O$2:$O$801,0),"")</f>
        <v/>
      </c>
    </row>
    <row r="670">
      <c r="A670">
        <f>IF($N670="","",IF(INDEX('Per Invoice'!$A$2:$A$801,$N670)="","",INDEX('Per Invoice'!$A$2:$A$801,$N670)))</f>
        <v/>
      </c>
      <c r="B670">
        <f>IF($N670="","",IF(INDEX('Per Invoice'!$B$2:$B$801,$N670)="","",INDEX('Per Invoice'!$B$2:$B$801,$N670)))</f>
        <v/>
      </c>
      <c r="C670">
        <f>IF($N670="","",IF(INDEX('Per Invoice'!$C$2:$C$801,$N670)="","",INDEX('Per Invoice'!$C$2:$C$801,$N670)))</f>
        <v/>
      </c>
      <c r="D670">
        <f>IF($N670="","",IF(INDEX('Per Invoice'!$D$2:$D$801,$N670)="","",INDEX('Per Invoice'!$D$2:$D$801,$N670)))</f>
        <v/>
      </c>
      <c r="E670">
        <f>IF($N670="","",IF(INDEX('Per Invoice'!$E$2:$E$801,$N670)="","",INDEX('Per Invoice'!$E$2:$E$801,$N670)))</f>
        <v/>
      </c>
      <c r="F670">
        <f>IF($N670="","",IF(INDEX('Per Invoice'!$F$2:$F$801,$N670)="","",INDEX('Per Invoice'!$F$2:$F$801,$N670)))</f>
        <v/>
      </c>
      <c r="G670">
        <f>IF($N670="","",IF(INDEX('Per Invoice'!$G$2:$G$801,$N670)="","",INDEX('Per Invoice'!$G$2:$G$801,$N670)))</f>
        <v/>
      </c>
      <c r="H670">
        <f>IF($N670="","",IF(INDEX('Per Invoice'!$H$2:$H$801,$N670)="","",INDEX('Per Invoice'!$H$2:$H$801,$N670)))</f>
        <v/>
      </c>
      <c r="I670" s="5">
        <f>IF($N670="","",IF(INDEX('Per Invoice'!$I$2:$I$801,$N670)="","",INDEX('Per Invoice'!$I$2:$I$801,$N670)))</f>
        <v/>
      </c>
      <c r="J670" s="5">
        <f>IF($N670="","",IF(INDEX('Per Invoice'!$J$2:$J$801,$N670)="","",INDEX('Per Invoice'!$J$2:$J$801,$N670)))</f>
        <v/>
      </c>
      <c r="K670" s="5">
        <f>IF($N670="","",IF(INDEX('Per Invoice'!$K$2:$K$801,$N670)="","",INDEX('Per Invoice'!$K$2:$K$801,$N670)))</f>
        <v/>
      </c>
      <c r="L670" s="5">
        <f>IF($N670="","",IF(INDEX('Per Invoice'!$L$2:$L$801,$N670)="","",INDEX('Per Invoice'!$L$2:$L$801,$N670)))</f>
        <v/>
      </c>
      <c r="M670" s="5">
        <f>IF($N670="","",IF(INDEX('Per Invoice'!$M$2:$M$801,$N670)="","",INDEX('Per Invoice'!$M$2:$M$801,$N670)))</f>
        <v/>
      </c>
      <c r="N670">
        <f>IF(ROWS($N$2:$N670)&lt;=COUNT('Per Invoice'!$O$2:$O$801),MATCH(ROWS($N$2:$N670),'Per Invoice'!$O$2:$O$801,0),"")</f>
        <v/>
      </c>
    </row>
    <row r="671">
      <c r="A671">
        <f>IF($N671="","",IF(INDEX('Per Invoice'!$A$2:$A$801,$N671)="","",INDEX('Per Invoice'!$A$2:$A$801,$N671)))</f>
        <v/>
      </c>
      <c r="B671">
        <f>IF($N671="","",IF(INDEX('Per Invoice'!$B$2:$B$801,$N671)="","",INDEX('Per Invoice'!$B$2:$B$801,$N671)))</f>
        <v/>
      </c>
      <c r="C671">
        <f>IF($N671="","",IF(INDEX('Per Invoice'!$C$2:$C$801,$N671)="","",INDEX('Per Invoice'!$C$2:$C$801,$N671)))</f>
        <v/>
      </c>
      <c r="D671">
        <f>IF($N671="","",IF(INDEX('Per Invoice'!$D$2:$D$801,$N671)="","",INDEX('Per Invoice'!$D$2:$D$801,$N671)))</f>
        <v/>
      </c>
      <c r="E671">
        <f>IF($N671="","",IF(INDEX('Per Invoice'!$E$2:$E$801,$N671)="","",INDEX('Per Invoice'!$E$2:$E$801,$N671)))</f>
        <v/>
      </c>
      <c r="F671">
        <f>IF($N671="","",IF(INDEX('Per Invoice'!$F$2:$F$801,$N671)="","",INDEX('Per Invoice'!$F$2:$F$801,$N671)))</f>
        <v/>
      </c>
      <c r="G671">
        <f>IF($N671="","",IF(INDEX('Per Invoice'!$G$2:$G$801,$N671)="","",INDEX('Per Invoice'!$G$2:$G$801,$N671)))</f>
        <v/>
      </c>
      <c r="H671">
        <f>IF($N671="","",IF(INDEX('Per Invoice'!$H$2:$H$801,$N671)="","",INDEX('Per Invoice'!$H$2:$H$801,$N671)))</f>
        <v/>
      </c>
      <c r="I671" s="5">
        <f>IF($N671="","",IF(INDEX('Per Invoice'!$I$2:$I$801,$N671)="","",INDEX('Per Invoice'!$I$2:$I$801,$N671)))</f>
        <v/>
      </c>
      <c r="J671" s="5">
        <f>IF($N671="","",IF(INDEX('Per Invoice'!$J$2:$J$801,$N671)="","",INDEX('Per Invoice'!$J$2:$J$801,$N671)))</f>
        <v/>
      </c>
      <c r="K671" s="5">
        <f>IF($N671="","",IF(INDEX('Per Invoice'!$K$2:$K$801,$N671)="","",INDEX('Per Invoice'!$K$2:$K$801,$N671)))</f>
        <v/>
      </c>
      <c r="L671" s="5">
        <f>IF($N671="","",IF(INDEX('Per Invoice'!$L$2:$L$801,$N671)="","",INDEX('Per Invoice'!$L$2:$L$801,$N671)))</f>
        <v/>
      </c>
      <c r="M671" s="5">
        <f>IF($N671="","",IF(INDEX('Per Invoice'!$M$2:$M$801,$N671)="","",INDEX('Per Invoice'!$M$2:$M$801,$N671)))</f>
        <v/>
      </c>
      <c r="N671">
        <f>IF(ROWS($N$2:$N671)&lt;=COUNT('Per Invoice'!$O$2:$O$801),MATCH(ROWS($N$2:$N671),'Per Invoice'!$O$2:$O$801,0),"")</f>
        <v/>
      </c>
    </row>
    <row r="672">
      <c r="A672">
        <f>IF($N672="","",IF(INDEX('Per Invoice'!$A$2:$A$801,$N672)="","",INDEX('Per Invoice'!$A$2:$A$801,$N672)))</f>
        <v/>
      </c>
      <c r="B672">
        <f>IF($N672="","",IF(INDEX('Per Invoice'!$B$2:$B$801,$N672)="","",INDEX('Per Invoice'!$B$2:$B$801,$N672)))</f>
        <v/>
      </c>
      <c r="C672">
        <f>IF($N672="","",IF(INDEX('Per Invoice'!$C$2:$C$801,$N672)="","",INDEX('Per Invoice'!$C$2:$C$801,$N672)))</f>
        <v/>
      </c>
      <c r="D672">
        <f>IF($N672="","",IF(INDEX('Per Invoice'!$D$2:$D$801,$N672)="","",INDEX('Per Invoice'!$D$2:$D$801,$N672)))</f>
        <v/>
      </c>
      <c r="E672">
        <f>IF($N672="","",IF(INDEX('Per Invoice'!$E$2:$E$801,$N672)="","",INDEX('Per Invoice'!$E$2:$E$801,$N672)))</f>
        <v/>
      </c>
      <c r="F672">
        <f>IF($N672="","",IF(INDEX('Per Invoice'!$F$2:$F$801,$N672)="","",INDEX('Per Invoice'!$F$2:$F$801,$N672)))</f>
        <v/>
      </c>
      <c r="G672">
        <f>IF($N672="","",IF(INDEX('Per Invoice'!$G$2:$G$801,$N672)="","",INDEX('Per Invoice'!$G$2:$G$801,$N672)))</f>
        <v/>
      </c>
      <c r="H672">
        <f>IF($N672="","",IF(INDEX('Per Invoice'!$H$2:$H$801,$N672)="","",INDEX('Per Invoice'!$H$2:$H$801,$N672)))</f>
        <v/>
      </c>
      <c r="I672" s="5">
        <f>IF($N672="","",IF(INDEX('Per Invoice'!$I$2:$I$801,$N672)="","",INDEX('Per Invoice'!$I$2:$I$801,$N672)))</f>
        <v/>
      </c>
      <c r="J672" s="5">
        <f>IF($N672="","",IF(INDEX('Per Invoice'!$J$2:$J$801,$N672)="","",INDEX('Per Invoice'!$J$2:$J$801,$N672)))</f>
        <v/>
      </c>
      <c r="K672" s="5">
        <f>IF($N672="","",IF(INDEX('Per Invoice'!$K$2:$K$801,$N672)="","",INDEX('Per Invoice'!$K$2:$K$801,$N672)))</f>
        <v/>
      </c>
      <c r="L672" s="5">
        <f>IF($N672="","",IF(INDEX('Per Invoice'!$L$2:$L$801,$N672)="","",INDEX('Per Invoice'!$L$2:$L$801,$N672)))</f>
        <v/>
      </c>
      <c r="M672" s="5">
        <f>IF($N672="","",IF(INDEX('Per Invoice'!$M$2:$M$801,$N672)="","",INDEX('Per Invoice'!$M$2:$M$801,$N672)))</f>
        <v/>
      </c>
      <c r="N672">
        <f>IF(ROWS($N$2:$N672)&lt;=COUNT('Per Invoice'!$O$2:$O$801),MATCH(ROWS($N$2:$N672),'Per Invoice'!$O$2:$O$801,0),"")</f>
        <v/>
      </c>
    </row>
    <row r="673">
      <c r="A673">
        <f>IF($N673="","",IF(INDEX('Per Invoice'!$A$2:$A$801,$N673)="","",INDEX('Per Invoice'!$A$2:$A$801,$N673)))</f>
        <v/>
      </c>
      <c r="B673">
        <f>IF($N673="","",IF(INDEX('Per Invoice'!$B$2:$B$801,$N673)="","",INDEX('Per Invoice'!$B$2:$B$801,$N673)))</f>
        <v/>
      </c>
      <c r="C673">
        <f>IF($N673="","",IF(INDEX('Per Invoice'!$C$2:$C$801,$N673)="","",INDEX('Per Invoice'!$C$2:$C$801,$N673)))</f>
        <v/>
      </c>
      <c r="D673">
        <f>IF($N673="","",IF(INDEX('Per Invoice'!$D$2:$D$801,$N673)="","",INDEX('Per Invoice'!$D$2:$D$801,$N673)))</f>
        <v/>
      </c>
      <c r="E673">
        <f>IF($N673="","",IF(INDEX('Per Invoice'!$E$2:$E$801,$N673)="","",INDEX('Per Invoice'!$E$2:$E$801,$N673)))</f>
        <v/>
      </c>
      <c r="F673">
        <f>IF($N673="","",IF(INDEX('Per Invoice'!$F$2:$F$801,$N673)="","",INDEX('Per Invoice'!$F$2:$F$801,$N673)))</f>
        <v/>
      </c>
      <c r="G673">
        <f>IF($N673="","",IF(INDEX('Per Invoice'!$G$2:$G$801,$N673)="","",INDEX('Per Invoice'!$G$2:$G$801,$N673)))</f>
        <v/>
      </c>
      <c r="H673">
        <f>IF($N673="","",IF(INDEX('Per Invoice'!$H$2:$H$801,$N673)="","",INDEX('Per Invoice'!$H$2:$H$801,$N673)))</f>
        <v/>
      </c>
      <c r="I673" s="5">
        <f>IF($N673="","",IF(INDEX('Per Invoice'!$I$2:$I$801,$N673)="","",INDEX('Per Invoice'!$I$2:$I$801,$N673)))</f>
        <v/>
      </c>
      <c r="J673" s="5">
        <f>IF($N673="","",IF(INDEX('Per Invoice'!$J$2:$J$801,$N673)="","",INDEX('Per Invoice'!$J$2:$J$801,$N673)))</f>
        <v/>
      </c>
      <c r="K673" s="5">
        <f>IF($N673="","",IF(INDEX('Per Invoice'!$K$2:$K$801,$N673)="","",INDEX('Per Invoice'!$K$2:$K$801,$N673)))</f>
        <v/>
      </c>
      <c r="L673" s="5">
        <f>IF($N673="","",IF(INDEX('Per Invoice'!$L$2:$L$801,$N673)="","",INDEX('Per Invoice'!$L$2:$L$801,$N673)))</f>
        <v/>
      </c>
      <c r="M673" s="5">
        <f>IF($N673="","",IF(INDEX('Per Invoice'!$M$2:$M$801,$N673)="","",INDEX('Per Invoice'!$M$2:$M$801,$N673)))</f>
        <v/>
      </c>
      <c r="N673">
        <f>IF(ROWS($N$2:$N673)&lt;=COUNT('Per Invoice'!$O$2:$O$801),MATCH(ROWS($N$2:$N673),'Per Invoice'!$O$2:$O$801,0),"")</f>
        <v/>
      </c>
    </row>
    <row r="674">
      <c r="A674">
        <f>IF($N674="","",IF(INDEX('Per Invoice'!$A$2:$A$801,$N674)="","",INDEX('Per Invoice'!$A$2:$A$801,$N674)))</f>
        <v/>
      </c>
      <c r="B674">
        <f>IF($N674="","",IF(INDEX('Per Invoice'!$B$2:$B$801,$N674)="","",INDEX('Per Invoice'!$B$2:$B$801,$N674)))</f>
        <v/>
      </c>
      <c r="C674">
        <f>IF($N674="","",IF(INDEX('Per Invoice'!$C$2:$C$801,$N674)="","",INDEX('Per Invoice'!$C$2:$C$801,$N674)))</f>
        <v/>
      </c>
      <c r="D674">
        <f>IF($N674="","",IF(INDEX('Per Invoice'!$D$2:$D$801,$N674)="","",INDEX('Per Invoice'!$D$2:$D$801,$N674)))</f>
        <v/>
      </c>
      <c r="E674">
        <f>IF($N674="","",IF(INDEX('Per Invoice'!$E$2:$E$801,$N674)="","",INDEX('Per Invoice'!$E$2:$E$801,$N674)))</f>
        <v/>
      </c>
      <c r="F674">
        <f>IF($N674="","",IF(INDEX('Per Invoice'!$F$2:$F$801,$N674)="","",INDEX('Per Invoice'!$F$2:$F$801,$N674)))</f>
        <v/>
      </c>
      <c r="G674">
        <f>IF($N674="","",IF(INDEX('Per Invoice'!$G$2:$G$801,$N674)="","",INDEX('Per Invoice'!$G$2:$G$801,$N674)))</f>
        <v/>
      </c>
      <c r="H674">
        <f>IF($N674="","",IF(INDEX('Per Invoice'!$H$2:$H$801,$N674)="","",INDEX('Per Invoice'!$H$2:$H$801,$N674)))</f>
        <v/>
      </c>
      <c r="I674" s="5">
        <f>IF($N674="","",IF(INDEX('Per Invoice'!$I$2:$I$801,$N674)="","",INDEX('Per Invoice'!$I$2:$I$801,$N674)))</f>
        <v/>
      </c>
      <c r="J674" s="5">
        <f>IF($N674="","",IF(INDEX('Per Invoice'!$J$2:$J$801,$N674)="","",INDEX('Per Invoice'!$J$2:$J$801,$N674)))</f>
        <v/>
      </c>
      <c r="K674" s="5">
        <f>IF($N674="","",IF(INDEX('Per Invoice'!$K$2:$K$801,$N674)="","",INDEX('Per Invoice'!$K$2:$K$801,$N674)))</f>
        <v/>
      </c>
      <c r="L674" s="5">
        <f>IF($N674="","",IF(INDEX('Per Invoice'!$L$2:$L$801,$N674)="","",INDEX('Per Invoice'!$L$2:$L$801,$N674)))</f>
        <v/>
      </c>
      <c r="M674" s="5">
        <f>IF($N674="","",IF(INDEX('Per Invoice'!$M$2:$M$801,$N674)="","",INDEX('Per Invoice'!$M$2:$M$801,$N674)))</f>
        <v/>
      </c>
      <c r="N674">
        <f>IF(ROWS($N$2:$N674)&lt;=COUNT('Per Invoice'!$O$2:$O$801),MATCH(ROWS($N$2:$N674),'Per Invoice'!$O$2:$O$801,0),"")</f>
        <v/>
      </c>
    </row>
    <row r="675">
      <c r="A675">
        <f>IF($N675="","",IF(INDEX('Per Invoice'!$A$2:$A$801,$N675)="","",INDEX('Per Invoice'!$A$2:$A$801,$N675)))</f>
        <v/>
      </c>
      <c r="B675">
        <f>IF($N675="","",IF(INDEX('Per Invoice'!$B$2:$B$801,$N675)="","",INDEX('Per Invoice'!$B$2:$B$801,$N675)))</f>
        <v/>
      </c>
      <c r="C675">
        <f>IF($N675="","",IF(INDEX('Per Invoice'!$C$2:$C$801,$N675)="","",INDEX('Per Invoice'!$C$2:$C$801,$N675)))</f>
        <v/>
      </c>
      <c r="D675">
        <f>IF($N675="","",IF(INDEX('Per Invoice'!$D$2:$D$801,$N675)="","",INDEX('Per Invoice'!$D$2:$D$801,$N675)))</f>
        <v/>
      </c>
      <c r="E675">
        <f>IF($N675="","",IF(INDEX('Per Invoice'!$E$2:$E$801,$N675)="","",INDEX('Per Invoice'!$E$2:$E$801,$N675)))</f>
        <v/>
      </c>
      <c r="F675">
        <f>IF($N675="","",IF(INDEX('Per Invoice'!$F$2:$F$801,$N675)="","",INDEX('Per Invoice'!$F$2:$F$801,$N675)))</f>
        <v/>
      </c>
      <c r="G675">
        <f>IF($N675="","",IF(INDEX('Per Invoice'!$G$2:$G$801,$N675)="","",INDEX('Per Invoice'!$G$2:$G$801,$N675)))</f>
        <v/>
      </c>
      <c r="H675">
        <f>IF($N675="","",IF(INDEX('Per Invoice'!$H$2:$H$801,$N675)="","",INDEX('Per Invoice'!$H$2:$H$801,$N675)))</f>
        <v/>
      </c>
      <c r="I675" s="5">
        <f>IF($N675="","",IF(INDEX('Per Invoice'!$I$2:$I$801,$N675)="","",INDEX('Per Invoice'!$I$2:$I$801,$N675)))</f>
        <v/>
      </c>
      <c r="J675" s="5">
        <f>IF($N675="","",IF(INDEX('Per Invoice'!$J$2:$J$801,$N675)="","",INDEX('Per Invoice'!$J$2:$J$801,$N675)))</f>
        <v/>
      </c>
      <c r="K675" s="5">
        <f>IF($N675="","",IF(INDEX('Per Invoice'!$K$2:$K$801,$N675)="","",INDEX('Per Invoice'!$K$2:$K$801,$N675)))</f>
        <v/>
      </c>
      <c r="L675" s="5">
        <f>IF($N675="","",IF(INDEX('Per Invoice'!$L$2:$L$801,$N675)="","",INDEX('Per Invoice'!$L$2:$L$801,$N675)))</f>
        <v/>
      </c>
      <c r="M675" s="5">
        <f>IF($N675="","",IF(INDEX('Per Invoice'!$M$2:$M$801,$N675)="","",INDEX('Per Invoice'!$M$2:$M$801,$N675)))</f>
        <v/>
      </c>
      <c r="N675">
        <f>IF(ROWS($N$2:$N675)&lt;=COUNT('Per Invoice'!$O$2:$O$801),MATCH(ROWS($N$2:$N675),'Per Invoice'!$O$2:$O$801,0),"")</f>
        <v/>
      </c>
    </row>
    <row r="676">
      <c r="A676">
        <f>IF($N676="","",IF(INDEX('Per Invoice'!$A$2:$A$801,$N676)="","",INDEX('Per Invoice'!$A$2:$A$801,$N676)))</f>
        <v/>
      </c>
      <c r="B676">
        <f>IF($N676="","",IF(INDEX('Per Invoice'!$B$2:$B$801,$N676)="","",INDEX('Per Invoice'!$B$2:$B$801,$N676)))</f>
        <v/>
      </c>
      <c r="C676">
        <f>IF($N676="","",IF(INDEX('Per Invoice'!$C$2:$C$801,$N676)="","",INDEX('Per Invoice'!$C$2:$C$801,$N676)))</f>
        <v/>
      </c>
      <c r="D676">
        <f>IF($N676="","",IF(INDEX('Per Invoice'!$D$2:$D$801,$N676)="","",INDEX('Per Invoice'!$D$2:$D$801,$N676)))</f>
        <v/>
      </c>
      <c r="E676">
        <f>IF($N676="","",IF(INDEX('Per Invoice'!$E$2:$E$801,$N676)="","",INDEX('Per Invoice'!$E$2:$E$801,$N676)))</f>
        <v/>
      </c>
      <c r="F676">
        <f>IF($N676="","",IF(INDEX('Per Invoice'!$F$2:$F$801,$N676)="","",INDEX('Per Invoice'!$F$2:$F$801,$N676)))</f>
        <v/>
      </c>
      <c r="G676">
        <f>IF($N676="","",IF(INDEX('Per Invoice'!$G$2:$G$801,$N676)="","",INDEX('Per Invoice'!$G$2:$G$801,$N676)))</f>
        <v/>
      </c>
      <c r="H676">
        <f>IF($N676="","",IF(INDEX('Per Invoice'!$H$2:$H$801,$N676)="","",INDEX('Per Invoice'!$H$2:$H$801,$N676)))</f>
        <v/>
      </c>
      <c r="I676" s="5">
        <f>IF($N676="","",IF(INDEX('Per Invoice'!$I$2:$I$801,$N676)="","",INDEX('Per Invoice'!$I$2:$I$801,$N676)))</f>
        <v/>
      </c>
      <c r="J676" s="5">
        <f>IF($N676="","",IF(INDEX('Per Invoice'!$J$2:$J$801,$N676)="","",INDEX('Per Invoice'!$J$2:$J$801,$N676)))</f>
        <v/>
      </c>
      <c r="K676" s="5">
        <f>IF($N676="","",IF(INDEX('Per Invoice'!$K$2:$K$801,$N676)="","",INDEX('Per Invoice'!$K$2:$K$801,$N676)))</f>
        <v/>
      </c>
      <c r="L676" s="5">
        <f>IF($N676="","",IF(INDEX('Per Invoice'!$L$2:$L$801,$N676)="","",INDEX('Per Invoice'!$L$2:$L$801,$N676)))</f>
        <v/>
      </c>
      <c r="M676" s="5">
        <f>IF($N676="","",IF(INDEX('Per Invoice'!$M$2:$M$801,$N676)="","",INDEX('Per Invoice'!$M$2:$M$801,$N676)))</f>
        <v/>
      </c>
      <c r="N676">
        <f>IF(ROWS($N$2:$N676)&lt;=COUNT('Per Invoice'!$O$2:$O$801),MATCH(ROWS($N$2:$N676),'Per Invoice'!$O$2:$O$801,0),"")</f>
        <v/>
      </c>
    </row>
    <row r="677">
      <c r="A677">
        <f>IF($N677="","",IF(INDEX('Per Invoice'!$A$2:$A$801,$N677)="","",INDEX('Per Invoice'!$A$2:$A$801,$N677)))</f>
        <v/>
      </c>
      <c r="B677">
        <f>IF($N677="","",IF(INDEX('Per Invoice'!$B$2:$B$801,$N677)="","",INDEX('Per Invoice'!$B$2:$B$801,$N677)))</f>
        <v/>
      </c>
      <c r="C677">
        <f>IF($N677="","",IF(INDEX('Per Invoice'!$C$2:$C$801,$N677)="","",INDEX('Per Invoice'!$C$2:$C$801,$N677)))</f>
        <v/>
      </c>
      <c r="D677">
        <f>IF($N677="","",IF(INDEX('Per Invoice'!$D$2:$D$801,$N677)="","",INDEX('Per Invoice'!$D$2:$D$801,$N677)))</f>
        <v/>
      </c>
      <c r="E677">
        <f>IF($N677="","",IF(INDEX('Per Invoice'!$E$2:$E$801,$N677)="","",INDEX('Per Invoice'!$E$2:$E$801,$N677)))</f>
        <v/>
      </c>
      <c r="F677">
        <f>IF($N677="","",IF(INDEX('Per Invoice'!$F$2:$F$801,$N677)="","",INDEX('Per Invoice'!$F$2:$F$801,$N677)))</f>
        <v/>
      </c>
      <c r="G677">
        <f>IF($N677="","",IF(INDEX('Per Invoice'!$G$2:$G$801,$N677)="","",INDEX('Per Invoice'!$G$2:$G$801,$N677)))</f>
        <v/>
      </c>
      <c r="H677">
        <f>IF($N677="","",IF(INDEX('Per Invoice'!$H$2:$H$801,$N677)="","",INDEX('Per Invoice'!$H$2:$H$801,$N677)))</f>
        <v/>
      </c>
      <c r="I677" s="5">
        <f>IF($N677="","",IF(INDEX('Per Invoice'!$I$2:$I$801,$N677)="","",INDEX('Per Invoice'!$I$2:$I$801,$N677)))</f>
        <v/>
      </c>
      <c r="J677" s="5">
        <f>IF($N677="","",IF(INDEX('Per Invoice'!$J$2:$J$801,$N677)="","",INDEX('Per Invoice'!$J$2:$J$801,$N677)))</f>
        <v/>
      </c>
      <c r="K677" s="5">
        <f>IF($N677="","",IF(INDEX('Per Invoice'!$K$2:$K$801,$N677)="","",INDEX('Per Invoice'!$K$2:$K$801,$N677)))</f>
        <v/>
      </c>
      <c r="L677" s="5">
        <f>IF($N677="","",IF(INDEX('Per Invoice'!$L$2:$L$801,$N677)="","",INDEX('Per Invoice'!$L$2:$L$801,$N677)))</f>
        <v/>
      </c>
      <c r="M677" s="5">
        <f>IF($N677="","",IF(INDEX('Per Invoice'!$M$2:$M$801,$N677)="","",INDEX('Per Invoice'!$M$2:$M$801,$N677)))</f>
        <v/>
      </c>
      <c r="N677">
        <f>IF(ROWS($N$2:$N677)&lt;=COUNT('Per Invoice'!$O$2:$O$801),MATCH(ROWS($N$2:$N677),'Per Invoice'!$O$2:$O$801,0),"")</f>
        <v/>
      </c>
    </row>
    <row r="678">
      <c r="A678">
        <f>IF($N678="","",IF(INDEX('Per Invoice'!$A$2:$A$801,$N678)="","",INDEX('Per Invoice'!$A$2:$A$801,$N678)))</f>
        <v/>
      </c>
      <c r="B678">
        <f>IF($N678="","",IF(INDEX('Per Invoice'!$B$2:$B$801,$N678)="","",INDEX('Per Invoice'!$B$2:$B$801,$N678)))</f>
        <v/>
      </c>
      <c r="C678">
        <f>IF($N678="","",IF(INDEX('Per Invoice'!$C$2:$C$801,$N678)="","",INDEX('Per Invoice'!$C$2:$C$801,$N678)))</f>
        <v/>
      </c>
      <c r="D678">
        <f>IF($N678="","",IF(INDEX('Per Invoice'!$D$2:$D$801,$N678)="","",INDEX('Per Invoice'!$D$2:$D$801,$N678)))</f>
        <v/>
      </c>
      <c r="E678">
        <f>IF($N678="","",IF(INDEX('Per Invoice'!$E$2:$E$801,$N678)="","",INDEX('Per Invoice'!$E$2:$E$801,$N678)))</f>
        <v/>
      </c>
      <c r="F678">
        <f>IF($N678="","",IF(INDEX('Per Invoice'!$F$2:$F$801,$N678)="","",INDEX('Per Invoice'!$F$2:$F$801,$N678)))</f>
        <v/>
      </c>
      <c r="G678">
        <f>IF($N678="","",IF(INDEX('Per Invoice'!$G$2:$G$801,$N678)="","",INDEX('Per Invoice'!$G$2:$G$801,$N678)))</f>
        <v/>
      </c>
      <c r="H678">
        <f>IF($N678="","",IF(INDEX('Per Invoice'!$H$2:$H$801,$N678)="","",INDEX('Per Invoice'!$H$2:$H$801,$N678)))</f>
        <v/>
      </c>
      <c r="I678" s="5">
        <f>IF($N678="","",IF(INDEX('Per Invoice'!$I$2:$I$801,$N678)="","",INDEX('Per Invoice'!$I$2:$I$801,$N678)))</f>
        <v/>
      </c>
      <c r="J678" s="5">
        <f>IF($N678="","",IF(INDEX('Per Invoice'!$J$2:$J$801,$N678)="","",INDEX('Per Invoice'!$J$2:$J$801,$N678)))</f>
        <v/>
      </c>
      <c r="K678" s="5">
        <f>IF($N678="","",IF(INDEX('Per Invoice'!$K$2:$K$801,$N678)="","",INDEX('Per Invoice'!$K$2:$K$801,$N678)))</f>
        <v/>
      </c>
      <c r="L678" s="5">
        <f>IF($N678="","",IF(INDEX('Per Invoice'!$L$2:$L$801,$N678)="","",INDEX('Per Invoice'!$L$2:$L$801,$N678)))</f>
        <v/>
      </c>
      <c r="M678" s="5">
        <f>IF($N678="","",IF(INDEX('Per Invoice'!$M$2:$M$801,$N678)="","",INDEX('Per Invoice'!$M$2:$M$801,$N678)))</f>
        <v/>
      </c>
      <c r="N678">
        <f>IF(ROWS($N$2:$N678)&lt;=COUNT('Per Invoice'!$O$2:$O$801),MATCH(ROWS($N$2:$N678),'Per Invoice'!$O$2:$O$801,0),"")</f>
        <v/>
      </c>
    </row>
    <row r="679">
      <c r="A679">
        <f>IF($N679="","",IF(INDEX('Per Invoice'!$A$2:$A$801,$N679)="","",INDEX('Per Invoice'!$A$2:$A$801,$N679)))</f>
        <v/>
      </c>
      <c r="B679">
        <f>IF($N679="","",IF(INDEX('Per Invoice'!$B$2:$B$801,$N679)="","",INDEX('Per Invoice'!$B$2:$B$801,$N679)))</f>
        <v/>
      </c>
      <c r="C679">
        <f>IF($N679="","",IF(INDEX('Per Invoice'!$C$2:$C$801,$N679)="","",INDEX('Per Invoice'!$C$2:$C$801,$N679)))</f>
        <v/>
      </c>
      <c r="D679">
        <f>IF($N679="","",IF(INDEX('Per Invoice'!$D$2:$D$801,$N679)="","",INDEX('Per Invoice'!$D$2:$D$801,$N679)))</f>
        <v/>
      </c>
      <c r="E679">
        <f>IF($N679="","",IF(INDEX('Per Invoice'!$E$2:$E$801,$N679)="","",INDEX('Per Invoice'!$E$2:$E$801,$N679)))</f>
        <v/>
      </c>
      <c r="F679">
        <f>IF($N679="","",IF(INDEX('Per Invoice'!$F$2:$F$801,$N679)="","",INDEX('Per Invoice'!$F$2:$F$801,$N679)))</f>
        <v/>
      </c>
      <c r="G679">
        <f>IF($N679="","",IF(INDEX('Per Invoice'!$G$2:$G$801,$N679)="","",INDEX('Per Invoice'!$G$2:$G$801,$N679)))</f>
        <v/>
      </c>
      <c r="H679">
        <f>IF($N679="","",IF(INDEX('Per Invoice'!$H$2:$H$801,$N679)="","",INDEX('Per Invoice'!$H$2:$H$801,$N679)))</f>
        <v/>
      </c>
      <c r="I679" s="5">
        <f>IF($N679="","",IF(INDEX('Per Invoice'!$I$2:$I$801,$N679)="","",INDEX('Per Invoice'!$I$2:$I$801,$N679)))</f>
        <v/>
      </c>
      <c r="J679" s="5">
        <f>IF($N679="","",IF(INDEX('Per Invoice'!$J$2:$J$801,$N679)="","",INDEX('Per Invoice'!$J$2:$J$801,$N679)))</f>
        <v/>
      </c>
      <c r="K679" s="5">
        <f>IF($N679="","",IF(INDEX('Per Invoice'!$K$2:$K$801,$N679)="","",INDEX('Per Invoice'!$K$2:$K$801,$N679)))</f>
        <v/>
      </c>
      <c r="L679" s="5">
        <f>IF($N679="","",IF(INDEX('Per Invoice'!$L$2:$L$801,$N679)="","",INDEX('Per Invoice'!$L$2:$L$801,$N679)))</f>
        <v/>
      </c>
      <c r="M679" s="5">
        <f>IF($N679="","",IF(INDEX('Per Invoice'!$M$2:$M$801,$N679)="","",INDEX('Per Invoice'!$M$2:$M$801,$N679)))</f>
        <v/>
      </c>
      <c r="N679">
        <f>IF(ROWS($N$2:$N679)&lt;=COUNT('Per Invoice'!$O$2:$O$801),MATCH(ROWS($N$2:$N679),'Per Invoice'!$O$2:$O$801,0),"")</f>
        <v/>
      </c>
    </row>
    <row r="680">
      <c r="A680">
        <f>IF($N680="","",IF(INDEX('Per Invoice'!$A$2:$A$801,$N680)="","",INDEX('Per Invoice'!$A$2:$A$801,$N680)))</f>
        <v/>
      </c>
      <c r="B680">
        <f>IF($N680="","",IF(INDEX('Per Invoice'!$B$2:$B$801,$N680)="","",INDEX('Per Invoice'!$B$2:$B$801,$N680)))</f>
        <v/>
      </c>
      <c r="C680">
        <f>IF($N680="","",IF(INDEX('Per Invoice'!$C$2:$C$801,$N680)="","",INDEX('Per Invoice'!$C$2:$C$801,$N680)))</f>
        <v/>
      </c>
      <c r="D680">
        <f>IF($N680="","",IF(INDEX('Per Invoice'!$D$2:$D$801,$N680)="","",INDEX('Per Invoice'!$D$2:$D$801,$N680)))</f>
        <v/>
      </c>
      <c r="E680">
        <f>IF($N680="","",IF(INDEX('Per Invoice'!$E$2:$E$801,$N680)="","",INDEX('Per Invoice'!$E$2:$E$801,$N680)))</f>
        <v/>
      </c>
      <c r="F680">
        <f>IF($N680="","",IF(INDEX('Per Invoice'!$F$2:$F$801,$N680)="","",INDEX('Per Invoice'!$F$2:$F$801,$N680)))</f>
        <v/>
      </c>
      <c r="G680">
        <f>IF($N680="","",IF(INDEX('Per Invoice'!$G$2:$G$801,$N680)="","",INDEX('Per Invoice'!$G$2:$G$801,$N680)))</f>
        <v/>
      </c>
      <c r="H680">
        <f>IF($N680="","",IF(INDEX('Per Invoice'!$H$2:$H$801,$N680)="","",INDEX('Per Invoice'!$H$2:$H$801,$N680)))</f>
        <v/>
      </c>
      <c r="I680" s="5">
        <f>IF($N680="","",IF(INDEX('Per Invoice'!$I$2:$I$801,$N680)="","",INDEX('Per Invoice'!$I$2:$I$801,$N680)))</f>
        <v/>
      </c>
      <c r="J680" s="5">
        <f>IF($N680="","",IF(INDEX('Per Invoice'!$J$2:$J$801,$N680)="","",INDEX('Per Invoice'!$J$2:$J$801,$N680)))</f>
        <v/>
      </c>
      <c r="K680" s="5">
        <f>IF($N680="","",IF(INDEX('Per Invoice'!$K$2:$K$801,$N680)="","",INDEX('Per Invoice'!$K$2:$K$801,$N680)))</f>
        <v/>
      </c>
      <c r="L680" s="5">
        <f>IF($N680="","",IF(INDEX('Per Invoice'!$L$2:$L$801,$N680)="","",INDEX('Per Invoice'!$L$2:$L$801,$N680)))</f>
        <v/>
      </c>
      <c r="M680" s="5">
        <f>IF($N680="","",IF(INDEX('Per Invoice'!$M$2:$M$801,$N680)="","",INDEX('Per Invoice'!$M$2:$M$801,$N680)))</f>
        <v/>
      </c>
      <c r="N680">
        <f>IF(ROWS($N$2:$N680)&lt;=COUNT('Per Invoice'!$O$2:$O$801),MATCH(ROWS($N$2:$N680),'Per Invoice'!$O$2:$O$801,0),"")</f>
        <v/>
      </c>
    </row>
    <row r="681">
      <c r="A681">
        <f>IF($N681="","",IF(INDEX('Per Invoice'!$A$2:$A$801,$N681)="","",INDEX('Per Invoice'!$A$2:$A$801,$N681)))</f>
        <v/>
      </c>
      <c r="B681">
        <f>IF($N681="","",IF(INDEX('Per Invoice'!$B$2:$B$801,$N681)="","",INDEX('Per Invoice'!$B$2:$B$801,$N681)))</f>
        <v/>
      </c>
      <c r="C681">
        <f>IF($N681="","",IF(INDEX('Per Invoice'!$C$2:$C$801,$N681)="","",INDEX('Per Invoice'!$C$2:$C$801,$N681)))</f>
        <v/>
      </c>
      <c r="D681">
        <f>IF($N681="","",IF(INDEX('Per Invoice'!$D$2:$D$801,$N681)="","",INDEX('Per Invoice'!$D$2:$D$801,$N681)))</f>
        <v/>
      </c>
      <c r="E681">
        <f>IF($N681="","",IF(INDEX('Per Invoice'!$E$2:$E$801,$N681)="","",INDEX('Per Invoice'!$E$2:$E$801,$N681)))</f>
        <v/>
      </c>
      <c r="F681">
        <f>IF($N681="","",IF(INDEX('Per Invoice'!$F$2:$F$801,$N681)="","",INDEX('Per Invoice'!$F$2:$F$801,$N681)))</f>
        <v/>
      </c>
      <c r="G681">
        <f>IF($N681="","",IF(INDEX('Per Invoice'!$G$2:$G$801,$N681)="","",INDEX('Per Invoice'!$G$2:$G$801,$N681)))</f>
        <v/>
      </c>
      <c r="H681">
        <f>IF($N681="","",IF(INDEX('Per Invoice'!$H$2:$H$801,$N681)="","",INDEX('Per Invoice'!$H$2:$H$801,$N681)))</f>
        <v/>
      </c>
      <c r="I681" s="5">
        <f>IF($N681="","",IF(INDEX('Per Invoice'!$I$2:$I$801,$N681)="","",INDEX('Per Invoice'!$I$2:$I$801,$N681)))</f>
        <v/>
      </c>
      <c r="J681" s="5">
        <f>IF($N681="","",IF(INDEX('Per Invoice'!$J$2:$J$801,$N681)="","",INDEX('Per Invoice'!$J$2:$J$801,$N681)))</f>
        <v/>
      </c>
      <c r="K681" s="5">
        <f>IF($N681="","",IF(INDEX('Per Invoice'!$K$2:$K$801,$N681)="","",INDEX('Per Invoice'!$K$2:$K$801,$N681)))</f>
        <v/>
      </c>
      <c r="L681" s="5">
        <f>IF($N681="","",IF(INDEX('Per Invoice'!$L$2:$L$801,$N681)="","",INDEX('Per Invoice'!$L$2:$L$801,$N681)))</f>
        <v/>
      </c>
      <c r="M681" s="5">
        <f>IF($N681="","",IF(INDEX('Per Invoice'!$M$2:$M$801,$N681)="","",INDEX('Per Invoice'!$M$2:$M$801,$N681)))</f>
        <v/>
      </c>
      <c r="N681">
        <f>IF(ROWS($N$2:$N681)&lt;=COUNT('Per Invoice'!$O$2:$O$801),MATCH(ROWS($N$2:$N681),'Per Invoice'!$O$2:$O$801,0),"")</f>
        <v/>
      </c>
    </row>
    <row r="682">
      <c r="A682">
        <f>IF($N682="","",IF(INDEX('Per Invoice'!$A$2:$A$801,$N682)="","",INDEX('Per Invoice'!$A$2:$A$801,$N682)))</f>
        <v/>
      </c>
      <c r="B682">
        <f>IF($N682="","",IF(INDEX('Per Invoice'!$B$2:$B$801,$N682)="","",INDEX('Per Invoice'!$B$2:$B$801,$N682)))</f>
        <v/>
      </c>
      <c r="C682">
        <f>IF($N682="","",IF(INDEX('Per Invoice'!$C$2:$C$801,$N682)="","",INDEX('Per Invoice'!$C$2:$C$801,$N682)))</f>
        <v/>
      </c>
      <c r="D682">
        <f>IF($N682="","",IF(INDEX('Per Invoice'!$D$2:$D$801,$N682)="","",INDEX('Per Invoice'!$D$2:$D$801,$N682)))</f>
        <v/>
      </c>
      <c r="E682">
        <f>IF($N682="","",IF(INDEX('Per Invoice'!$E$2:$E$801,$N682)="","",INDEX('Per Invoice'!$E$2:$E$801,$N682)))</f>
        <v/>
      </c>
      <c r="F682">
        <f>IF($N682="","",IF(INDEX('Per Invoice'!$F$2:$F$801,$N682)="","",INDEX('Per Invoice'!$F$2:$F$801,$N682)))</f>
        <v/>
      </c>
      <c r="G682">
        <f>IF($N682="","",IF(INDEX('Per Invoice'!$G$2:$G$801,$N682)="","",INDEX('Per Invoice'!$G$2:$G$801,$N682)))</f>
        <v/>
      </c>
      <c r="H682">
        <f>IF($N682="","",IF(INDEX('Per Invoice'!$H$2:$H$801,$N682)="","",INDEX('Per Invoice'!$H$2:$H$801,$N682)))</f>
        <v/>
      </c>
      <c r="I682" s="5">
        <f>IF($N682="","",IF(INDEX('Per Invoice'!$I$2:$I$801,$N682)="","",INDEX('Per Invoice'!$I$2:$I$801,$N682)))</f>
        <v/>
      </c>
      <c r="J682" s="5">
        <f>IF($N682="","",IF(INDEX('Per Invoice'!$J$2:$J$801,$N682)="","",INDEX('Per Invoice'!$J$2:$J$801,$N682)))</f>
        <v/>
      </c>
      <c r="K682" s="5">
        <f>IF($N682="","",IF(INDEX('Per Invoice'!$K$2:$K$801,$N682)="","",INDEX('Per Invoice'!$K$2:$K$801,$N682)))</f>
        <v/>
      </c>
      <c r="L682" s="5">
        <f>IF($N682="","",IF(INDEX('Per Invoice'!$L$2:$L$801,$N682)="","",INDEX('Per Invoice'!$L$2:$L$801,$N682)))</f>
        <v/>
      </c>
      <c r="M682" s="5">
        <f>IF($N682="","",IF(INDEX('Per Invoice'!$M$2:$M$801,$N682)="","",INDEX('Per Invoice'!$M$2:$M$801,$N682)))</f>
        <v/>
      </c>
      <c r="N682">
        <f>IF(ROWS($N$2:$N682)&lt;=COUNT('Per Invoice'!$O$2:$O$801),MATCH(ROWS($N$2:$N682),'Per Invoice'!$O$2:$O$801,0),"")</f>
        <v/>
      </c>
    </row>
    <row r="683">
      <c r="A683">
        <f>IF($N683="","",IF(INDEX('Per Invoice'!$A$2:$A$801,$N683)="","",INDEX('Per Invoice'!$A$2:$A$801,$N683)))</f>
        <v/>
      </c>
      <c r="B683">
        <f>IF($N683="","",IF(INDEX('Per Invoice'!$B$2:$B$801,$N683)="","",INDEX('Per Invoice'!$B$2:$B$801,$N683)))</f>
        <v/>
      </c>
      <c r="C683">
        <f>IF($N683="","",IF(INDEX('Per Invoice'!$C$2:$C$801,$N683)="","",INDEX('Per Invoice'!$C$2:$C$801,$N683)))</f>
        <v/>
      </c>
      <c r="D683">
        <f>IF($N683="","",IF(INDEX('Per Invoice'!$D$2:$D$801,$N683)="","",INDEX('Per Invoice'!$D$2:$D$801,$N683)))</f>
        <v/>
      </c>
      <c r="E683">
        <f>IF($N683="","",IF(INDEX('Per Invoice'!$E$2:$E$801,$N683)="","",INDEX('Per Invoice'!$E$2:$E$801,$N683)))</f>
        <v/>
      </c>
      <c r="F683">
        <f>IF($N683="","",IF(INDEX('Per Invoice'!$F$2:$F$801,$N683)="","",INDEX('Per Invoice'!$F$2:$F$801,$N683)))</f>
        <v/>
      </c>
      <c r="G683">
        <f>IF($N683="","",IF(INDEX('Per Invoice'!$G$2:$G$801,$N683)="","",INDEX('Per Invoice'!$G$2:$G$801,$N683)))</f>
        <v/>
      </c>
      <c r="H683">
        <f>IF($N683="","",IF(INDEX('Per Invoice'!$H$2:$H$801,$N683)="","",INDEX('Per Invoice'!$H$2:$H$801,$N683)))</f>
        <v/>
      </c>
      <c r="I683" s="5">
        <f>IF($N683="","",IF(INDEX('Per Invoice'!$I$2:$I$801,$N683)="","",INDEX('Per Invoice'!$I$2:$I$801,$N683)))</f>
        <v/>
      </c>
      <c r="J683" s="5">
        <f>IF($N683="","",IF(INDEX('Per Invoice'!$J$2:$J$801,$N683)="","",INDEX('Per Invoice'!$J$2:$J$801,$N683)))</f>
        <v/>
      </c>
      <c r="K683" s="5">
        <f>IF($N683="","",IF(INDEX('Per Invoice'!$K$2:$K$801,$N683)="","",INDEX('Per Invoice'!$K$2:$K$801,$N683)))</f>
        <v/>
      </c>
      <c r="L683" s="5">
        <f>IF($N683="","",IF(INDEX('Per Invoice'!$L$2:$L$801,$N683)="","",INDEX('Per Invoice'!$L$2:$L$801,$N683)))</f>
        <v/>
      </c>
      <c r="M683" s="5">
        <f>IF($N683="","",IF(INDEX('Per Invoice'!$M$2:$M$801,$N683)="","",INDEX('Per Invoice'!$M$2:$M$801,$N683)))</f>
        <v/>
      </c>
      <c r="N683">
        <f>IF(ROWS($N$2:$N683)&lt;=COUNT('Per Invoice'!$O$2:$O$801),MATCH(ROWS($N$2:$N683),'Per Invoice'!$O$2:$O$801,0),"")</f>
        <v/>
      </c>
    </row>
    <row r="684">
      <c r="A684">
        <f>IF($N684="","",IF(INDEX('Per Invoice'!$A$2:$A$801,$N684)="","",INDEX('Per Invoice'!$A$2:$A$801,$N684)))</f>
        <v/>
      </c>
      <c r="B684">
        <f>IF($N684="","",IF(INDEX('Per Invoice'!$B$2:$B$801,$N684)="","",INDEX('Per Invoice'!$B$2:$B$801,$N684)))</f>
        <v/>
      </c>
      <c r="C684">
        <f>IF($N684="","",IF(INDEX('Per Invoice'!$C$2:$C$801,$N684)="","",INDEX('Per Invoice'!$C$2:$C$801,$N684)))</f>
        <v/>
      </c>
      <c r="D684">
        <f>IF($N684="","",IF(INDEX('Per Invoice'!$D$2:$D$801,$N684)="","",INDEX('Per Invoice'!$D$2:$D$801,$N684)))</f>
        <v/>
      </c>
      <c r="E684">
        <f>IF($N684="","",IF(INDEX('Per Invoice'!$E$2:$E$801,$N684)="","",INDEX('Per Invoice'!$E$2:$E$801,$N684)))</f>
        <v/>
      </c>
      <c r="F684">
        <f>IF($N684="","",IF(INDEX('Per Invoice'!$F$2:$F$801,$N684)="","",INDEX('Per Invoice'!$F$2:$F$801,$N684)))</f>
        <v/>
      </c>
      <c r="G684">
        <f>IF($N684="","",IF(INDEX('Per Invoice'!$G$2:$G$801,$N684)="","",INDEX('Per Invoice'!$G$2:$G$801,$N684)))</f>
        <v/>
      </c>
      <c r="H684">
        <f>IF($N684="","",IF(INDEX('Per Invoice'!$H$2:$H$801,$N684)="","",INDEX('Per Invoice'!$H$2:$H$801,$N684)))</f>
        <v/>
      </c>
      <c r="I684" s="5">
        <f>IF($N684="","",IF(INDEX('Per Invoice'!$I$2:$I$801,$N684)="","",INDEX('Per Invoice'!$I$2:$I$801,$N684)))</f>
        <v/>
      </c>
      <c r="J684" s="5">
        <f>IF($N684="","",IF(INDEX('Per Invoice'!$J$2:$J$801,$N684)="","",INDEX('Per Invoice'!$J$2:$J$801,$N684)))</f>
        <v/>
      </c>
      <c r="K684" s="5">
        <f>IF($N684="","",IF(INDEX('Per Invoice'!$K$2:$K$801,$N684)="","",INDEX('Per Invoice'!$K$2:$K$801,$N684)))</f>
        <v/>
      </c>
      <c r="L684" s="5">
        <f>IF($N684="","",IF(INDEX('Per Invoice'!$L$2:$L$801,$N684)="","",INDEX('Per Invoice'!$L$2:$L$801,$N684)))</f>
        <v/>
      </c>
      <c r="M684" s="5">
        <f>IF($N684="","",IF(INDEX('Per Invoice'!$M$2:$M$801,$N684)="","",INDEX('Per Invoice'!$M$2:$M$801,$N684)))</f>
        <v/>
      </c>
      <c r="N684">
        <f>IF(ROWS($N$2:$N684)&lt;=COUNT('Per Invoice'!$O$2:$O$801),MATCH(ROWS($N$2:$N684),'Per Invoice'!$O$2:$O$801,0),"")</f>
        <v/>
      </c>
    </row>
    <row r="685">
      <c r="A685">
        <f>IF($N685="","",IF(INDEX('Per Invoice'!$A$2:$A$801,$N685)="","",INDEX('Per Invoice'!$A$2:$A$801,$N685)))</f>
        <v/>
      </c>
      <c r="B685">
        <f>IF($N685="","",IF(INDEX('Per Invoice'!$B$2:$B$801,$N685)="","",INDEX('Per Invoice'!$B$2:$B$801,$N685)))</f>
        <v/>
      </c>
      <c r="C685">
        <f>IF($N685="","",IF(INDEX('Per Invoice'!$C$2:$C$801,$N685)="","",INDEX('Per Invoice'!$C$2:$C$801,$N685)))</f>
        <v/>
      </c>
      <c r="D685">
        <f>IF($N685="","",IF(INDEX('Per Invoice'!$D$2:$D$801,$N685)="","",INDEX('Per Invoice'!$D$2:$D$801,$N685)))</f>
        <v/>
      </c>
      <c r="E685">
        <f>IF($N685="","",IF(INDEX('Per Invoice'!$E$2:$E$801,$N685)="","",INDEX('Per Invoice'!$E$2:$E$801,$N685)))</f>
        <v/>
      </c>
      <c r="F685">
        <f>IF($N685="","",IF(INDEX('Per Invoice'!$F$2:$F$801,$N685)="","",INDEX('Per Invoice'!$F$2:$F$801,$N685)))</f>
        <v/>
      </c>
      <c r="G685">
        <f>IF($N685="","",IF(INDEX('Per Invoice'!$G$2:$G$801,$N685)="","",INDEX('Per Invoice'!$G$2:$G$801,$N685)))</f>
        <v/>
      </c>
      <c r="H685">
        <f>IF($N685="","",IF(INDEX('Per Invoice'!$H$2:$H$801,$N685)="","",INDEX('Per Invoice'!$H$2:$H$801,$N685)))</f>
        <v/>
      </c>
      <c r="I685" s="5">
        <f>IF($N685="","",IF(INDEX('Per Invoice'!$I$2:$I$801,$N685)="","",INDEX('Per Invoice'!$I$2:$I$801,$N685)))</f>
        <v/>
      </c>
      <c r="J685" s="5">
        <f>IF($N685="","",IF(INDEX('Per Invoice'!$J$2:$J$801,$N685)="","",INDEX('Per Invoice'!$J$2:$J$801,$N685)))</f>
        <v/>
      </c>
      <c r="K685" s="5">
        <f>IF($N685="","",IF(INDEX('Per Invoice'!$K$2:$K$801,$N685)="","",INDEX('Per Invoice'!$K$2:$K$801,$N685)))</f>
        <v/>
      </c>
      <c r="L685" s="5">
        <f>IF($N685="","",IF(INDEX('Per Invoice'!$L$2:$L$801,$N685)="","",INDEX('Per Invoice'!$L$2:$L$801,$N685)))</f>
        <v/>
      </c>
      <c r="M685" s="5">
        <f>IF($N685="","",IF(INDEX('Per Invoice'!$M$2:$M$801,$N685)="","",INDEX('Per Invoice'!$M$2:$M$801,$N685)))</f>
        <v/>
      </c>
      <c r="N685">
        <f>IF(ROWS($N$2:$N685)&lt;=COUNT('Per Invoice'!$O$2:$O$801),MATCH(ROWS($N$2:$N685),'Per Invoice'!$O$2:$O$801,0),"")</f>
        <v/>
      </c>
    </row>
    <row r="686">
      <c r="A686">
        <f>IF($N686="","",IF(INDEX('Per Invoice'!$A$2:$A$801,$N686)="","",INDEX('Per Invoice'!$A$2:$A$801,$N686)))</f>
        <v/>
      </c>
      <c r="B686">
        <f>IF($N686="","",IF(INDEX('Per Invoice'!$B$2:$B$801,$N686)="","",INDEX('Per Invoice'!$B$2:$B$801,$N686)))</f>
        <v/>
      </c>
      <c r="C686">
        <f>IF($N686="","",IF(INDEX('Per Invoice'!$C$2:$C$801,$N686)="","",INDEX('Per Invoice'!$C$2:$C$801,$N686)))</f>
        <v/>
      </c>
      <c r="D686">
        <f>IF($N686="","",IF(INDEX('Per Invoice'!$D$2:$D$801,$N686)="","",INDEX('Per Invoice'!$D$2:$D$801,$N686)))</f>
        <v/>
      </c>
      <c r="E686">
        <f>IF($N686="","",IF(INDEX('Per Invoice'!$E$2:$E$801,$N686)="","",INDEX('Per Invoice'!$E$2:$E$801,$N686)))</f>
        <v/>
      </c>
      <c r="F686">
        <f>IF($N686="","",IF(INDEX('Per Invoice'!$F$2:$F$801,$N686)="","",INDEX('Per Invoice'!$F$2:$F$801,$N686)))</f>
        <v/>
      </c>
      <c r="G686">
        <f>IF($N686="","",IF(INDEX('Per Invoice'!$G$2:$G$801,$N686)="","",INDEX('Per Invoice'!$G$2:$G$801,$N686)))</f>
        <v/>
      </c>
      <c r="H686">
        <f>IF($N686="","",IF(INDEX('Per Invoice'!$H$2:$H$801,$N686)="","",INDEX('Per Invoice'!$H$2:$H$801,$N686)))</f>
        <v/>
      </c>
      <c r="I686" s="5">
        <f>IF($N686="","",IF(INDEX('Per Invoice'!$I$2:$I$801,$N686)="","",INDEX('Per Invoice'!$I$2:$I$801,$N686)))</f>
        <v/>
      </c>
      <c r="J686" s="5">
        <f>IF($N686="","",IF(INDEX('Per Invoice'!$J$2:$J$801,$N686)="","",INDEX('Per Invoice'!$J$2:$J$801,$N686)))</f>
        <v/>
      </c>
      <c r="K686" s="5">
        <f>IF($N686="","",IF(INDEX('Per Invoice'!$K$2:$K$801,$N686)="","",INDEX('Per Invoice'!$K$2:$K$801,$N686)))</f>
        <v/>
      </c>
      <c r="L686" s="5">
        <f>IF($N686="","",IF(INDEX('Per Invoice'!$L$2:$L$801,$N686)="","",INDEX('Per Invoice'!$L$2:$L$801,$N686)))</f>
        <v/>
      </c>
      <c r="M686" s="5">
        <f>IF($N686="","",IF(INDEX('Per Invoice'!$M$2:$M$801,$N686)="","",INDEX('Per Invoice'!$M$2:$M$801,$N686)))</f>
        <v/>
      </c>
      <c r="N686">
        <f>IF(ROWS($N$2:$N686)&lt;=COUNT('Per Invoice'!$O$2:$O$801),MATCH(ROWS($N$2:$N686),'Per Invoice'!$O$2:$O$801,0),"")</f>
        <v/>
      </c>
    </row>
    <row r="687">
      <c r="A687">
        <f>IF($N687="","",IF(INDEX('Per Invoice'!$A$2:$A$801,$N687)="","",INDEX('Per Invoice'!$A$2:$A$801,$N687)))</f>
        <v/>
      </c>
      <c r="B687">
        <f>IF($N687="","",IF(INDEX('Per Invoice'!$B$2:$B$801,$N687)="","",INDEX('Per Invoice'!$B$2:$B$801,$N687)))</f>
        <v/>
      </c>
      <c r="C687">
        <f>IF($N687="","",IF(INDEX('Per Invoice'!$C$2:$C$801,$N687)="","",INDEX('Per Invoice'!$C$2:$C$801,$N687)))</f>
        <v/>
      </c>
      <c r="D687">
        <f>IF($N687="","",IF(INDEX('Per Invoice'!$D$2:$D$801,$N687)="","",INDEX('Per Invoice'!$D$2:$D$801,$N687)))</f>
        <v/>
      </c>
      <c r="E687">
        <f>IF($N687="","",IF(INDEX('Per Invoice'!$E$2:$E$801,$N687)="","",INDEX('Per Invoice'!$E$2:$E$801,$N687)))</f>
        <v/>
      </c>
      <c r="F687">
        <f>IF($N687="","",IF(INDEX('Per Invoice'!$F$2:$F$801,$N687)="","",INDEX('Per Invoice'!$F$2:$F$801,$N687)))</f>
        <v/>
      </c>
      <c r="G687">
        <f>IF($N687="","",IF(INDEX('Per Invoice'!$G$2:$G$801,$N687)="","",INDEX('Per Invoice'!$G$2:$G$801,$N687)))</f>
        <v/>
      </c>
      <c r="H687">
        <f>IF($N687="","",IF(INDEX('Per Invoice'!$H$2:$H$801,$N687)="","",INDEX('Per Invoice'!$H$2:$H$801,$N687)))</f>
        <v/>
      </c>
      <c r="I687" s="5">
        <f>IF($N687="","",IF(INDEX('Per Invoice'!$I$2:$I$801,$N687)="","",INDEX('Per Invoice'!$I$2:$I$801,$N687)))</f>
        <v/>
      </c>
      <c r="J687" s="5">
        <f>IF($N687="","",IF(INDEX('Per Invoice'!$J$2:$J$801,$N687)="","",INDEX('Per Invoice'!$J$2:$J$801,$N687)))</f>
        <v/>
      </c>
      <c r="K687" s="5">
        <f>IF($N687="","",IF(INDEX('Per Invoice'!$K$2:$K$801,$N687)="","",INDEX('Per Invoice'!$K$2:$K$801,$N687)))</f>
        <v/>
      </c>
      <c r="L687" s="5">
        <f>IF($N687="","",IF(INDEX('Per Invoice'!$L$2:$L$801,$N687)="","",INDEX('Per Invoice'!$L$2:$L$801,$N687)))</f>
        <v/>
      </c>
      <c r="M687" s="5">
        <f>IF($N687="","",IF(INDEX('Per Invoice'!$M$2:$M$801,$N687)="","",INDEX('Per Invoice'!$M$2:$M$801,$N687)))</f>
        <v/>
      </c>
      <c r="N687">
        <f>IF(ROWS($N$2:$N687)&lt;=COUNT('Per Invoice'!$O$2:$O$801),MATCH(ROWS($N$2:$N687),'Per Invoice'!$O$2:$O$801,0),"")</f>
        <v/>
      </c>
    </row>
    <row r="688">
      <c r="A688">
        <f>IF($N688="","",IF(INDEX('Per Invoice'!$A$2:$A$801,$N688)="","",INDEX('Per Invoice'!$A$2:$A$801,$N688)))</f>
        <v/>
      </c>
      <c r="B688">
        <f>IF($N688="","",IF(INDEX('Per Invoice'!$B$2:$B$801,$N688)="","",INDEX('Per Invoice'!$B$2:$B$801,$N688)))</f>
        <v/>
      </c>
      <c r="C688">
        <f>IF($N688="","",IF(INDEX('Per Invoice'!$C$2:$C$801,$N688)="","",INDEX('Per Invoice'!$C$2:$C$801,$N688)))</f>
        <v/>
      </c>
      <c r="D688">
        <f>IF($N688="","",IF(INDEX('Per Invoice'!$D$2:$D$801,$N688)="","",INDEX('Per Invoice'!$D$2:$D$801,$N688)))</f>
        <v/>
      </c>
      <c r="E688">
        <f>IF($N688="","",IF(INDEX('Per Invoice'!$E$2:$E$801,$N688)="","",INDEX('Per Invoice'!$E$2:$E$801,$N688)))</f>
        <v/>
      </c>
      <c r="F688">
        <f>IF($N688="","",IF(INDEX('Per Invoice'!$F$2:$F$801,$N688)="","",INDEX('Per Invoice'!$F$2:$F$801,$N688)))</f>
        <v/>
      </c>
      <c r="G688">
        <f>IF($N688="","",IF(INDEX('Per Invoice'!$G$2:$G$801,$N688)="","",INDEX('Per Invoice'!$G$2:$G$801,$N688)))</f>
        <v/>
      </c>
      <c r="H688">
        <f>IF($N688="","",IF(INDEX('Per Invoice'!$H$2:$H$801,$N688)="","",INDEX('Per Invoice'!$H$2:$H$801,$N688)))</f>
        <v/>
      </c>
      <c r="I688" s="5">
        <f>IF($N688="","",IF(INDEX('Per Invoice'!$I$2:$I$801,$N688)="","",INDEX('Per Invoice'!$I$2:$I$801,$N688)))</f>
        <v/>
      </c>
      <c r="J688" s="5">
        <f>IF($N688="","",IF(INDEX('Per Invoice'!$J$2:$J$801,$N688)="","",INDEX('Per Invoice'!$J$2:$J$801,$N688)))</f>
        <v/>
      </c>
      <c r="K688" s="5">
        <f>IF($N688="","",IF(INDEX('Per Invoice'!$K$2:$K$801,$N688)="","",INDEX('Per Invoice'!$K$2:$K$801,$N688)))</f>
        <v/>
      </c>
      <c r="L688" s="5">
        <f>IF($N688="","",IF(INDEX('Per Invoice'!$L$2:$L$801,$N688)="","",INDEX('Per Invoice'!$L$2:$L$801,$N688)))</f>
        <v/>
      </c>
      <c r="M688" s="5">
        <f>IF($N688="","",IF(INDEX('Per Invoice'!$M$2:$M$801,$N688)="","",INDEX('Per Invoice'!$M$2:$M$801,$N688)))</f>
        <v/>
      </c>
      <c r="N688">
        <f>IF(ROWS($N$2:$N688)&lt;=COUNT('Per Invoice'!$O$2:$O$801),MATCH(ROWS($N$2:$N688),'Per Invoice'!$O$2:$O$801,0),"")</f>
        <v/>
      </c>
    </row>
    <row r="689">
      <c r="A689">
        <f>IF($N689="","",IF(INDEX('Per Invoice'!$A$2:$A$801,$N689)="","",INDEX('Per Invoice'!$A$2:$A$801,$N689)))</f>
        <v/>
      </c>
      <c r="B689">
        <f>IF($N689="","",IF(INDEX('Per Invoice'!$B$2:$B$801,$N689)="","",INDEX('Per Invoice'!$B$2:$B$801,$N689)))</f>
        <v/>
      </c>
      <c r="C689">
        <f>IF($N689="","",IF(INDEX('Per Invoice'!$C$2:$C$801,$N689)="","",INDEX('Per Invoice'!$C$2:$C$801,$N689)))</f>
        <v/>
      </c>
      <c r="D689">
        <f>IF($N689="","",IF(INDEX('Per Invoice'!$D$2:$D$801,$N689)="","",INDEX('Per Invoice'!$D$2:$D$801,$N689)))</f>
        <v/>
      </c>
      <c r="E689">
        <f>IF($N689="","",IF(INDEX('Per Invoice'!$E$2:$E$801,$N689)="","",INDEX('Per Invoice'!$E$2:$E$801,$N689)))</f>
        <v/>
      </c>
      <c r="F689">
        <f>IF($N689="","",IF(INDEX('Per Invoice'!$F$2:$F$801,$N689)="","",INDEX('Per Invoice'!$F$2:$F$801,$N689)))</f>
        <v/>
      </c>
      <c r="G689">
        <f>IF($N689="","",IF(INDEX('Per Invoice'!$G$2:$G$801,$N689)="","",INDEX('Per Invoice'!$G$2:$G$801,$N689)))</f>
        <v/>
      </c>
      <c r="H689">
        <f>IF($N689="","",IF(INDEX('Per Invoice'!$H$2:$H$801,$N689)="","",INDEX('Per Invoice'!$H$2:$H$801,$N689)))</f>
        <v/>
      </c>
      <c r="I689" s="5">
        <f>IF($N689="","",IF(INDEX('Per Invoice'!$I$2:$I$801,$N689)="","",INDEX('Per Invoice'!$I$2:$I$801,$N689)))</f>
        <v/>
      </c>
      <c r="J689" s="5">
        <f>IF($N689="","",IF(INDEX('Per Invoice'!$J$2:$J$801,$N689)="","",INDEX('Per Invoice'!$J$2:$J$801,$N689)))</f>
        <v/>
      </c>
      <c r="K689" s="5">
        <f>IF($N689="","",IF(INDEX('Per Invoice'!$K$2:$K$801,$N689)="","",INDEX('Per Invoice'!$K$2:$K$801,$N689)))</f>
        <v/>
      </c>
      <c r="L689" s="5">
        <f>IF($N689="","",IF(INDEX('Per Invoice'!$L$2:$L$801,$N689)="","",INDEX('Per Invoice'!$L$2:$L$801,$N689)))</f>
        <v/>
      </c>
      <c r="M689" s="5">
        <f>IF($N689="","",IF(INDEX('Per Invoice'!$M$2:$M$801,$N689)="","",INDEX('Per Invoice'!$M$2:$M$801,$N689)))</f>
        <v/>
      </c>
      <c r="N689">
        <f>IF(ROWS($N$2:$N689)&lt;=COUNT('Per Invoice'!$O$2:$O$801),MATCH(ROWS($N$2:$N689),'Per Invoice'!$O$2:$O$801,0),"")</f>
        <v/>
      </c>
    </row>
    <row r="690">
      <c r="A690">
        <f>IF($N690="","",IF(INDEX('Per Invoice'!$A$2:$A$801,$N690)="","",INDEX('Per Invoice'!$A$2:$A$801,$N690)))</f>
        <v/>
      </c>
      <c r="B690">
        <f>IF($N690="","",IF(INDEX('Per Invoice'!$B$2:$B$801,$N690)="","",INDEX('Per Invoice'!$B$2:$B$801,$N690)))</f>
        <v/>
      </c>
      <c r="C690">
        <f>IF($N690="","",IF(INDEX('Per Invoice'!$C$2:$C$801,$N690)="","",INDEX('Per Invoice'!$C$2:$C$801,$N690)))</f>
        <v/>
      </c>
      <c r="D690">
        <f>IF($N690="","",IF(INDEX('Per Invoice'!$D$2:$D$801,$N690)="","",INDEX('Per Invoice'!$D$2:$D$801,$N690)))</f>
        <v/>
      </c>
      <c r="E690">
        <f>IF($N690="","",IF(INDEX('Per Invoice'!$E$2:$E$801,$N690)="","",INDEX('Per Invoice'!$E$2:$E$801,$N690)))</f>
        <v/>
      </c>
      <c r="F690">
        <f>IF($N690="","",IF(INDEX('Per Invoice'!$F$2:$F$801,$N690)="","",INDEX('Per Invoice'!$F$2:$F$801,$N690)))</f>
        <v/>
      </c>
      <c r="G690">
        <f>IF($N690="","",IF(INDEX('Per Invoice'!$G$2:$G$801,$N690)="","",INDEX('Per Invoice'!$G$2:$G$801,$N690)))</f>
        <v/>
      </c>
      <c r="H690">
        <f>IF($N690="","",IF(INDEX('Per Invoice'!$H$2:$H$801,$N690)="","",INDEX('Per Invoice'!$H$2:$H$801,$N690)))</f>
        <v/>
      </c>
      <c r="I690" s="5">
        <f>IF($N690="","",IF(INDEX('Per Invoice'!$I$2:$I$801,$N690)="","",INDEX('Per Invoice'!$I$2:$I$801,$N690)))</f>
        <v/>
      </c>
      <c r="J690" s="5">
        <f>IF($N690="","",IF(INDEX('Per Invoice'!$J$2:$J$801,$N690)="","",INDEX('Per Invoice'!$J$2:$J$801,$N690)))</f>
        <v/>
      </c>
      <c r="K690" s="5">
        <f>IF($N690="","",IF(INDEX('Per Invoice'!$K$2:$K$801,$N690)="","",INDEX('Per Invoice'!$K$2:$K$801,$N690)))</f>
        <v/>
      </c>
      <c r="L690" s="5">
        <f>IF($N690="","",IF(INDEX('Per Invoice'!$L$2:$L$801,$N690)="","",INDEX('Per Invoice'!$L$2:$L$801,$N690)))</f>
        <v/>
      </c>
      <c r="M690" s="5">
        <f>IF($N690="","",IF(INDEX('Per Invoice'!$M$2:$M$801,$N690)="","",INDEX('Per Invoice'!$M$2:$M$801,$N690)))</f>
        <v/>
      </c>
      <c r="N690">
        <f>IF(ROWS($N$2:$N690)&lt;=COUNT('Per Invoice'!$O$2:$O$801),MATCH(ROWS($N$2:$N690),'Per Invoice'!$O$2:$O$801,0),"")</f>
        <v/>
      </c>
    </row>
    <row r="691">
      <c r="A691">
        <f>IF($N691="","",IF(INDEX('Per Invoice'!$A$2:$A$801,$N691)="","",INDEX('Per Invoice'!$A$2:$A$801,$N691)))</f>
        <v/>
      </c>
      <c r="B691">
        <f>IF($N691="","",IF(INDEX('Per Invoice'!$B$2:$B$801,$N691)="","",INDEX('Per Invoice'!$B$2:$B$801,$N691)))</f>
        <v/>
      </c>
      <c r="C691">
        <f>IF($N691="","",IF(INDEX('Per Invoice'!$C$2:$C$801,$N691)="","",INDEX('Per Invoice'!$C$2:$C$801,$N691)))</f>
        <v/>
      </c>
      <c r="D691">
        <f>IF($N691="","",IF(INDEX('Per Invoice'!$D$2:$D$801,$N691)="","",INDEX('Per Invoice'!$D$2:$D$801,$N691)))</f>
        <v/>
      </c>
      <c r="E691">
        <f>IF($N691="","",IF(INDEX('Per Invoice'!$E$2:$E$801,$N691)="","",INDEX('Per Invoice'!$E$2:$E$801,$N691)))</f>
        <v/>
      </c>
      <c r="F691">
        <f>IF($N691="","",IF(INDEX('Per Invoice'!$F$2:$F$801,$N691)="","",INDEX('Per Invoice'!$F$2:$F$801,$N691)))</f>
        <v/>
      </c>
      <c r="G691">
        <f>IF($N691="","",IF(INDEX('Per Invoice'!$G$2:$G$801,$N691)="","",INDEX('Per Invoice'!$G$2:$G$801,$N691)))</f>
        <v/>
      </c>
      <c r="H691">
        <f>IF($N691="","",IF(INDEX('Per Invoice'!$H$2:$H$801,$N691)="","",INDEX('Per Invoice'!$H$2:$H$801,$N691)))</f>
        <v/>
      </c>
      <c r="I691" s="5">
        <f>IF($N691="","",IF(INDEX('Per Invoice'!$I$2:$I$801,$N691)="","",INDEX('Per Invoice'!$I$2:$I$801,$N691)))</f>
        <v/>
      </c>
      <c r="J691" s="5">
        <f>IF($N691="","",IF(INDEX('Per Invoice'!$J$2:$J$801,$N691)="","",INDEX('Per Invoice'!$J$2:$J$801,$N691)))</f>
        <v/>
      </c>
      <c r="K691" s="5">
        <f>IF($N691="","",IF(INDEX('Per Invoice'!$K$2:$K$801,$N691)="","",INDEX('Per Invoice'!$K$2:$K$801,$N691)))</f>
        <v/>
      </c>
      <c r="L691" s="5">
        <f>IF($N691="","",IF(INDEX('Per Invoice'!$L$2:$L$801,$N691)="","",INDEX('Per Invoice'!$L$2:$L$801,$N691)))</f>
        <v/>
      </c>
      <c r="M691" s="5">
        <f>IF($N691="","",IF(INDEX('Per Invoice'!$M$2:$M$801,$N691)="","",INDEX('Per Invoice'!$M$2:$M$801,$N691)))</f>
        <v/>
      </c>
      <c r="N691">
        <f>IF(ROWS($N$2:$N691)&lt;=COUNT('Per Invoice'!$O$2:$O$801),MATCH(ROWS($N$2:$N691),'Per Invoice'!$O$2:$O$801,0),"")</f>
        <v/>
      </c>
    </row>
    <row r="692">
      <c r="A692">
        <f>IF($N692="","",IF(INDEX('Per Invoice'!$A$2:$A$801,$N692)="","",INDEX('Per Invoice'!$A$2:$A$801,$N692)))</f>
        <v/>
      </c>
      <c r="B692">
        <f>IF($N692="","",IF(INDEX('Per Invoice'!$B$2:$B$801,$N692)="","",INDEX('Per Invoice'!$B$2:$B$801,$N692)))</f>
        <v/>
      </c>
      <c r="C692">
        <f>IF($N692="","",IF(INDEX('Per Invoice'!$C$2:$C$801,$N692)="","",INDEX('Per Invoice'!$C$2:$C$801,$N692)))</f>
        <v/>
      </c>
      <c r="D692">
        <f>IF($N692="","",IF(INDEX('Per Invoice'!$D$2:$D$801,$N692)="","",INDEX('Per Invoice'!$D$2:$D$801,$N692)))</f>
        <v/>
      </c>
      <c r="E692">
        <f>IF($N692="","",IF(INDEX('Per Invoice'!$E$2:$E$801,$N692)="","",INDEX('Per Invoice'!$E$2:$E$801,$N692)))</f>
        <v/>
      </c>
      <c r="F692">
        <f>IF($N692="","",IF(INDEX('Per Invoice'!$F$2:$F$801,$N692)="","",INDEX('Per Invoice'!$F$2:$F$801,$N692)))</f>
        <v/>
      </c>
      <c r="G692">
        <f>IF($N692="","",IF(INDEX('Per Invoice'!$G$2:$G$801,$N692)="","",INDEX('Per Invoice'!$G$2:$G$801,$N692)))</f>
        <v/>
      </c>
      <c r="H692">
        <f>IF($N692="","",IF(INDEX('Per Invoice'!$H$2:$H$801,$N692)="","",INDEX('Per Invoice'!$H$2:$H$801,$N692)))</f>
        <v/>
      </c>
      <c r="I692" s="5">
        <f>IF($N692="","",IF(INDEX('Per Invoice'!$I$2:$I$801,$N692)="","",INDEX('Per Invoice'!$I$2:$I$801,$N692)))</f>
        <v/>
      </c>
      <c r="J692" s="5">
        <f>IF($N692="","",IF(INDEX('Per Invoice'!$J$2:$J$801,$N692)="","",INDEX('Per Invoice'!$J$2:$J$801,$N692)))</f>
        <v/>
      </c>
      <c r="K692" s="5">
        <f>IF($N692="","",IF(INDEX('Per Invoice'!$K$2:$K$801,$N692)="","",INDEX('Per Invoice'!$K$2:$K$801,$N692)))</f>
        <v/>
      </c>
      <c r="L692" s="5">
        <f>IF($N692="","",IF(INDEX('Per Invoice'!$L$2:$L$801,$N692)="","",INDEX('Per Invoice'!$L$2:$L$801,$N692)))</f>
        <v/>
      </c>
      <c r="M692" s="5">
        <f>IF($N692="","",IF(INDEX('Per Invoice'!$M$2:$M$801,$N692)="","",INDEX('Per Invoice'!$M$2:$M$801,$N692)))</f>
        <v/>
      </c>
      <c r="N692">
        <f>IF(ROWS($N$2:$N692)&lt;=COUNT('Per Invoice'!$O$2:$O$801),MATCH(ROWS($N$2:$N692),'Per Invoice'!$O$2:$O$801,0),"")</f>
        <v/>
      </c>
    </row>
    <row r="693">
      <c r="A693">
        <f>IF($N693="","",IF(INDEX('Per Invoice'!$A$2:$A$801,$N693)="","",INDEX('Per Invoice'!$A$2:$A$801,$N693)))</f>
        <v/>
      </c>
      <c r="B693">
        <f>IF($N693="","",IF(INDEX('Per Invoice'!$B$2:$B$801,$N693)="","",INDEX('Per Invoice'!$B$2:$B$801,$N693)))</f>
        <v/>
      </c>
      <c r="C693">
        <f>IF($N693="","",IF(INDEX('Per Invoice'!$C$2:$C$801,$N693)="","",INDEX('Per Invoice'!$C$2:$C$801,$N693)))</f>
        <v/>
      </c>
      <c r="D693">
        <f>IF($N693="","",IF(INDEX('Per Invoice'!$D$2:$D$801,$N693)="","",INDEX('Per Invoice'!$D$2:$D$801,$N693)))</f>
        <v/>
      </c>
      <c r="E693">
        <f>IF($N693="","",IF(INDEX('Per Invoice'!$E$2:$E$801,$N693)="","",INDEX('Per Invoice'!$E$2:$E$801,$N693)))</f>
        <v/>
      </c>
      <c r="F693">
        <f>IF($N693="","",IF(INDEX('Per Invoice'!$F$2:$F$801,$N693)="","",INDEX('Per Invoice'!$F$2:$F$801,$N693)))</f>
        <v/>
      </c>
      <c r="G693">
        <f>IF($N693="","",IF(INDEX('Per Invoice'!$G$2:$G$801,$N693)="","",INDEX('Per Invoice'!$G$2:$G$801,$N693)))</f>
        <v/>
      </c>
      <c r="H693">
        <f>IF($N693="","",IF(INDEX('Per Invoice'!$H$2:$H$801,$N693)="","",INDEX('Per Invoice'!$H$2:$H$801,$N693)))</f>
        <v/>
      </c>
      <c r="I693" s="5">
        <f>IF($N693="","",IF(INDEX('Per Invoice'!$I$2:$I$801,$N693)="","",INDEX('Per Invoice'!$I$2:$I$801,$N693)))</f>
        <v/>
      </c>
      <c r="J693" s="5">
        <f>IF($N693="","",IF(INDEX('Per Invoice'!$J$2:$J$801,$N693)="","",INDEX('Per Invoice'!$J$2:$J$801,$N693)))</f>
        <v/>
      </c>
      <c r="K693" s="5">
        <f>IF($N693="","",IF(INDEX('Per Invoice'!$K$2:$K$801,$N693)="","",INDEX('Per Invoice'!$K$2:$K$801,$N693)))</f>
        <v/>
      </c>
      <c r="L693" s="5">
        <f>IF($N693="","",IF(INDEX('Per Invoice'!$L$2:$L$801,$N693)="","",INDEX('Per Invoice'!$L$2:$L$801,$N693)))</f>
        <v/>
      </c>
      <c r="M693" s="5">
        <f>IF($N693="","",IF(INDEX('Per Invoice'!$M$2:$M$801,$N693)="","",INDEX('Per Invoice'!$M$2:$M$801,$N693)))</f>
        <v/>
      </c>
      <c r="N693">
        <f>IF(ROWS($N$2:$N693)&lt;=COUNT('Per Invoice'!$O$2:$O$801),MATCH(ROWS($N$2:$N693),'Per Invoice'!$O$2:$O$801,0),"")</f>
        <v/>
      </c>
    </row>
    <row r="694">
      <c r="A694">
        <f>IF($N694="","",IF(INDEX('Per Invoice'!$A$2:$A$801,$N694)="","",INDEX('Per Invoice'!$A$2:$A$801,$N694)))</f>
        <v/>
      </c>
      <c r="B694">
        <f>IF($N694="","",IF(INDEX('Per Invoice'!$B$2:$B$801,$N694)="","",INDEX('Per Invoice'!$B$2:$B$801,$N694)))</f>
        <v/>
      </c>
      <c r="C694">
        <f>IF($N694="","",IF(INDEX('Per Invoice'!$C$2:$C$801,$N694)="","",INDEX('Per Invoice'!$C$2:$C$801,$N694)))</f>
        <v/>
      </c>
      <c r="D694">
        <f>IF($N694="","",IF(INDEX('Per Invoice'!$D$2:$D$801,$N694)="","",INDEX('Per Invoice'!$D$2:$D$801,$N694)))</f>
        <v/>
      </c>
      <c r="E694">
        <f>IF($N694="","",IF(INDEX('Per Invoice'!$E$2:$E$801,$N694)="","",INDEX('Per Invoice'!$E$2:$E$801,$N694)))</f>
        <v/>
      </c>
      <c r="F694">
        <f>IF($N694="","",IF(INDEX('Per Invoice'!$F$2:$F$801,$N694)="","",INDEX('Per Invoice'!$F$2:$F$801,$N694)))</f>
        <v/>
      </c>
      <c r="G694">
        <f>IF($N694="","",IF(INDEX('Per Invoice'!$G$2:$G$801,$N694)="","",INDEX('Per Invoice'!$G$2:$G$801,$N694)))</f>
        <v/>
      </c>
      <c r="H694">
        <f>IF($N694="","",IF(INDEX('Per Invoice'!$H$2:$H$801,$N694)="","",INDEX('Per Invoice'!$H$2:$H$801,$N694)))</f>
        <v/>
      </c>
      <c r="I694" s="5">
        <f>IF($N694="","",IF(INDEX('Per Invoice'!$I$2:$I$801,$N694)="","",INDEX('Per Invoice'!$I$2:$I$801,$N694)))</f>
        <v/>
      </c>
      <c r="J694" s="5">
        <f>IF($N694="","",IF(INDEX('Per Invoice'!$J$2:$J$801,$N694)="","",INDEX('Per Invoice'!$J$2:$J$801,$N694)))</f>
        <v/>
      </c>
      <c r="K694" s="5">
        <f>IF($N694="","",IF(INDEX('Per Invoice'!$K$2:$K$801,$N694)="","",INDEX('Per Invoice'!$K$2:$K$801,$N694)))</f>
        <v/>
      </c>
      <c r="L694" s="5">
        <f>IF($N694="","",IF(INDEX('Per Invoice'!$L$2:$L$801,$N694)="","",INDEX('Per Invoice'!$L$2:$L$801,$N694)))</f>
        <v/>
      </c>
      <c r="M694" s="5">
        <f>IF($N694="","",IF(INDEX('Per Invoice'!$M$2:$M$801,$N694)="","",INDEX('Per Invoice'!$M$2:$M$801,$N694)))</f>
        <v/>
      </c>
      <c r="N694">
        <f>IF(ROWS($N$2:$N694)&lt;=COUNT('Per Invoice'!$O$2:$O$801),MATCH(ROWS($N$2:$N694),'Per Invoice'!$O$2:$O$801,0),"")</f>
        <v/>
      </c>
    </row>
    <row r="695">
      <c r="A695">
        <f>IF($N695="","",IF(INDEX('Per Invoice'!$A$2:$A$801,$N695)="","",INDEX('Per Invoice'!$A$2:$A$801,$N695)))</f>
        <v/>
      </c>
      <c r="B695">
        <f>IF($N695="","",IF(INDEX('Per Invoice'!$B$2:$B$801,$N695)="","",INDEX('Per Invoice'!$B$2:$B$801,$N695)))</f>
        <v/>
      </c>
      <c r="C695">
        <f>IF($N695="","",IF(INDEX('Per Invoice'!$C$2:$C$801,$N695)="","",INDEX('Per Invoice'!$C$2:$C$801,$N695)))</f>
        <v/>
      </c>
      <c r="D695">
        <f>IF($N695="","",IF(INDEX('Per Invoice'!$D$2:$D$801,$N695)="","",INDEX('Per Invoice'!$D$2:$D$801,$N695)))</f>
        <v/>
      </c>
      <c r="E695">
        <f>IF($N695="","",IF(INDEX('Per Invoice'!$E$2:$E$801,$N695)="","",INDEX('Per Invoice'!$E$2:$E$801,$N695)))</f>
        <v/>
      </c>
      <c r="F695">
        <f>IF($N695="","",IF(INDEX('Per Invoice'!$F$2:$F$801,$N695)="","",INDEX('Per Invoice'!$F$2:$F$801,$N695)))</f>
        <v/>
      </c>
      <c r="G695">
        <f>IF($N695="","",IF(INDEX('Per Invoice'!$G$2:$G$801,$N695)="","",INDEX('Per Invoice'!$G$2:$G$801,$N695)))</f>
        <v/>
      </c>
      <c r="H695">
        <f>IF($N695="","",IF(INDEX('Per Invoice'!$H$2:$H$801,$N695)="","",INDEX('Per Invoice'!$H$2:$H$801,$N695)))</f>
        <v/>
      </c>
      <c r="I695" s="5">
        <f>IF($N695="","",IF(INDEX('Per Invoice'!$I$2:$I$801,$N695)="","",INDEX('Per Invoice'!$I$2:$I$801,$N695)))</f>
        <v/>
      </c>
      <c r="J695" s="5">
        <f>IF($N695="","",IF(INDEX('Per Invoice'!$J$2:$J$801,$N695)="","",INDEX('Per Invoice'!$J$2:$J$801,$N695)))</f>
        <v/>
      </c>
      <c r="K695" s="5">
        <f>IF($N695="","",IF(INDEX('Per Invoice'!$K$2:$K$801,$N695)="","",INDEX('Per Invoice'!$K$2:$K$801,$N695)))</f>
        <v/>
      </c>
      <c r="L695" s="5">
        <f>IF($N695="","",IF(INDEX('Per Invoice'!$L$2:$L$801,$N695)="","",INDEX('Per Invoice'!$L$2:$L$801,$N695)))</f>
        <v/>
      </c>
      <c r="M695" s="5">
        <f>IF($N695="","",IF(INDEX('Per Invoice'!$M$2:$M$801,$N695)="","",INDEX('Per Invoice'!$M$2:$M$801,$N695)))</f>
        <v/>
      </c>
      <c r="N695">
        <f>IF(ROWS($N$2:$N695)&lt;=COUNT('Per Invoice'!$O$2:$O$801),MATCH(ROWS($N$2:$N695),'Per Invoice'!$O$2:$O$801,0),"")</f>
        <v/>
      </c>
    </row>
    <row r="696">
      <c r="A696">
        <f>IF($N696="","",IF(INDEX('Per Invoice'!$A$2:$A$801,$N696)="","",INDEX('Per Invoice'!$A$2:$A$801,$N696)))</f>
        <v/>
      </c>
      <c r="B696">
        <f>IF($N696="","",IF(INDEX('Per Invoice'!$B$2:$B$801,$N696)="","",INDEX('Per Invoice'!$B$2:$B$801,$N696)))</f>
        <v/>
      </c>
      <c r="C696">
        <f>IF($N696="","",IF(INDEX('Per Invoice'!$C$2:$C$801,$N696)="","",INDEX('Per Invoice'!$C$2:$C$801,$N696)))</f>
        <v/>
      </c>
      <c r="D696">
        <f>IF($N696="","",IF(INDEX('Per Invoice'!$D$2:$D$801,$N696)="","",INDEX('Per Invoice'!$D$2:$D$801,$N696)))</f>
        <v/>
      </c>
      <c r="E696">
        <f>IF($N696="","",IF(INDEX('Per Invoice'!$E$2:$E$801,$N696)="","",INDEX('Per Invoice'!$E$2:$E$801,$N696)))</f>
        <v/>
      </c>
      <c r="F696">
        <f>IF($N696="","",IF(INDEX('Per Invoice'!$F$2:$F$801,$N696)="","",INDEX('Per Invoice'!$F$2:$F$801,$N696)))</f>
        <v/>
      </c>
      <c r="G696">
        <f>IF($N696="","",IF(INDEX('Per Invoice'!$G$2:$G$801,$N696)="","",INDEX('Per Invoice'!$G$2:$G$801,$N696)))</f>
        <v/>
      </c>
      <c r="H696">
        <f>IF($N696="","",IF(INDEX('Per Invoice'!$H$2:$H$801,$N696)="","",INDEX('Per Invoice'!$H$2:$H$801,$N696)))</f>
        <v/>
      </c>
      <c r="I696" s="5">
        <f>IF($N696="","",IF(INDEX('Per Invoice'!$I$2:$I$801,$N696)="","",INDEX('Per Invoice'!$I$2:$I$801,$N696)))</f>
        <v/>
      </c>
      <c r="J696" s="5">
        <f>IF($N696="","",IF(INDEX('Per Invoice'!$J$2:$J$801,$N696)="","",INDEX('Per Invoice'!$J$2:$J$801,$N696)))</f>
        <v/>
      </c>
      <c r="K696" s="5">
        <f>IF($N696="","",IF(INDEX('Per Invoice'!$K$2:$K$801,$N696)="","",INDEX('Per Invoice'!$K$2:$K$801,$N696)))</f>
        <v/>
      </c>
      <c r="L696" s="5">
        <f>IF($N696="","",IF(INDEX('Per Invoice'!$L$2:$L$801,$N696)="","",INDEX('Per Invoice'!$L$2:$L$801,$N696)))</f>
        <v/>
      </c>
      <c r="M696" s="5">
        <f>IF($N696="","",IF(INDEX('Per Invoice'!$M$2:$M$801,$N696)="","",INDEX('Per Invoice'!$M$2:$M$801,$N696)))</f>
        <v/>
      </c>
      <c r="N696">
        <f>IF(ROWS($N$2:$N696)&lt;=COUNT('Per Invoice'!$O$2:$O$801),MATCH(ROWS($N$2:$N696),'Per Invoice'!$O$2:$O$801,0),"")</f>
        <v/>
      </c>
    </row>
    <row r="697">
      <c r="A697">
        <f>IF($N697="","",IF(INDEX('Per Invoice'!$A$2:$A$801,$N697)="","",INDEX('Per Invoice'!$A$2:$A$801,$N697)))</f>
        <v/>
      </c>
      <c r="B697">
        <f>IF($N697="","",IF(INDEX('Per Invoice'!$B$2:$B$801,$N697)="","",INDEX('Per Invoice'!$B$2:$B$801,$N697)))</f>
        <v/>
      </c>
      <c r="C697">
        <f>IF($N697="","",IF(INDEX('Per Invoice'!$C$2:$C$801,$N697)="","",INDEX('Per Invoice'!$C$2:$C$801,$N697)))</f>
        <v/>
      </c>
      <c r="D697">
        <f>IF($N697="","",IF(INDEX('Per Invoice'!$D$2:$D$801,$N697)="","",INDEX('Per Invoice'!$D$2:$D$801,$N697)))</f>
        <v/>
      </c>
      <c r="E697">
        <f>IF($N697="","",IF(INDEX('Per Invoice'!$E$2:$E$801,$N697)="","",INDEX('Per Invoice'!$E$2:$E$801,$N697)))</f>
        <v/>
      </c>
      <c r="F697">
        <f>IF($N697="","",IF(INDEX('Per Invoice'!$F$2:$F$801,$N697)="","",INDEX('Per Invoice'!$F$2:$F$801,$N697)))</f>
        <v/>
      </c>
      <c r="G697">
        <f>IF($N697="","",IF(INDEX('Per Invoice'!$G$2:$G$801,$N697)="","",INDEX('Per Invoice'!$G$2:$G$801,$N697)))</f>
        <v/>
      </c>
      <c r="H697">
        <f>IF($N697="","",IF(INDEX('Per Invoice'!$H$2:$H$801,$N697)="","",INDEX('Per Invoice'!$H$2:$H$801,$N697)))</f>
        <v/>
      </c>
      <c r="I697" s="5">
        <f>IF($N697="","",IF(INDEX('Per Invoice'!$I$2:$I$801,$N697)="","",INDEX('Per Invoice'!$I$2:$I$801,$N697)))</f>
        <v/>
      </c>
      <c r="J697" s="5">
        <f>IF($N697="","",IF(INDEX('Per Invoice'!$J$2:$J$801,$N697)="","",INDEX('Per Invoice'!$J$2:$J$801,$N697)))</f>
        <v/>
      </c>
      <c r="K697" s="5">
        <f>IF($N697="","",IF(INDEX('Per Invoice'!$K$2:$K$801,$N697)="","",INDEX('Per Invoice'!$K$2:$K$801,$N697)))</f>
        <v/>
      </c>
      <c r="L697" s="5">
        <f>IF($N697="","",IF(INDEX('Per Invoice'!$L$2:$L$801,$N697)="","",INDEX('Per Invoice'!$L$2:$L$801,$N697)))</f>
        <v/>
      </c>
      <c r="M697" s="5">
        <f>IF($N697="","",IF(INDEX('Per Invoice'!$M$2:$M$801,$N697)="","",INDEX('Per Invoice'!$M$2:$M$801,$N697)))</f>
        <v/>
      </c>
      <c r="N697">
        <f>IF(ROWS($N$2:$N697)&lt;=COUNT('Per Invoice'!$O$2:$O$801),MATCH(ROWS($N$2:$N697),'Per Invoice'!$O$2:$O$801,0),"")</f>
        <v/>
      </c>
    </row>
    <row r="698">
      <c r="A698">
        <f>IF($N698="","",IF(INDEX('Per Invoice'!$A$2:$A$801,$N698)="","",INDEX('Per Invoice'!$A$2:$A$801,$N698)))</f>
        <v/>
      </c>
      <c r="B698">
        <f>IF($N698="","",IF(INDEX('Per Invoice'!$B$2:$B$801,$N698)="","",INDEX('Per Invoice'!$B$2:$B$801,$N698)))</f>
        <v/>
      </c>
      <c r="C698">
        <f>IF($N698="","",IF(INDEX('Per Invoice'!$C$2:$C$801,$N698)="","",INDEX('Per Invoice'!$C$2:$C$801,$N698)))</f>
        <v/>
      </c>
      <c r="D698">
        <f>IF($N698="","",IF(INDEX('Per Invoice'!$D$2:$D$801,$N698)="","",INDEX('Per Invoice'!$D$2:$D$801,$N698)))</f>
        <v/>
      </c>
      <c r="E698">
        <f>IF($N698="","",IF(INDEX('Per Invoice'!$E$2:$E$801,$N698)="","",INDEX('Per Invoice'!$E$2:$E$801,$N698)))</f>
        <v/>
      </c>
      <c r="F698">
        <f>IF($N698="","",IF(INDEX('Per Invoice'!$F$2:$F$801,$N698)="","",INDEX('Per Invoice'!$F$2:$F$801,$N698)))</f>
        <v/>
      </c>
      <c r="G698">
        <f>IF($N698="","",IF(INDEX('Per Invoice'!$G$2:$G$801,$N698)="","",INDEX('Per Invoice'!$G$2:$G$801,$N698)))</f>
        <v/>
      </c>
      <c r="H698">
        <f>IF($N698="","",IF(INDEX('Per Invoice'!$H$2:$H$801,$N698)="","",INDEX('Per Invoice'!$H$2:$H$801,$N698)))</f>
        <v/>
      </c>
      <c r="I698" s="5">
        <f>IF($N698="","",IF(INDEX('Per Invoice'!$I$2:$I$801,$N698)="","",INDEX('Per Invoice'!$I$2:$I$801,$N698)))</f>
        <v/>
      </c>
      <c r="J698" s="5">
        <f>IF($N698="","",IF(INDEX('Per Invoice'!$J$2:$J$801,$N698)="","",INDEX('Per Invoice'!$J$2:$J$801,$N698)))</f>
        <v/>
      </c>
      <c r="K698" s="5">
        <f>IF($N698="","",IF(INDEX('Per Invoice'!$K$2:$K$801,$N698)="","",INDEX('Per Invoice'!$K$2:$K$801,$N698)))</f>
        <v/>
      </c>
      <c r="L698" s="5">
        <f>IF($N698="","",IF(INDEX('Per Invoice'!$L$2:$L$801,$N698)="","",INDEX('Per Invoice'!$L$2:$L$801,$N698)))</f>
        <v/>
      </c>
      <c r="M698" s="5">
        <f>IF($N698="","",IF(INDEX('Per Invoice'!$M$2:$M$801,$N698)="","",INDEX('Per Invoice'!$M$2:$M$801,$N698)))</f>
        <v/>
      </c>
      <c r="N698">
        <f>IF(ROWS($N$2:$N698)&lt;=COUNT('Per Invoice'!$O$2:$O$801),MATCH(ROWS($N$2:$N698),'Per Invoice'!$O$2:$O$801,0),"")</f>
        <v/>
      </c>
    </row>
    <row r="699">
      <c r="A699">
        <f>IF($N699="","",IF(INDEX('Per Invoice'!$A$2:$A$801,$N699)="","",INDEX('Per Invoice'!$A$2:$A$801,$N699)))</f>
        <v/>
      </c>
      <c r="B699">
        <f>IF($N699="","",IF(INDEX('Per Invoice'!$B$2:$B$801,$N699)="","",INDEX('Per Invoice'!$B$2:$B$801,$N699)))</f>
        <v/>
      </c>
      <c r="C699">
        <f>IF($N699="","",IF(INDEX('Per Invoice'!$C$2:$C$801,$N699)="","",INDEX('Per Invoice'!$C$2:$C$801,$N699)))</f>
        <v/>
      </c>
      <c r="D699">
        <f>IF($N699="","",IF(INDEX('Per Invoice'!$D$2:$D$801,$N699)="","",INDEX('Per Invoice'!$D$2:$D$801,$N699)))</f>
        <v/>
      </c>
      <c r="E699">
        <f>IF($N699="","",IF(INDEX('Per Invoice'!$E$2:$E$801,$N699)="","",INDEX('Per Invoice'!$E$2:$E$801,$N699)))</f>
        <v/>
      </c>
      <c r="F699">
        <f>IF($N699="","",IF(INDEX('Per Invoice'!$F$2:$F$801,$N699)="","",INDEX('Per Invoice'!$F$2:$F$801,$N699)))</f>
        <v/>
      </c>
      <c r="G699">
        <f>IF($N699="","",IF(INDEX('Per Invoice'!$G$2:$G$801,$N699)="","",INDEX('Per Invoice'!$G$2:$G$801,$N699)))</f>
        <v/>
      </c>
      <c r="H699">
        <f>IF($N699="","",IF(INDEX('Per Invoice'!$H$2:$H$801,$N699)="","",INDEX('Per Invoice'!$H$2:$H$801,$N699)))</f>
        <v/>
      </c>
      <c r="I699" s="5">
        <f>IF($N699="","",IF(INDEX('Per Invoice'!$I$2:$I$801,$N699)="","",INDEX('Per Invoice'!$I$2:$I$801,$N699)))</f>
        <v/>
      </c>
      <c r="J699" s="5">
        <f>IF($N699="","",IF(INDEX('Per Invoice'!$J$2:$J$801,$N699)="","",INDEX('Per Invoice'!$J$2:$J$801,$N699)))</f>
        <v/>
      </c>
      <c r="K699" s="5">
        <f>IF($N699="","",IF(INDEX('Per Invoice'!$K$2:$K$801,$N699)="","",INDEX('Per Invoice'!$K$2:$K$801,$N699)))</f>
        <v/>
      </c>
      <c r="L699" s="5">
        <f>IF($N699="","",IF(INDEX('Per Invoice'!$L$2:$L$801,$N699)="","",INDEX('Per Invoice'!$L$2:$L$801,$N699)))</f>
        <v/>
      </c>
      <c r="M699" s="5">
        <f>IF($N699="","",IF(INDEX('Per Invoice'!$M$2:$M$801,$N699)="","",INDEX('Per Invoice'!$M$2:$M$801,$N699)))</f>
        <v/>
      </c>
      <c r="N699">
        <f>IF(ROWS($N$2:$N699)&lt;=COUNT('Per Invoice'!$O$2:$O$801),MATCH(ROWS($N$2:$N699),'Per Invoice'!$O$2:$O$801,0),"")</f>
        <v/>
      </c>
    </row>
    <row r="700">
      <c r="A700">
        <f>IF($N700="","",IF(INDEX('Per Invoice'!$A$2:$A$801,$N700)="","",INDEX('Per Invoice'!$A$2:$A$801,$N700)))</f>
        <v/>
      </c>
      <c r="B700">
        <f>IF($N700="","",IF(INDEX('Per Invoice'!$B$2:$B$801,$N700)="","",INDEX('Per Invoice'!$B$2:$B$801,$N700)))</f>
        <v/>
      </c>
      <c r="C700">
        <f>IF($N700="","",IF(INDEX('Per Invoice'!$C$2:$C$801,$N700)="","",INDEX('Per Invoice'!$C$2:$C$801,$N700)))</f>
        <v/>
      </c>
      <c r="D700">
        <f>IF($N700="","",IF(INDEX('Per Invoice'!$D$2:$D$801,$N700)="","",INDEX('Per Invoice'!$D$2:$D$801,$N700)))</f>
        <v/>
      </c>
      <c r="E700">
        <f>IF($N700="","",IF(INDEX('Per Invoice'!$E$2:$E$801,$N700)="","",INDEX('Per Invoice'!$E$2:$E$801,$N700)))</f>
        <v/>
      </c>
      <c r="F700">
        <f>IF($N700="","",IF(INDEX('Per Invoice'!$F$2:$F$801,$N700)="","",INDEX('Per Invoice'!$F$2:$F$801,$N700)))</f>
        <v/>
      </c>
      <c r="G700">
        <f>IF($N700="","",IF(INDEX('Per Invoice'!$G$2:$G$801,$N700)="","",INDEX('Per Invoice'!$G$2:$G$801,$N700)))</f>
        <v/>
      </c>
      <c r="H700">
        <f>IF($N700="","",IF(INDEX('Per Invoice'!$H$2:$H$801,$N700)="","",INDEX('Per Invoice'!$H$2:$H$801,$N700)))</f>
        <v/>
      </c>
      <c r="I700" s="5">
        <f>IF($N700="","",IF(INDEX('Per Invoice'!$I$2:$I$801,$N700)="","",INDEX('Per Invoice'!$I$2:$I$801,$N700)))</f>
        <v/>
      </c>
      <c r="J700" s="5">
        <f>IF($N700="","",IF(INDEX('Per Invoice'!$J$2:$J$801,$N700)="","",INDEX('Per Invoice'!$J$2:$J$801,$N700)))</f>
        <v/>
      </c>
      <c r="K700" s="5">
        <f>IF($N700="","",IF(INDEX('Per Invoice'!$K$2:$K$801,$N700)="","",INDEX('Per Invoice'!$K$2:$K$801,$N700)))</f>
        <v/>
      </c>
      <c r="L700" s="5">
        <f>IF($N700="","",IF(INDEX('Per Invoice'!$L$2:$L$801,$N700)="","",INDEX('Per Invoice'!$L$2:$L$801,$N700)))</f>
        <v/>
      </c>
      <c r="M700" s="5">
        <f>IF($N700="","",IF(INDEX('Per Invoice'!$M$2:$M$801,$N700)="","",INDEX('Per Invoice'!$M$2:$M$801,$N700)))</f>
        <v/>
      </c>
      <c r="N700">
        <f>IF(ROWS($N$2:$N700)&lt;=COUNT('Per Invoice'!$O$2:$O$801),MATCH(ROWS($N$2:$N700),'Per Invoice'!$O$2:$O$801,0),"")</f>
        <v/>
      </c>
    </row>
    <row r="701">
      <c r="A701">
        <f>IF($N701="","",IF(INDEX('Per Invoice'!$A$2:$A$801,$N701)="","",INDEX('Per Invoice'!$A$2:$A$801,$N701)))</f>
        <v/>
      </c>
      <c r="B701">
        <f>IF($N701="","",IF(INDEX('Per Invoice'!$B$2:$B$801,$N701)="","",INDEX('Per Invoice'!$B$2:$B$801,$N701)))</f>
        <v/>
      </c>
      <c r="C701">
        <f>IF($N701="","",IF(INDEX('Per Invoice'!$C$2:$C$801,$N701)="","",INDEX('Per Invoice'!$C$2:$C$801,$N701)))</f>
        <v/>
      </c>
      <c r="D701">
        <f>IF($N701="","",IF(INDEX('Per Invoice'!$D$2:$D$801,$N701)="","",INDEX('Per Invoice'!$D$2:$D$801,$N701)))</f>
        <v/>
      </c>
      <c r="E701">
        <f>IF($N701="","",IF(INDEX('Per Invoice'!$E$2:$E$801,$N701)="","",INDEX('Per Invoice'!$E$2:$E$801,$N701)))</f>
        <v/>
      </c>
      <c r="F701">
        <f>IF($N701="","",IF(INDEX('Per Invoice'!$F$2:$F$801,$N701)="","",INDEX('Per Invoice'!$F$2:$F$801,$N701)))</f>
        <v/>
      </c>
      <c r="G701">
        <f>IF($N701="","",IF(INDEX('Per Invoice'!$G$2:$G$801,$N701)="","",INDEX('Per Invoice'!$G$2:$G$801,$N701)))</f>
        <v/>
      </c>
      <c r="H701">
        <f>IF($N701="","",IF(INDEX('Per Invoice'!$H$2:$H$801,$N701)="","",INDEX('Per Invoice'!$H$2:$H$801,$N701)))</f>
        <v/>
      </c>
      <c r="I701" s="5">
        <f>IF($N701="","",IF(INDEX('Per Invoice'!$I$2:$I$801,$N701)="","",INDEX('Per Invoice'!$I$2:$I$801,$N701)))</f>
        <v/>
      </c>
      <c r="J701" s="5">
        <f>IF($N701="","",IF(INDEX('Per Invoice'!$J$2:$J$801,$N701)="","",INDEX('Per Invoice'!$J$2:$J$801,$N701)))</f>
        <v/>
      </c>
      <c r="K701" s="5">
        <f>IF($N701="","",IF(INDEX('Per Invoice'!$K$2:$K$801,$N701)="","",INDEX('Per Invoice'!$K$2:$K$801,$N701)))</f>
        <v/>
      </c>
      <c r="L701" s="5">
        <f>IF($N701="","",IF(INDEX('Per Invoice'!$L$2:$L$801,$N701)="","",INDEX('Per Invoice'!$L$2:$L$801,$N701)))</f>
        <v/>
      </c>
      <c r="M701" s="5">
        <f>IF($N701="","",IF(INDEX('Per Invoice'!$M$2:$M$801,$N701)="","",INDEX('Per Invoice'!$M$2:$M$801,$N701)))</f>
        <v/>
      </c>
      <c r="N701">
        <f>IF(ROWS($N$2:$N701)&lt;=COUNT('Per Invoice'!$O$2:$O$801),MATCH(ROWS($N$2:$N701),'Per Invoice'!$O$2:$O$801,0),"")</f>
        <v/>
      </c>
    </row>
    <row r="702">
      <c r="A702">
        <f>IF($N702="","",IF(INDEX('Per Invoice'!$A$2:$A$801,$N702)="","",INDEX('Per Invoice'!$A$2:$A$801,$N702)))</f>
        <v/>
      </c>
      <c r="B702">
        <f>IF($N702="","",IF(INDEX('Per Invoice'!$B$2:$B$801,$N702)="","",INDEX('Per Invoice'!$B$2:$B$801,$N702)))</f>
        <v/>
      </c>
      <c r="C702">
        <f>IF($N702="","",IF(INDEX('Per Invoice'!$C$2:$C$801,$N702)="","",INDEX('Per Invoice'!$C$2:$C$801,$N702)))</f>
        <v/>
      </c>
      <c r="D702">
        <f>IF($N702="","",IF(INDEX('Per Invoice'!$D$2:$D$801,$N702)="","",INDEX('Per Invoice'!$D$2:$D$801,$N702)))</f>
        <v/>
      </c>
      <c r="E702">
        <f>IF($N702="","",IF(INDEX('Per Invoice'!$E$2:$E$801,$N702)="","",INDEX('Per Invoice'!$E$2:$E$801,$N702)))</f>
        <v/>
      </c>
      <c r="F702">
        <f>IF($N702="","",IF(INDEX('Per Invoice'!$F$2:$F$801,$N702)="","",INDEX('Per Invoice'!$F$2:$F$801,$N702)))</f>
        <v/>
      </c>
      <c r="G702">
        <f>IF($N702="","",IF(INDEX('Per Invoice'!$G$2:$G$801,$N702)="","",INDEX('Per Invoice'!$G$2:$G$801,$N702)))</f>
        <v/>
      </c>
      <c r="H702">
        <f>IF($N702="","",IF(INDEX('Per Invoice'!$H$2:$H$801,$N702)="","",INDEX('Per Invoice'!$H$2:$H$801,$N702)))</f>
        <v/>
      </c>
      <c r="I702" s="5">
        <f>IF($N702="","",IF(INDEX('Per Invoice'!$I$2:$I$801,$N702)="","",INDEX('Per Invoice'!$I$2:$I$801,$N702)))</f>
        <v/>
      </c>
      <c r="J702" s="5">
        <f>IF($N702="","",IF(INDEX('Per Invoice'!$J$2:$J$801,$N702)="","",INDEX('Per Invoice'!$J$2:$J$801,$N702)))</f>
        <v/>
      </c>
      <c r="K702" s="5">
        <f>IF($N702="","",IF(INDEX('Per Invoice'!$K$2:$K$801,$N702)="","",INDEX('Per Invoice'!$K$2:$K$801,$N702)))</f>
        <v/>
      </c>
      <c r="L702" s="5">
        <f>IF($N702="","",IF(INDEX('Per Invoice'!$L$2:$L$801,$N702)="","",INDEX('Per Invoice'!$L$2:$L$801,$N702)))</f>
        <v/>
      </c>
      <c r="M702" s="5">
        <f>IF($N702="","",IF(INDEX('Per Invoice'!$M$2:$M$801,$N702)="","",INDEX('Per Invoice'!$M$2:$M$801,$N702)))</f>
        <v/>
      </c>
      <c r="N702">
        <f>IF(ROWS($N$2:$N702)&lt;=COUNT('Per Invoice'!$O$2:$O$801),MATCH(ROWS($N$2:$N702),'Per Invoice'!$O$2:$O$801,0),"")</f>
        <v/>
      </c>
    </row>
    <row r="703">
      <c r="A703">
        <f>IF($N703="","",IF(INDEX('Per Invoice'!$A$2:$A$801,$N703)="","",INDEX('Per Invoice'!$A$2:$A$801,$N703)))</f>
        <v/>
      </c>
      <c r="B703">
        <f>IF($N703="","",IF(INDEX('Per Invoice'!$B$2:$B$801,$N703)="","",INDEX('Per Invoice'!$B$2:$B$801,$N703)))</f>
        <v/>
      </c>
      <c r="C703">
        <f>IF($N703="","",IF(INDEX('Per Invoice'!$C$2:$C$801,$N703)="","",INDEX('Per Invoice'!$C$2:$C$801,$N703)))</f>
        <v/>
      </c>
      <c r="D703">
        <f>IF($N703="","",IF(INDEX('Per Invoice'!$D$2:$D$801,$N703)="","",INDEX('Per Invoice'!$D$2:$D$801,$N703)))</f>
        <v/>
      </c>
      <c r="E703">
        <f>IF($N703="","",IF(INDEX('Per Invoice'!$E$2:$E$801,$N703)="","",INDEX('Per Invoice'!$E$2:$E$801,$N703)))</f>
        <v/>
      </c>
      <c r="F703">
        <f>IF($N703="","",IF(INDEX('Per Invoice'!$F$2:$F$801,$N703)="","",INDEX('Per Invoice'!$F$2:$F$801,$N703)))</f>
        <v/>
      </c>
      <c r="G703">
        <f>IF($N703="","",IF(INDEX('Per Invoice'!$G$2:$G$801,$N703)="","",INDEX('Per Invoice'!$G$2:$G$801,$N703)))</f>
        <v/>
      </c>
      <c r="H703">
        <f>IF($N703="","",IF(INDEX('Per Invoice'!$H$2:$H$801,$N703)="","",INDEX('Per Invoice'!$H$2:$H$801,$N703)))</f>
        <v/>
      </c>
      <c r="I703" s="5">
        <f>IF($N703="","",IF(INDEX('Per Invoice'!$I$2:$I$801,$N703)="","",INDEX('Per Invoice'!$I$2:$I$801,$N703)))</f>
        <v/>
      </c>
      <c r="J703" s="5">
        <f>IF($N703="","",IF(INDEX('Per Invoice'!$J$2:$J$801,$N703)="","",INDEX('Per Invoice'!$J$2:$J$801,$N703)))</f>
        <v/>
      </c>
      <c r="K703" s="5">
        <f>IF($N703="","",IF(INDEX('Per Invoice'!$K$2:$K$801,$N703)="","",INDEX('Per Invoice'!$K$2:$K$801,$N703)))</f>
        <v/>
      </c>
      <c r="L703" s="5">
        <f>IF($N703="","",IF(INDEX('Per Invoice'!$L$2:$L$801,$N703)="","",INDEX('Per Invoice'!$L$2:$L$801,$N703)))</f>
        <v/>
      </c>
      <c r="M703" s="5">
        <f>IF($N703="","",IF(INDEX('Per Invoice'!$M$2:$M$801,$N703)="","",INDEX('Per Invoice'!$M$2:$M$801,$N703)))</f>
        <v/>
      </c>
      <c r="N703">
        <f>IF(ROWS($N$2:$N703)&lt;=COUNT('Per Invoice'!$O$2:$O$801),MATCH(ROWS($N$2:$N703),'Per Invoice'!$O$2:$O$801,0),"")</f>
        <v/>
      </c>
    </row>
    <row r="704">
      <c r="A704">
        <f>IF($N704="","",IF(INDEX('Per Invoice'!$A$2:$A$801,$N704)="","",INDEX('Per Invoice'!$A$2:$A$801,$N704)))</f>
        <v/>
      </c>
      <c r="B704">
        <f>IF($N704="","",IF(INDEX('Per Invoice'!$B$2:$B$801,$N704)="","",INDEX('Per Invoice'!$B$2:$B$801,$N704)))</f>
        <v/>
      </c>
      <c r="C704">
        <f>IF($N704="","",IF(INDEX('Per Invoice'!$C$2:$C$801,$N704)="","",INDEX('Per Invoice'!$C$2:$C$801,$N704)))</f>
        <v/>
      </c>
      <c r="D704">
        <f>IF($N704="","",IF(INDEX('Per Invoice'!$D$2:$D$801,$N704)="","",INDEX('Per Invoice'!$D$2:$D$801,$N704)))</f>
        <v/>
      </c>
      <c r="E704">
        <f>IF($N704="","",IF(INDEX('Per Invoice'!$E$2:$E$801,$N704)="","",INDEX('Per Invoice'!$E$2:$E$801,$N704)))</f>
        <v/>
      </c>
      <c r="F704">
        <f>IF($N704="","",IF(INDEX('Per Invoice'!$F$2:$F$801,$N704)="","",INDEX('Per Invoice'!$F$2:$F$801,$N704)))</f>
        <v/>
      </c>
      <c r="G704">
        <f>IF($N704="","",IF(INDEX('Per Invoice'!$G$2:$G$801,$N704)="","",INDEX('Per Invoice'!$G$2:$G$801,$N704)))</f>
        <v/>
      </c>
      <c r="H704">
        <f>IF($N704="","",IF(INDEX('Per Invoice'!$H$2:$H$801,$N704)="","",INDEX('Per Invoice'!$H$2:$H$801,$N704)))</f>
        <v/>
      </c>
      <c r="I704" s="5">
        <f>IF($N704="","",IF(INDEX('Per Invoice'!$I$2:$I$801,$N704)="","",INDEX('Per Invoice'!$I$2:$I$801,$N704)))</f>
        <v/>
      </c>
      <c r="J704" s="5">
        <f>IF($N704="","",IF(INDEX('Per Invoice'!$J$2:$J$801,$N704)="","",INDEX('Per Invoice'!$J$2:$J$801,$N704)))</f>
        <v/>
      </c>
      <c r="K704" s="5">
        <f>IF($N704="","",IF(INDEX('Per Invoice'!$K$2:$K$801,$N704)="","",INDEX('Per Invoice'!$K$2:$K$801,$N704)))</f>
        <v/>
      </c>
      <c r="L704" s="5">
        <f>IF($N704="","",IF(INDEX('Per Invoice'!$L$2:$L$801,$N704)="","",INDEX('Per Invoice'!$L$2:$L$801,$N704)))</f>
        <v/>
      </c>
      <c r="M704" s="5">
        <f>IF($N704="","",IF(INDEX('Per Invoice'!$M$2:$M$801,$N704)="","",INDEX('Per Invoice'!$M$2:$M$801,$N704)))</f>
        <v/>
      </c>
      <c r="N704">
        <f>IF(ROWS($N$2:$N704)&lt;=COUNT('Per Invoice'!$O$2:$O$801),MATCH(ROWS($N$2:$N704),'Per Invoice'!$O$2:$O$801,0),"")</f>
        <v/>
      </c>
    </row>
    <row r="705">
      <c r="A705">
        <f>IF($N705="","",IF(INDEX('Per Invoice'!$A$2:$A$801,$N705)="","",INDEX('Per Invoice'!$A$2:$A$801,$N705)))</f>
        <v/>
      </c>
      <c r="B705">
        <f>IF($N705="","",IF(INDEX('Per Invoice'!$B$2:$B$801,$N705)="","",INDEX('Per Invoice'!$B$2:$B$801,$N705)))</f>
        <v/>
      </c>
      <c r="C705">
        <f>IF($N705="","",IF(INDEX('Per Invoice'!$C$2:$C$801,$N705)="","",INDEX('Per Invoice'!$C$2:$C$801,$N705)))</f>
        <v/>
      </c>
      <c r="D705">
        <f>IF($N705="","",IF(INDEX('Per Invoice'!$D$2:$D$801,$N705)="","",INDEX('Per Invoice'!$D$2:$D$801,$N705)))</f>
        <v/>
      </c>
      <c r="E705">
        <f>IF($N705="","",IF(INDEX('Per Invoice'!$E$2:$E$801,$N705)="","",INDEX('Per Invoice'!$E$2:$E$801,$N705)))</f>
        <v/>
      </c>
      <c r="F705">
        <f>IF($N705="","",IF(INDEX('Per Invoice'!$F$2:$F$801,$N705)="","",INDEX('Per Invoice'!$F$2:$F$801,$N705)))</f>
        <v/>
      </c>
      <c r="G705">
        <f>IF($N705="","",IF(INDEX('Per Invoice'!$G$2:$G$801,$N705)="","",INDEX('Per Invoice'!$G$2:$G$801,$N705)))</f>
        <v/>
      </c>
      <c r="H705">
        <f>IF($N705="","",IF(INDEX('Per Invoice'!$H$2:$H$801,$N705)="","",INDEX('Per Invoice'!$H$2:$H$801,$N705)))</f>
        <v/>
      </c>
      <c r="I705" s="5">
        <f>IF($N705="","",IF(INDEX('Per Invoice'!$I$2:$I$801,$N705)="","",INDEX('Per Invoice'!$I$2:$I$801,$N705)))</f>
        <v/>
      </c>
      <c r="J705" s="5">
        <f>IF($N705="","",IF(INDEX('Per Invoice'!$J$2:$J$801,$N705)="","",INDEX('Per Invoice'!$J$2:$J$801,$N705)))</f>
        <v/>
      </c>
      <c r="K705" s="5">
        <f>IF($N705="","",IF(INDEX('Per Invoice'!$K$2:$K$801,$N705)="","",INDEX('Per Invoice'!$K$2:$K$801,$N705)))</f>
        <v/>
      </c>
      <c r="L705" s="5">
        <f>IF($N705="","",IF(INDEX('Per Invoice'!$L$2:$L$801,$N705)="","",INDEX('Per Invoice'!$L$2:$L$801,$N705)))</f>
        <v/>
      </c>
      <c r="M705" s="5">
        <f>IF($N705="","",IF(INDEX('Per Invoice'!$M$2:$M$801,$N705)="","",INDEX('Per Invoice'!$M$2:$M$801,$N705)))</f>
        <v/>
      </c>
      <c r="N705">
        <f>IF(ROWS($N$2:$N705)&lt;=COUNT('Per Invoice'!$O$2:$O$801),MATCH(ROWS($N$2:$N705),'Per Invoice'!$O$2:$O$801,0),"")</f>
        <v/>
      </c>
    </row>
    <row r="706">
      <c r="A706">
        <f>IF($N706="","",IF(INDEX('Per Invoice'!$A$2:$A$801,$N706)="","",INDEX('Per Invoice'!$A$2:$A$801,$N706)))</f>
        <v/>
      </c>
      <c r="B706">
        <f>IF($N706="","",IF(INDEX('Per Invoice'!$B$2:$B$801,$N706)="","",INDEX('Per Invoice'!$B$2:$B$801,$N706)))</f>
        <v/>
      </c>
      <c r="C706">
        <f>IF($N706="","",IF(INDEX('Per Invoice'!$C$2:$C$801,$N706)="","",INDEX('Per Invoice'!$C$2:$C$801,$N706)))</f>
        <v/>
      </c>
      <c r="D706">
        <f>IF($N706="","",IF(INDEX('Per Invoice'!$D$2:$D$801,$N706)="","",INDEX('Per Invoice'!$D$2:$D$801,$N706)))</f>
        <v/>
      </c>
      <c r="E706">
        <f>IF($N706="","",IF(INDEX('Per Invoice'!$E$2:$E$801,$N706)="","",INDEX('Per Invoice'!$E$2:$E$801,$N706)))</f>
        <v/>
      </c>
      <c r="F706">
        <f>IF($N706="","",IF(INDEX('Per Invoice'!$F$2:$F$801,$N706)="","",INDEX('Per Invoice'!$F$2:$F$801,$N706)))</f>
        <v/>
      </c>
      <c r="G706">
        <f>IF($N706="","",IF(INDEX('Per Invoice'!$G$2:$G$801,$N706)="","",INDEX('Per Invoice'!$G$2:$G$801,$N706)))</f>
        <v/>
      </c>
      <c r="H706">
        <f>IF($N706="","",IF(INDEX('Per Invoice'!$H$2:$H$801,$N706)="","",INDEX('Per Invoice'!$H$2:$H$801,$N706)))</f>
        <v/>
      </c>
      <c r="I706" s="5">
        <f>IF($N706="","",IF(INDEX('Per Invoice'!$I$2:$I$801,$N706)="","",INDEX('Per Invoice'!$I$2:$I$801,$N706)))</f>
        <v/>
      </c>
      <c r="J706" s="5">
        <f>IF($N706="","",IF(INDEX('Per Invoice'!$J$2:$J$801,$N706)="","",INDEX('Per Invoice'!$J$2:$J$801,$N706)))</f>
        <v/>
      </c>
      <c r="K706" s="5">
        <f>IF($N706="","",IF(INDEX('Per Invoice'!$K$2:$K$801,$N706)="","",INDEX('Per Invoice'!$K$2:$K$801,$N706)))</f>
        <v/>
      </c>
      <c r="L706" s="5">
        <f>IF($N706="","",IF(INDEX('Per Invoice'!$L$2:$L$801,$N706)="","",INDEX('Per Invoice'!$L$2:$L$801,$N706)))</f>
        <v/>
      </c>
      <c r="M706" s="5">
        <f>IF($N706="","",IF(INDEX('Per Invoice'!$M$2:$M$801,$N706)="","",INDEX('Per Invoice'!$M$2:$M$801,$N706)))</f>
        <v/>
      </c>
      <c r="N706">
        <f>IF(ROWS($N$2:$N706)&lt;=COUNT('Per Invoice'!$O$2:$O$801),MATCH(ROWS($N$2:$N706),'Per Invoice'!$O$2:$O$801,0),"")</f>
        <v/>
      </c>
    </row>
    <row r="707">
      <c r="A707">
        <f>IF($N707="","",IF(INDEX('Per Invoice'!$A$2:$A$801,$N707)="","",INDEX('Per Invoice'!$A$2:$A$801,$N707)))</f>
        <v/>
      </c>
      <c r="B707">
        <f>IF($N707="","",IF(INDEX('Per Invoice'!$B$2:$B$801,$N707)="","",INDEX('Per Invoice'!$B$2:$B$801,$N707)))</f>
        <v/>
      </c>
      <c r="C707">
        <f>IF($N707="","",IF(INDEX('Per Invoice'!$C$2:$C$801,$N707)="","",INDEX('Per Invoice'!$C$2:$C$801,$N707)))</f>
        <v/>
      </c>
      <c r="D707">
        <f>IF($N707="","",IF(INDEX('Per Invoice'!$D$2:$D$801,$N707)="","",INDEX('Per Invoice'!$D$2:$D$801,$N707)))</f>
        <v/>
      </c>
      <c r="E707">
        <f>IF($N707="","",IF(INDEX('Per Invoice'!$E$2:$E$801,$N707)="","",INDEX('Per Invoice'!$E$2:$E$801,$N707)))</f>
        <v/>
      </c>
      <c r="F707">
        <f>IF($N707="","",IF(INDEX('Per Invoice'!$F$2:$F$801,$N707)="","",INDEX('Per Invoice'!$F$2:$F$801,$N707)))</f>
        <v/>
      </c>
      <c r="G707">
        <f>IF($N707="","",IF(INDEX('Per Invoice'!$G$2:$G$801,$N707)="","",INDEX('Per Invoice'!$G$2:$G$801,$N707)))</f>
        <v/>
      </c>
      <c r="H707">
        <f>IF($N707="","",IF(INDEX('Per Invoice'!$H$2:$H$801,$N707)="","",INDEX('Per Invoice'!$H$2:$H$801,$N707)))</f>
        <v/>
      </c>
      <c r="I707" s="5">
        <f>IF($N707="","",IF(INDEX('Per Invoice'!$I$2:$I$801,$N707)="","",INDEX('Per Invoice'!$I$2:$I$801,$N707)))</f>
        <v/>
      </c>
      <c r="J707" s="5">
        <f>IF($N707="","",IF(INDEX('Per Invoice'!$J$2:$J$801,$N707)="","",INDEX('Per Invoice'!$J$2:$J$801,$N707)))</f>
        <v/>
      </c>
      <c r="K707" s="5">
        <f>IF($N707="","",IF(INDEX('Per Invoice'!$K$2:$K$801,$N707)="","",INDEX('Per Invoice'!$K$2:$K$801,$N707)))</f>
        <v/>
      </c>
      <c r="L707" s="5">
        <f>IF($N707="","",IF(INDEX('Per Invoice'!$L$2:$L$801,$N707)="","",INDEX('Per Invoice'!$L$2:$L$801,$N707)))</f>
        <v/>
      </c>
      <c r="M707" s="5">
        <f>IF($N707="","",IF(INDEX('Per Invoice'!$M$2:$M$801,$N707)="","",INDEX('Per Invoice'!$M$2:$M$801,$N707)))</f>
        <v/>
      </c>
      <c r="N707">
        <f>IF(ROWS($N$2:$N707)&lt;=COUNT('Per Invoice'!$O$2:$O$801),MATCH(ROWS($N$2:$N707),'Per Invoice'!$O$2:$O$801,0),"")</f>
        <v/>
      </c>
    </row>
    <row r="708">
      <c r="A708">
        <f>IF($N708="","",IF(INDEX('Per Invoice'!$A$2:$A$801,$N708)="","",INDEX('Per Invoice'!$A$2:$A$801,$N708)))</f>
        <v/>
      </c>
      <c r="B708">
        <f>IF($N708="","",IF(INDEX('Per Invoice'!$B$2:$B$801,$N708)="","",INDEX('Per Invoice'!$B$2:$B$801,$N708)))</f>
        <v/>
      </c>
      <c r="C708">
        <f>IF($N708="","",IF(INDEX('Per Invoice'!$C$2:$C$801,$N708)="","",INDEX('Per Invoice'!$C$2:$C$801,$N708)))</f>
        <v/>
      </c>
      <c r="D708">
        <f>IF($N708="","",IF(INDEX('Per Invoice'!$D$2:$D$801,$N708)="","",INDEX('Per Invoice'!$D$2:$D$801,$N708)))</f>
        <v/>
      </c>
      <c r="E708">
        <f>IF($N708="","",IF(INDEX('Per Invoice'!$E$2:$E$801,$N708)="","",INDEX('Per Invoice'!$E$2:$E$801,$N708)))</f>
        <v/>
      </c>
      <c r="F708">
        <f>IF($N708="","",IF(INDEX('Per Invoice'!$F$2:$F$801,$N708)="","",INDEX('Per Invoice'!$F$2:$F$801,$N708)))</f>
        <v/>
      </c>
      <c r="G708">
        <f>IF($N708="","",IF(INDEX('Per Invoice'!$G$2:$G$801,$N708)="","",INDEX('Per Invoice'!$G$2:$G$801,$N708)))</f>
        <v/>
      </c>
      <c r="H708">
        <f>IF($N708="","",IF(INDEX('Per Invoice'!$H$2:$H$801,$N708)="","",INDEX('Per Invoice'!$H$2:$H$801,$N708)))</f>
        <v/>
      </c>
      <c r="I708" s="5">
        <f>IF($N708="","",IF(INDEX('Per Invoice'!$I$2:$I$801,$N708)="","",INDEX('Per Invoice'!$I$2:$I$801,$N708)))</f>
        <v/>
      </c>
      <c r="J708" s="5">
        <f>IF($N708="","",IF(INDEX('Per Invoice'!$J$2:$J$801,$N708)="","",INDEX('Per Invoice'!$J$2:$J$801,$N708)))</f>
        <v/>
      </c>
      <c r="K708" s="5">
        <f>IF($N708="","",IF(INDEX('Per Invoice'!$K$2:$K$801,$N708)="","",INDEX('Per Invoice'!$K$2:$K$801,$N708)))</f>
        <v/>
      </c>
      <c r="L708" s="5">
        <f>IF($N708="","",IF(INDEX('Per Invoice'!$L$2:$L$801,$N708)="","",INDEX('Per Invoice'!$L$2:$L$801,$N708)))</f>
        <v/>
      </c>
      <c r="M708" s="5">
        <f>IF($N708="","",IF(INDEX('Per Invoice'!$M$2:$M$801,$N708)="","",INDEX('Per Invoice'!$M$2:$M$801,$N708)))</f>
        <v/>
      </c>
      <c r="N708">
        <f>IF(ROWS($N$2:$N708)&lt;=COUNT('Per Invoice'!$O$2:$O$801),MATCH(ROWS($N$2:$N708),'Per Invoice'!$O$2:$O$801,0),"")</f>
        <v/>
      </c>
    </row>
    <row r="709">
      <c r="A709">
        <f>IF($N709="","",IF(INDEX('Per Invoice'!$A$2:$A$801,$N709)="","",INDEX('Per Invoice'!$A$2:$A$801,$N709)))</f>
        <v/>
      </c>
      <c r="B709">
        <f>IF($N709="","",IF(INDEX('Per Invoice'!$B$2:$B$801,$N709)="","",INDEX('Per Invoice'!$B$2:$B$801,$N709)))</f>
        <v/>
      </c>
      <c r="C709">
        <f>IF($N709="","",IF(INDEX('Per Invoice'!$C$2:$C$801,$N709)="","",INDEX('Per Invoice'!$C$2:$C$801,$N709)))</f>
        <v/>
      </c>
      <c r="D709">
        <f>IF($N709="","",IF(INDEX('Per Invoice'!$D$2:$D$801,$N709)="","",INDEX('Per Invoice'!$D$2:$D$801,$N709)))</f>
        <v/>
      </c>
      <c r="E709">
        <f>IF($N709="","",IF(INDEX('Per Invoice'!$E$2:$E$801,$N709)="","",INDEX('Per Invoice'!$E$2:$E$801,$N709)))</f>
        <v/>
      </c>
      <c r="F709">
        <f>IF($N709="","",IF(INDEX('Per Invoice'!$F$2:$F$801,$N709)="","",INDEX('Per Invoice'!$F$2:$F$801,$N709)))</f>
        <v/>
      </c>
      <c r="G709">
        <f>IF($N709="","",IF(INDEX('Per Invoice'!$G$2:$G$801,$N709)="","",INDEX('Per Invoice'!$G$2:$G$801,$N709)))</f>
        <v/>
      </c>
      <c r="H709">
        <f>IF($N709="","",IF(INDEX('Per Invoice'!$H$2:$H$801,$N709)="","",INDEX('Per Invoice'!$H$2:$H$801,$N709)))</f>
        <v/>
      </c>
      <c r="I709" s="5">
        <f>IF($N709="","",IF(INDEX('Per Invoice'!$I$2:$I$801,$N709)="","",INDEX('Per Invoice'!$I$2:$I$801,$N709)))</f>
        <v/>
      </c>
      <c r="J709" s="5">
        <f>IF($N709="","",IF(INDEX('Per Invoice'!$J$2:$J$801,$N709)="","",INDEX('Per Invoice'!$J$2:$J$801,$N709)))</f>
        <v/>
      </c>
      <c r="K709" s="5">
        <f>IF($N709="","",IF(INDEX('Per Invoice'!$K$2:$K$801,$N709)="","",INDEX('Per Invoice'!$K$2:$K$801,$N709)))</f>
        <v/>
      </c>
      <c r="L709" s="5">
        <f>IF($N709="","",IF(INDEX('Per Invoice'!$L$2:$L$801,$N709)="","",INDEX('Per Invoice'!$L$2:$L$801,$N709)))</f>
        <v/>
      </c>
      <c r="M709" s="5">
        <f>IF($N709="","",IF(INDEX('Per Invoice'!$M$2:$M$801,$N709)="","",INDEX('Per Invoice'!$M$2:$M$801,$N709)))</f>
        <v/>
      </c>
      <c r="N709">
        <f>IF(ROWS($N$2:$N709)&lt;=COUNT('Per Invoice'!$O$2:$O$801),MATCH(ROWS($N$2:$N709),'Per Invoice'!$O$2:$O$801,0),"")</f>
        <v/>
      </c>
    </row>
    <row r="710">
      <c r="A710">
        <f>IF($N710="","",IF(INDEX('Per Invoice'!$A$2:$A$801,$N710)="","",INDEX('Per Invoice'!$A$2:$A$801,$N710)))</f>
        <v/>
      </c>
      <c r="B710">
        <f>IF($N710="","",IF(INDEX('Per Invoice'!$B$2:$B$801,$N710)="","",INDEX('Per Invoice'!$B$2:$B$801,$N710)))</f>
        <v/>
      </c>
      <c r="C710">
        <f>IF($N710="","",IF(INDEX('Per Invoice'!$C$2:$C$801,$N710)="","",INDEX('Per Invoice'!$C$2:$C$801,$N710)))</f>
        <v/>
      </c>
      <c r="D710">
        <f>IF($N710="","",IF(INDEX('Per Invoice'!$D$2:$D$801,$N710)="","",INDEX('Per Invoice'!$D$2:$D$801,$N710)))</f>
        <v/>
      </c>
      <c r="E710">
        <f>IF($N710="","",IF(INDEX('Per Invoice'!$E$2:$E$801,$N710)="","",INDEX('Per Invoice'!$E$2:$E$801,$N710)))</f>
        <v/>
      </c>
      <c r="F710">
        <f>IF($N710="","",IF(INDEX('Per Invoice'!$F$2:$F$801,$N710)="","",INDEX('Per Invoice'!$F$2:$F$801,$N710)))</f>
        <v/>
      </c>
      <c r="G710">
        <f>IF($N710="","",IF(INDEX('Per Invoice'!$G$2:$G$801,$N710)="","",INDEX('Per Invoice'!$G$2:$G$801,$N710)))</f>
        <v/>
      </c>
      <c r="H710">
        <f>IF($N710="","",IF(INDEX('Per Invoice'!$H$2:$H$801,$N710)="","",INDEX('Per Invoice'!$H$2:$H$801,$N710)))</f>
        <v/>
      </c>
      <c r="I710" s="5">
        <f>IF($N710="","",IF(INDEX('Per Invoice'!$I$2:$I$801,$N710)="","",INDEX('Per Invoice'!$I$2:$I$801,$N710)))</f>
        <v/>
      </c>
      <c r="J710" s="5">
        <f>IF($N710="","",IF(INDEX('Per Invoice'!$J$2:$J$801,$N710)="","",INDEX('Per Invoice'!$J$2:$J$801,$N710)))</f>
        <v/>
      </c>
      <c r="K710" s="5">
        <f>IF($N710="","",IF(INDEX('Per Invoice'!$K$2:$K$801,$N710)="","",INDEX('Per Invoice'!$K$2:$K$801,$N710)))</f>
        <v/>
      </c>
      <c r="L710" s="5">
        <f>IF($N710="","",IF(INDEX('Per Invoice'!$L$2:$L$801,$N710)="","",INDEX('Per Invoice'!$L$2:$L$801,$N710)))</f>
        <v/>
      </c>
      <c r="M710" s="5">
        <f>IF($N710="","",IF(INDEX('Per Invoice'!$M$2:$M$801,$N710)="","",INDEX('Per Invoice'!$M$2:$M$801,$N710)))</f>
        <v/>
      </c>
      <c r="N710">
        <f>IF(ROWS($N$2:$N710)&lt;=COUNT('Per Invoice'!$O$2:$O$801),MATCH(ROWS($N$2:$N710),'Per Invoice'!$O$2:$O$801,0),"")</f>
        <v/>
      </c>
    </row>
    <row r="711">
      <c r="A711">
        <f>IF($N711="","",IF(INDEX('Per Invoice'!$A$2:$A$801,$N711)="","",INDEX('Per Invoice'!$A$2:$A$801,$N711)))</f>
        <v/>
      </c>
      <c r="B711">
        <f>IF($N711="","",IF(INDEX('Per Invoice'!$B$2:$B$801,$N711)="","",INDEX('Per Invoice'!$B$2:$B$801,$N711)))</f>
        <v/>
      </c>
      <c r="C711">
        <f>IF($N711="","",IF(INDEX('Per Invoice'!$C$2:$C$801,$N711)="","",INDEX('Per Invoice'!$C$2:$C$801,$N711)))</f>
        <v/>
      </c>
      <c r="D711">
        <f>IF($N711="","",IF(INDEX('Per Invoice'!$D$2:$D$801,$N711)="","",INDEX('Per Invoice'!$D$2:$D$801,$N711)))</f>
        <v/>
      </c>
      <c r="E711">
        <f>IF($N711="","",IF(INDEX('Per Invoice'!$E$2:$E$801,$N711)="","",INDEX('Per Invoice'!$E$2:$E$801,$N711)))</f>
        <v/>
      </c>
      <c r="F711">
        <f>IF($N711="","",IF(INDEX('Per Invoice'!$F$2:$F$801,$N711)="","",INDEX('Per Invoice'!$F$2:$F$801,$N711)))</f>
        <v/>
      </c>
      <c r="G711">
        <f>IF($N711="","",IF(INDEX('Per Invoice'!$G$2:$G$801,$N711)="","",INDEX('Per Invoice'!$G$2:$G$801,$N711)))</f>
        <v/>
      </c>
      <c r="H711">
        <f>IF($N711="","",IF(INDEX('Per Invoice'!$H$2:$H$801,$N711)="","",INDEX('Per Invoice'!$H$2:$H$801,$N711)))</f>
        <v/>
      </c>
      <c r="I711" s="5">
        <f>IF($N711="","",IF(INDEX('Per Invoice'!$I$2:$I$801,$N711)="","",INDEX('Per Invoice'!$I$2:$I$801,$N711)))</f>
        <v/>
      </c>
      <c r="J711" s="5">
        <f>IF($N711="","",IF(INDEX('Per Invoice'!$J$2:$J$801,$N711)="","",INDEX('Per Invoice'!$J$2:$J$801,$N711)))</f>
        <v/>
      </c>
      <c r="K711" s="5">
        <f>IF($N711="","",IF(INDEX('Per Invoice'!$K$2:$K$801,$N711)="","",INDEX('Per Invoice'!$K$2:$K$801,$N711)))</f>
        <v/>
      </c>
      <c r="L711" s="5">
        <f>IF($N711="","",IF(INDEX('Per Invoice'!$L$2:$L$801,$N711)="","",INDEX('Per Invoice'!$L$2:$L$801,$N711)))</f>
        <v/>
      </c>
      <c r="M711" s="5">
        <f>IF($N711="","",IF(INDEX('Per Invoice'!$M$2:$M$801,$N711)="","",INDEX('Per Invoice'!$M$2:$M$801,$N711)))</f>
        <v/>
      </c>
      <c r="N711">
        <f>IF(ROWS($N$2:$N711)&lt;=COUNT('Per Invoice'!$O$2:$O$801),MATCH(ROWS($N$2:$N711),'Per Invoice'!$O$2:$O$801,0),"")</f>
        <v/>
      </c>
    </row>
    <row r="712">
      <c r="A712">
        <f>IF($N712="","",IF(INDEX('Per Invoice'!$A$2:$A$801,$N712)="","",INDEX('Per Invoice'!$A$2:$A$801,$N712)))</f>
        <v/>
      </c>
      <c r="B712">
        <f>IF($N712="","",IF(INDEX('Per Invoice'!$B$2:$B$801,$N712)="","",INDEX('Per Invoice'!$B$2:$B$801,$N712)))</f>
        <v/>
      </c>
      <c r="C712">
        <f>IF($N712="","",IF(INDEX('Per Invoice'!$C$2:$C$801,$N712)="","",INDEX('Per Invoice'!$C$2:$C$801,$N712)))</f>
        <v/>
      </c>
      <c r="D712">
        <f>IF($N712="","",IF(INDEX('Per Invoice'!$D$2:$D$801,$N712)="","",INDEX('Per Invoice'!$D$2:$D$801,$N712)))</f>
        <v/>
      </c>
      <c r="E712">
        <f>IF($N712="","",IF(INDEX('Per Invoice'!$E$2:$E$801,$N712)="","",INDEX('Per Invoice'!$E$2:$E$801,$N712)))</f>
        <v/>
      </c>
      <c r="F712">
        <f>IF($N712="","",IF(INDEX('Per Invoice'!$F$2:$F$801,$N712)="","",INDEX('Per Invoice'!$F$2:$F$801,$N712)))</f>
        <v/>
      </c>
      <c r="G712">
        <f>IF($N712="","",IF(INDEX('Per Invoice'!$G$2:$G$801,$N712)="","",INDEX('Per Invoice'!$G$2:$G$801,$N712)))</f>
        <v/>
      </c>
      <c r="H712">
        <f>IF($N712="","",IF(INDEX('Per Invoice'!$H$2:$H$801,$N712)="","",INDEX('Per Invoice'!$H$2:$H$801,$N712)))</f>
        <v/>
      </c>
      <c r="I712" s="5">
        <f>IF($N712="","",IF(INDEX('Per Invoice'!$I$2:$I$801,$N712)="","",INDEX('Per Invoice'!$I$2:$I$801,$N712)))</f>
        <v/>
      </c>
      <c r="J712" s="5">
        <f>IF($N712="","",IF(INDEX('Per Invoice'!$J$2:$J$801,$N712)="","",INDEX('Per Invoice'!$J$2:$J$801,$N712)))</f>
        <v/>
      </c>
      <c r="K712" s="5">
        <f>IF($N712="","",IF(INDEX('Per Invoice'!$K$2:$K$801,$N712)="","",INDEX('Per Invoice'!$K$2:$K$801,$N712)))</f>
        <v/>
      </c>
      <c r="L712" s="5">
        <f>IF($N712="","",IF(INDEX('Per Invoice'!$L$2:$L$801,$N712)="","",INDEX('Per Invoice'!$L$2:$L$801,$N712)))</f>
        <v/>
      </c>
      <c r="M712" s="5">
        <f>IF($N712="","",IF(INDEX('Per Invoice'!$M$2:$M$801,$N712)="","",INDEX('Per Invoice'!$M$2:$M$801,$N712)))</f>
        <v/>
      </c>
      <c r="N712">
        <f>IF(ROWS($N$2:$N712)&lt;=COUNT('Per Invoice'!$O$2:$O$801),MATCH(ROWS($N$2:$N712),'Per Invoice'!$O$2:$O$801,0),"")</f>
        <v/>
      </c>
    </row>
    <row r="713">
      <c r="A713">
        <f>IF($N713="","",IF(INDEX('Per Invoice'!$A$2:$A$801,$N713)="","",INDEX('Per Invoice'!$A$2:$A$801,$N713)))</f>
        <v/>
      </c>
      <c r="B713">
        <f>IF($N713="","",IF(INDEX('Per Invoice'!$B$2:$B$801,$N713)="","",INDEX('Per Invoice'!$B$2:$B$801,$N713)))</f>
        <v/>
      </c>
      <c r="C713">
        <f>IF($N713="","",IF(INDEX('Per Invoice'!$C$2:$C$801,$N713)="","",INDEX('Per Invoice'!$C$2:$C$801,$N713)))</f>
        <v/>
      </c>
      <c r="D713">
        <f>IF($N713="","",IF(INDEX('Per Invoice'!$D$2:$D$801,$N713)="","",INDEX('Per Invoice'!$D$2:$D$801,$N713)))</f>
        <v/>
      </c>
      <c r="E713">
        <f>IF($N713="","",IF(INDEX('Per Invoice'!$E$2:$E$801,$N713)="","",INDEX('Per Invoice'!$E$2:$E$801,$N713)))</f>
        <v/>
      </c>
      <c r="F713">
        <f>IF($N713="","",IF(INDEX('Per Invoice'!$F$2:$F$801,$N713)="","",INDEX('Per Invoice'!$F$2:$F$801,$N713)))</f>
        <v/>
      </c>
      <c r="G713">
        <f>IF($N713="","",IF(INDEX('Per Invoice'!$G$2:$G$801,$N713)="","",INDEX('Per Invoice'!$G$2:$G$801,$N713)))</f>
        <v/>
      </c>
      <c r="H713">
        <f>IF($N713="","",IF(INDEX('Per Invoice'!$H$2:$H$801,$N713)="","",INDEX('Per Invoice'!$H$2:$H$801,$N713)))</f>
        <v/>
      </c>
      <c r="I713" s="5">
        <f>IF($N713="","",IF(INDEX('Per Invoice'!$I$2:$I$801,$N713)="","",INDEX('Per Invoice'!$I$2:$I$801,$N713)))</f>
        <v/>
      </c>
      <c r="J713" s="5">
        <f>IF($N713="","",IF(INDEX('Per Invoice'!$J$2:$J$801,$N713)="","",INDEX('Per Invoice'!$J$2:$J$801,$N713)))</f>
        <v/>
      </c>
      <c r="K713" s="5">
        <f>IF($N713="","",IF(INDEX('Per Invoice'!$K$2:$K$801,$N713)="","",INDEX('Per Invoice'!$K$2:$K$801,$N713)))</f>
        <v/>
      </c>
      <c r="L713" s="5">
        <f>IF($N713="","",IF(INDEX('Per Invoice'!$L$2:$L$801,$N713)="","",INDEX('Per Invoice'!$L$2:$L$801,$N713)))</f>
        <v/>
      </c>
      <c r="M713" s="5">
        <f>IF($N713="","",IF(INDEX('Per Invoice'!$M$2:$M$801,$N713)="","",INDEX('Per Invoice'!$M$2:$M$801,$N713)))</f>
        <v/>
      </c>
      <c r="N713">
        <f>IF(ROWS($N$2:$N713)&lt;=COUNT('Per Invoice'!$O$2:$O$801),MATCH(ROWS($N$2:$N713),'Per Invoice'!$O$2:$O$801,0),"")</f>
        <v/>
      </c>
    </row>
    <row r="714">
      <c r="A714">
        <f>IF($N714="","",IF(INDEX('Per Invoice'!$A$2:$A$801,$N714)="","",INDEX('Per Invoice'!$A$2:$A$801,$N714)))</f>
        <v/>
      </c>
      <c r="B714">
        <f>IF($N714="","",IF(INDEX('Per Invoice'!$B$2:$B$801,$N714)="","",INDEX('Per Invoice'!$B$2:$B$801,$N714)))</f>
        <v/>
      </c>
      <c r="C714">
        <f>IF($N714="","",IF(INDEX('Per Invoice'!$C$2:$C$801,$N714)="","",INDEX('Per Invoice'!$C$2:$C$801,$N714)))</f>
        <v/>
      </c>
      <c r="D714">
        <f>IF($N714="","",IF(INDEX('Per Invoice'!$D$2:$D$801,$N714)="","",INDEX('Per Invoice'!$D$2:$D$801,$N714)))</f>
        <v/>
      </c>
      <c r="E714">
        <f>IF($N714="","",IF(INDEX('Per Invoice'!$E$2:$E$801,$N714)="","",INDEX('Per Invoice'!$E$2:$E$801,$N714)))</f>
        <v/>
      </c>
      <c r="F714">
        <f>IF($N714="","",IF(INDEX('Per Invoice'!$F$2:$F$801,$N714)="","",INDEX('Per Invoice'!$F$2:$F$801,$N714)))</f>
        <v/>
      </c>
      <c r="G714">
        <f>IF($N714="","",IF(INDEX('Per Invoice'!$G$2:$G$801,$N714)="","",INDEX('Per Invoice'!$G$2:$G$801,$N714)))</f>
        <v/>
      </c>
      <c r="H714">
        <f>IF($N714="","",IF(INDEX('Per Invoice'!$H$2:$H$801,$N714)="","",INDEX('Per Invoice'!$H$2:$H$801,$N714)))</f>
        <v/>
      </c>
      <c r="I714" s="5">
        <f>IF($N714="","",IF(INDEX('Per Invoice'!$I$2:$I$801,$N714)="","",INDEX('Per Invoice'!$I$2:$I$801,$N714)))</f>
        <v/>
      </c>
      <c r="J714" s="5">
        <f>IF($N714="","",IF(INDEX('Per Invoice'!$J$2:$J$801,$N714)="","",INDEX('Per Invoice'!$J$2:$J$801,$N714)))</f>
        <v/>
      </c>
      <c r="K714" s="5">
        <f>IF($N714="","",IF(INDEX('Per Invoice'!$K$2:$K$801,$N714)="","",INDEX('Per Invoice'!$K$2:$K$801,$N714)))</f>
        <v/>
      </c>
      <c r="L714" s="5">
        <f>IF($N714="","",IF(INDEX('Per Invoice'!$L$2:$L$801,$N714)="","",INDEX('Per Invoice'!$L$2:$L$801,$N714)))</f>
        <v/>
      </c>
      <c r="M714" s="5">
        <f>IF($N714="","",IF(INDEX('Per Invoice'!$M$2:$M$801,$N714)="","",INDEX('Per Invoice'!$M$2:$M$801,$N714)))</f>
        <v/>
      </c>
      <c r="N714">
        <f>IF(ROWS($N$2:$N714)&lt;=COUNT('Per Invoice'!$O$2:$O$801),MATCH(ROWS($N$2:$N714),'Per Invoice'!$O$2:$O$801,0),"")</f>
        <v/>
      </c>
    </row>
    <row r="715">
      <c r="A715">
        <f>IF($N715="","",IF(INDEX('Per Invoice'!$A$2:$A$801,$N715)="","",INDEX('Per Invoice'!$A$2:$A$801,$N715)))</f>
        <v/>
      </c>
      <c r="B715">
        <f>IF($N715="","",IF(INDEX('Per Invoice'!$B$2:$B$801,$N715)="","",INDEX('Per Invoice'!$B$2:$B$801,$N715)))</f>
        <v/>
      </c>
      <c r="C715">
        <f>IF($N715="","",IF(INDEX('Per Invoice'!$C$2:$C$801,$N715)="","",INDEX('Per Invoice'!$C$2:$C$801,$N715)))</f>
        <v/>
      </c>
      <c r="D715">
        <f>IF($N715="","",IF(INDEX('Per Invoice'!$D$2:$D$801,$N715)="","",INDEX('Per Invoice'!$D$2:$D$801,$N715)))</f>
        <v/>
      </c>
      <c r="E715">
        <f>IF($N715="","",IF(INDEX('Per Invoice'!$E$2:$E$801,$N715)="","",INDEX('Per Invoice'!$E$2:$E$801,$N715)))</f>
        <v/>
      </c>
      <c r="F715">
        <f>IF($N715="","",IF(INDEX('Per Invoice'!$F$2:$F$801,$N715)="","",INDEX('Per Invoice'!$F$2:$F$801,$N715)))</f>
        <v/>
      </c>
      <c r="G715">
        <f>IF($N715="","",IF(INDEX('Per Invoice'!$G$2:$G$801,$N715)="","",INDEX('Per Invoice'!$G$2:$G$801,$N715)))</f>
        <v/>
      </c>
      <c r="H715">
        <f>IF($N715="","",IF(INDEX('Per Invoice'!$H$2:$H$801,$N715)="","",INDEX('Per Invoice'!$H$2:$H$801,$N715)))</f>
        <v/>
      </c>
      <c r="I715" s="5">
        <f>IF($N715="","",IF(INDEX('Per Invoice'!$I$2:$I$801,$N715)="","",INDEX('Per Invoice'!$I$2:$I$801,$N715)))</f>
        <v/>
      </c>
      <c r="J715" s="5">
        <f>IF($N715="","",IF(INDEX('Per Invoice'!$J$2:$J$801,$N715)="","",INDEX('Per Invoice'!$J$2:$J$801,$N715)))</f>
        <v/>
      </c>
      <c r="K715" s="5">
        <f>IF($N715="","",IF(INDEX('Per Invoice'!$K$2:$K$801,$N715)="","",INDEX('Per Invoice'!$K$2:$K$801,$N715)))</f>
        <v/>
      </c>
      <c r="L715" s="5">
        <f>IF($N715="","",IF(INDEX('Per Invoice'!$L$2:$L$801,$N715)="","",INDEX('Per Invoice'!$L$2:$L$801,$N715)))</f>
        <v/>
      </c>
      <c r="M715" s="5">
        <f>IF($N715="","",IF(INDEX('Per Invoice'!$M$2:$M$801,$N715)="","",INDEX('Per Invoice'!$M$2:$M$801,$N715)))</f>
        <v/>
      </c>
      <c r="N715">
        <f>IF(ROWS($N$2:$N715)&lt;=COUNT('Per Invoice'!$O$2:$O$801),MATCH(ROWS($N$2:$N715),'Per Invoice'!$O$2:$O$801,0),"")</f>
        <v/>
      </c>
    </row>
    <row r="716">
      <c r="A716">
        <f>IF($N716="","",IF(INDEX('Per Invoice'!$A$2:$A$801,$N716)="","",INDEX('Per Invoice'!$A$2:$A$801,$N716)))</f>
        <v/>
      </c>
      <c r="B716">
        <f>IF($N716="","",IF(INDEX('Per Invoice'!$B$2:$B$801,$N716)="","",INDEX('Per Invoice'!$B$2:$B$801,$N716)))</f>
        <v/>
      </c>
      <c r="C716">
        <f>IF($N716="","",IF(INDEX('Per Invoice'!$C$2:$C$801,$N716)="","",INDEX('Per Invoice'!$C$2:$C$801,$N716)))</f>
        <v/>
      </c>
      <c r="D716">
        <f>IF($N716="","",IF(INDEX('Per Invoice'!$D$2:$D$801,$N716)="","",INDEX('Per Invoice'!$D$2:$D$801,$N716)))</f>
        <v/>
      </c>
      <c r="E716">
        <f>IF($N716="","",IF(INDEX('Per Invoice'!$E$2:$E$801,$N716)="","",INDEX('Per Invoice'!$E$2:$E$801,$N716)))</f>
        <v/>
      </c>
      <c r="F716">
        <f>IF($N716="","",IF(INDEX('Per Invoice'!$F$2:$F$801,$N716)="","",INDEX('Per Invoice'!$F$2:$F$801,$N716)))</f>
        <v/>
      </c>
      <c r="G716">
        <f>IF($N716="","",IF(INDEX('Per Invoice'!$G$2:$G$801,$N716)="","",INDEX('Per Invoice'!$G$2:$G$801,$N716)))</f>
        <v/>
      </c>
      <c r="H716">
        <f>IF($N716="","",IF(INDEX('Per Invoice'!$H$2:$H$801,$N716)="","",INDEX('Per Invoice'!$H$2:$H$801,$N716)))</f>
        <v/>
      </c>
      <c r="I716" s="5">
        <f>IF($N716="","",IF(INDEX('Per Invoice'!$I$2:$I$801,$N716)="","",INDEX('Per Invoice'!$I$2:$I$801,$N716)))</f>
        <v/>
      </c>
      <c r="J716" s="5">
        <f>IF($N716="","",IF(INDEX('Per Invoice'!$J$2:$J$801,$N716)="","",INDEX('Per Invoice'!$J$2:$J$801,$N716)))</f>
        <v/>
      </c>
      <c r="K716" s="5">
        <f>IF($N716="","",IF(INDEX('Per Invoice'!$K$2:$K$801,$N716)="","",INDEX('Per Invoice'!$K$2:$K$801,$N716)))</f>
        <v/>
      </c>
      <c r="L716" s="5">
        <f>IF($N716="","",IF(INDEX('Per Invoice'!$L$2:$L$801,$N716)="","",INDEX('Per Invoice'!$L$2:$L$801,$N716)))</f>
        <v/>
      </c>
      <c r="M716" s="5">
        <f>IF($N716="","",IF(INDEX('Per Invoice'!$M$2:$M$801,$N716)="","",INDEX('Per Invoice'!$M$2:$M$801,$N716)))</f>
        <v/>
      </c>
      <c r="N716">
        <f>IF(ROWS($N$2:$N716)&lt;=COUNT('Per Invoice'!$O$2:$O$801),MATCH(ROWS($N$2:$N716),'Per Invoice'!$O$2:$O$801,0),"")</f>
        <v/>
      </c>
    </row>
    <row r="717">
      <c r="A717">
        <f>IF($N717="","",IF(INDEX('Per Invoice'!$A$2:$A$801,$N717)="","",INDEX('Per Invoice'!$A$2:$A$801,$N717)))</f>
        <v/>
      </c>
      <c r="B717">
        <f>IF($N717="","",IF(INDEX('Per Invoice'!$B$2:$B$801,$N717)="","",INDEX('Per Invoice'!$B$2:$B$801,$N717)))</f>
        <v/>
      </c>
      <c r="C717">
        <f>IF($N717="","",IF(INDEX('Per Invoice'!$C$2:$C$801,$N717)="","",INDEX('Per Invoice'!$C$2:$C$801,$N717)))</f>
        <v/>
      </c>
      <c r="D717">
        <f>IF($N717="","",IF(INDEX('Per Invoice'!$D$2:$D$801,$N717)="","",INDEX('Per Invoice'!$D$2:$D$801,$N717)))</f>
        <v/>
      </c>
      <c r="E717">
        <f>IF($N717="","",IF(INDEX('Per Invoice'!$E$2:$E$801,$N717)="","",INDEX('Per Invoice'!$E$2:$E$801,$N717)))</f>
        <v/>
      </c>
      <c r="F717">
        <f>IF($N717="","",IF(INDEX('Per Invoice'!$F$2:$F$801,$N717)="","",INDEX('Per Invoice'!$F$2:$F$801,$N717)))</f>
        <v/>
      </c>
      <c r="G717">
        <f>IF($N717="","",IF(INDEX('Per Invoice'!$G$2:$G$801,$N717)="","",INDEX('Per Invoice'!$G$2:$G$801,$N717)))</f>
        <v/>
      </c>
      <c r="H717">
        <f>IF($N717="","",IF(INDEX('Per Invoice'!$H$2:$H$801,$N717)="","",INDEX('Per Invoice'!$H$2:$H$801,$N717)))</f>
        <v/>
      </c>
      <c r="I717" s="5">
        <f>IF($N717="","",IF(INDEX('Per Invoice'!$I$2:$I$801,$N717)="","",INDEX('Per Invoice'!$I$2:$I$801,$N717)))</f>
        <v/>
      </c>
      <c r="J717" s="5">
        <f>IF($N717="","",IF(INDEX('Per Invoice'!$J$2:$J$801,$N717)="","",INDEX('Per Invoice'!$J$2:$J$801,$N717)))</f>
        <v/>
      </c>
      <c r="K717" s="5">
        <f>IF($N717="","",IF(INDEX('Per Invoice'!$K$2:$K$801,$N717)="","",INDEX('Per Invoice'!$K$2:$K$801,$N717)))</f>
        <v/>
      </c>
      <c r="L717" s="5">
        <f>IF($N717="","",IF(INDEX('Per Invoice'!$L$2:$L$801,$N717)="","",INDEX('Per Invoice'!$L$2:$L$801,$N717)))</f>
        <v/>
      </c>
      <c r="M717" s="5">
        <f>IF($N717="","",IF(INDEX('Per Invoice'!$M$2:$M$801,$N717)="","",INDEX('Per Invoice'!$M$2:$M$801,$N717)))</f>
        <v/>
      </c>
      <c r="N717">
        <f>IF(ROWS($N$2:$N717)&lt;=COUNT('Per Invoice'!$O$2:$O$801),MATCH(ROWS($N$2:$N717),'Per Invoice'!$O$2:$O$801,0),"")</f>
        <v/>
      </c>
    </row>
    <row r="718">
      <c r="A718">
        <f>IF($N718="","",IF(INDEX('Per Invoice'!$A$2:$A$801,$N718)="","",INDEX('Per Invoice'!$A$2:$A$801,$N718)))</f>
        <v/>
      </c>
      <c r="B718">
        <f>IF($N718="","",IF(INDEX('Per Invoice'!$B$2:$B$801,$N718)="","",INDEX('Per Invoice'!$B$2:$B$801,$N718)))</f>
        <v/>
      </c>
      <c r="C718">
        <f>IF($N718="","",IF(INDEX('Per Invoice'!$C$2:$C$801,$N718)="","",INDEX('Per Invoice'!$C$2:$C$801,$N718)))</f>
        <v/>
      </c>
      <c r="D718">
        <f>IF($N718="","",IF(INDEX('Per Invoice'!$D$2:$D$801,$N718)="","",INDEX('Per Invoice'!$D$2:$D$801,$N718)))</f>
        <v/>
      </c>
      <c r="E718">
        <f>IF($N718="","",IF(INDEX('Per Invoice'!$E$2:$E$801,$N718)="","",INDEX('Per Invoice'!$E$2:$E$801,$N718)))</f>
        <v/>
      </c>
      <c r="F718">
        <f>IF($N718="","",IF(INDEX('Per Invoice'!$F$2:$F$801,$N718)="","",INDEX('Per Invoice'!$F$2:$F$801,$N718)))</f>
        <v/>
      </c>
      <c r="G718">
        <f>IF($N718="","",IF(INDEX('Per Invoice'!$G$2:$G$801,$N718)="","",INDEX('Per Invoice'!$G$2:$G$801,$N718)))</f>
        <v/>
      </c>
      <c r="H718">
        <f>IF($N718="","",IF(INDEX('Per Invoice'!$H$2:$H$801,$N718)="","",INDEX('Per Invoice'!$H$2:$H$801,$N718)))</f>
        <v/>
      </c>
      <c r="I718" s="5">
        <f>IF($N718="","",IF(INDEX('Per Invoice'!$I$2:$I$801,$N718)="","",INDEX('Per Invoice'!$I$2:$I$801,$N718)))</f>
        <v/>
      </c>
      <c r="J718" s="5">
        <f>IF($N718="","",IF(INDEX('Per Invoice'!$J$2:$J$801,$N718)="","",INDEX('Per Invoice'!$J$2:$J$801,$N718)))</f>
        <v/>
      </c>
      <c r="K718" s="5">
        <f>IF($N718="","",IF(INDEX('Per Invoice'!$K$2:$K$801,$N718)="","",INDEX('Per Invoice'!$K$2:$K$801,$N718)))</f>
        <v/>
      </c>
      <c r="L718" s="5">
        <f>IF($N718="","",IF(INDEX('Per Invoice'!$L$2:$L$801,$N718)="","",INDEX('Per Invoice'!$L$2:$L$801,$N718)))</f>
        <v/>
      </c>
      <c r="M718" s="5">
        <f>IF($N718="","",IF(INDEX('Per Invoice'!$M$2:$M$801,$N718)="","",INDEX('Per Invoice'!$M$2:$M$801,$N718)))</f>
        <v/>
      </c>
      <c r="N718">
        <f>IF(ROWS($N$2:$N718)&lt;=COUNT('Per Invoice'!$O$2:$O$801),MATCH(ROWS($N$2:$N718),'Per Invoice'!$O$2:$O$801,0),"")</f>
        <v/>
      </c>
    </row>
    <row r="719">
      <c r="A719">
        <f>IF($N719="","",IF(INDEX('Per Invoice'!$A$2:$A$801,$N719)="","",INDEX('Per Invoice'!$A$2:$A$801,$N719)))</f>
        <v/>
      </c>
      <c r="B719">
        <f>IF($N719="","",IF(INDEX('Per Invoice'!$B$2:$B$801,$N719)="","",INDEX('Per Invoice'!$B$2:$B$801,$N719)))</f>
        <v/>
      </c>
      <c r="C719">
        <f>IF($N719="","",IF(INDEX('Per Invoice'!$C$2:$C$801,$N719)="","",INDEX('Per Invoice'!$C$2:$C$801,$N719)))</f>
        <v/>
      </c>
      <c r="D719">
        <f>IF($N719="","",IF(INDEX('Per Invoice'!$D$2:$D$801,$N719)="","",INDEX('Per Invoice'!$D$2:$D$801,$N719)))</f>
        <v/>
      </c>
      <c r="E719">
        <f>IF($N719="","",IF(INDEX('Per Invoice'!$E$2:$E$801,$N719)="","",INDEX('Per Invoice'!$E$2:$E$801,$N719)))</f>
        <v/>
      </c>
      <c r="F719">
        <f>IF($N719="","",IF(INDEX('Per Invoice'!$F$2:$F$801,$N719)="","",INDEX('Per Invoice'!$F$2:$F$801,$N719)))</f>
        <v/>
      </c>
      <c r="G719">
        <f>IF($N719="","",IF(INDEX('Per Invoice'!$G$2:$G$801,$N719)="","",INDEX('Per Invoice'!$G$2:$G$801,$N719)))</f>
        <v/>
      </c>
      <c r="H719">
        <f>IF($N719="","",IF(INDEX('Per Invoice'!$H$2:$H$801,$N719)="","",INDEX('Per Invoice'!$H$2:$H$801,$N719)))</f>
        <v/>
      </c>
      <c r="I719" s="5">
        <f>IF($N719="","",IF(INDEX('Per Invoice'!$I$2:$I$801,$N719)="","",INDEX('Per Invoice'!$I$2:$I$801,$N719)))</f>
        <v/>
      </c>
      <c r="J719" s="5">
        <f>IF($N719="","",IF(INDEX('Per Invoice'!$J$2:$J$801,$N719)="","",INDEX('Per Invoice'!$J$2:$J$801,$N719)))</f>
        <v/>
      </c>
      <c r="K719" s="5">
        <f>IF($N719="","",IF(INDEX('Per Invoice'!$K$2:$K$801,$N719)="","",INDEX('Per Invoice'!$K$2:$K$801,$N719)))</f>
        <v/>
      </c>
      <c r="L719" s="5">
        <f>IF($N719="","",IF(INDEX('Per Invoice'!$L$2:$L$801,$N719)="","",INDEX('Per Invoice'!$L$2:$L$801,$N719)))</f>
        <v/>
      </c>
      <c r="M719" s="5">
        <f>IF($N719="","",IF(INDEX('Per Invoice'!$M$2:$M$801,$N719)="","",INDEX('Per Invoice'!$M$2:$M$801,$N719)))</f>
        <v/>
      </c>
      <c r="N719">
        <f>IF(ROWS($N$2:$N719)&lt;=COUNT('Per Invoice'!$O$2:$O$801),MATCH(ROWS($N$2:$N719),'Per Invoice'!$O$2:$O$801,0),"")</f>
        <v/>
      </c>
    </row>
    <row r="720">
      <c r="A720">
        <f>IF($N720="","",IF(INDEX('Per Invoice'!$A$2:$A$801,$N720)="","",INDEX('Per Invoice'!$A$2:$A$801,$N720)))</f>
        <v/>
      </c>
      <c r="B720">
        <f>IF($N720="","",IF(INDEX('Per Invoice'!$B$2:$B$801,$N720)="","",INDEX('Per Invoice'!$B$2:$B$801,$N720)))</f>
        <v/>
      </c>
      <c r="C720">
        <f>IF($N720="","",IF(INDEX('Per Invoice'!$C$2:$C$801,$N720)="","",INDEX('Per Invoice'!$C$2:$C$801,$N720)))</f>
        <v/>
      </c>
      <c r="D720">
        <f>IF($N720="","",IF(INDEX('Per Invoice'!$D$2:$D$801,$N720)="","",INDEX('Per Invoice'!$D$2:$D$801,$N720)))</f>
        <v/>
      </c>
      <c r="E720">
        <f>IF($N720="","",IF(INDEX('Per Invoice'!$E$2:$E$801,$N720)="","",INDEX('Per Invoice'!$E$2:$E$801,$N720)))</f>
        <v/>
      </c>
      <c r="F720">
        <f>IF($N720="","",IF(INDEX('Per Invoice'!$F$2:$F$801,$N720)="","",INDEX('Per Invoice'!$F$2:$F$801,$N720)))</f>
        <v/>
      </c>
      <c r="G720">
        <f>IF($N720="","",IF(INDEX('Per Invoice'!$G$2:$G$801,$N720)="","",INDEX('Per Invoice'!$G$2:$G$801,$N720)))</f>
        <v/>
      </c>
      <c r="H720">
        <f>IF($N720="","",IF(INDEX('Per Invoice'!$H$2:$H$801,$N720)="","",INDEX('Per Invoice'!$H$2:$H$801,$N720)))</f>
        <v/>
      </c>
      <c r="I720" s="5">
        <f>IF($N720="","",IF(INDEX('Per Invoice'!$I$2:$I$801,$N720)="","",INDEX('Per Invoice'!$I$2:$I$801,$N720)))</f>
        <v/>
      </c>
      <c r="J720" s="5">
        <f>IF($N720="","",IF(INDEX('Per Invoice'!$J$2:$J$801,$N720)="","",INDEX('Per Invoice'!$J$2:$J$801,$N720)))</f>
        <v/>
      </c>
      <c r="K720" s="5">
        <f>IF($N720="","",IF(INDEX('Per Invoice'!$K$2:$K$801,$N720)="","",INDEX('Per Invoice'!$K$2:$K$801,$N720)))</f>
        <v/>
      </c>
      <c r="L720" s="5">
        <f>IF($N720="","",IF(INDEX('Per Invoice'!$L$2:$L$801,$N720)="","",INDEX('Per Invoice'!$L$2:$L$801,$N720)))</f>
        <v/>
      </c>
      <c r="M720" s="5">
        <f>IF($N720="","",IF(INDEX('Per Invoice'!$M$2:$M$801,$N720)="","",INDEX('Per Invoice'!$M$2:$M$801,$N720)))</f>
        <v/>
      </c>
      <c r="N720">
        <f>IF(ROWS($N$2:$N720)&lt;=COUNT('Per Invoice'!$O$2:$O$801),MATCH(ROWS($N$2:$N720),'Per Invoice'!$O$2:$O$801,0),"")</f>
        <v/>
      </c>
    </row>
    <row r="721">
      <c r="A721">
        <f>IF($N721="","",IF(INDEX('Per Invoice'!$A$2:$A$801,$N721)="","",INDEX('Per Invoice'!$A$2:$A$801,$N721)))</f>
        <v/>
      </c>
      <c r="B721">
        <f>IF($N721="","",IF(INDEX('Per Invoice'!$B$2:$B$801,$N721)="","",INDEX('Per Invoice'!$B$2:$B$801,$N721)))</f>
        <v/>
      </c>
      <c r="C721">
        <f>IF($N721="","",IF(INDEX('Per Invoice'!$C$2:$C$801,$N721)="","",INDEX('Per Invoice'!$C$2:$C$801,$N721)))</f>
        <v/>
      </c>
      <c r="D721">
        <f>IF($N721="","",IF(INDEX('Per Invoice'!$D$2:$D$801,$N721)="","",INDEX('Per Invoice'!$D$2:$D$801,$N721)))</f>
        <v/>
      </c>
      <c r="E721">
        <f>IF($N721="","",IF(INDEX('Per Invoice'!$E$2:$E$801,$N721)="","",INDEX('Per Invoice'!$E$2:$E$801,$N721)))</f>
        <v/>
      </c>
      <c r="F721">
        <f>IF($N721="","",IF(INDEX('Per Invoice'!$F$2:$F$801,$N721)="","",INDEX('Per Invoice'!$F$2:$F$801,$N721)))</f>
        <v/>
      </c>
      <c r="G721">
        <f>IF($N721="","",IF(INDEX('Per Invoice'!$G$2:$G$801,$N721)="","",INDEX('Per Invoice'!$G$2:$G$801,$N721)))</f>
        <v/>
      </c>
      <c r="H721">
        <f>IF($N721="","",IF(INDEX('Per Invoice'!$H$2:$H$801,$N721)="","",INDEX('Per Invoice'!$H$2:$H$801,$N721)))</f>
        <v/>
      </c>
      <c r="I721" s="5">
        <f>IF($N721="","",IF(INDEX('Per Invoice'!$I$2:$I$801,$N721)="","",INDEX('Per Invoice'!$I$2:$I$801,$N721)))</f>
        <v/>
      </c>
      <c r="J721" s="5">
        <f>IF($N721="","",IF(INDEX('Per Invoice'!$J$2:$J$801,$N721)="","",INDEX('Per Invoice'!$J$2:$J$801,$N721)))</f>
        <v/>
      </c>
      <c r="K721" s="5">
        <f>IF($N721="","",IF(INDEX('Per Invoice'!$K$2:$K$801,$N721)="","",INDEX('Per Invoice'!$K$2:$K$801,$N721)))</f>
        <v/>
      </c>
      <c r="L721" s="5">
        <f>IF($N721="","",IF(INDEX('Per Invoice'!$L$2:$L$801,$N721)="","",INDEX('Per Invoice'!$L$2:$L$801,$N721)))</f>
        <v/>
      </c>
      <c r="M721" s="5">
        <f>IF($N721="","",IF(INDEX('Per Invoice'!$M$2:$M$801,$N721)="","",INDEX('Per Invoice'!$M$2:$M$801,$N721)))</f>
        <v/>
      </c>
      <c r="N721">
        <f>IF(ROWS($N$2:$N721)&lt;=COUNT('Per Invoice'!$O$2:$O$801),MATCH(ROWS($N$2:$N721),'Per Invoice'!$O$2:$O$801,0),"")</f>
        <v/>
      </c>
    </row>
    <row r="722">
      <c r="A722">
        <f>IF($N722="","",IF(INDEX('Per Invoice'!$A$2:$A$801,$N722)="","",INDEX('Per Invoice'!$A$2:$A$801,$N722)))</f>
        <v/>
      </c>
      <c r="B722">
        <f>IF($N722="","",IF(INDEX('Per Invoice'!$B$2:$B$801,$N722)="","",INDEX('Per Invoice'!$B$2:$B$801,$N722)))</f>
        <v/>
      </c>
      <c r="C722">
        <f>IF($N722="","",IF(INDEX('Per Invoice'!$C$2:$C$801,$N722)="","",INDEX('Per Invoice'!$C$2:$C$801,$N722)))</f>
        <v/>
      </c>
      <c r="D722">
        <f>IF($N722="","",IF(INDEX('Per Invoice'!$D$2:$D$801,$N722)="","",INDEX('Per Invoice'!$D$2:$D$801,$N722)))</f>
        <v/>
      </c>
      <c r="E722">
        <f>IF($N722="","",IF(INDEX('Per Invoice'!$E$2:$E$801,$N722)="","",INDEX('Per Invoice'!$E$2:$E$801,$N722)))</f>
        <v/>
      </c>
      <c r="F722">
        <f>IF($N722="","",IF(INDEX('Per Invoice'!$F$2:$F$801,$N722)="","",INDEX('Per Invoice'!$F$2:$F$801,$N722)))</f>
        <v/>
      </c>
      <c r="G722">
        <f>IF($N722="","",IF(INDEX('Per Invoice'!$G$2:$G$801,$N722)="","",INDEX('Per Invoice'!$G$2:$G$801,$N722)))</f>
        <v/>
      </c>
      <c r="H722">
        <f>IF($N722="","",IF(INDEX('Per Invoice'!$H$2:$H$801,$N722)="","",INDEX('Per Invoice'!$H$2:$H$801,$N722)))</f>
        <v/>
      </c>
      <c r="I722" s="5">
        <f>IF($N722="","",IF(INDEX('Per Invoice'!$I$2:$I$801,$N722)="","",INDEX('Per Invoice'!$I$2:$I$801,$N722)))</f>
        <v/>
      </c>
      <c r="J722" s="5">
        <f>IF($N722="","",IF(INDEX('Per Invoice'!$J$2:$J$801,$N722)="","",INDEX('Per Invoice'!$J$2:$J$801,$N722)))</f>
        <v/>
      </c>
      <c r="K722" s="5">
        <f>IF($N722="","",IF(INDEX('Per Invoice'!$K$2:$K$801,$N722)="","",INDEX('Per Invoice'!$K$2:$K$801,$N722)))</f>
        <v/>
      </c>
      <c r="L722" s="5">
        <f>IF($N722="","",IF(INDEX('Per Invoice'!$L$2:$L$801,$N722)="","",INDEX('Per Invoice'!$L$2:$L$801,$N722)))</f>
        <v/>
      </c>
      <c r="M722" s="5">
        <f>IF($N722="","",IF(INDEX('Per Invoice'!$M$2:$M$801,$N722)="","",INDEX('Per Invoice'!$M$2:$M$801,$N722)))</f>
        <v/>
      </c>
      <c r="N722">
        <f>IF(ROWS($N$2:$N722)&lt;=COUNT('Per Invoice'!$O$2:$O$801),MATCH(ROWS($N$2:$N722),'Per Invoice'!$O$2:$O$801,0),"")</f>
        <v/>
      </c>
    </row>
    <row r="723">
      <c r="A723">
        <f>IF($N723="","",IF(INDEX('Per Invoice'!$A$2:$A$801,$N723)="","",INDEX('Per Invoice'!$A$2:$A$801,$N723)))</f>
        <v/>
      </c>
      <c r="B723">
        <f>IF($N723="","",IF(INDEX('Per Invoice'!$B$2:$B$801,$N723)="","",INDEX('Per Invoice'!$B$2:$B$801,$N723)))</f>
        <v/>
      </c>
      <c r="C723">
        <f>IF($N723="","",IF(INDEX('Per Invoice'!$C$2:$C$801,$N723)="","",INDEX('Per Invoice'!$C$2:$C$801,$N723)))</f>
        <v/>
      </c>
      <c r="D723">
        <f>IF($N723="","",IF(INDEX('Per Invoice'!$D$2:$D$801,$N723)="","",INDEX('Per Invoice'!$D$2:$D$801,$N723)))</f>
        <v/>
      </c>
      <c r="E723">
        <f>IF($N723="","",IF(INDEX('Per Invoice'!$E$2:$E$801,$N723)="","",INDEX('Per Invoice'!$E$2:$E$801,$N723)))</f>
        <v/>
      </c>
      <c r="F723">
        <f>IF($N723="","",IF(INDEX('Per Invoice'!$F$2:$F$801,$N723)="","",INDEX('Per Invoice'!$F$2:$F$801,$N723)))</f>
        <v/>
      </c>
      <c r="G723">
        <f>IF($N723="","",IF(INDEX('Per Invoice'!$G$2:$G$801,$N723)="","",INDEX('Per Invoice'!$G$2:$G$801,$N723)))</f>
        <v/>
      </c>
      <c r="H723">
        <f>IF($N723="","",IF(INDEX('Per Invoice'!$H$2:$H$801,$N723)="","",INDEX('Per Invoice'!$H$2:$H$801,$N723)))</f>
        <v/>
      </c>
      <c r="I723" s="5">
        <f>IF($N723="","",IF(INDEX('Per Invoice'!$I$2:$I$801,$N723)="","",INDEX('Per Invoice'!$I$2:$I$801,$N723)))</f>
        <v/>
      </c>
      <c r="J723" s="5">
        <f>IF($N723="","",IF(INDEX('Per Invoice'!$J$2:$J$801,$N723)="","",INDEX('Per Invoice'!$J$2:$J$801,$N723)))</f>
        <v/>
      </c>
      <c r="K723" s="5">
        <f>IF($N723="","",IF(INDEX('Per Invoice'!$K$2:$K$801,$N723)="","",INDEX('Per Invoice'!$K$2:$K$801,$N723)))</f>
        <v/>
      </c>
      <c r="L723" s="5">
        <f>IF($N723="","",IF(INDEX('Per Invoice'!$L$2:$L$801,$N723)="","",INDEX('Per Invoice'!$L$2:$L$801,$N723)))</f>
        <v/>
      </c>
      <c r="M723" s="5">
        <f>IF($N723="","",IF(INDEX('Per Invoice'!$M$2:$M$801,$N723)="","",INDEX('Per Invoice'!$M$2:$M$801,$N723)))</f>
        <v/>
      </c>
      <c r="N723">
        <f>IF(ROWS($N$2:$N723)&lt;=COUNT('Per Invoice'!$O$2:$O$801),MATCH(ROWS($N$2:$N723),'Per Invoice'!$O$2:$O$801,0),"")</f>
        <v/>
      </c>
    </row>
    <row r="724">
      <c r="A724">
        <f>IF($N724="","",IF(INDEX('Per Invoice'!$A$2:$A$801,$N724)="","",INDEX('Per Invoice'!$A$2:$A$801,$N724)))</f>
        <v/>
      </c>
      <c r="B724">
        <f>IF($N724="","",IF(INDEX('Per Invoice'!$B$2:$B$801,$N724)="","",INDEX('Per Invoice'!$B$2:$B$801,$N724)))</f>
        <v/>
      </c>
      <c r="C724">
        <f>IF($N724="","",IF(INDEX('Per Invoice'!$C$2:$C$801,$N724)="","",INDEX('Per Invoice'!$C$2:$C$801,$N724)))</f>
        <v/>
      </c>
      <c r="D724">
        <f>IF($N724="","",IF(INDEX('Per Invoice'!$D$2:$D$801,$N724)="","",INDEX('Per Invoice'!$D$2:$D$801,$N724)))</f>
        <v/>
      </c>
      <c r="E724">
        <f>IF($N724="","",IF(INDEX('Per Invoice'!$E$2:$E$801,$N724)="","",INDEX('Per Invoice'!$E$2:$E$801,$N724)))</f>
        <v/>
      </c>
      <c r="F724">
        <f>IF($N724="","",IF(INDEX('Per Invoice'!$F$2:$F$801,$N724)="","",INDEX('Per Invoice'!$F$2:$F$801,$N724)))</f>
        <v/>
      </c>
      <c r="G724">
        <f>IF($N724="","",IF(INDEX('Per Invoice'!$G$2:$G$801,$N724)="","",INDEX('Per Invoice'!$G$2:$G$801,$N724)))</f>
        <v/>
      </c>
      <c r="H724">
        <f>IF($N724="","",IF(INDEX('Per Invoice'!$H$2:$H$801,$N724)="","",INDEX('Per Invoice'!$H$2:$H$801,$N724)))</f>
        <v/>
      </c>
      <c r="I724" s="5">
        <f>IF($N724="","",IF(INDEX('Per Invoice'!$I$2:$I$801,$N724)="","",INDEX('Per Invoice'!$I$2:$I$801,$N724)))</f>
        <v/>
      </c>
      <c r="J724" s="5">
        <f>IF($N724="","",IF(INDEX('Per Invoice'!$J$2:$J$801,$N724)="","",INDEX('Per Invoice'!$J$2:$J$801,$N724)))</f>
        <v/>
      </c>
      <c r="K724" s="5">
        <f>IF($N724="","",IF(INDEX('Per Invoice'!$K$2:$K$801,$N724)="","",INDEX('Per Invoice'!$K$2:$K$801,$N724)))</f>
        <v/>
      </c>
      <c r="L724" s="5">
        <f>IF($N724="","",IF(INDEX('Per Invoice'!$L$2:$L$801,$N724)="","",INDEX('Per Invoice'!$L$2:$L$801,$N724)))</f>
        <v/>
      </c>
      <c r="M724" s="5">
        <f>IF($N724="","",IF(INDEX('Per Invoice'!$M$2:$M$801,$N724)="","",INDEX('Per Invoice'!$M$2:$M$801,$N724)))</f>
        <v/>
      </c>
      <c r="N724">
        <f>IF(ROWS($N$2:$N724)&lt;=COUNT('Per Invoice'!$O$2:$O$801),MATCH(ROWS($N$2:$N724),'Per Invoice'!$O$2:$O$801,0),"")</f>
        <v/>
      </c>
    </row>
    <row r="725">
      <c r="A725">
        <f>IF($N725="","",IF(INDEX('Per Invoice'!$A$2:$A$801,$N725)="","",INDEX('Per Invoice'!$A$2:$A$801,$N725)))</f>
        <v/>
      </c>
      <c r="B725">
        <f>IF($N725="","",IF(INDEX('Per Invoice'!$B$2:$B$801,$N725)="","",INDEX('Per Invoice'!$B$2:$B$801,$N725)))</f>
        <v/>
      </c>
      <c r="C725">
        <f>IF($N725="","",IF(INDEX('Per Invoice'!$C$2:$C$801,$N725)="","",INDEX('Per Invoice'!$C$2:$C$801,$N725)))</f>
        <v/>
      </c>
      <c r="D725">
        <f>IF($N725="","",IF(INDEX('Per Invoice'!$D$2:$D$801,$N725)="","",INDEX('Per Invoice'!$D$2:$D$801,$N725)))</f>
        <v/>
      </c>
      <c r="E725">
        <f>IF($N725="","",IF(INDEX('Per Invoice'!$E$2:$E$801,$N725)="","",INDEX('Per Invoice'!$E$2:$E$801,$N725)))</f>
        <v/>
      </c>
      <c r="F725">
        <f>IF($N725="","",IF(INDEX('Per Invoice'!$F$2:$F$801,$N725)="","",INDEX('Per Invoice'!$F$2:$F$801,$N725)))</f>
        <v/>
      </c>
      <c r="G725">
        <f>IF($N725="","",IF(INDEX('Per Invoice'!$G$2:$G$801,$N725)="","",INDEX('Per Invoice'!$G$2:$G$801,$N725)))</f>
        <v/>
      </c>
      <c r="H725">
        <f>IF($N725="","",IF(INDEX('Per Invoice'!$H$2:$H$801,$N725)="","",INDEX('Per Invoice'!$H$2:$H$801,$N725)))</f>
        <v/>
      </c>
      <c r="I725" s="5">
        <f>IF($N725="","",IF(INDEX('Per Invoice'!$I$2:$I$801,$N725)="","",INDEX('Per Invoice'!$I$2:$I$801,$N725)))</f>
        <v/>
      </c>
      <c r="J725" s="5">
        <f>IF($N725="","",IF(INDEX('Per Invoice'!$J$2:$J$801,$N725)="","",INDEX('Per Invoice'!$J$2:$J$801,$N725)))</f>
        <v/>
      </c>
      <c r="K725" s="5">
        <f>IF($N725="","",IF(INDEX('Per Invoice'!$K$2:$K$801,$N725)="","",INDEX('Per Invoice'!$K$2:$K$801,$N725)))</f>
        <v/>
      </c>
      <c r="L725" s="5">
        <f>IF($N725="","",IF(INDEX('Per Invoice'!$L$2:$L$801,$N725)="","",INDEX('Per Invoice'!$L$2:$L$801,$N725)))</f>
        <v/>
      </c>
      <c r="M725" s="5">
        <f>IF($N725="","",IF(INDEX('Per Invoice'!$M$2:$M$801,$N725)="","",INDEX('Per Invoice'!$M$2:$M$801,$N725)))</f>
        <v/>
      </c>
      <c r="N725">
        <f>IF(ROWS($N$2:$N725)&lt;=COUNT('Per Invoice'!$O$2:$O$801),MATCH(ROWS($N$2:$N725),'Per Invoice'!$O$2:$O$801,0),"")</f>
        <v/>
      </c>
    </row>
    <row r="726">
      <c r="A726">
        <f>IF($N726="","",IF(INDEX('Per Invoice'!$A$2:$A$801,$N726)="","",INDEX('Per Invoice'!$A$2:$A$801,$N726)))</f>
        <v/>
      </c>
      <c r="B726">
        <f>IF($N726="","",IF(INDEX('Per Invoice'!$B$2:$B$801,$N726)="","",INDEX('Per Invoice'!$B$2:$B$801,$N726)))</f>
        <v/>
      </c>
      <c r="C726">
        <f>IF($N726="","",IF(INDEX('Per Invoice'!$C$2:$C$801,$N726)="","",INDEX('Per Invoice'!$C$2:$C$801,$N726)))</f>
        <v/>
      </c>
      <c r="D726">
        <f>IF($N726="","",IF(INDEX('Per Invoice'!$D$2:$D$801,$N726)="","",INDEX('Per Invoice'!$D$2:$D$801,$N726)))</f>
        <v/>
      </c>
      <c r="E726">
        <f>IF($N726="","",IF(INDEX('Per Invoice'!$E$2:$E$801,$N726)="","",INDEX('Per Invoice'!$E$2:$E$801,$N726)))</f>
        <v/>
      </c>
      <c r="F726">
        <f>IF($N726="","",IF(INDEX('Per Invoice'!$F$2:$F$801,$N726)="","",INDEX('Per Invoice'!$F$2:$F$801,$N726)))</f>
        <v/>
      </c>
      <c r="G726">
        <f>IF($N726="","",IF(INDEX('Per Invoice'!$G$2:$G$801,$N726)="","",INDEX('Per Invoice'!$G$2:$G$801,$N726)))</f>
        <v/>
      </c>
      <c r="H726">
        <f>IF($N726="","",IF(INDEX('Per Invoice'!$H$2:$H$801,$N726)="","",INDEX('Per Invoice'!$H$2:$H$801,$N726)))</f>
        <v/>
      </c>
      <c r="I726" s="5">
        <f>IF($N726="","",IF(INDEX('Per Invoice'!$I$2:$I$801,$N726)="","",INDEX('Per Invoice'!$I$2:$I$801,$N726)))</f>
        <v/>
      </c>
      <c r="J726" s="5">
        <f>IF($N726="","",IF(INDEX('Per Invoice'!$J$2:$J$801,$N726)="","",INDEX('Per Invoice'!$J$2:$J$801,$N726)))</f>
        <v/>
      </c>
      <c r="K726" s="5">
        <f>IF($N726="","",IF(INDEX('Per Invoice'!$K$2:$K$801,$N726)="","",INDEX('Per Invoice'!$K$2:$K$801,$N726)))</f>
        <v/>
      </c>
      <c r="L726" s="5">
        <f>IF($N726="","",IF(INDEX('Per Invoice'!$L$2:$L$801,$N726)="","",INDEX('Per Invoice'!$L$2:$L$801,$N726)))</f>
        <v/>
      </c>
      <c r="M726" s="5">
        <f>IF($N726="","",IF(INDEX('Per Invoice'!$M$2:$M$801,$N726)="","",INDEX('Per Invoice'!$M$2:$M$801,$N726)))</f>
        <v/>
      </c>
      <c r="N726">
        <f>IF(ROWS($N$2:$N726)&lt;=COUNT('Per Invoice'!$O$2:$O$801),MATCH(ROWS($N$2:$N726),'Per Invoice'!$O$2:$O$801,0),"")</f>
        <v/>
      </c>
    </row>
    <row r="727">
      <c r="A727">
        <f>IF($N727="","",IF(INDEX('Per Invoice'!$A$2:$A$801,$N727)="","",INDEX('Per Invoice'!$A$2:$A$801,$N727)))</f>
        <v/>
      </c>
      <c r="B727">
        <f>IF($N727="","",IF(INDEX('Per Invoice'!$B$2:$B$801,$N727)="","",INDEX('Per Invoice'!$B$2:$B$801,$N727)))</f>
        <v/>
      </c>
      <c r="C727">
        <f>IF($N727="","",IF(INDEX('Per Invoice'!$C$2:$C$801,$N727)="","",INDEX('Per Invoice'!$C$2:$C$801,$N727)))</f>
        <v/>
      </c>
      <c r="D727">
        <f>IF($N727="","",IF(INDEX('Per Invoice'!$D$2:$D$801,$N727)="","",INDEX('Per Invoice'!$D$2:$D$801,$N727)))</f>
        <v/>
      </c>
      <c r="E727">
        <f>IF($N727="","",IF(INDEX('Per Invoice'!$E$2:$E$801,$N727)="","",INDEX('Per Invoice'!$E$2:$E$801,$N727)))</f>
        <v/>
      </c>
      <c r="F727">
        <f>IF($N727="","",IF(INDEX('Per Invoice'!$F$2:$F$801,$N727)="","",INDEX('Per Invoice'!$F$2:$F$801,$N727)))</f>
        <v/>
      </c>
      <c r="G727">
        <f>IF($N727="","",IF(INDEX('Per Invoice'!$G$2:$G$801,$N727)="","",INDEX('Per Invoice'!$G$2:$G$801,$N727)))</f>
        <v/>
      </c>
      <c r="H727">
        <f>IF($N727="","",IF(INDEX('Per Invoice'!$H$2:$H$801,$N727)="","",INDEX('Per Invoice'!$H$2:$H$801,$N727)))</f>
        <v/>
      </c>
      <c r="I727" s="5">
        <f>IF($N727="","",IF(INDEX('Per Invoice'!$I$2:$I$801,$N727)="","",INDEX('Per Invoice'!$I$2:$I$801,$N727)))</f>
        <v/>
      </c>
      <c r="J727" s="5">
        <f>IF($N727="","",IF(INDEX('Per Invoice'!$J$2:$J$801,$N727)="","",INDEX('Per Invoice'!$J$2:$J$801,$N727)))</f>
        <v/>
      </c>
      <c r="K727" s="5">
        <f>IF($N727="","",IF(INDEX('Per Invoice'!$K$2:$K$801,$N727)="","",INDEX('Per Invoice'!$K$2:$K$801,$N727)))</f>
        <v/>
      </c>
      <c r="L727" s="5">
        <f>IF($N727="","",IF(INDEX('Per Invoice'!$L$2:$L$801,$N727)="","",INDEX('Per Invoice'!$L$2:$L$801,$N727)))</f>
        <v/>
      </c>
      <c r="M727" s="5">
        <f>IF($N727="","",IF(INDEX('Per Invoice'!$M$2:$M$801,$N727)="","",INDEX('Per Invoice'!$M$2:$M$801,$N727)))</f>
        <v/>
      </c>
      <c r="N727">
        <f>IF(ROWS($N$2:$N727)&lt;=COUNT('Per Invoice'!$O$2:$O$801),MATCH(ROWS($N$2:$N727),'Per Invoice'!$O$2:$O$801,0),"")</f>
        <v/>
      </c>
    </row>
    <row r="728">
      <c r="A728">
        <f>IF($N728="","",IF(INDEX('Per Invoice'!$A$2:$A$801,$N728)="","",INDEX('Per Invoice'!$A$2:$A$801,$N728)))</f>
        <v/>
      </c>
      <c r="B728">
        <f>IF($N728="","",IF(INDEX('Per Invoice'!$B$2:$B$801,$N728)="","",INDEX('Per Invoice'!$B$2:$B$801,$N728)))</f>
        <v/>
      </c>
      <c r="C728">
        <f>IF($N728="","",IF(INDEX('Per Invoice'!$C$2:$C$801,$N728)="","",INDEX('Per Invoice'!$C$2:$C$801,$N728)))</f>
        <v/>
      </c>
      <c r="D728">
        <f>IF($N728="","",IF(INDEX('Per Invoice'!$D$2:$D$801,$N728)="","",INDEX('Per Invoice'!$D$2:$D$801,$N728)))</f>
        <v/>
      </c>
      <c r="E728">
        <f>IF($N728="","",IF(INDEX('Per Invoice'!$E$2:$E$801,$N728)="","",INDEX('Per Invoice'!$E$2:$E$801,$N728)))</f>
        <v/>
      </c>
      <c r="F728">
        <f>IF($N728="","",IF(INDEX('Per Invoice'!$F$2:$F$801,$N728)="","",INDEX('Per Invoice'!$F$2:$F$801,$N728)))</f>
        <v/>
      </c>
      <c r="G728">
        <f>IF($N728="","",IF(INDEX('Per Invoice'!$G$2:$G$801,$N728)="","",INDEX('Per Invoice'!$G$2:$G$801,$N728)))</f>
        <v/>
      </c>
      <c r="H728">
        <f>IF($N728="","",IF(INDEX('Per Invoice'!$H$2:$H$801,$N728)="","",INDEX('Per Invoice'!$H$2:$H$801,$N728)))</f>
        <v/>
      </c>
      <c r="I728" s="5">
        <f>IF($N728="","",IF(INDEX('Per Invoice'!$I$2:$I$801,$N728)="","",INDEX('Per Invoice'!$I$2:$I$801,$N728)))</f>
        <v/>
      </c>
      <c r="J728" s="5">
        <f>IF($N728="","",IF(INDEX('Per Invoice'!$J$2:$J$801,$N728)="","",INDEX('Per Invoice'!$J$2:$J$801,$N728)))</f>
        <v/>
      </c>
      <c r="K728" s="5">
        <f>IF($N728="","",IF(INDEX('Per Invoice'!$K$2:$K$801,$N728)="","",INDEX('Per Invoice'!$K$2:$K$801,$N728)))</f>
        <v/>
      </c>
      <c r="L728" s="5">
        <f>IF($N728="","",IF(INDEX('Per Invoice'!$L$2:$L$801,$N728)="","",INDEX('Per Invoice'!$L$2:$L$801,$N728)))</f>
        <v/>
      </c>
      <c r="M728" s="5">
        <f>IF($N728="","",IF(INDEX('Per Invoice'!$M$2:$M$801,$N728)="","",INDEX('Per Invoice'!$M$2:$M$801,$N728)))</f>
        <v/>
      </c>
      <c r="N728">
        <f>IF(ROWS($N$2:$N728)&lt;=COUNT('Per Invoice'!$O$2:$O$801),MATCH(ROWS($N$2:$N728),'Per Invoice'!$O$2:$O$801,0),"")</f>
        <v/>
      </c>
    </row>
    <row r="729">
      <c r="A729">
        <f>IF($N729="","",IF(INDEX('Per Invoice'!$A$2:$A$801,$N729)="","",INDEX('Per Invoice'!$A$2:$A$801,$N729)))</f>
        <v/>
      </c>
      <c r="B729">
        <f>IF($N729="","",IF(INDEX('Per Invoice'!$B$2:$B$801,$N729)="","",INDEX('Per Invoice'!$B$2:$B$801,$N729)))</f>
        <v/>
      </c>
      <c r="C729">
        <f>IF($N729="","",IF(INDEX('Per Invoice'!$C$2:$C$801,$N729)="","",INDEX('Per Invoice'!$C$2:$C$801,$N729)))</f>
        <v/>
      </c>
      <c r="D729">
        <f>IF($N729="","",IF(INDEX('Per Invoice'!$D$2:$D$801,$N729)="","",INDEX('Per Invoice'!$D$2:$D$801,$N729)))</f>
        <v/>
      </c>
      <c r="E729">
        <f>IF($N729="","",IF(INDEX('Per Invoice'!$E$2:$E$801,$N729)="","",INDEX('Per Invoice'!$E$2:$E$801,$N729)))</f>
        <v/>
      </c>
      <c r="F729">
        <f>IF($N729="","",IF(INDEX('Per Invoice'!$F$2:$F$801,$N729)="","",INDEX('Per Invoice'!$F$2:$F$801,$N729)))</f>
        <v/>
      </c>
      <c r="G729">
        <f>IF($N729="","",IF(INDEX('Per Invoice'!$G$2:$G$801,$N729)="","",INDEX('Per Invoice'!$G$2:$G$801,$N729)))</f>
        <v/>
      </c>
      <c r="H729">
        <f>IF($N729="","",IF(INDEX('Per Invoice'!$H$2:$H$801,$N729)="","",INDEX('Per Invoice'!$H$2:$H$801,$N729)))</f>
        <v/>
      </c>
      <c r="I729" s="5">
        <f>IF($N729="","",IF(INDEX('Per Invoice'!$I$2:$I$801,$N729)="","",INDEX('Per Invoice'!$I$2:$I$801,$N729)))</f>
        <v/>
      </c>
      <c r="J729" s="5">
        <f>IF($N729="","",IF(INDEX('Per Invoice'!$J$2:$J$801,$N729)="","",INDEX('Per Invoice'!$J$2:$J$801,$N729)))</f>
        <v/>
      </c>
      <c r="K729" s="5">
        <f>IF($N729="","",IF(INDEX('Per Invoice'!$K$2:$K$801,$N729)="","",INDEX('Per Invoice'!$K$2:$K$801,$N729)))</f>
        <v/>
      </c>
      <c r="L729" s="5">
        <f>IF($N729="","",IF(INDEX('Per Invoice'!$L$2:$L$801,$N729)="","",INDEX('Per Invoice'!$L$2:$L$801,$N729)))</f>
        <v/>
      </c>
      <c r="M729" s="5">
        <f>IF($N729="","",IF(INDEX('Per Invoice'!$M$2:$M$801,$N729)="","",INDEX('Per Invoice'!$M$2:$M$801,$N729)))</f>
        <v/>
      </c>
      <c r="N729">
        <f>IF(ROWS($N$2:$N729)&lt;=COUNT('Per Invoice'!$O$2:$O$801),MATCH(ROWS($N$2:$N729),'Per Invoice'!$O$2:$O$801,0),"")</f>
        <v/>
      </c>
    </row>
    <row r="730">
      <c r="A730">
        <f>IF($N730="","",IF(INDEX('Per Invoice'!$A$2:$A$801,$N730)="","",INDEX('Per Invoice'!$A$2:$A$801,$N730)))</f>
        <v/>
      </c>
      <c r="B730">
        <f>IF($N730="","",IF(INDEX('Per Invoice'!$B$2:$B$801,$N730)="","",INDEX('Per Invoice'!$B$2:$B$801,$N730)))</f>
        <v/>
      </c>
      <c r="C730">
        <f>IF($N730="","",IF(INDEX('Per Invoice'!$C$2:$C$801,$N730)="","",INDEX('Per Invoice'!$C$2:$C$801,$N730)))</f>
        <v/>
      </c>
      <c r="D730">
        <f>IF($N730="","",IF(INDEX('Per Invoice'!$D$2:$D$801,$N730)="","",INDEX('Per Invoice'!$D$2:$D$801,$N730)))</f>
        <v/>
      </c>
      <c r="E730">
        <f>IF($N730="","",IF(INDEX('Per Invoice'!$E$2:$E$801,$N730)="","",INDEX('Per Invoice'!$E$2:$E$801,$N730)))</f>
        <v/>
      </c>
      <c r="F730">
        <f>IF($N730="","",IF(INDEX('Per Invoice'!$F$2:$F$801,$N730)="","",INDEX('Per Invoice'!$F$2:$F$801,$N730)))</f>
        <v/>
      </c>
      <c r="G730">
        <f>IF($N730="","",IF(INDEX('Per Invoice'!$G$2:$G$801,$N730)="","",INDEX('Per Invoice'!$G$2:$G$801,$N730)))</f>
        <v/>
      </c>
      <c r="H730">
        <f>IF($N730="","",IF(INDEX('Per Invoice'!$H$2:$H$801,$N730)="","",INDEX('Per Invoice'!$H$2:$H$801,$N730)))</f>
        <v/>
      </c>
      <c r="I730" s="5">
        <f>IF($N730="","",IF(INDEX('Per Invoice'!$I$2:$I$801,$N730)="","",INDEX('Per Invoice'!$I$2:$I$801,$N730)))</f>
        <v/>
      </c>
      <c r="J730" s="5">
        <f>IF($N730="","",IF(INDEX('Per Invoice'!$J$2:$J$801,$N730)="","",INDEX('Per Invoice'!$J$2:$J$801,$N730)))</f>
        <v/>
      </c>
      <c r="K730" s="5">
        <f>IF($N730="","",IF(INDEX('Per Invoice'!$K$2:$K$801,$N730)="","",INDEX('Per Invoice'!$K$2:$K$801,$N730)))</f>
        <v/>
      </c>
      <c r="L730" s="5">
        <f>IF($N730="","",IF(INDEX('Per Invoice'!$L$2:$L$801,$N730)="","",INDEX('Per Invoice'!$L$2:$L$801,$N730)))</f>
        <v/>
      </c>
      <c r="M730" s="5">
        <f>IF($N730="","",IF(INDEX('Per Invoice'!$M$2:$M$801,$N730)="","",INDEX('Per Invoice'!$M$2:$M$801,$N730)))</f>
        <v/>
      </c>
      <c r="N730">
        <f>IF(ROWS($N$2:$N730)&lt;=COUNT('Per Invoice'!$O$2:$O$801),MATCH(ROWS($N$2:$N730),'Per Invoice'!$O$2:$O$801,0),"")</f>
        <v/>
      </c>
    </row>
    <row r="731">
      <c r="A731">
        <f>IF($N731="","",IF(INDEX('Per Invoice'!$A$2:$A$801,$N731)="","",INDEX('Per Invoice'!$A$2:$A$801,$N731)))</f>
        <v/>
      </c>
      <c r="B731">
        <f>IF($N731="","",IF(INDEX('Per Invoice'!$B$2:$B$801,$N731)="","",INDEX('Per Invoice'!$B$2:$B$801,$N731)))</f>
        <v/>
      </c>
      <c r="C731">
        <f>IF($N731="","",IF(INDEX('Per Invoice'!$C$2:$C$801,$N731)="","",INDEX('Per Invoice'!$C$2:$C$801,$N731)))</f>
        <v/>
      </c>
      <c r="D731">
        <f>IF($N731="","",IF(INDEX('Per Invoice'!$D$2:$D$801,$N731)="","",INDEX('Per Invoice'!$D$2:$D$801,$N731)))</f>
        <v/>
      </c>
      <c r="E731">
        <f>IF($N731="","",IF(INDEX('Per Invoice'!$E$2:$E$801,$N731)="","",INDEX('Per Invoice'!$E$2:$E$801,$N731)))</f>
        <v/>
      </c>
      <c r="F731">
        <f>IF($N731="","",IF(INDEX('Per Invoice'!$F$2:$F$801,$N731)="","",INDEX('Per Invoice'!$F$2:$F$801,$N731)))</f>
        <v/>
      </c>
      <c r="G731">
        <f>IF($N731="","",IF(INDEX('Per Invoice'!$G$2:$G$801,$N731)="","",INDEX('Per Invoice'!$G$2:$G$801,$N731)))</f>
        <v/>
      </c>
      <c r="H731">
        <f>IF($N731="","",IF(INDEX('Per Invoice'!$H$2:$H$801,$N731)="","",INDEX('Per Invoice'!$H$2:$H$801,$N731)))</f>
        <v/>
      </c>
      <c r="I731" s="5">
        <f>IF($N731="","",IF(INDEX('Per Invoice'!$I$2:$I$801,$N731)="","",INDEX('Per Invoice'!$I$2:$I$801,$N731)))</f>
        <v/>
      </c>
      <c r="J731" s="5">
        <f>IF($N731="","",IF(INDEX('Per Invoice'!$J$2:$J$801,$N731)="","",INDEX('Per Invoice'!$J$2:$J$801,$N731)))</f>
        <v/>
      </c>
      <c r="K731" s="5">
        <f>IF($N731="","",IF(INDEX('Per Invoice'!$K$2:$K$801,$N731)="","",INDEX('Per Invoice'!$K$2:$K$801,$N731)))</f>
        <v/>
      </c>
      <c r="L731" s="5">
        <f>IF($N731="","",IF(INDEX('Per Invoice'!$L$2:$L$801,$N731)="","",INDEX('Per Invoice'!$L$2:$L$801,$N731)))</f>
        <v/>
      </c>
      <c r="M731" s="5">
        <f>IF($N731="","",IF(INDEX('Per Invoice'!$M$2:$M$801,$N731)="","",INDEX('Per Invoice'!$M$2:$M$801,$N731)))</f>
        <v/>
      </c>
      <c r="N731">
        <f>IF(ROWS($N$2:$N731)&lt;=COUNT('Per Invoice'!$O$2:$O$801),MATCH(ROWS($N$2:$N731),'Per Invoice'!$O$2:$O$801,0),"")</f>
        <v/>
      </c>
    </row>
    <row r="732">
      <c r="A732">
        <f>IF($N732="","",IF(INDEX('Per Invoice'!$A$2:$A$801,$N732)="","",INDEX('Per Invoice'!$A$2:$A$801,$N732)))</f>
        <v/>
      </c>
      <c r="B732">
        <f>IF($N732="","",IF(INDEX('Per Invoice'!$B$2:$B$801,$N732)="","",INDEX('Per Invoice'!$B$2:$B$801,$N732)))</f>
        <v/>
      </c>
      <c r="C732">
        <f>IF($N732="","",IF(INDEX('Per Invoice'!$C$2:$C$801,$N732)="","",INDEX('Per Invoice'!$C$2:$C$801,$N732)))</f>
        <v/>
      </c>
      <c r="D732">
        <f>IF($N732="","",IF(INDEX('Per Invoice'!$D$2:$D$801,$N732)="","",INDEX('Per Invoice'!$D$2:$D$801,$N732)))</f>
        <v/>
      </c>
      <c r="E732">
        <f>IF($N732="","",IF(INDEX('Per Invoice'!$E$2:$E$801,$N732)="","",INDEX('Per Invoice'!$E$2:$E$801,$N732)))</f>
        <v/>
      </c>
      <c r="F732">
        <f>IF($N732="","",IF(INDEX('Per Invoice'!$F$2:$F$801,$N732)="","",INDEX('Per Invoice'!$F$2:$F$801,$N732)))</f>
        <v/>
      </c>
      <c r="G732">
        <f>IF($N732="","",IF(INDEX('Per Invoice'!$G$2:$G$801,$N732)="","",INDEX('Per Invoice'!$G$2:$G$801,$N732)))</f>
        <v/>
      </c>
      <c r="H732">
        <f>IF($N732="","",IF(INDEX('Per Invoice'!$H$2:$H$801,$N732)="","",INDEX('Per Invoice'!$H$2:$H$801,$N732)))</f>
        <v/>
      </c>
      <c r="I732" s="5">
        <f>IF($N732="","",IF(INDEX('Per Invoice'!$I$2:$I$801,$N732)="","",INDEX('Per Invoice'!$I$2:$I$801,$N732)))</f>
        <v/>
      </c>
      <c r="J732" s="5">
        <f>IF($N732="","",IF(INDEX('Per Invoice'!$J$2:$J$801,$N732)="","",INDEX('Per Invoice'!$J$2:$J$801,$N732)))</f>
        <v/>
      </c>
      <c r="K732" s="5">
        <f>IF($N732="","",IF(INDEX('Per Invoice'!$K$2:$K$801,$N732)="","",INDEX('Per Invoice'!$K$2:$K$801,$N732)))</f>
        <v/>
      </c>
      <c r="L732" s="5">
        <f>IF($N732="","",IF(INDEX('Per Invoice'!$L$2:$L$801,$N732)="","",INDEX('Per Invoice'!$L$2:$L$801,$N732)))</f>
        <v/>
      </c>
      <c r="M732" s="5">
        <f>IF($N732="","",IF(INDEX('Per Invoice'!$M$2:$M$801,$N732)="","",INDEX('Per Invoice'!$M$2:$M$801,$N732)))</f>
        <v/>
      </c>
      <c r="N732">
        <f>IF(ROWS($N$2:$N732)&lt;=COUNT('Per Invoice'!$O$2:$O$801),MATCH(ROWS($N$2:$N732),'Per Invoice'!$O$2:$O$801,0),"")</f>
        <v/>
      </c>
    </row>
    <row r="733">
      <c r="A733">
        <f>IF($N733="","",IF(INDEX('Per Invoice'!$A$2:$A$801,$N733)="","",INDEX('Per Invoice'!$A$2:$A$801,$N733)))</f>
        <v/>
      </c>
      <c r="B733">
        <f>IF($N733="","",IF(INDEX('Per Invoice'!$B$2:$B$801,$N733)="","",INDEX('Per Invoice'!$B$2:$B$801,$N733)))</f>
        <v/>
      </c>
      <c r="C733">
        <f>IF($N733="","",IF(INDEX('Per Invoice'!$C$2:$C$801,$N733)="","",INDEX('Per Invoice'!$C$2:$C$801,$N733)))</f>
        <v/>
      </c>
      <c r="D733">
        <f>IF($N733="","",IF(INDEX('Per Invoice'!$D$2:$D$801,$N733)="","",INDEX('Per Invoice'!$D$2:$D$801,$N733)))</f>
        <v/>
      </c>
      <c r="E733">
        <f>IF($N733="","",IF(INDEX('Per Invoice'!$E$2:$E$801,$N733)="","",INDEX('Per Invoice'!$E$2:$E$801,$N733)))</f>
        <v/>
      </c>
      <c r="F733">
        <f>IF($N733="","",IF(INDEX('Per Invoice'!$F$2:$F$801,$N733)="","",INDEX('Per Invoice'!$F$2:$F$801,$N733)))</f>
        <v/>
      </c>
      <c r="G733">
        <f>IF($N733="","",IF(INDEX('Per Invoice'!$G$2:$G$801,$N733)="","",INDEX('Per Invoice'!$G$2:$G$801,$N733)))</f>
        <v/>
      </c>
      <c r="H733">
        <f>IF($N733="","",IF(INDEX('Per Invoice'!$H$2:$H$801,$N733)="","",INDEX('Per Invoice'!$H$2:$H$801,$N733)))</f>
        <v/>
      </c>
      <c r="I733" s="5">
        <f>IF($N733="","",IF(INDEX('Per Invoice'!$I$2:$I$801,$N733)="","",INDEX('Per Invoice'!$I$2:$I$801,$N733)))</f>
        <v/>
      </c>
      <c r="J733" s="5">
        <f>IF($N733="","",IF(INDEX('Per Invoice'!$J$2:$J$801,$N733)="","",INDEX('Per Invoice'!$J$2:$J$801,$N733)))</f>
        <v/>
      </c>
      <c r="K733" s="5">
        <f>IF($N733="","",IF(INDEX('Per Invoice'!$K$2:$K$801,$N733)="","",INDEX('Per Invoice'!$K$2:$K$801,$N733)))</f>
        <v/>
      </c>
      <c r="L733" s="5">
        <f>IF($N733="","",IF(INDEX('Per Invoice'!$L$2:$L$801,$N733)="","",INDEX('Per Invoice'!$L$2:$L$801,$N733)))</f>
        <v/>
      </c>
      <c r="M733" s="5">
        <f>IF($N733="","",IF(INDEX('Per Invoice'!$M$2:$M$801,$N733)="","",INDEX('Per Invoice'!$M$2:$M$801,$N733)))</f>
        <v/>
      </c>
      <c r="N733">
        <f>IF(ROWS($N$2:$N733)&lt;=COUNT('Per Invoice'!$O$2:$O$801),MATCH(ROWS($N$2:$N733),'Per Invoice'!$O$2:$O$801,0),"")</f>
        <v/>
      </c>
    </row>
    <row r="734">
      <c r="A734">
        <f>IF($N734="","",IF(INDEX('Per Invoice'!$A$2:$A$801,$N734)="","",INDEX('Per Invoice'!$A$2:$A$801,$N734)))</f>
        <v/>
      </c>
      <c r="B734">
        <f>IF($N734="","",IF(INDEX('Per Invoice'!$B$2:$B$801,$N734)="","",INDEX('Per Invoice'!$B$2:$B$801,$N734)))</f>
        <v/>
      </c>
      <c r="C734">
        <f>IF($N734="","",IF(INDEX('Per Invoice'!$C$2:$C$801,$N734)="","",INDEX('Per Invoice'!$C$2:$C$801,$N734)))</f>
        <v/>
      </c>
      <c r="D734">
        <f>IF($N734="","",IF(INDEX('Per Invoice'!$D$2:$D$801,$N734)="","",INDEX('Per Invoice'!$D$2:$D$801,$N734)))</f>
        <v/>
      </c>
      <c r="E734">
        <f>IF($N734="","",IF(INDEX('Per Invoice'!$E$2:$E$801,$N734)="","",INDEX('Per Invoice'!$E$2:$E$801,$N734)))</f>
        <v/>
      </c>
      <c r="F734">
        <f>IF($N734="","",IF(INDEX('Per Invoice'!$F$2:$F$801,$N734)="","",INDEX('Per Invoice'!$F$2:$F$801,$N734)))</f>
        <v/>
      </c>
      <c r="G734">
        <f>IF($N734="","",IF(INDEX('Per Invoice'!$G$2:$G$801,$N734)="","",INDEX('Per Invoice'!$G$2:$G$801,$N734)))</f>
        <v/>
      </c>
      <c r="H734">
        <f>IF($N734="","",IF(INDEX('Per Invoice'!$H$2:$H$801,$N734)="","",INDEX('Per Invoice'!$H$2:$H$801,$N734)))</f>
        <v/>
      </c>
      <c r="I734" s="5">
        <f>IF($N734="","",IF(INDEX('Per Invoice'!$I$2:$I$801,$N734)="","",INDEX('Per Invoice'!$I$2:$I$801,$N734)))</f>
        <v/>
      </c>
      <c r="J734" s="5">
        <f>IF($N734="","",IF(INDEX('Per Invoice'!$J$2:$J$801,$N734)="","",INDEX('Per Invoice'!$J$2:$J$801,$N734)))</f>
        <v/>
      </c>
      <c r="K734" s="5">
        <f>IF($N734="","",IF(INDEX('Per Invoice'!$K$2:$K$801,$N734)="","",INDEX('Per Invoice'!$K$2:$K$801,$N734)))</f>
        <v/>
      </c>
      <c r="L734" s="5">
        <f>IF($N734="","",IF(INDEX('Per Invoice'!$L$2:$L$801,$N734)="","",INDEX('Per Invoice'!$L$2:$L$801,$N734)))</f>
        <v/>
      </c>
      <c r="M734" s="5">
        <f>IF($N734="","",IF(INDEX('Per Invoice'!$M$2:$M$801,$N734)="","",INDEX('Per Invoice'!$M$2:$M$801,$N734)))</f>
        <v/>
      </c>
      <c r="N734">
        <f>IF(ROWS($N$2:$N734)&lt;=COUNT('Per Invoice'!$O$2:$O$801),MATCH(ROWS($N$2:$N734),'Per Invoice'!$O$2:$O$801,0),"")</f>
        <v/>
      </c>
    </row>
    <row r="735">
      <c r="A735">
        <f>IF($N735="","",IF(INDEX('Per Invoice'!$A$2:$A$801,$N735)="","",INDEX('Per Invoice'!$A$2:$A$801,$N735)))</f>
        <v/>
      </c>
      <c r="B735">
        <f>IF($N735="","",IF(INDEX('Per Invoice'!$B$2:$B$801,$N735)="","",INDEX('Per Invoice'!$B$2:$B$801,$N735)))</f>
        <v/>
      </c>
      <c r="C735">
        <f>IF($N735="","",IF(INDEX('Per Invoice'!$C$2:$C$801,$N735)="","",INDEX('Per Invoice'!$C$2:$C$801,$N735)))</f>
        <v/>
      </c>
      <c r="D735">
        <f>IF($N735="","",IF(INDEX('Per Invoice'!$D$2:$D$801,$N735)="","",INDEX('Per Invoice'!$D$2:$D$801,$N735)))</f>
        <v/>
      </c>
      <c r="E735">
        <f>IF($N735="","",IF(INDEX('Per Invoice'!$E$2:$E$801,$N735)="","",INDEX('Per Invoice'!$E$2:$E$801,$N735)))</f>
        <v/>
      </c>
      <c r="F735">
        <f>IF($N735="","",IF(INDEX('Per Invoice'!$F$2:$F$801,$N735)="","",INDEX('Per Invoice'!$F$2:$F$801,$N735)))</f>
        <v/>
      </c>
      <c r="G735">
        <f>IF($N735="","",IF(INDEX('Per Invoice'!$G$2:$G$801,$N735)="","",INDEX('Per Invoice'!$G$2:$G$801,$N735)))</f>
        <v/>
      </c>
      <c r="H735">
        <f>IF($N735="","",IF(INDEX('Per Invoice'!$H$2:$H$801,$N735)="","",INDEX('Per Invoice'!$H$2:$H$801,$N735)))</f>
        <v/>
      </c>
      <c r="I735" s="5">
        <f>IF($N735="","",IF(INDEX('Per Invoice'!$I$2:$I$801,$N735)="","",INDEX('Per Invoice'!$I$2:$I$801,$N735)))</f>
        <v/>
      </c>
      <c r="J735" s="5">
        <f>IF($N735="","",IF(INDEX('Per Invoice'!$J$2:$J$801,$N735)="","",INDEX('Per Invoice'!$J$2:$J$801,$N735)))</f>
        <v/>
      </c>
      <c r="K735" s="5">
        <f>IF($N735="","",IF(INDEX('Per Invoice'!$K$2:$K$801,$N735)="","",INDEX('Per Invoice'!$K$2:$K$801,$N735)))</f>
        <v/>
      </c>
      <c r="L735" s="5">
        <f>IF($N735="","",IF(INDEX('Per Invoice'!$L$2:$L$801,$N735)="","",INDEX('Per Invoice'!$L$2:$L$801,$N735)))</f>
        <v/>
      </c>
      <c r="M735" s="5">
        <f>IF($N735="","",IF(INDEX('Per Invoice'!$M$2:$M$801,$N735)="","",INDEX('Per Invoice'!$M$2:$M$801,$N735)))</f>
        <v/>
      </c>
      <c r="N735">
        <f>IF(ROWS($N$2:$N735)&lt;=COUNT('Per Invoice'!$O$2:$O$801),MATCH(ROWS($N$2:$N735),'Per Invoice'!$O$2:$O$801,0),"")</f>
        <v/>
      </c>
    </row>
    <row r="736">
      <c r="A736">
        <f>IF($N736="","",IF(INDEX('Per Invoice'!$A$2:$A$801,$N736)="","",INDEX('Per Invoice'!$A$2:$A$801,$N736)))</f>
        <v/>
      </c>
      <c r="B736">
        <f>IF($N736="","",IF(INDEX('Per Invoice'!$B$2:$B$801,$N736)="","",INDEX('Per Invoice'!$B$2:$B$801,$N736)))</f>
        <v/>
      </c>
      <c r="C736">
        <f>IF($N736="","",IF(INDEX('Per Invoice'!$C$2:$C$801,$N736)="","",INDEX('Per Invoice'!$C$2:$C$801,$N736)))</f>
        <v/>
      </c>
      <c r="D736">
        <f>IF($N736="","",IF(INDEX('Per Invoice'!$D$2:$D$801,$N736)="","",INDEX('Per Invoice'!$D$2:$D$801,$N736)))</f>
        <v/>
      </c>
      <c r="E736">
        <f>IF($N736="","",IF(INDEX('Per Invoice'!$E$2:$E$801,$N736)="","",INDEX('Per Invoice'!$E$2:$E$801,$N736)))</f>
        <v/>
      </c>
      <c r="F736">
        <f>IF($N736="","",IF(INDEX('Per Invoice'!$F$2:$F$801,$N736)="","",INDEX('Per Invoice'!$F$2:$F$801,$N736)))</f>
        <v/>
      </c>
      <c r="G736">
        <f>IF($N736="","",IF(INDEX('Per Invoice'!$G$2:$G$801,$N736)="","",INDEX('Per Invoice'!$G$2:$G$801,$N736)))</f>
        <v/>
      </c>
      <c r="H736">
        <f>IF($N736="","",IF(INDEX('Per Invoice'!$H$2:$H$801,$N736)="","",INDEX('Per Invoice'!$H$2:$H$801,$N736)))</f>
        <v/>
      </c>
      <c r="I736" s="5">
        <f>IF($N736="","",IF(INDEX('Per Invoice'!$I$2:$I$801,$N736)="","",INDEX('Per Invoice'!$I$2:$I$801,$N736)))</f>
        <v/>
      </c>
      <c r="J736" s="5">
        <f>IF($N736="","",IF(INDEX('Per Invoice'!$J$2:$J$801,$N736)="","",INDEX('Per Invoice'!$J$2:$J$801,$N736)))</f>
        <v/>
      </c>
      <c r="K736" s="5">
        <f>IF($N736="","",IF(INDEX('Per Invoice'!$K$2:$K$801,$N736)="","",INDEX('Per Invoice'!$K$2:$K$801,$N736)))</f>
        <v/>
      </c>
      <c r="L736" s="5">
        <f>IF($N736="","",IF(INDEX('Per Invoice'!$L$2:$L$801,$N736)="","",INDEX('Per Invoice'!$L$2:$L$801,$N736)))</f>
        <v/>
      </c>
      <c r="M736" s="5">
        <f>IF($N736="","",IF(INDEX('Per Invoice'!$M$2:$M$801,$N736)="","",INDEX('Per Invoice'!$M$2:$M$801,$N736)))</f>
        <v/>
      </c>
      <c r="N736">
        <f>IF(ROWS($N$2:$N736)&lt;=COUNT('Per Invoice'!$O$2:$O$801),MATCH(ROWS($N$2:$N736),'Per Invoice'!$O$2:$O$801,0),"")</f>
        <v/>
      </c>
    </row>
    <row r="737">
      <c r="A737">
        <f>IF($N737="","",IF(INDEX('Per Invoice'!$A$2:$A$801,$N737)="","",INDEX('Per Invoice'!$A$2:$A$801,$N737)))</f>
        <v/>
      </c>
      <c r="B737">
        <f>IF($N737="","",IF(INDEX('Per Invoice'!$B$2:$B$801,$N737)="","",INDEX('Per Invoice'!$B$2:$B$801,$N737)))</f>
        <v/>
      </c>
      <c r="C737">
        <f>IF($N737="","",IF(INDEX('Per Invoice'!$C$2:$C$801,$N737)="","",INDEX('Per Invoice'!$C$2:$C$801,$N737)))</f>
        <v/>
      </c>
      <c r="D737">
        <f>IF($N737="","",IF(INDEX('Per Invoice'!$D$2:$D$801,$N737)="","",INDEX('Per Invoice'!$D$2:$D$801,$N737)))</f>
        <v/>
      </c>
      <c r="E737">
        <f>IF($N737="","",IF(INDEX('Per Invoice'!$E$2:$E$801,$N737)="","",INDEX('Per Invoice'!$E$2:$E$801,$N737)))</f>
        <v/>
      </c>
      <c r="F737">
        <f>IF($N737="","",IF(INDEX('Per Invoice'!$F$2:$F$801,$N737)="","",INDEX('Per Invoice'!$F$2:$F$801,$N737)))</f>
        <v/>
      </c>
      <c r="G737">
        <f>IF($N737="","",IF(INDEX('Per Invoice'!$G$2:$G$801,$N737)="","",INDEX('Per Invoice'!$G$2:$G$801,$N737)))</f>
        <v/>
      </c>
      <c r="H737">
        <f>IF($N737="","",IF(INDEX('Per Invoice'!$H$2:$H$801,$N737)="","",INDEX('Per Invoice'!$H$2:$H$801,$N737)))</f>
        <v/>
      </c>
      <c r="I737" s="5">
        <f>IF($N737="","",IF(INDEX('Per Invoice'!$I$2:$I$801,$N737)="","",INDEX('Per Invoice'!$I$2:$I$801,$N737)))</f>
        <v/>
      </c>
      <c r="J737" s="5">
        <f>IF($N737="","",IF(INDEX('Per Invoice'!$J$2:$J$801,$N737)="","",INDEX('Per Invoice'!$J$2:$J$801,$N737)))</f>
        <v/>
      </c>
      <c r="K737" s="5">
        <f>IF($N737="","",IF(INDEX('Per Invoice'!$K$2:$K$801,$N737)="","",INDEX('Per Invoice'!$K$2:$K$801,$N737)))</f>
        <v/>
      </c>
      <c r="L737" s="5">
        <f>IF($N737="","",IF(INDEX('Per Invoice'!$L$2:$L$801,$N737)="","",INDEX('Per Invoice'!$L$2:$L$801,$N737)))</f>
        <v/>
      </c>
      <c r="M737" s="5">
        <f>IF($N737="","",IF(INDEX('Per Invoice'!$M$2:$M$801,$N737)="","",INDEX('Per Invoice'!$M$2:$M$801,$N737)))</f>
        <v/>
      </c>
      <c r="N737">
        <f>IF(ROWS($N$2:$N737)&lt;=COUNT('Per Invoice'!$O$2:$O$801),MATCH(ROWS($N$2:$N737),'Per Invoice'!$O$2:$O$801,0),"")</f>
        <v/>
      </c>
    </row>
    <row r="738">
      <c r="A738">
        <f>IF($N738="","",IF(INDEX('Per Invoice'!$A$2:$A$801,$N738)="","",INDEX('Per Invoice'!$A$2:$A$801,$N738)))</f>
        <v/>
      </c>
      <c r="B738">
        <f>IF($N738="","",IF(INDEX('Per Invoice'!$B$2:$B$801,$N738)="","",INDEX('Per Invoice'!$B$2:$B$801,$N738)))</f>
        <v/>
      </c>
      <c r="C738">
        <f>IF($N738="","",IF(INDEX('Per Invoice'!$C$2:$C$801,$N738)="","",INDEX('Per Invoice'!$C$2:$C$801,$N738)))</f>
        <v/>
      </c>
      <c r="D738">
        <f>IF($N738="","",IF(INDEX('Per Invoice'!$D$2:$D$801,$N738)="","",INDEX('Per Invoice'!$D$2:$D$801,$N738)))</f>
        <v/>
      </c>
      <c r="E738">
        <f>IF($N738="","",IF(INDEX('Per Invoice'!$E$2:$E$801,$N738)="","",INDEX('Per Invoice'!$E$2:$E$801,$N738)))</f>
        <v/>
      </c>
      <c r="F738">
        <f>IF($N738="","",IF(INDEX('Per Invoice'!$F$2:$F$801,$N738)="","",INDEX('Per Invoice'!$F$2:$F$801,$N738)))</f>
        <v/>
      </c>
      <c r="G738">
        <f>IF($N738="","",IF(INDEX('Per Invoice'!$G$2:$G$801,$N738)="","",INDEX('Per Invoice'!$G$2:$G$801,$N738)))</f>
        <v/>
      </c>
      <c r="H738">
        <f>IF($N738="","",IF(INDEX('Per Invoice'!$H$2:$H$801,$N738)="","",INDEX('Per Invoice'!$H$2:$H$801,$N738)))</f>
        <v/>
      </c>
      <c r="I738" s="5">
        <f>IF($N738="","",IF(INDEX('Per Invoice'!$I$2:$I$801,$N738)="","",INDEX('Per Invoice'!$I$2:$I$801,$N738)))</f>
        <v/>
      </c>
      <c r="J738" s="5">
        <f>IF($N738="","",IF(INDEX('Per Invoice'!$J$2:$J$801,$N738)="","",INDEX('Per Invoice'!$J$2:$J$801,$N738)))</f>
        <v/>
      </c>
      <c r="K738" s="5">
        <f>IF($N738="","",IF(INDEX('Per Invoice'!$K$2:$K$801,$N738)="","",INDEX('Per Invoice'!$K$2:$K$801,$N738)))</f>
        <v/>
      </c>
      <c r="L738" s="5">
        <f>IF($N738="","",IF(INDEX('Per Invoice'!$L$2:$L$801,$N738)="","",INDEX('Per Invoice'!$L$2:$L$801,$N738)))</f>
        <v/>
      </c>
      <c r="M738" s="5">
        <f>IF($N738="","",IF(INDEX('Per Invoice'!$M$2:$M$801,$N738)="","",INDEX('Per Invoice'!$M$2:$M$801,$N738)))</f>
        <v/>
      </c>
      <c r="N738">
        <f>IF(ROWS($N$2:$N738)&lt;=COUNT('Per Invoice'!$O$2:$O$801),MATCH(ROWS($N$2:$N738),'Per Invoice'!$O$2:$O$801,0),"")</f>
        <v/>
      </c>
    </row>
    <row r="739">
      <c r="A739">
        <f>IF($N739="","",IF(INDEX('Per Invoice'!$A$2:$A$801,$N739)="","",INDEX('Per Invoice'!$A$2:$A$801,$N739)))</f>
        <v/>
      </c>
      <c r="B739">
        <f>IF($N739="","",IF(INDEX('Per Invoice'!$B$2:$B$801,$N739)="","",INDEX('Per Invoice'!$B$2:$B$801,$N739)))</f>
        <v/>
      </c>
      <c r="C739">
        <f>IF($N739="","",IF(INDEX('Per Invoice'!$C$2:$C$801,$N739)="","",INDEX('Per Invoice'!$C$2:$C$801,$N739)))</f>
        <v/>
      </c>
      <c r="D739">
        <f>IF($N739="","",IF(INDEX('Per Invoice'!$D$2:$D$801,$N739)="","",INDEX('Per Invoice'!$D$2:$D$801,$N739)))</f>
        <v/>
      </c>
      <c r="E739">
        <f>IF($N739="","",IF(INDEX('Per Invoice'!$E$2:$E$801,$N739)="","",INDEX('Per Invoice'!$E$2:$E$801,$N739)))</f>
        <v/>
      </c>
      <c r="F739">
        <f>IF($N739="","",IF(INDEX('Per Invoice'!$F$2:$F$801,$N739)="","",INDEX('Per Invoice'!$F$2:$F$801,$N739)))</f>
        <v/>
      </c>
      <c r="G739">
        <f>IF($N739="","",IF(INDEX('Per Invoice'!$G$2:$G$801,$N739)="","",INDEX('Per Invoice'!$G$2:$G$801,$N739)))</f>
        <v/>
      </c>
      <c r="H739">
        <f>IF($N739="","",IF(INDEX('Per Invoice'!$H$2:$H$801,$N739)="","",INDEX('Per Invoice'!$H$2:$H$801,$N739)))</f>
        <v/>
      </c>
      <c r="I739" s="5">
        <f>IF($N739="","",IF(INDEX('Per Invoice'!$I$2:$I$801,$N739)="","",INDEX('Per Invoice'!$I$2:$I$801,$N739)))</f>
        <v/>
      </c>
      <c r="J739" s="5">
        <f>IF($N739="","",IF(INDEX('Per Invoice'!$J$2:$J$801,$N739)="","",INDEX('Per Invoice'!$J$2:$J$801,$N739)))</f>
        <v/>
      </c>
      <c r="K739" s="5">
        <f>IF($N739="","",IF(INDEX('Per Invoice'!$K$2:$K$801,$N739)="","",INDEX('Per Invoice'!$K$2:$K$801,$N739)))</f>
        <v/>
      </c>
      <c r="L739" s="5">
        <f>IF($N739="","",IF(INDEX('Per Invoice'!$L$2:$L$801,$N739)="","",INDEX('Per Invoice'!$L$2:$L$801,$N739)))</f>
        <v/>
      </c>
      <c r="M739" s="5">
        <f>IF($N739="","",IF(INDEX('Per Invoice'!$M$2:$M$801,$N739)="","",INDEX('Per Invoice'!$M$2:$M$801,$N739)))</f>
        <v/>
      </c>
      <c r="N739">
        <f>IF(ROWS($N$2:$N739)&lt;=COUNT('Per Invoice'!$O$2:$O$801),MATCH(ROWS($N$2:$N739),'Per Invoice'!$O$2:$O$801,0),"")</f>
        <v/>
      </c>
    </row>
    <row r="740">
      <c r="A740">
        <f>IF($N740="","",IF(INDEX('Per Invoice'!$A$2:$A$801,$N740)="","",INDEX('Per Invoice'!$A$2:$A$801,$N740)))</f>
        <v/>
      </c>
      <c r="B740">
        <f>IF($N740="","",IF(INDEX('Per Invoice'!$B$2:$B$801,$N740)="","",INDEX('Per Invoice'!$B$2:$B$801,$N740)))</f>
        <v/>
      </c>
      <c r="C740">
        <f>IF($N740="","",IF(INDEX('Per Invoice'!$C$2:$C$801,$N740)="","",INDEX('Per Invoice'!$C$2:$C$801,$N740)))</f>
        <v/>
      </c>
      <c r="D740">
        <f>IF($N740="","",IF(INDEX('Per Invoice'!$D$2:$D$801,$N740)="","",INDEX('Per Invoice'!$D$2:$D$801,$N740)))</f>
        <v/>
      </c>
      <c r="E740">
        <f>IF($N740="","",IF(INDEX('Per Invoice'!$E$2:$E$801,$N740)="","",INDEX('Per Invoice'!$E$2:$E$801,$N740)))</f>
        <v/>
      </c>
      <c r="F740">
        <f>IF($N740="","",IF(INDEX('Per Invoice'!$F$2:$F$801,$N740)="","",INDEX('Per Invoice'!$F$2:$F$801,$N740)))</f>
        <v/>
      </c>
      <c r="G740">
        <f>IF($N740="","",IF(INDEX('Per Invoice'!$G$2:$G$801,$N740)="","",INDEX('Per Invoice'!$G$2:$G$801,$N740)))</f>
        <v/>
      </c>
      <c r="H740">
        <f>IF($N740="","",IF(INDEX('Per Invoice'!$H$2:$H$801,$N740)="","",INDEX('Per Invoice'!$H$2:$H$801,$N740)))</f>
        <v/>
      </c>
      <c r="I740" s="5">
        <f>IF($N740="","",IF(INDEX('Per Invoice'!$I$2:$I$801,$N740)="","",INDEX('Per Invoice'!$I$2:$I$801,$N740)))</f>
        <v/>
      </c>
      <c r="J740" s="5">
        <f>IF($N740="","",IF(INDEX('Per Invoice'!$J$2:$J$801,$N740)="","",INDEX('Per Invoice'!$J$2:$J$801,$N740)))</f>
        <v/>
      </c>
      <c r="K740" s="5">
        <f>IF($N740="","",IF(INDEX('Per Invoice'!$K$2:$K$801,$N740)="","",INDEX('Per Invoice'!$K$2:$K$801,$N740)))</f>
        <v/>
      </c>
      <c r="L740" s="5">
        <f>IF($N740="","",IF(INDEX('Per Invoice'!$L$2:$L$801,$N740)="","",INDEX('Per Invoice'!$L$2:$L$801,$N740)))</f>
        <v/>
      </c>
      <c r="M740" s="5">
        <f>IF($N740="","",IF(INDEX('Per Invoice'!$M$2:$M$801,$N740)="","",INDEX('Per Invoice'!$M$2:$M$801,$N740)))</f>
        <v/>
      </c>
      <c r="N740">
        <f>IF(ROWS($N$2:$N740)&lt;=COUNT('Per Invoice'!$O$2:$O$801),MATCH(ROWS($N$2:$N740),'Per Invoice'!$O$2:$O$801,0),"")</f>
        <v/>
      </c>
    </row>
    <row r="741">
      <c r="A741">
        <f>IF($N741="","",IF(INDEX('Per Invoice'!$A$2:$A$801,$N741)="","",INDEX('Per Invoice'!$A$2:$A$801,$N741)))</f>
        <v/>
      </c>
      <c r="B741">
        <f>IF($N741="","",IF(INDEX('Per Invoice'!$B$2:$B$801,$N741)="","",INDEX('Per Invoice'!$B$2:$B$801,$N741)))</f>
        <v/>
      </c>
      <c r="C741">
        <f>IF($N741="","",IF(INDEX('Per Invoice'!$C$2:$C$801,$N741)="","",INDEX('Per Invoice'!$C$2:$C$801,$N741)))</f>
        <v/>
      </c>
      <c r="D741">
        <f>IF($N741="","",IF(INDEX('Per Invoice'!$D$2:$D$801,$N741)="","",INDEX('Per Invoice'!$D$2:$D$801,$N741)))</f>
        <v/>
      </c>
      <c r="E741">
        <f>IF($N741="","",IF(INDEX('Per Invoice'!$E$2:$E$801,$N741)="","",INDEX('Per Invoice'!$E$2:$E$801,$N741)))</f>
        <v/>
      </c>
      <c r="F741">
        <f>IF($N741="","",IF(INDEX('Per Invoice'!$F$2:$F$801,$N741)="","",INDEX('Per Invoice'!$F$2:$F$801,$N741)))</f>
        <v/>
      </c>
      <c r="G741">
        <f>IF($N741="","",IF(INDEX('Per Invoice'!$G$2:$G$801,$N741)="","",INDEX('Per Invoice'!$G$2:$G$801,$N741)))</f>
        <v/>
      </c>
      <c r="H741">
        <f>IF($N741="","",IF(INDEX('Per Invoice'!$H$2:$H$801,$N741)="","",INDEX('Per Invoice'!$H$2:$H$801,$N741)))</f>
        <v/>
      </c>
      <c r="I741" s="5">
        <f>IF($N741="","",IF(INDEX('Per Invoice'!$I$2:$I$801,$N741)="","",INDEX('Per Invoice'!$I$2:$I$801,$N741)))</f>
        <v/>
      </c>
      <c r="J741" s="5">
        <f>IF($N741="","",IF(INDEX('Per Invoice'!$J$2:$J$801,$N741)="","",INDEX('Per Invoice'!$J$2:$J$801,$N741)))</f>
        <v/>
      </c>
      <c r="K741" s="5">
        <f>IF($N741="","",IF(INDEX('Per Invoice'!$K$2:$K$801,$N741)="","",INDEX('Per Invoice'!$K$2:$K$801,$N741)))</f>
        <v/>
      </c>
      <c r="L741" s="5">
        <f>IF($N741="","",IF(INDEX('Per Invoice'!$L$2:$L$801,$N741)="","",INDEX('Per Invoice'!$L$2:$L$801,$N741)))</f>
        <v/>
      </c>
      <c r="M741" s="5">
        <f>IF($N741="","",IF(INDEX('Per Invoice'!$M$2:$M$801,$N741)="","",INDEX('Per Invoice'!$M$2:$M$801,$N741)))</f>
        <v/>
      </c>
      <c r="N741">
        <f>IF(ROWS($N$2:$N741)&lt;=COUNT('Per Invoice'!$O$2:$O$801),MATCH(ROWS($N$2:$N741),'Per Invoice'!$O$2:$O$801,0),"")</f>
        <v/>
      </c>
    </row>
    <row r="742">
      <c r="A742">
        <f>IF($N742="","",IF(INDEX('Per Invoice'!$A$2:$A$801,$N742)="","",INDEX('Per Invoice'!$A$2:$A$801,$N742)))</f>
        <v/>
      </c>
      <c r="B742">
        <f>IF($N742="","",IF(INDEX('Per Invoice'!$B$2:$B$801,$N742)="","",INDEX('Per Invoice'!$B$2:$B$801,$N742)))</f>
        <v/>
      </c>
      <c r="C742">
        <f>IF($N742="","",IF(INDEX('Per Invoice'!$C$2:$C$801,$N742)="","",INDEX('Per Invoice'!$C$2:$C$801,$N742)))</f>
        <v/>
      </c>
      <c r="D742">
        <f>IF($N742="","",IF(INDEX('Per Invoice'!$D$2:$D$801,$N742)="","",INDEX('Per Invoice'!$D$2:$D$801,$N742)))</f>
        <v/>
      </c>
      <c r="E742">
        <f>IF($N742="","",IF(INDEX('Per Invoice'!$E$2:$E$801,$N742)="","",INDEX('Per Invoice'!$E$2:$E$801,$N742)))</f>
        <v/>
      </c>
      <c r="F742">
        <f>IF($N742="","",IF(INDEX('Per Invoice'!$F$2:$F$801,$N742)="","",INDEX('Per Invoice'!$F$2:$F$801,$N742)))</f>
        <v/>
      </c>
      <c r="G742">
        <f>IF($N742="","",IF(INDEX('Per Invoice'!$G$2:$G$801,$N742)="","",INDEX('Per Invoice'!$G$2:$G$801,$N742)))</f>
        <v/>
      </c>
      <c r="H742">
        <f>IF($N742="","",IF(INDEX('Per Invoice'!$H$2:$H$801,$N742)="","",INDEX('Per Invoice'!$H$2:$H$801,$N742)))</f>
        <v/>
      </c>
      <c r="I742" s="5">
        <f>IF($N742="","",IF(INDEX('Per Invoice'!$I$2:$I$801,$N742)="","",INDEX('Per Invoice'!$I$2:$I$801,$N742)))</f>
        <v/>
      </c>
      <c r="J742" s="5">
        <f>IF($N742="","",IF(INDEX('Per Invoice'!$J$2:$J$801,$N742)="","",INDEX('Per Invoice'!$J$2:$J$801,$N742)))</f>
        <v/>
      </c>
      <c r="K742" s="5">
        <f>IF($N742="","",IF(INDEX('Per Invoice'!$K$2:$K$801,$N742)="","",INDEX('Per Invoice'!$K$2:$K$801,$N742)))</f>
        <v/>
      </c>
      <c r="L742" s="5">
        <f>IF($N742="","",IF(INDEX('Per Invoice'!$L$2:$L$801,$N742)="","",INDEX('Per Invoice'!$L$2:$L$801,$N742)))</f>
        <v/>
      </c>
      <c r="M742" s="5">
        <f>IF($N742="","",IF(INDEX('Per Invoice'!$M$2:$M$801,$N742)="","",INDEX('Per Invoice'!$M$2:$M$801,$N742)))</f>
        <v/>
      </c>
      <c r="N742">
        <f>IF(ROWS($N$2:$N742)&lt;=COUNT('Per Invoice'!$O$2:$O$801),MATCH(ROWS($N$2:$N742),'Per Invoice'!$O$2:$O$801,0),"")</f>
        <v/>
      </c>
    </row>
    <row r="743">
      <c r="A743">
        <f>IF($N743="","",IF(INDEX('Per Invoice'!$A$2:$A$801,$N743)="","",INDEX('Per Invoice'!$A$2:$A$801,$N743)))</f>
        <v/>
      </c>
      <c r="B743">
        <f>IF($N743="","",IF(INDEX('Per Invoice'!$B$2:$B$801,$N743)="","",INDEX('Per Invoice'!$B$2:$B$801,$N743)))</f>
        <v/>
      </c>
      <c r="C743">
        <f>IF($N743="","",IF(INDEX('Per Invoice'!$C$2:$C$801,$N743)="","",INDEX('Per Invoice'!$C$2:$C$801,$N743)))</f>
        <v/>
      </c>
      <c r="D743">
        <f>IF($N743="","",IF(INDEX('Per Invoice'!$D$2:$D$801,$N743)="","",INDEX('Per Invoice'!$D$2:$D$801,$N743)))</f>
        <v/>
      </c>
      <c r="E743">
        <f>IF($N743="","",IF(INDEX('Per Invoice'!$E$2:$E$801,$N743)="","",INDEX('Per Invoice'!$E$2:$E$801,$N743)))</f>
        <v/>
      </c>
      <c r="F743">
        <f>IF($N743="","",IF(INDEX('Per Invoice'!$F$2:$F$801,$N743)="","",INDEX('Per Invoice'!$F$2:$F$801,$N743)))</f>
        <v/>
      </c>
      <c r="G743">
        <f>IF($N743="","",IF(INDEX('Per Invoice'!$G$2:$G$801,$N743)="","",INDEX('Per Invoice'!$G$2:$G$801,$N743)))</f>
        <v/>
      </c>
      <c r="H743">
        <f>IF($N743="","",IF(INDEX('Per Invoice'!$H$2:$H$801,$N743)="","",INDEX('Per Invoice'!$H$2:$H$801,$N743)))</f>
        <v/>
      </c>
      <c r="I743" s="5">
        <f>IF($N743="","",IF(INDEX('Per Invoice'!$I$2:$I$801,$N743)="","",INDEX('Per Invoice'!$I$2:$I$801,$N743)))</f>
        <v/>
      </c>
      <c r="J743" s="5">
        <f>IF($N743="","",IF(INDEX('Per Invoice'!$J$2:$J$801,$N743)="","",INDEX('Per Invoice'!$J$2:$J$801,$N743)))</f>
        <v/>
      </c>
      <c r="K743" s="5">
        <f>IF($N743="","",IF(INDEX('Per Invoice'!$K$2:$K$801,$N743)="","",INDEX('Per Invoice'!$K$2:$K$801,$N743)))</f>
        <v/>
      </c>
      <c r="L743" s="5">
        <f>IF($N743="","",IF(INDEX('Per Invoice'!$L$2:$L$801,$N743)="","",INDEX('Per Invoice'!$L$2:$L$801,$N743)))</f>
        <v/>
      </c>
      <c r="M743" s="5">
        <f>IF($N743="","",IF(INDEX('Per Invoice'!$M$2:$M$801,$N743)="","",INDEX('Per Invoice'!$M$2:$M$801,$N743)))</f>
        <v/>
      </c>
      <c r="N743">
        <f>IF(ROWS($N$2:$N743)&lt;=COUNT('Per Invoice'!$O$2:$O$801),MATCH(ROWS($N$2:$N743),'Per Invoice'!$O$2:$O$801,0),"")</f>
        <v/>
      </c>
    </row>
    <row r="744">
      <c r="A744">
        <f>IF($N744="","",IF(INDEX('Per Invoice'!$A$2:$A$801,$N744)="","",INDEX('Per Invoice'!$A$2:$A$801,$N744)))</f>
        <v/>
      </c>
      <c r="B744">
        <f>IF($N744="","",IF(INDEX('Per Invoice'!$B$2:$B$801,$N744)="","",INDEX('Per Invoice'!$B$2:$B$801,$N744)))</f>
        <v/>
      </c>
      <c r="C744">
        <f>IF($N744="","",IF(INDEX('Per Invoice'!$C$2:$C$801,$N744)="","",INDEX('Per Invoice'!$C$2:$C$801,$N744)))</f>
        <v/>
      </c>
      <c r="D744">
        <f>IF($N744="","",IF(INDEX('Per Invoice'!$D$2:$D$801,$N744)="","",INDEX('Per Invoice'!$D$2:$D$801,$N744)))</f>
        <v/>
      </c>
      <c r="E744">
        <f>IF($N744="","",IF(INDEX('Per Invoice'!$E$2:$E$801,$N744)="","",INDEX('Per Invoice'!$E$2:$E$801,$N744)))</f>
        <v/>
      </c>
      <c r="F744">
        <f>IF($N744="","",IF(INDEX('Per Invoice'!$F$2:$F$801,$N744)="","",INDEX('Per Invoice'!$F$2:$F$801,$N744)))</f>
        <v/>
      </c>
      <c r="G744">
        <f>IF($N744="","",IF(INDEX('Per Invoice'!$G$2:$G$801,$N744)="","",INDEX('Per Invoice'!$G$2:$G$801,$N744)))</f>
        <v/>
      </c>
      <c r="H744">
        <f>IF($N744="","",IF(INDEX('Per Invoice'!$H$2:$H$801,$N744)="","",INDEX('Per Invoice'!$H$2:$H$801,$N744)))</f>
        <v/>
      </c>
      <c r="I744" s="5">
        <f>IF($N744="","",IF(INDEX('Per Invoice'!$I$2:$I$801,$N744)="","",INDEX('Per Invoice'!$I$2:$I$801,$N744)))</f>
        <v/>
      </c>
      <c r="J744" s="5">
        <f>IF($N744="","",IF(INDEX('Per Invoice'!$J$2:$J$801,$N744)="","",INDEX('Per Invoice'!$J$2:$J$801,$N744)))</f>
        <v/>
      </c>
      <c r="K744" s="5">
        <f>IF($N744="","",IF(INDEX('Per Invoice'!$K$2:$K$801,$N744)="","",INDEX('Per Invoice'!$K$2:$K$801,$N744)))</f>
        <v/>
      </c>
      <c r="L744" s="5">
        <f>IF($N744="","",IF(INDEX('Per Invoice'!$L$2:$L$801,$N744)="","",INDEX('Per Invoice'!$L$2:$L$801,$N744)))</f>
        <v/>
      </c>
      <c r="M744" s="5">
        <f>IF($N744="","",IF(INDEX('Per Invoice'!$M$2:$M$801,$N744)="","",INDEX('Per Invoice'!$M$2:$M$801,$N744)))</f>
        <v/>
      </c>
      <c r="N744">
        <f>IF(ROWS($N$2:$N744)&lt;=COUNT('Per Invoice'!$O$2:$O$801),MATCH(ROWS($N$2:$N744),'Per Invoice'!$O$2:$O$801,0),"")</f>
        <v/>
      </c>
    </row>
    <row r="745">
      <c r="A745">
        <f>IF($N745="","",IF(INDEX('Per Invoice'!$A$2:$A$801,$N745)="","",INDEX('Per Invoice'!$A$2:$A$801,$N745)))</f>
        <v/>
      </c>
      <c r="B745">
        <f>IF($N745="","",IF(INDEX('Per Invoice'!$B$2:$B$801,$N745)="","",INDEX('Per Invoice'!$B$2:$B$801,$N745)))</f>
        <v/>
      </c>
      <c r="C745">
        <f>IF($N745="","",IF(INDEX('Per Invoice'!$C$2:$C$801,$N745)="","",INDEX('Per Invoice'!$C$2:$C$801,$N745)))</f>
        <v/>
      </c>
      <c r="D745">
        <f>IF($N745="","",IF(INDEX('Per Invoice'!$D$2:$D$801,$N745)="","",INDEX('Per Invoice'!$D$2:$D$801,$N745)))</f>
        <v/>
      </c>
      <c r="E745">
        <f>IF($N745="","",IF(INDEX('Per Invoice'!$E$2:$E$801,$N745)="","",INDEX('Per Invoice'!$E$2:$E$801,$N745)))</f>
        <v/>
      </c>
      <c r="F745">
        <f>IF($N745="","",IF(INDEX('Per Invoice'!$F$2:$F$801,$N745)="","",INDEX('Per Invoice'!$F$2:$F$801,$N745)))</f>
        <v/>
      </c>
      <c r="G745">
        <f>IF($N745="","",IF(INDEX('Per Invoice'!$G$2:$G$801,$N745)="","",INDEX('Per Invoice'!$G$2:$G$801,$N745)))</f>
        <v/>
      </c>
      <c r="H745">
        <f>IF($N745="","",IF(INDEX('Per Invoice'!$H$2:$H$801,$N745)="","",INDEX('Per Invoice'!$H$2:$H$801,$N745)))</f>
        <v/>
      </c>
      <c r="I745" s="5">
        <f>IF($N745="","",IF(INDEX('Per Invoice'!$I$2:$I$801,$N745)="","",INDEX('Per Invoice'!$I$2:$I$801,$N745)))</f>
        <v/>
      </c>
      <c r="J745" s="5">
        <f>IF($N745="","",IF(INDEX('Per Invoice'!$J$2:$J$801,$N745)="","",INDEX('Per Invoice'!$J$2:$J$801,$N745)))</f>
        <v/>
      </c>
      <c r="K745" s="5">
        <f>IF($N745="","",IF(INDEX('Per Invoice'!$K$2:$K$801,$N745)="","",INDEX('Per Invoice'!$K$2:$K$801,$N745)))</f>
        <v/>
      </c>
      <c r="L745" s="5">
        <f>IF($N745="","",IF(INDEX('Per Invoice'!$L$2:$L$801,$N745)="","",INDEX('Per Invoice'!$L$2:$L$801,$N745)))</f>
        <v/>
      </c>
      <c r="M745" s="5">
        <f>IF($N745="","",IF(INDEX('Per Invoice'!$M$2:$M$801,$N745)="","",INDEX('Per Invoice'!$M$2:$M$801,$N745)))</f>
        <v/>
      </c>
      <c r="N745">
        <f>IF(ROWS($N$2:$N745)&lt;=COUNT('Per Invoice'!$O$2:$O$801),MATCH(ROWS($N$2:$N745),'Per Invoice'!$O$2:$O$801,0),"")</f>
        <v/>
      </c>
    </row>
    <row r="746">
      <c r="A746">
        <f>IF($N746="","",IF(INDEX('Per Invoice'!$A$2:$A$801,$N746)="","",INDEX('Per Invoice'!$A$2:$A$801,$N746)))</f>
        <v/>
      </c>
      <c r="B746">
        <f>IF($N746="","",IF(INDEX('Per Invoice'!$B$2:$B$801,$N746)="","",INDEX('Per Invoice'!$B$2:$B$801,$N746)))</f>
        <v/>
      </c>
      <c r="C746">
        <f>IF($N746="","",IF(INDEX('Per Invoice'!$C$2:$C$801,$N746)="","",INDEX('Per Invoice'!$C$2:$C$801,$N746)))</f>
        <v/>
      </c>
      <c r="D746">
        <f>IF($N746="","",IF(INDEX('Per Invoice'!$D$2:$D$801,$N746)="","",INDEX('Per Invoice'!$D$2:$D$801,$N746)))</f>
        <v/>
      </c>
      <c r="E746">
        <f>IF($N746="","",IF(INDEX('Per Invoice'!$E$2:$E$801,$N746)="","",INDEX('Per Invoice'!$E$2:$E$801,$N746)))</f>
        <v/>
      </c>
      <c r="F746">
        <f>IF($N746="","",IF(INDEX('Per Invoice'!$F$2:$F$801,$N746)="","",INDEX('Per Invoice'!$F$2:$F$801,$N746)))</f>
        <v/>
      </c>
      <c r="G746">
        <f>IF($N746="","",IF(INDEX('Per Invoice'!$G$2:$G$801,$N746)="","",INDEX('Per Invoice'!$G$2:$G$801,$N746)))</f>
        <v/>
      </c>
      <c r="H746">
        <f>IF($N746="","",IF(INDEX('Per Invoice'!$H$2:$H$801,$N746)="","",INDEX('Per Invoice'!$H$2:$H$801,$N746)))</f>
        <v/>
      </c>
      <c r="I746" s="5">
        <f>IF($N746="","",IF(INDEX('Per Invoice'!$I$2:$I$801,$N746)="","",INDEX('Per Invoice'!$I$2:$I$801,$N746)))</f>
        <v/>
      </c>
      <c r="J746" s="5">
        <f>IF($N746="","",IF(INDEX('Per Invoice'!$J$2:$J$801,$N746)="","",INDEX('Per Invoice'!$J$2:$J$801,$N746)))</f>
        <v/>
      </c>
      <c r="K746" s="5">
        <f>IF($N746="","",IF(INDEX('Per Invoice'!$K$2:$K$801,$N746)="","",INDEX('Per Invoice'!$K$2:$K$801,$N746)))</f>
        <v/>
      </c>
      <c r="L746" s="5">
        <f>IF($N746="","",IF(INDEX('Per Invoice'!$L$2:$L$801,$N746)="","",INDEX('Per Invoice'!$L$2:$L$801,$N746)))</f>
        <v/>
      </c>
      <c r="M746" s="5">
        <f>IF($N746="","",IF(INDEX('Per Invoice'!$M$2:$M$801,$N746)="","",INDEX('Per Invoice'!$M$2:$M$801,$N746)))</f>
        <v/>
      </c>
      <c r="N746">
        <f>IF(ROWS($N$2:$N746)&lt;=COUNT('Per Invoice'!$O$2:$O$801),MATCH(ROWS($N$2:$N746),'Per Invoice'!$O$2:$O$801,0),"")</f>
        <v/>
      </c>
    </row>
    <row r="747">
      <c r="A747">
        <f>IF($N747="","",IF(INDEX('Per Invoice'!$A$2:$A$801,$N747)="","",INDEX('Per Invoice'!$A$2:$A$801,$N747)))</f>
        <v/>
      </c>
      <c r="B747">
        <f>IF($N747="","",IF(INDEX('Per Invoice'!$B$2:$B$801,$N747)="","",INDEX('Per Invoice'!$B$2:$B$801,$N747)))</f>
        <v/>
      </c>
      <c r="C747">
        <f>IF($N747="","",IF(INDEX('Per Invoice'!$C$2:$C$801,$N747)="","",INDEX('Per Invoice'!$C$2:$C$801,$N747)))</f>
        <v/>
      </c>
      <c r="D747">
        <f>IF($N747="","",IF(INDEX('Per Invoice'!$D$2:$D$801,$N747)="","",INDEX('Per Invoice'!$D$2:$D$801,$N747)))</f>
        <v/>
      </c>
      <c r="E747">
        <f>IF($N747="","",IF(INDEX('Per Invoice'!$E$2:$E$801,$N747)="","",INDEX('Per Invoice'!$E$2:$E$801,$N747)))</f>
        <v/>
      </c>
      <c r="F747">
        <f>IF($N747="","",IF(INDEX('Per Invoice'!$F$2:$F$801,$N747)="","",INDEX('Per Invoice'!$F$2:$F$801,$N747)))</f>
        <v/>
      </c>
      <c r="G747">
        <f>IF($N747="","",IF(INDEX('Per Invoice'!$G$2:$G$801,$N747)="","",INDEX('Per Invoice'!$G$2:$G$801,$N747)))</f>
        <v/>
      </c>
      <c r="H747">
        <f>IF($N747="","",IF(INDEX('Per Invoice'!$H$2:$H$801,$N747)="","",INDEX('Per Invoice'!$H$2:$H$801,$N747)))</f>
        <v/>
      </c>
      <c r="I747" s="5">
        <f>IF($N747="","",IF(INDEX('Per Invoice'!$I$2:$I$801,$N747)="","",INDEX('Per Invoice'!$I$2:$I$801,$N747)))</f>
        <v/>
      </c>
      <c r="J747" s="5">
        <f>IF($N747="","",IF(INDEX('Per Invoice'!$J$2:$J$801,$N747)="","",INDEX('Per Invoice'!$J$2:$J$801,$N747)))</f>
        <v/>
      </c>
      <c r="K747" s="5">
        <f>IF($N747="","",IF(INDEX('Per Invoice'!$K$2:$K$801,$N747)="","",INDEX('Per Invoice'!$K$2:$K$801,$N747)))</f>
        <v/>
      </c>
      <c r="L747" s="5">
        <f>IF($N747="","",IF(INDEX('Per Invoice'!$L$2:$L$801,$N747)="","",INDEX('Per Invoice'!$L$2:$L$801,$N747)))</f>
        <v/>
      </c>
      <c r="M747" s="5">
        <f>IF($N747="","",IF(INDEX('Per Invoice'!$M$2:$M$801,$N747)="","",INDEX('Per Invoice'!$M$2:$M$801,$N747)))</f>
        <v/>
      </c>
      <c r="N747">
        <f>IF(ROWS($N$2:$N747)&lt;=COUNT('Per Invoice'!$O$2:$O$801),MATCH(ROWS($N$2:$N747),'Per Invoice'!$O$2:$O$801,0),"")</f>
        <v/>
      </c>
    </row>
    <row r="748">
      <c r="A748">
        <f>IF($N748="","",IF(INDEX('Per Invoice'!$A$2:$A$801,$N748)="","",INDEX('Per Invoice'!$A$2:$A$801,$N748)))</f>
        <v/>
      </c>
      <c r="B748">
        <f>IF($N748="","",IF(INDEX('Per Invoice'!$B$2:$B$801,$N748)="","",INDEX('Per Invoice'!$B$2:$B$801,$N748)))</f>
        <v/>
      </c>
      <c r="C748">
        <f>IF($N748="","",IF(INDEX('Per Invoice'!$C$2:$C$801,$N748)="","",INDEX('Per Invoice'!$C$2:$C$801,$N748)))</f>
        <v/>
      </c>
      <c r="D748">
        <f>IF($N748="","",IF(INDEX('Per Invoice'!$D$2:$D$801,$N748)="","",INDEX('Per Invoice'!$D$2:$D$801,$N748)))</f>
        <v/>
      </c>
      <c r="E748">
        <f>IF($N748="","",IF(INDEX('Per Invoice'!$E$2:$E$801,$N748)="","",INDEX('Per Invoice'!$E$2:$E$801,$N748)))</f>
        <v/>
      </c>
      <c r="F748">
        <f>IF($N748="","",IF(INDEX('Per Invoice'!$F$2:$F$801,$N748)="","",INDEX('Per Invoice'!$F$2:$F$801,$N748)))</f>
        <v/>
      </c>
      <c r="G748">
        <f>IF($N748="","",IF(INDEX('Per Invoice'!$G$2:$G$801,$N748)="","",INDEX('Per Invoice'!$G$2:$G$801,$N748)))</f>
        <v/>
      </c>
      <c r="H748">
        <f>IF($N748="","",IF(INDEX('Per Invoice'!$H$2:$H$801,$N748)="","",INDEX('Per Invoice'!$H$2:$H$801,$N748)))</f>
        <v/>
      </c>
      <c r="I748" s="5">
        <f>IF($N748="","",IF(INDEX('Per Invoice'!$I$2:$I$801,$N748)="","",INDEX('Per Invoice'!$I$2:$I$801,$N748)))</f>
        <v/>
      </c>
      <c r="J748" s="5">
        <f>IF($N748="","",IF(INDEX('Per Invoice'!$J$2:$J$801,$N748)="","",INDEX('Per Invoice'!$J$2:$J$801,$N748)))</f>
        <v/>
      </c>
      <c r="K748" s="5">
        <f>IF($N748="","",IF(INDEX('Per Invoice'!$K$2:$K$801,$N748)="","",INDEX('Per Invoice'!$K$2:$K$801,$N748)))</f>
        <v/>
      </c>
      <c r="L748" s="5">
        <f>IF($N748="","",IF(INDEX('Per Invoice'!$L$2:$L$801,$N748)="","",INDEX('Per Invoice'!$L$2:$L$801,$N748)))</f>
        <v/>
      </c>
      <c r="M748" s="5">
        <f>IF($N748="","",IF(INDEX('Per Invoice'!$M$2:$M$801,$N748)="","",INDEX('Per Invoice'!$M$2:$M$801,$N748)))</f>
        <v/>
      </c>
      <c r="N748">
        <f>IF(ROWS($N$2:$N748)&lt;=COUNT('Per Invoice'!$O$2:$O$801),MATCH(ROWS($N$2:$N748),'Per Invoice'!$O$2:$O$801,0),"")</f>
        <v/>
      </c>
    </row>
    <row r="749">
      <c r="A749">
        <f>IF($N749="","",IF(INDEX('Per Invoice'!$A$2:$A$801,$N749)="","",INDEX('Per Invoice'!$A$2:$A$801,$N749)))</f>
        <v/>
      </c>
      <c r="B749">
        <f>IF($N749="","",IF(INDEX('Per Invoice'!$B$2:$B$801,$N749)="","",INDEX('Per Invoice'!$B$2:$B$801,$N749)))</f>
        <v/>
      </c>
      <c r="C749">
        <f>IF($N749="","",IF(INDEX('Per Invoice'!$C$2:$C$801,$N749)="","",INDEX('Per Invoice'!$C$2:$C$801,$N749)))</f>
        <v/>
      </c>
      <c r="D749">
        <f>IF($N749="","",IF(INDEX('Per Invoice'!$D$2:$D$801,$N749)="","",INDEX('Per Invoice'!$D$2:$D$801,$N749)))</f>
        <v/>
      </c>
      <c r="E749">
        <f>IF($N749="","",IF(INDEX('Per Invoice'!$E$2:$E$801,$N749)="","",INDEX('Per Invoice'!$E$2:$E$801,$N749)))</f>
        <v/>
      </c>
      <c r="F749">
        <f>IF($N749="","",IF(INDEX('Per Invoice'!$F$2:$F$801,$N749)="","",INDEX('Per Invoice'!$F$2:$F$801,$N749)))</f>
        <v/>
      </c>
      <c r="G749">
        <f>IF($N749="","",IF(INDEX('Per Invoice'!$G$2:$G$801,$N749)="","",INDEX('Per Invoice'!$G$2:$G$801,$N749)))</f>
        <v/>
      </c>
      <c r="H749">
        <f>IF($N749="","",IF(INDEX('Per Invoice'!$H$2:$H$801,$N749)="","",INDEX('Per Invoice'!$H$2:$H$801,$N749)))</f>
        <v/>
      </c>
      <c r="I749" s="5">
        <f>IF($N749="","",IF(INDEX('Per Invoice'!$I$2:$I$801,$N749)="","",INDEX('Per Invoice'!$I$2:$I$801,$N749)))</f>
        <v/>
      </c>
      <c r="J749" s="5">
        <f>IF($N749="","",IF(INDEX('Per Invoice'!$J$2:$J$801,$N749)="","",INDEX('Per Invoice'!$J$2:$J$801,$N749)))</f>
        <v/>
      </c>
      <c r="K749" s="5">
        <f>IF($N749="","",IF(INDEX('Per Invoice'!$K$2:$K$801,$N749)="","",INDEX('Per Invoice'!$K$2:$K$801,$N749)))</f>
        <v/>
      </c>
      <c r="L749" s="5">
        <f>IF($N749="","",IF(INDEX('Per Invoice'!$L$2:$L$801,$N749)="","",INDEX('Per Invoice'!$L$2:$L$801,$N749)))</f>
        <v/>
      </c>
      <c r="M749" s="5">
        <f>IF($N749="","",IF(INDEX('Per Invoice'!$M$2:$M$801,$N749)="","",INDEX('Per Invoice'!$M$2:$M$801,$N749)))</f>
        <v/>
      </c>
      <c r="N749">
        <f>IF(ROWS($N$2:$N749)&lt;=COUNT('Per Invoice'!$O$2:$O$801),MATCH(ROWS($N$2:$N749),'Per Invoice'!$O$2:$O$801,0),"")</f>
        <v/>
      </c>
    </row>
    <row r="750">
      <c r="A750">
        <f>IF($N750="","",IF(INDEX('Per Invoice'!$A$2:$A$801,$N750)="","",INDEX('Per Invoice'!$A$2:$A$801,$N750)))</f>
        <v/>
      </c>
      <c r="B750">
        <f>IF($N750="","",IF(INDEX('Per Invoice'!$B$2:$B$801,$N750)="","",INDEX('Per Invoice'!$B$2:$B$801,$N750)))</f>
        <v/>
      </c>
      <c r="C750">
        <f>IF($N750="","",IF(INDEX('Per Invoice'!$C$2:$C$801,$N750)="","",INDEX('Per Invoice'!$C$2:$C$801,$N750)))</f>
        <v/>
      </c>
      <c r="D750">
        <f>IF($N750="","",IF(INDEX('Per Invoice'!$D$2:$D$801,$N750)="","",INDEX('Per Invoice'!$D$2:$D$801,$N750)))</f>
        <v/>
      </c>
      <c r="E750">
        <f>IF($N750="","",IF(INDEX('Per Invoice'!$E$2:$E$801,$N750)="","",INDEX('Per Invoice'!$E$2:$E$801,$N750)))</f>
        <v/>
      </c>
      <c r="F750">
        <f>IF($N750="","",IF(INDEX('Per Invoice'!$F$2:$F$801,$N750)="","",INDEX('Per Invoice'!$F$2:$F$801,$N750)))</f>
        <v/>
      </c>
      <c r="G750">
        <f>IF($N750="","",IF(INDEX('Per Invoice'!$G$2:$G$801,$N750)="","",INDEX('Per Invoice'!$G$2:$G$801,$N750)))</f>
        <v/>
      </c>
      <c r="H750">
        <f>IF($N750="","",IF(INDEX('Per Invoice'!$H$2:$H$801,$N750)="","",INDEX('Per Invoice'!$H$2:$H$801,$N750)))</f>
        <v/>
      </c>
      <c r="I750" s="5">
        <f>IF($N750="","",IF(INDEX('Per Invoice'!$I$2:$I$801,$N750)="","",INDEX('Per Invoice'!$I$2:$I$801,$N750)))</f>
        <v/>
      </c>
      <c r="J750" s="5">
        <f>IF($N750="","",IF(INDEX('Per Invoice'!$J$2:$J$801,$N750)="","",INDEX('Per Invoice'!$J$2:$J$801,$N750)))</f>
        <v/>
      </c>
      <c r="K750" s="5">
        <f>IF($N750="","",IF(INDEX('Per Invoice'!$K$2:$K$801,$N750)="","",INDEX('Per Invoice'!$K$2:$K$801,$N750)))</f>
        <v/>
      </c>
      <c r="L750" s="5">
        <f>IF($N750="","",IF(INDEX('Per Invoice'!$L$2:$L$801,$N750)="","",INDEX('Per Invoice'!$L$2:$L$801,$N750)))</f>
        <v/>
      </c>
      <c r="M750" s="5">
        <f>IF($N750="","",IF(INDEX('Per Invoice'!$M$2:$M$801,$N750)="","",INDEX('Per Invoice'!$M$2:$M$801,$N750)))</f>
        <v/>
      </c>
      <c r="N750">
        <f>IF(ROWS($N$2:$N750)&lt;=COUNT('Per Invoice'!$O$2:$O$801),MATCH(ROWS($N$2:$N750),'Per Invoice'!$O$2:$O$801,0),"")</f>
        <v/>
      </c>
    </row>
    <row r="751">
      <c r="A751">
        <f>IF($N751="","",IF(INDEX('Per Invoice'!$A$2:$A$801,$N751)="","",INDEX('Per Invoice'!$A$2:$A$801,$N751)))</f>
        <v/>
      </c>
      <c r="B751">
        <f>IF($N751="","",IF(INDEX('Per Invoice'!$B$2:$B$801,$N751)="","",INDEX('Per Invoice'!$B$2:$B$801,$N751)))</f>
        <v/>
      </c>
      <c r="C751">
        <f>IF($N751="","",IF(INDEX('Per Invoice'!$C$2:$C$801,$N751)="","",INDEX('Per Invoice'!$C$2:$C$801,$N751)))</f>
        <v/>
      </c>
      <c r="D751">
        <f>IF($N751="","",IF(INDEX('Per Invoice'!$D$2:$D$801,$N751)="","",INDEX('Per Invoice'!$D$2:$D$801,$N751)))</f>
        <v/>
      </c>
      <c r="E751">
        <f>IF($N751="","",IF(INDEX('Per Invoice'!$E$2:$E$801,$N751)="","",INDEX('Per Invoice'!$E$2:$E$801,$N751)))</f>
        <v/>
      </c>
      <c r="F751">
        <f>IF($N751="","",IF(INDEX('Per Invoice'!$F$2:$F$801,$N751)="","",INDEX('Per Invoice'!$F$2:$F$801,$N751)))</f>
        <v/>
      </c>
      <c r="G751">
        <f>IF($N751="","",IF(INDEX('Per Invoice'!$G$2:$G$801,$N751)="","",INDEX('Per Invoice'!$G$2:$G$801,$N751)))</f>
        <v/>
      </c>
      <c r="H751">
        <f>IF($N751="","",IF(INDEX('Per Invoice'!$H$2:$H$801,$N751)="","",INDEX('Per Invoice'!$H$2:$H$801,$N751)))</f>
        <v/>
      </c>
      <c r="I751" s="5">
        <f>IF($N751="","",IF(INDEX('Per Invoice'!$I$2:$I$801,$N751)="","",INDEX('Per Invoice'!$I$2:$I$801,$N751)))</f>
        <v/>
      </c>
      <c r="J751" s="5">
        <f>IF($N751="","",IF(INDEX('Per Invoice'!$J$2:$J$801,$N751)="","",INDEX('Per Invoice'!$J$2:$J$801,$N751)))</f>
        <v/>
      </c>
      <c r="K751" s="5">
        <f>IF($N751="","",IF(INDEX('Per Invoice'!$K$2:$K$801,$N751)="","",INDEX('Per Invoice'!$K$2:$K$801,$N751)))</f>
        <v/>
      </c>
      <c r="L751" s="5">
        <f>IF($N751="","",IF(INDEX('Per Invoice'!$L$2:$L$801,$N751)="","",INDEX('Per Invoice'!$L$2:$L$801,$N751)))</f>
        <v/>
      </c>
      <c r="M751" s="5">
        <f>IF($N751="","",IF(INDEX('Per Invoice'!$M$2:$M$801,$N751)="","",INDEX('Per Invoice'!$M$2:$M$801,$N751)))</f>
        <v/>
      </c>
      <c r="N751">
        <f>IF(ROWS($N$2:$N751)&lt;=COUNT('Per Invoice'!$O$2:$O$801),MATCH(ROWS($N$2:$N751),'Per Invoice'!$O$2:$O$801,0),"")</f>
        <v/>
      </c>
    </row>
    <row r="752">
      <c r="A752">
        <f>IF($N752="","",IF(INDEX('Per Invoice'!$A$2:$A$801,$N752)="","",INDEX('Per Invoice'!$A$2:$A$801,$N752)))</f>
        <v/>
      </c>
      <c r="B752">
        <f>IF($N752="","",IF(INDEX('Per Invoice'!$B$2:$B$801,$N752)="","",INDEX('Per Invoice'!$B$2:$B$801,$N752)))</f>
        <v/>
      </c>
      <c r="C752">
        <f>IF($N752="","",IF(INDEX('Per Invoice'!$C$2:$C$801,$N752)="","",INDEX('Per Invoice'!$C$2:$C$801,$N752)))</f>
        <v/>
      </c>
      <c r="D752">
        <f>IF($N752="","",IF(INDEX('Per Invoice'!$D$2:$D$801,$N752)="","",INDEX('Per Invoice'!$D$2:$D$801,$N752)))</f>
        <v/>
      </c>
      <c r="E752">
        <f>IF($N752="","",IF(INDEX('Per Invoice'!$E$2:$E$801,$N752)="","",INDEX('Per Invoice'!$E$2:$E$801,$N752)))</f>
        <v/>
      </c>
      <c r="F752">
        <f>IF($N752="","",IF(INDEX('Per Invoice'!$F$2:$F$801,$N752)="","",INDEX('Per Invoice'!$F$2:$F$801,$N752)))</f>
        <v/>
      </c>
      <c r="G752">
        <f>IF($N752="","",IF(INDEX('Per Invoice'!$G$2:$G$801,$N752)="","",INDEX('Per Invoice'!$G$2:$G$801,$N752)))</f>
        <v/>
      </c>
      <c r="H752">
        <f>IF($N752="","",IF(INDEX('Per Invoice'!$H$2:$H$801,$N752)="","",INDEX('Per Invoice'!$H$2:$H$801,$N752)))</f>
        <v/>
      </c>
      <c r="I752" s="5">
        <f>IF($N752="","",IF(INDEX('Per Invoice'!$I$2:$I$801,$N752)="","",INDEX('Per Invoice'!$I$2:$I$801,$N752)))</f>
        <v/>
      </c>
      <c r="J752" s="5">
        <f>IF($N752="","",IF(INDEX('Per Invoice'!$J$2:$J$801,$N752)="","",INDEX('Per Invoice'!$J$2:$J$801,$N752)))</f>
        <v/>
      </c>
      <c r="K752" s="5">
        <f>IF($N752="","",IF(INDEX('Per Invoice'!$K$2:$K$801,$N752)="","",INDEX('Per Invoice'!$K$2:$K$801,$N752)))</f>
        <v/>
      </c>
      <c r="L752" s="5">
        <f>IF($N752="","",IF(INDEX('Per Invoice'!$L$2:$L$801,$N752)="","",INDEX('Per Invoice'!$L$2:$L$801,$N752)))</f>
        <v/>
      </c>
      <c r="M752" s="5">
        <f>IF($N752="","",IF(INDEX('Per Invoice'!$M$2:$M$801,$N752)="","",INDEX('Per Invoice'!$M$2:$M$801,$N752)))</f>
        <v/>
      </c>
      <c r="N752">
        <f>IF(ROWS($N$2:$N752)&lt;=COUNT('Per Invoice'!$O$2:$O$801),MATCH(ROWS($N$2:$N752),'Per Invoice'!$O$2:$O$801,0),"")</f>
        <v/>
      </c>
    </row>
    <row r="753">
      <c r="A753">
        <f>IF($N753="","",IF(INDEX('Per Invoice'!$A$2:$A$801,$N753)="","",INDEX('Per Invoice'!$A$2:$A$801,$N753)))</f>
        <v/>
      </c>
      <c r="B753">
        <f>IF($N753="","",IF(INDEX('Per Invoice'!$B$2:$B$801,$N753)="","",INDEX('Per Invoice'!$B$2:$B$801,$N753)))</f>
        <v/>
      </c>
      <c r="C753">
        <f>IF($N753="","",IF(INDEX('Per Invoice'!$C$2:$C$801,$N753)="","",INDEX('Per Invoice'!$C$2:$C$801,$N753)))</f>
        <v/>
      </c>
      <c r="D753">
        <f>IF($N753="","",IF(INDEX('Per Invoice'!$D$2:$D$801,$N753)="","",INDEX('Per Invoice'!$D$2:$D$801,$N753)))</f>
        <v/>
      </c>
      <c r="E753">
        <f>IF($N753="","",IF(INDEX('Per Invoice'!$E$2:$E$801,$N753)="","",INDEX('Per Invoice'!$E$2:$E$801,$N753)))</f>
        <v/>
      </c>
      <c r="F753">
        <f>IF($N753="","",IF(INDEX('Per Invoice'!$F$2:$F$801,$N753)="","",INDEX('Per Invoice'!$F$2:$F$801,$N753)))</f>
        <v/>
      </c>
      <c r="G753">
        <f>IF($N753="","",IF(INDEX('Per Invoice'!$G$2:$G$801,$N753)="","",INDEX('Per Invoice'!$G$2:$G$801,$N753)))</f>
        <v/>
      </c>
      <c r="H753">
        <f>IF($N753="","",IF(INDEX('Per Invoice'!$H$2:$H$801,$N753)="","",INDEX('Per Invoice'!$H$2:$H$801,$N753)))</f>
        <v/>
      </c>
      <c r="I753" s="5">
        <f>IF($N753="","",IF(INDEX('Per Invoice'!$I$2:$I$801,$N753)="","",INDEX('Per Invoice'!$I$2:$I$801,$N753)))</f>
        <v/>
      </c>
      <c r="J753" s="5">
        <f>IF($N753="","",IF(INDEX('Per Invoice'!$J$2:$J$801,$N753)="","",INDEX('Per Invoice'!$J$2:$J$801,$N753)))</f>
        <v/>
      </c>
      <c r="K753" s="5">
        <f>IF($N753="","",IF(INDEX('Per Invoice'!$K$2:$K$801,$N753)="","",INDEX('Per Invoice'!$K$2:$K$801,$N753)))</f>
        <v/>
      </c>
      <c r="L753" s="5">
        <f>IF($N753="","",IF(INDEX('Per Invoice'!$L$2:$L$801,$N753)="","",INDEX('Per Invoice'!$L$2:$L$801,$N753)))</f>
        <v/>
      </c>
      <c r="M753" s="5">
        <f>IF($N753="","",IF(INDEX('Per Invoice'!$M$2:$M$801,$N753)="","",INDEX('Per Invoice'!$M$2:$M$801,$N753)))</f>
        <v/>
      </c>
      <c r="N753">
        <f>IF(ROWS($N$2:$N753)&lt;=COUNT('Per Invoice'!$O$2:$O$801),MATCH(ROWS($N$2:$N753),'Per Invoice'!$O$2:$O$801,0),"")</f>
        <v/>
      </c>
    </row>
    <row r="754">
      <c r="A754">
        <f>IF($N754="","",IF(INDEX('Per Invoice'!$A$2:$A$801,$N754)="","",INDEX('Per Invoice'!$A$2:$A$801,$N754)))</f>
        <v/>
      </c>
      <c r="B754">
        <f>IF($N754="","",IF(INDEX('Per Invoice'!$B$2:$B$801,$N754)="","",INDEX('Per Invoice'!$B$2:$B$801,$N754)))</f>
        <v/>
      </c>
      <c r="C754">
        <f>IF($N754="","",IF(INDEX('Per Invoice'!$C$2:$C$801,$N754)="","",INDEX('Per Invoice'!$C$2:$C$801,$N754)))</f>
        <v/>
      </c>
      <c r="D754">
        <f>IF($N754="","",IF(INDEX('Per Invoice'!$D$2:$D$801,$N754)="","",INDEX('Per Invoice'!$D$2:$D$801,$N754)))</f>
        <v/>
      </c>
      <c r="E754">
        <f>IF($N754="","",IF(INDEX('Per Invoice'!$E$2:$E$801,$N754)="","",INDEX('Per Invoice'!$E$2:$E$801,$N754)))</f>
        <v/>
      </c>
      <c r="F754">
        <f>IF($N754="","",IF(INDEX('Per Invoice'!$F$2:$F$801,$N754)="","",INDEX('Per Invoice'!$F$2:$F$801,$N754)))</f>
        <v/>
      </c>
      <c r="G754">
        <f>IF($N754="","",IF(INDEX('Per Invoice'!$G$2:$G$801,$N754)="","",INDEX('Per Invoice'!$G$2:$G$801,$N754)))</f>
        <v/>
      </c>
      <c r="H754">
        <f>IF($N754="","",IF(INDEX('Per Invoice'!$H$2:$H$801,$N754)="","",INDEX('Per Invoice'!$H$2:$H$801,$N754)))</f>
        <v/>
      </c>
      <c r="I754" s="5">
        <f>IF($N754="","",IF(INDEX('Per Invoice'!$I$2:$I$801,$N754)="","",INDEX('Per Invoice'!$I$2:$I$801,$N754)))</f>
        <v/>
      </c>
      <c r="J754" s="5">
        <f>IF($N754="","",IF(INDEX('Per Invoice'!$J$2:$J$801,$N754)="","",INDEX('Per Invoice'!$J$2:$J$801,$N754)))</f>
        <v/>
      </c>
      <c r="K754" s="5">
        <f>IF($N754="","",IF(INDEX('Per Invoice'!$K$2:$K$801,$N754)="","",INDEX('Per Invoice'!$K$2:$K$801,$N754)))</f>
        <v/>
      </c>
      <c r="L754" s="5">
        <f>IF($N754="","",IF(INDEX('Per Invoice'!$L$2:$L$801,$N754)="","",INDEX('Per Invoice'!$L$2:$L$801,$N754)))</f>
        <v/>
      </c>
      <c r="M754" s="5">
        <f>IF($N754="","",IF(INDEX('Per Invoice'!$M$2:$M$801,$N754)="","",INDEX('Per Invoice'!$M$2:$M$801,$N754)))</f>
        <v/>
      </c>
      <c r="N754">
        <f>IF(ROWS($N$2:$N754)&lt;=COUNT('Per Invoice'!$O$2:$O$801),MATCH(ROWS($N$2:$N754),'Per Invoice'!$O$2:$O$801,0),"")</f>
        <v/>
      </c>
    </row>
    <row r="755">
      <c r="A755">
        <f>IF($N755="","",IF(INDEX('Per Invoice'!$A$2:$A$801,$N755)="","",INDEX('Per Invoice'!$A$2:$A$801,$N755)))</f>
        <v/>
      </c>
      <c r="B755">
        <f>IF($N755="","",IF(INDEX('Per Invoice'!$B$2:$B$801,$N755)="","",INDEX('Per Invoice'!$B$2:$B$801,$N755)))</f>
        <v/>
      </c>
      <c r="C755">
        <f>IF($N755="","",IF(INDEX('Per Invoice'!$C$2:$C$801,$N755)="","",INDEX('Per Invoice'!$C$2:$C$801,$N755)))</f>
        <v/>
      </c>
      <c r="D755">
        <f>IF($N755="","",IF(INDEX('Per Invoice'!$D$2:$D$801,$N755)="","",INDEX('Per Invoice'!$D$2:$D$801,$N755)))</f>
        <v/>
      </c>
      <c r="E755">
        <f>IF($N755="","",IF(INDEX('Per Invoice'!$E$2:$E$801,$N755)="","",INDEX('Per Invoice'!$E$2:$E$801,$N755)))</f>
        <v/>
      </c>
      <c r="F755">
        <f>IF($N755="","",IF(INDEX('Per Invoice'!$F$2:$F$801,$N755)="","",INDEX('Per Invoice'!$F$2:$F$801,$N755)))</f>
        <v/>
      </c>
      <c r="G755">
        <f>IF($N755="","",IF(INDEX('Per Invoice'!$G$2:$G$801,$N755)="","",INDEX('Per Invoice'!$G$2:$G$801,$N755)))</f>
        <v/>
      </c>
      <c r="H755">
        <f>IF($N755="","",IF(INDEX('Per Invoice'!$H$2:$H$801,$N755)="","",INDEX('Per Invoice'!$H$2:$H$801,$N755)))</f>
        <v/>
      </c>
      <c r="I755" s="5">
        <f>IF($N755="","",IF(INDEX('Per Invoice'!$I$2:$I$801,$N755)="","",INDEX('Per Invoice'!$I$2:$I$801,$N755)))</f>
        <v/>
      </c>
      <c r="J755" s="5">
        <f>IF($N755="","",IF(INDEX('Per Invoice'!$J$2:$J$801,$N755)="","",INDEX('Per Invoice'!$J$2:$J$801,$N755)))</f>
        <v/>
      </c>
      <c r="K755" s="5">
        <f>IF($N755="","",IF(INDEX('Per Invoice'!$K$2:$K$801,$N755)="","",INDEX('Per Invoice'!$K$2:$K$801,$N755)))</f>
        <v/>
      </c>
      <c r="L755" s="5">
        <f>IF($N755="","",IF(INDEX('Per Invoice'!$L$2:$L$801,$N755)="","",INDEX('Per Invoice'!$L$2:$L$801,$N755)))</f>
        <v/>
      </c>
      <c r="M755" s="5">
        <f>IF($N755="","",IF(INDEX('Per Invoice'!$M$2:$M$801,$N755)="","",INDEX('Per Invoice'!$M$2:$M$801,$N755)))</f>
        <v/>
      </c>
      <c r="N755">
        <f>IF(ROWS($N$2:$N755)&lt;=COUNT('Per Invoice'!$O$2:$O$801),MATCH(ROWS($N$2:$N755),'Per Invoice'!$O$2:$O$801,0),"")</f>
        <v/>
      </c>
    </row>
    <row r="756">
      <c r="A756">
        <f>IF($N756="","",IF(INDEX('Per Invoice'!$A$2:$A$801,$N756)="","",INDEX('Per Invoice'!$A$2:$A$801,$N756)))</f>
        <v/>
      </c>
      <c r="B756">
        <f>IF($N756="","",IF(INDEX('Per Invoice'!$B$2:$B$801,$N756)="","",INDEX('Per Invoice'!$B$2:$B$801,$N756)))</f>
        <v/>
      </c>
      <c r="C756">
        <f>IF($N756="","",IF(INDEX('Per Invoice'!$C$2:$C$801,$N756)="","",INDEX('Per Invoice'!$C$2:$C$801,$N756)))</f>
        <v/>
      </c>
      <c r="D756">
        <f>IF($N756="","",IF(INDEX('Per Invoice'!$D$2:$D$801,$N756)="","",INDEX('Per Invoice'!$D$2:$D$801,$N756)))</f>
        <v/>
      </c>
      <c r="E756">
        <f>IF($N756="","",IF(INDEX('Per Invoice'!$E$2:$E$801,$N756)="","",INDEX('Per Invoice'!$E$2:$E$801,$N756)))</f>
        <v/>
      </c>
      <c r="F756">
        <f>IF($N756="","",IF(INDEX('Per Invoice'!$F$2:$F$801,$N756)="","",INDEX('Per Invoice'!$F$2:$F$801,$N756)))</f>
        <v/>
      </c>
      <c r="G756">
        <f>IF($N756="","",IF(INDEX('Per Invoice'!$G$2:$G$801,$N756)="","",INDEX('Per Invoice'!$G$2:$G$801,$N756)))</f>
        <v/>
      </c>
      <c r="H756">
        <f>IF($N756="","",IF(INDEX('Per Invoice'!$H$2:$H$801,$N756)="","",INDEX('Per Invoice'!$H$2:$H$801,$N756)))</f>
        <v/>
      </c>
      <c r="I756" s="5">
        <f>IF($N756="","",IF(INDEX('Per Invoice'!$I$2:$I$801,$N756)="","",INDEX('Per Invoice'!$I$2:$I$801,$N756)))</f>
        <v/>
      </c>
      <c r="J756" s="5">
        <f>IF($N756="","",IF(INDEX('Per Invoice'!$J$2:$J$801,$N756)="","",INDEX('Per Invoice'!$J$2:$J$801,$N756)))</f>
        <v/>
      </c>
      <c r="K756" s="5">
        <f>IF($N756="","",IF(INDEX('Per Invoice'!$K$2:$K$801,$N756)="","",INDEX('Per Invoice'!$K$2:$K$801,$N756)))</f>
        <v/>
      </c>
      <c r="L756" s="5">
        <f>IF($N756="","",IF(INDEX('Per Invoice'!$L$2:$L$801,$N756)="","",INDEX('Per Invoice'!$L$2:$L$801,$N756)))</f>
        <v/>
      </c>
      <c r="M756" s="5">
        <f>IF($N756="","",IF(INDEX('Per Invoice'!$M$2:$M$801,$N756)="","",INDEX('Per Invoice'!$M$2:$M$801,$N756)))</f>
        <v/>
      </c>
      <c r="N756">
        <f>IF(ROWS($N$2:$N756)&lt;=COUNT('Per Invoice'!$O$2:$O$801),MATCH(ROWS($N$2:$N756),'Per Invoice'!$O$2:$O$801,0),"")</f>
        <v/>
      </c>
    </row>
    <row r="757">
      <c r="A757">
        <f>IF($N757="","",IF(INDEX('Per Invoice'!$A$2:$A$801,$N757)="","",INDEX('Per Invoice'!$A$2:$A$801,$N757)))</f>
        <v/>
      </c>
      <c r="B757">
        <f>IF($N757="","",IF(INDEX('Per Invoice'!$B$2:$B$801,$N757)="","",INDEX('Per Invoice'!$B$2:$B$801,$N757)))</f>
        <v/>
      </c>
      <c r="C757">
        <f>IF($N757="","",IF(INDEX('Per Invoice'!$C$2:$C$801,$N757)="","",INDEX('Per Invoice'!$C$2:$C$801,$N757)))</f>
        <v/>
      </c>
      <c r="D757">
        <f>IF($N757="","",IF(INDEX('Per Invoice'!$D$2:$D$801,$N757)="","",INDEX('Per Invoice'!$D$2:$D$801,$N757)))</f>
        <v/>
      </c>
      <c r="E757">
        <f>IF($N757="","",IF(INDEX('Per Invoice'!$E$2:$E$801,$N757)="","",INDEX('Per Invoice'!$E$2:$E$801,$N757)))</f>
        <v/>
      </c>
      <c r="F757">
        <f>IF($N757="","",IF(INDEX('Per Invoice'!$F$2:$F$801,$N757)="","",INDEX('Per Invoice'!$F$2:$F$801,$N757)))</f>
        <v/>
      </c>
      <c r="G757">
        <f>IF($N757="","",IF(INDEX('Per Invoice'!$G$2:$G$801,$N757)="","",INDEX('Per Invoice'!$G$2:$G$801,$N757)))</f>
        <v/>
      </c>
      <c r="H757">
        <f>IF($N757="","",IF(INDEX('Per Invoice'!$H$2:$H$801,$N757)="","",INDEX('Per Invoice'!$H$2:$H$801,$N757)))</f>
        <v/>
      </c>
      <c r="I757" s="5">
        <f>IF($N757="","",IF(INDEX('Per Invoice'!$I$2:$I$801,$N757)="","",INDEX('Per Invoice'!$I$2:$I$801,$N757)))</f>
        <v/>
      </c>
      <c r="J757" s="5">
        <f>IF($N757="","",IF(INDEX('Per Invoice'!$J$2:$J$801,$N757)="","",INDEX('Per Invoice'!$J$2:$J$801,$N757)))</f>
        <v/>
      </c>
      <c r="K757" s="5">
        <f>IF($N757="","",IF(INDEX('Per Invoice'!$K$2:$K$801,$N757)="","",INDEX('Per Invoice'!$K$2:$K$801,$N757)))</f>
        <v/>
      </c>
      <c r="L757" s="5">
        <f>IF($N757="","",IF(INDEX('Per Invoice'!$L$2:$L$801,$N757)="","",INDEX('Per Invoice'!$L$2:$L$801,$N757)))</f>
        <v/>
      </c>
      <c r="M757" s="5">
        <f>IF($N757="","",IF(INDEX('Per Invoice'!$M$2:$M$801,$N757)="","",INDEX('Per Invoice'!$M$2:$M$801,$N757)))</f>
        <v/>
      </c>
      <c r="N757">
        <f>IF(ROWS($N$2:$N757)&lt;=COUNT('Per Invoice'!$O$2:$O$801),MATCH(ROWS($N$2:$N757),'Per Invoice'!$O$2:$O$801,0),"")</f>
        <v/>
      </c>
    </row>
    <row r="758">
      <c r="A758">
        <f>IF($N758="","",IF(INDEX('Per Invoice'!$A$2:$A$801,$N758)="","",INDEX('Per Invoice'!$A$2:$A$801,$N758)))</f>
        <v/>
      </c>
      <c r="B758">
        <f>IF($N758="","",IF(INDEX('Per Invoice'!$B$2:$B$801,$N758)="","",INDEX('Per Invoice'!$B$2:$B$801,$N758)))</f>
        <v/>
      </c>
      <c r="C758">
        <f>IF($N758="","",IF(INDEX('Per Invoice'!$C$2:$C$801,$N758)="","",INDEX('Per Invoice'!$C$2:$C$801,$N758)))</f>
        <v/>
      </c>
      <c r="D758">
        <f>IF($N758="","",IF(INDEX('Per Invoice'!$D$2:$D$801,$N758)="","",INDEX('Per Invoice'!$D$2:$D$801,$N758)))</f>
        <v/>
      </c>
      <c r="E758">
        <f>IF($N758="","",IF(INDEX('Per Invoice'!$E$2:$E$801,$N758)="","",INDEX('Per Invoice'!$E$2:$E$801,$N758)))</f>
        <v/>
      </c>
      <c r="F758">
        <f>IF($N758="","",IF(INDEX('Per Invoice'!$F$2:$F$801,$N758)="","",INDEX('Per Invoice'!$F$2:$F$801,$N758)))</f>
        <v/>
      </c>
      <c r="G758">
        <f>IF($N758="","",IF(INDEX('Per Invoice'!$G$2:$G$801,$N758)="","",INDEX('Per Invoice'!$G$2:$G$801,$N758)))</f>
        <v/>
      </c>
      <c r="H758">
        <f>IF($N758="","",IF(INDEX('Per Invoice'!$H$2:$H$801,$N758)="","",INDEX('Per Invoice'!$H$2:$H$801,$N758)))</f>
        <v/>
      </c>
      <c r="I758" s="5">
        <f>IF($N758="","",IF(INDEX('Per Invoice'!$I$2:$I$801,$N758)="","",INDEX('Per Invoice'!$I$2:$I$801,$N758)))</f>
        <v/>
      </c>
      <c r="J758" s="5">
        <f>IF($N758="","",IF(INDEX('Per Invoice'!$J$2:$J$801,$N758)="","",INDEX('Per Invoice'!$J$2:$J$801,$N758)))</f>
        <v/>
      </c>
      <c r="K758" s="5">
        <f>IF($N758="","",IF(INDEX('Per Invoice'!$K$2:$K$801,$N758)="","",INDEX('Per Invoice'!$K$2:$K$801,$N758)))</f>
        <v/>
      </c>
      <c r="L758" s="5">
        <f>IF($N758="","",IF(INDEX('Per Invoice'!$L$2:$L$801,$N758)="","",INDEX('Per Invoice'!$L$2:$L$801,$N758)))</f>
        <v/>
      </c>
      <c r="M758" s="5">
        <f>IF($N758="","",IF(INDEX('Per Invoice'!$M$2:$M$801,$N758)="","",INDEX('Per Invoice'!$M$2:$M$801,$N758)))</f>
        <v/>
      </c>
      <c r="N758">
        <f>IF(ROWS($N$2:$N758)&lt;=COUNT('Per Invoice'!$O$2:$O$801),MATCH(ROWS($N$2:$N758),'Per Invoice'!$O$2:$O$801,0),"")</f>
        <v/>
      </c>
    </row>
    <row r="759">
      <c r="A759">
        <f>IF($N759="","",IF(INDEX('Per Invoice'!$A$2:$A$801,$N759)="","",INDEX('Per Invoice'!$A$2:$A$801,$N759)))</f>
        <v/>
      </c>
      <c r="B759">
        <f>IF($N759="","",IF(INDEX('Per Invoice'!$B$2:$B$801,$N759)="","",INDEX('Per Invoice'!$B$2:$B$801,$N759)))</f>
        <v/>
      </c>
      <c r="C759">
        <f>IF($N759="","",IF(INDEX('Per Invoice'!$C$2:$C$801,$N759)="","",INDEX('Per Invoice'!$C$2:$C$801,$N759)))</f>
        <v/>
      </c>
      <c r="D759">
        <f>IF($N759="","",IF(INDEX('Per Invoice'!$D$2:$D$801,$N759)="","",INDEX('Per Invoice'!$D$2:$D$801,$N759)))</f>
        <v/>
      </c>
      <c r="E759">
        <f>IF($N759="","",IF(INDEX('Per Invoice'!$E$2:$E$801,$N759)="","",INDEX('Per Invoice'!$E$2:$E$801,$N759)))</f>
        <v/>
      </c>
      <c r="F759">
        <f>IF($N759="","",IF(INDEX('Per Invoice'!$F$2:$F$801,$N759)="","",INDEX('Per Invoice'!$F$2:$F$801,$N759)))</f>
        <v/>
      </c>
      <c r="G759">
        <f>IF($N759="","",IF(INDEX('Per Invoice'!$G$2:$G$801,$N759)="","",INDEX('Per Invoice'!$G$2:$G$801,$N759)))</f>
        <v/>
      </c>
      <c r="H759">
        <f>IF($N759="","",IF(INDEX('Per Invoice'!$H$2:$H$801,$N759)="","",INDEX('Per Invoice'!$H$2:$H$801,$N759)))</f>
        <v/>
      </c>
      <c r="I759" s="5">
        <f>IF($N759="","",IF(INDEX('Per Invoice'!$I$2:$I$801,$N759)="","",INDEX('Per Invoice'!$I$2:$I$801,$N759)))</f>
        <v/>
      </c>
      <c r="J759" s="5">
        <f>IF($N759="","",IF(INDEX('Per Invoice'!$J$2:$J$801,$N759)="","",INDEX('Per Invoice'!$J$2:$J$801,$N759)))</f>
        <v/>
      </c>
      <c r="K759" s="5">
        <f>IF($N759="","",IF(INDEX('Per Invoice'!$K$2:$K$801,$N759)="","",INDEX('Per Invoice'!$K$2:$K$801,$N759)))</f>
        <v/>
      </c>
      <c r="L759" s="5">
        <f>IF($N759="","",IF(INDEX('Per Invoice'!$L$2:$L$801,$N759)="","",INDEX('Per Invoice'!$L$2:$L$801,$N759)))</f>
        <v/>
      </c>
      <c r="M759" s="5">
        <f>IF($N759="","",IF(INDEX('Per Invoice'!$M$2:$M$801,$N759)="","",INDEX('Per Invoice'!$M$2:$M$801,$N759)))</f>
        <v/>
      </c>
      <c r="N759">
        <f>IF(ROWS($N$2:$N759)&lt;=COUNT('Per Invoice'!$O$2:$O$801),MATCH(ROWS($N$2:$N759),'Per Invoice'!$O$2:$O$801,0),"")</f>
        <v/>
      </c>
    </row>
    <row r="760">
      <c r="A760">
        <f>IF($N760="","",IF(INDEX('Per Invoice'!$A$2:$A$801,$N760)="","",INDEX('Per Invoice'!$A$2:$A$801,$N760)))</f>
        <v/>
      </c>
      <c r="B760">
        <f>IF($N760="","",IF(INDEX('Per Invoice'!$B$2:$B$801,$N760)="","",INDEX('Per Invoice'!$B$2:$B$801,$N760)))</f>
        <v/>
      </c>
      <c r="C760">
        <f>IF($N760="","",IF(INDEX('Per Invoice'!$C$2:$C$801,$N760)="","",INDEX('Per Invoice'!$C$2:$C$801,$N760)))</f>
        <v/>
      </c>
      <c r="D760">
        <f>IF($N760="","",IF(INDEX('Per Invoice'!$D$2:$D$801,$N760)="","",INDEX('Per Invoice'!$D$2:$D$801,$N760)))</f>
        <v/>
      </c>
      <c r="E760">
        <f>IF($N760="","",IF(INDEX('Per Invoice'!$E$2:$E$801,$N760)="","",INDEX('Per Invoice'!$E$2:$E$801,$N760)))</f>
        <v/>
      </c>
      <c r="F760">
        <f>IF($N760="","",IF(INDEX('Per Invoice'!$F$2:$F$801,$N760)="","",INDEX('Per Invoice'!$F$2:$F$801,$N760)))</f>
        <v/>
      </c>
      <c r="G760">
        <f>IF($N760="","",IF(INDEX('Per Invoice'!$G$2:$G$801,$N760)="","",INDEX('Per Invoice'!$G$2:$G$801,$N760)))</f>
        <v/>
      </c>
      <c r="H760">
        <f>IF($N760="","",IF(INDEX('Per Invoice'!$H$2:$H$801,$N760)="","",INDEX('Per Invoice'!$H$2:$H$801,$N760)))</f>
        <v/>
      </c>
      <c r="I760" s="5">
        <f>IF($N760="","",IF(INDEX('Per Invoice'!$I$2:$I$801,$N760)="","",INDEX('Per Invoice'!$I$2:$I$801,$N760)))</f>
        <v/>
      </c>
      <c r="J760" s="5">
        <f>IF($N760="","",IF(INDEX('Per Invoice'!$J$2:$J$801,$N760)="","",INDEX('Per Invoice'!$J$2:$J$801,$N760)))</f>
        <v/>
      </c>
      <c r="K760" s="5">
        <f>IF($N760="","",IF(INDEX('Per Invoice'!$K$2:$K$801,$N760)="","",INDEX('Per Invoice'!$K$2:$K$801,$N760)))</f>
        <v/>
      </c>
      <c r="L760" s="5">
        <f>IF($N760="","",IF(INDEX('Per Invoice'!$L$2:$L$801,$N760)="","",INDEX('Per Invoice'!$L$2:$L$801,$N760)))</f>
        <v/>
      </c>
      <c r="M760" s="5">
        <f>IF($N760="","",IF(INDEX('Per Invoice'!$M$2:$M$801,$N760)="","",INDEX('Per Invoice'!$M$2:$M$801,$N760)))</f>
        <v/>
      </c>
      <c r="N760">
        <f>IF(ROWS($N$2:$N760)&lt;=COUNT('Per Invoice'!$O$2:$O$801),MATCH(ROWS($N$2:$N760),'Per Invoice'!$O$2:$O$801,0),"")</f>
        <v/>
      </c>
    </row>
    <row r="761">
      <c r="A761">
        <f>IF($N761="","",IF(INDEX('Per Invoice'!$A$2:$A$801,$N761)="","",INDEX('Per Invoice'!$A$2:$A$801,$N761)))</f>
        <v/>
      </c>
      <c r="B761">
        <f>IF($N761="","",IF(INDEX('Per Invoice'!$B$2:$B$801,$N761)="","",INDEX('Per Invoice'!$B$2:$B$801,$N761)))</f>
        <v/>
      </c>
      <c r="C761">
        <f>IF($N761="","",IF(INDEX('Per Invoice'!$C$2:$C$801,$N761)="","",INDEX('Per Invoice'!$C$2:$C$801,$N761)))</f>
        <v/>
      </c>
      <c r="D761">
        <f>IF($N761="","",IF(INDEX('Per Invoice'!$D$2:$D$801,$N761)="","",INDEX('Per Invoice'!$D$2:$D$801,$N761)))</f>
        <v/>
      </c>
      <c r="E761">
        <f>IF($N761="","",IF(INDEX('Per Invoice'!$E$2:$E$801,$N761)="","",INDEX('Per Invoice'!$E$2:$E$801,$N761)))</f>
        <v/>
      </c>
      <c r="F761">
        <f>IF($N761="","",IF(INDEX('Per Invoice'!$F$2:$F$801,$N761)="","",INDEX('Per Invoice'!$F$2:$F$801,$N761)))</f>
        <v/>
      </c>
      <c r="G761">
        <f>IF($N761="","",IF(INDEX('Per Invoice'!$G$2:$G$801,$N761)="","",INDEX('Per Invoice'!$G$2:$G$801,$N761)))</f>
        <v/>
      </c>
      <c r="H761">
        <f>IF($N761="","",IF(INDEX('Per Invoice'!$H$2:$H$801,$N761)="","",INDEX('Per Invoice'!$H$2:$H$801,$N761)))</f>
        <v/>
      </c>
      <c r="I761" s="5">
        <f>IF($N761="","",IF(INDEX('Per Invoice'!$I$2:$I$801,$N761)="","",INDEX('Per Invoice'!$I$2:$I$801,$N761)))</f>
        <v/>
      </c>
      <c r="J761" s="5">
        <f>IF($N761="","",IF(INDEX('Per Invoice'!$J$2:$J$801,$N761)="","",INDEX('Per Invoice'!$J$2:$J$801,$N761)))</f>
        <v/>
      </c>
      <c r="K761" s="5">
        <f>IF($N761="","",IF(INDEX('Per Invoice'!$K$2:$K$801,$N761)="","",INDEX('Per Invoice'!$K$2:$K$801,$N761)))</f>
        <v/>
      </c>
      <c r="L761" s="5">
        <f>IF($N761="","",IF(INDEX('Per Invoice'!$L$2:$L$801,$N761)="","",INDEX('Per Invoice'!$L$2:$L$801,$N761)))</f>
        <v/>
      </c>
      <c r="M761" s="5">
        <f>IF($N761="","",IF(INDEX('Per Invoice'!$M$2:$M$801,$N761)="","",INDEX('Per Invoice'!$M$2:$M$801,$N761)))</f>
        <v/>
      </c>
      <c r="N761">
        <f>IF(ROWS($N$2:$N761)&lt;=COUNT('Per Invoice'!$O$2:$O$801),MATCH(ROWS($N$2:$N761),'Per Invoice'!$O$2:$O$801,0),"")</f>
        <v/>
      </c>
    </row>
    <row r="762">
      <c r="A762">
        <f>IF($N762="","",IF(INDEX('Per Invoice'!$A$2:$A$801,$N762)="","",INDEX('Per Invoice'!$A$2:$A$801,$N762)))</f>
        <v/>
      </c>
      <c r="B762">
        <f>IF($N762="","",IF(INDEX('Per Invoice'!$B$2:$B$801,$N762)="","",INDEX('Per Invoice'!$B$2:$B$801,$N762)))</f>
        <v/>
      </c>
      <c r="C762">
        <f>IF($N762="","",IF(INDEX('Per Invoice'!$C$2:$C$801,$N762)="","",INDEX('Per Invoice'!$C$2:$C$801,$N762)))</f>
        <v/>
      </c>
      <c r="D762">
        <f>IF($N762="","",IF(INDEX('Per Invoice'!$D$2:$D$801,$N762)="","",INDEX('Per Invoice'!$D$2:$D$801,$N762)))</f>
        <v/>
      </c>
      <c r="E762">
        <f>IF($N762="","",IF(INDEX('Per Invoice'!$E$2:$E$801,$N762)="","",INDEX('Per Invoice'!$E$2:$E$801,$N762)))</f>
        <v/>
      </c>
      <c r="F762">
        <f>IF($N762="","",IF(INDEX('Per Invoice'!$F$2:$F$801,$N762)="","",INDEX('Per Invoice'!$F$2:$F$801,$N762)))</f>
        <v/>
      </c>
      <c r="G762">
        <f>IF($N762="","",IF(INDEX('Per Invoice'!$G$2:$G$801,$N762)="","",INDEX('Per Invoice'!$G$2:$G$801,$N762)))</f>
        <v/>
      </c>
      <c r="H762">
        <f>IF($N762="","",IF(INDEX('Per Invoice'!$H$2:$H$801,$N762)="","",INDEX('Per Invoice'!$H$2:$H$801,$N762)))</f>
        <v/>
      </c>
      <c r="I762" s="5">
        <f>IF($N762="","",IF(INDEX('Per Invoice'!$I$2:$I$801,$N762)="","",INDEX('Per Invoice'!$I$2:$I$801,$N762)))</f>
        <v/>
      </c>
      <c r="J762" s="5">
        <f>IF($N762="","",IF(INDEX('Per Invoice'!$J$2:$J$801,$N762)="","",INDEX('Per Invoice'!$J$2:$J$801,$N762)))</f>
        <v/>
      </c>
      <c r="K762" s="5">
        <f>IF($N762="","",IF(INDEX('Per Invoice'!$K$2:$K$801,$N762)="","",INDEX('Per Invoice'!$K$2:$K$801,$N762)))</f>
        <v/>
      </c>
      <c r="L762" s="5">
        <f>IF($N762="","",IF(INDEX('Per Invoice'!$L$2:$L$801,$N762)="","",INDEX('Per Invoice'!$L$2:$L$801,$N762)))</f>
        <v/>
      </c>
      <c r="M762" s="5">
        <f>IF($N762="","",IF(INDEX('Per Invoice'!$M$2:$M$801,$N762)="","",INDEX('Per Invoice'!$M$2:$M$801,$N762)))</f>
        <v/>
      </c>
      <c r="N762">
        <f>IF(ROWS($N$2:$N762)&lt;=COUNT('Per Invoice'!$O$2:$O$801),MATCH(ROWS($N$2:$N762),'Per Invoice'!$O$2:$O$801,0),"")</f>
        <v/>
      </c>
    </row>
    <row r="763">
      <c r="A763">
        <f>IF($N763="","",IF(INDEX('Per Invoice'!$A$2:$A$801,$N763)="","",INDEX('Per Invoice'!$A$2:$A$801,$N763)))</f>
        <v/>
      </c>
      <c r="B763">
        <f>IF($N763="","",IF(INDEX('Per Invoice'!$B$2:$B$801,$N763)="","",INDEX('Per Invoice'!$B$2:$B$801,$N763)))</f>
        <v/>
      </c>
      <c r="C763">
        <f>IF($N763="","",IF(INDEX('Per Invoice'!$C$2:$C$801,$N763)="","",INDEX('Per Invoice'!$C$2:$C$801,$N763)))</f>
        <v/>
      </c>
      <c r="D763">
        <f>IF($N763="","",IF(INDEX('Per Invoice'!$D$2:$D$801,$N763)="","",INDEX('Per Invoice'!$D$2:$D$801,$N763)))</f>
        <v/>
      </c>
      <c r="E763">
        <f>IF($N763="","",IF(INDEX('Per Invoice'!$E$2:$E$801,$N763)="","",INDEX('Per Invoice'!$E$2:$E$801,$N763)))</f>
        <v/>
      </c>
      <c r="F763">
        <f>IF($N763="","",IF(INDEX('Per Invoice'!$F$2:$F$801,$N763)="","",INDEX('Per Invoice'!$F$2:$F$801,$N763)))</f>
        <v/>
      </c>
      <c r="G763">
        <f>IF($N763="","",IF(INDEX('Per Invoice'!$G$2:$G$801,$N763)="","",INDEX('Per Invoice'!$G$2:$G$801,$N763)))</f>
        <v/>
      </c>
      <c r="H763">
        <f>IF($N763="","",IF(INDEX('Per Invoice'!$H$2:$H$801,$N763)="","",INDEX('Per Invoice'!$H$2:$H$801,$N763)))</f>
        <v/>
      </c>
      <c r="I763" s="5">
        <f>IF($N763="","",IF(INDEX('Per Invoice'!$I$2:$I$801,$N763)="","",INDEX('Per Invoice'!$I$2:$I$801,$N763)))</f>
        <v/>
      </c>
      <c r="J763" s="5">
        <f>IF($N763="","",IF(INDEX('Per Invoice'!$J$2:$J$801,$N763)="","",INDEX('Per Invoice'!$J$2:$J$801,$N763)))</f>
        <v/>
      </c>
      <c r="K763" s="5">
        <f>IF($N763="","",IF(INDEX('Per Invoice'!$K$2:$K$801,$N763)="","",INDEX('Per Invoice'!$K$2:$K$801,$N763)))</f>
        <v/>
      </c>
      <c r="L763" s="5">
        <f>IF($N763="","",IF(INDEX('Per Invoice'!$L$2:$L$801,$N763)="","",INDEX('Per Invoice'!$L$2:$L$801,$N763)))</f>
        <v/>
      </c>
      <c r="M763" s="5">
        <f>IF($N763="","",IF(INDEX('Per Invoice'!$M$2:$M$801,$N763)="","",INDEX('Per Invoice'!$M$2:$M$801,$N763)))</f>
        <v/>
      </c>
      <c r="N763">
        <f>IF(ROWS($N$2:$N763)&lt;=COUNT('Per Invoice'!$O$2:$O$801),MATCH(ROWS($N$2:$N763),'Per Invoice'!$O$2:$O$801,0),"")</f>
        <v/>
      </c>
    </row>
    <row r="764">
      <c r="A764">
        <f>IF($N764="","",IF(INDEX('Per Invoice'!$A$2:$A$801,$N764)="","",INDEX('Per Invoice'!$A$2:$A$801,$N764)))</f>
        <v/>
      </c>
      <c r="B764">
        <f>IF($N764="","",IF(INDEX('Per Invoice'!$B$2:$B$801,$N764)="","",INDEX('Per Invoice'!$B$2:$B$801,$N764)))</f>
        <v/>
      </c>
      <c r="C764">
        <f>IF($N764="","",IF(INDEX('Per Invoice'!$C$2:$C$801,$N764)="","",INDEX('Per Invoice'!$C$2:$C$801,$N764)))</f>
        <v/>
      </c>
      <c r="D764">
        <f>IF($N764="","",IF(INDEX('Per Invoice'!$D$2:$D$801,$N764)="","",INDEX('Per Invoice'!$D$2:$D$801,$N764)))</f>
        <v/>
      </c>
      <c r="E764">
        <f>IF($N764="","",IF(INDEX('Per Invoice'!$E$2:$E$801,$N764)="","",INDEX('Per Invoice'!$E$2:$E$801,$N764)))</f>
        <v/>
      </c>
      <c r="F764">
        <f>IF($N764="","",IF(INDEX('Per Invoice'!$F$2:$F$801,$N764)="","",INDEX('Per Invoice'!$F$2:$F$801,$N764)))</f>
        <v/>
      </c>
      <c r="G764">
        <f>IF($N764="","",IF(INDEX('Per Invoice'!$G$2:$G$801,$N764)="","",INDEX('Per Invoice'!$G$2:$G$801,$N764)))</f>
        <v/>
      </c>
      <c r="H764">
        <f>IF($N764="","",IF(INDEX('Per Invoice'!$H$2:$H$801,$N764)="","",INDEX('Per Invoice'!$H$2:$H$801,$N764)))</f>
        <v/>
      </c>
      <c r="I764" s="5">
        <f>IF($N764="","",IF(INDEX('Per Invoice'!$I$2:$I$801,$N764)="","",INDEX('Per Invoice'!$I$2:$I$801,$N764)))</f>
        <v/>
      </c>
      <c r="J764" s="5">
        <f>IF($N764="","",IF(INDEX('Per Invoice'!$J$2:$J$801,$N764)="","",INDEX('Per Invoice'!$J$2:$J$801,$N764)))</f>
        <v/>
      </c>
      <c r="K764" s="5">
        <f>IF($N764="","",IF(INDEX('Per Invoice'!$K$2:$K$801,$N764)="","",INDEX('Per Invoice'!$K$2:$K$801,$N764)))</f>
        <v/>
      </c>
      <c r="L764" s="5">
        <f>IF($N764="","",IF(INDEX('Per Invoice'!$L$2:$L$801,$N764)="","",INDEX('Per Invoice'!$L$2:$L$801,$N764)))</f>
        <v/>
      </c>
      <c r="M764" s="5">
        <f>IF($N764="","",IF(INDEX('Per Invoice'!$M$2:$M$801,$N764)="","",INDEX('Per Invoice'!$M$2:$M$801,$N764)))</f>
        <v/>
      </c>
      <c r="N764">
        <f>IF(ROWS($N$2:$N764)&lt;=COUNT('Per Invoice'!$O$2:$O$801),MATCH(ROWS($N$2:$N764),'Per Invoice'!$O$2:$O$801,0),"")</f>
        <v/>
      </c>
    </row>
    <row r="765">
      <c r="A765">
        <f>IF($N765="","",IF(INDEX('Per Invoice'!$A$2:$A$801,$N765)="","",INDEX('Per Invoice'!$A$2:$A$801,$N765)))</f>
        <v/>
      </c>
      <c r="B765">
        <f>IF($N765="","",IF(INDEX('Per Invoice'!$B$2:$B$801,$N765)="","",INDEX('Per Invoice'!$B$2:$B$801,$N765)))</f>
        <v/>
      </c>
      <c r="C765">
        <f>IF($N765="","",IF(INDEX('Per Invoice'!$C$2:$C$801,$N765)="","",INDEX('Per Invoice'!$C$2:$C$801,$N765)))</f>
        <v/>
      </c>
      <c r="D765">
        <f>IF($N765="","",IF(INDEX('Per Invoice'!$D$2:$D$801,$N765)="","",INDEX('Per Invoice'!$D$2:$D$801,$N765)))</f>
        <v/>
      </c>
      <c r="E765">
        <f>IF($N765="","",IF(INDEX('Per Invoice'!$E$2:$E$801,$N765)="","",INDEX('Per Invoice'!$E$2:$E$801,$N765)))</f>
        <v/>
      </c>
      <c r="F765">
        <f>IF($N765="","",IF(INDEX('Per Invoice'!$F$2:$F$801,$N765)="","",INDEX('Per Invoice'!$F$2:$F$801,$N765)))</f>
        <v/>
      </c>
      <c r="G765">
        <f>IF($N765="","",IF(INDEX('Per Invoice'!$G$2:$G$801,$N765)="","",INDEX('Per Invoice'!$G$2:$G$801,$N765)))</f>
        <v/>
      </c>
      <c r="H765">
        <f>IF($N765="","",IF(INDEX('Per Invoice'!$H$2:$H$801,$N765)="","",INDEX('Per Invoice'!$H$2:$H$801,$N765)))</f>
        <v/>
      </c>
      <c r="I765" s="5">
        <f>IF($N765="","",IF(INDEX('Per Invoice'!$I$2:$I$801,$N765)="","",INDEX('Per Invoice'!$I$2:$I$801,$N765)))</f>
        <v/>
      </c>
      <c r="J765" s="5">
        <f>IF($N765="","",IF(INDEX('Per Invoice'!$J$2:$J$801,$N765)="","",INDEX('Per Invoice'!$J$2:$J$801,$N765)))</f>
        <v/>
      </c>
      <c r="K765" s="5">
        <f>IF($N765="","",IF(INDEX('Per Invoice'!$K$2:$K$801,$N765)="","",INDEX('Per Invoice'!$K$2:$K$801,$N765)))</f>
        <v/>
      </c>
      <c r="L765" s="5">
        <f>IF($N765="","",IF(INDEX('Per Invoice'!$L$2:$L$801,$N765)="","",INDEX('Per Invoice'!$L$2:$L$801,$N765)))</f>
        <v/>
      </c>
      <c r="M765" s="5">
        <f>IF($N765="","",IF(INDEX('Per Invoice'!$M$2:$M$801,$N765)="","",INDEX('Per Invoice'!$M$2:$M$801,$N765)))</f>
        <v/>
      </c>
      <c r="N765">
        <f>IF(ROWS($N$2:$N765)&lt;=COUNT('Per Invoice'!$O$2:$O$801),MATCH(ROWS($N$2:$N765),'Per Invoice'!$O$2:$O$801,0),"")</f>
        <v/>
      </c>
    </row>
    <row r="766">
      <c r="A766">
        <f>IF($N766="","",IF(INDEX('Per Invoice'!$A$2:$A$801,$N766)="","",INDEX('Per Invoice'!$A$2:$A$801,$N766)))</f>
        <v/>
      </c>
      <c r="B766">
        <f>IF($N766="","",IF(INDEX('Per Invoice'!$B$2:$B$801,$N766)="","",INDEX('Per Invoice'!$B$2:$B$801,$N766)))</f>
        <v/>
      </c>
      <c r="C766">
        <f>IF($N766="","",IF(INDEX('Per Invoice'!$C$2:$C$801,$N766)="","",INDEX('Per Invoice'!$C$2:$C$801,$N766)))</f>
        <v/>
      </c>
      <c r="D766">
        <f>IF($N766="","",IF(INDEX('Per Invoice'!$D$2:$D$801,$N766)="","",INDEX('Per Invoice'!$D$2:$D$801,$N766)))</f>
        <v/>
      </c>
      <c r="E766">
        <f>IF($N766="","",IF(INDEX('Per Invoice'!$E$2:$E$801,$N766)="","",INDEX('Per Invoice'!$E$2:$E$801,$N766)))</f>
        <v/>
      </c>
      <c r="F766">
        <f>IF($N766="","",IF(INDEX('Per Invoice'!$F$2:$F$801,$N766)="","",INDEX('Per Invoice'!$F$2:$F$801,$N766)))</f>
        <v/>
      </c>
      <c r="G766">
        <f>IF($N766="","",IF(INDEX('Per Invoice'!$G$2:$G$801,$N766)="","",INDEX('Per Invoice'!$G$2:$G$801,$N766)))</f>
        <v/>
      </c>
      <c r="H766">
        <f>IF($N766="","",IF(INDEX('Per Invoice'!$H$2:$H$801,$N766)="","",INDEX('Per Invoice'!$H$2:$H$801,$N766)))</f>
        <v/>
      </c>
      <c r="I766" s="5">
        <f>IF($N766="","",IF(INDEX('Per Invoice'!$I$2:$I$801,$N766)="","",INDEX('Per Invoice'!$I$2:$I$801,$N766)))</f>
        <v/>
      </c>
      <c r="J766" s="5">
        <f>IF($N766="","",IF(INDEX('Per Invoice'!$J$2:$J$801,$N766)="","",INDEX('Per Invoice'!$J$2:$J$801,$N766)))</f>
        <v/>
      </c>
      <c r="K766" s="5">
        <f>IF($N766="","",IF(INDEX('Per Invoice'!$K$2:$K$801,$N766)="","",INDEX('Per Invoice'!$K$2:$K$801,$N766)))</f>
        <v/>
      </c>
      <c r="L766" s="5">
        <f>IF($N766="","",IF(INDEX('Per Invoice'!$L$2:$L$801,$N766)="","",INDEX('Per Invoice'!$L$2:$L$801,$N766)))</f>
        <v/>
      </c>
      <c r="M766" s="5">
        <f>IF($N766="","",IF(INDEX('Per Invoice'!$M$2:$M$801,$N766)="","",INDEX('Per Invoice'!$M$2:$M$801,$N766)))</f>
        <v/>
      </c>
      <c r="N766">
        <f>IF(ROWS($N$2:$N766)&lt;=COUNT('Per Invoice'!$O$2:$O$801),MATCH(ROWS($N$2:$N766),'Per Invoice'!$O$2:$O$801,0),"")</f>
        <v/>
      </c>
    </row>
    <row r="767">
      <c r="A767">
        <f>IF($N767="","",IF(INDEX('Per Invoice'!$A$2:$A$801,$N767)="","",INDEX('Per Invoice'!$A$2:$A$801,$N767)))</f>
        <v/>
      </c>
      <c r="B767">
        <f>IF($N767="","",IF(INDEX('Per Invoice'!$B$2:$B$801,$N767)="","",INDEX('Per Invoice'!$B$2:$B$801,$N767)))</f>
        <v/>
      </c>
      <c r="C767">
        <f>IF($N767="","",IF(INDEX('Per Invoice'!$C$2:$C$801,$N767)="","",INDEX('Per Invoice'!$C$2:$C$801,$N767)))</f>
        <v/>
      </c>
      <c r="D767">
        <f>IF($N767="","",IF(INDEX('Per Invoice'!$D$2:$D$801,$N767)="","",INDEX('Per Invoice'!$D$2:$D$801,$N767)))</f>
        <v/>
      </c>
      <c r="E767">
        <f>IF($N767="","",IF(INDEX('Per Invoice'!$E$2:$E$801,$N767)="","",INDEX('Per Invoice'!$E$2:$E$801,$N767)))</f>
        <v/>
      </c>
      <c r="F767">
        <f>IF($N767="","",IF(INDEX('Per Invoice'!$F$2:$F$801,$N767)="","",INDEX('Per Invoice'!$F$2:$F$801,$N767)))</f>
        <v/>
      </c>
      <c r="G767">
        <f>IF($N767="","",IF(INDEX('Per Invoice'!$G$2:$G$801,$N767)="","",INDEX('Per Invoice'!$G$2:$G$801,$N767)))</f>
        <v/>
      </c>
      <c r="H767">
        <f>IF($N767="","",IF(INDEX('Per Invoice'!$H$2:$H$801,$N767)="","",INDEX('Per Invoice'!$H$2:$H$801,$N767)))</f>
        <v/>
      </c>
      <c r="I767" s="5">
        <f>IF($N767="","",IF(INDEX('Per Invoice'!$I$2:$I$801,$N767)="","",INDEX('Per Invoice'!$I$2:$I$801,$N767)))</f>
        <v/>
      </c>
      <c r="J767" s="5">
        <f>IF($N767="","",IF(INDEX('Per Invoice'!$J$2:$J$801,$N767)="","",INDEX('Per Invoice'!$J$2:$J$801,$N767)))</f>
        <v/>
      </c>
      <c r="K767" s="5">
        <f>IF($N767="","",IF(INDEX('Per Invoice'!$K$2:$K$801,$N767)="","",INDEX('Per Invoice'!$K$2:$K$801,$N767)))</f>
        <v/>
      </c>
      <c r="L767" s="5">
        <f>IF($N767="","",IF(INDEX('Per Invoice'!$L$2:$L$801,$N767)="","",INDEX('Per Invoice'!$L$2:$L$801,$N767)))</f>
        <v/>
      </c>
      <c r="M767" s="5">
        <f>IF($N767="","",IF(INDEX('Per Invoice'!$M$2:$M$801,$N767)="","",INDEX('Per Invoice'!$M$2:$M$801,$N767)))</f>
        <v/>
      </c>
      <c r="N767">
        <f>IF(ROWS($N$2:$N767)&lt;=COUNT('Per Invoice'!$O$2:$O$801),MATCH(ROWS($N$2:$N767),'Per Invoice'!$O$2:$O$801,0),"")</f>
        <v/>
      </c>
    </row>
    <row r="768">
      <c r="A768">
        <f>IF($N768="","",IF(INDEX('Per Invoice'!$A$2:$A$801,$N768)="","",INDEX('Per Invoice'!$A$2:$A$801,$N768)))</f>
        <v/>
      </c>
      <c r="B768">
        <f>IF($N768="","",IF(INDEX('Per Invoice'!$B$2:$B$801,$N768)="","",INDEX('Per Invoice'!$B$2:$B$801,$N768)))</f>
        <v/>
      </c>
      <c r="C768">
        <f>IF($N768="","",IF(INDEX('Per Invoice'!$C$2:$C$801,$N768)="","",INDEX('Per Invoice'!$C$2:$C$801,$N768)))</f>
        <v/>
      </c>
      <c r="D768">
        <f>IF($N768="","",IF(INDEX('Per Invoice'!$D$2:$D$801,$N768)="","",INDEX('Per Invoice'!$D$2:$D$801,$N768)))</f>
        <v/>
      </c>
      <c r="E768">
        <f>IF($N768="","",IF(INDEX('Per Invoice'!$E$2:$E$801,$N768)="","",INDEX('Per Invoice'!$E$2:$E$801,$N768)))</f>
        <v/>
      </c>
      <c r="F768">
        <f>IF($N768="","",IF(INDEX('Per Invoice'!$F$2:$F$801,$N768)="","",INDEX('Per Invoice'!$F$2:$F$801,$N768)))</f>
        <v/>
      </c>
      <c r="G768">
        <f>IF($N768="","",IF(INDEX('Per Invoice'!$G$2:$G$801,$N768)="","",INDEX('Per Invoice'!$G$2:$G$801,$N768)))</f>
        <v/>
      </c>
      <c r="H768">
        <f>IF($N768="","",IF(INDEX('Per Invoice'!$H$2:$H$801,$N768)="","",INDEX('Per Invoice'!$H$2:$H$801,$N768)))</f>
        <v/>
      </c>
      <c r="I768" s="5">
        <f>IF($N768="","",IF(INDEX('Per Invoice'!$I$2:$I$801,$N768)="","",INDEX('Per Invoice'!$I$2:$I$801,$N768)))</f>
        <v/>
      </c>
      <c r="J768" s="5">
        <f>IF($N768="","",IF(INDEX('Per Invoice'!$J$2:$J$801,$N768)="","",INDEX('Per Invoice'!$J$2:$J$801,$N768)))</f>
        <v/>
      </c>
      <c r="K768" s="5">
        <f>IF($N768="","",IF(INDEX('Per Invoice'!$K$2:$K$801,$N768)="","",INDEX('Per Invoice'!$K$2:$K$801,$N768)))</f>
        <v/>
      </c>
      <c r="L768" s="5">
        <f>IF($N768="","",IF(INDEX('Per Invoice'!$L$2:$L$801,$N768)="","",INDEX('Per Invoice'!$L$2:$L$801,$N768)))</f>
        <v/>
      </c>
      <c r="M768" s="5">
        <f>IF($N768="","",IF(INDEX('Per Invoice'!$M$2:$M$801,$N768)="","",INDEX('Per Invoice'!$M$2:$M$801,$N768)))</f>
        <v/>
      </c>
      <c r="N768">
        <f>IF(ROWS($N$2:$N768)&lt;=COUNT('Per Invoice'!$O$2:$O$801),MATCH(ROWS($N$2:$N768),'Per Invoice'!$O$2:$O$801,0),"")</f>
        <v/>
      </c>
    </row>
    <row r="769">
      <c r="A769">
        <f>IF($N769="","",IF(INDEX('Per Invoice'!$A$2:$A$801,$N769)="","",INDEX('Per Invoice'!$A$2:$A$801,$N769)))</f>
        <v/>
      </c>
      <c r="B769">
        <f>IF($N769="","",IF(INDEX('Per Invoice'!$B$2:$B$801,$N769)="","",INDEX('Per Invoice'!$B$2:$B$801,$N769)))</f>
        <v/>
      </c>
      <c r="C769">
        <f>IF($N769="","",IF(INDEX('Per Invoice'!$C$2:$C$801,$N769)="","",INDEX('Per Invoice'!$C$2:$C$801,$N769)))</f>
        <v/>
      </c>
      <c r="D769">
        <f>IF($N769="","",IF(INDEX('Per Invoice'!$D$2:$D$801,$N769)="","",INDEX('Per Invoice'!$D$2:$D$801,$N769)))</f>
        <v/>
      </c>
      <c r="E769">
        <f>IF($N769="","",IF(INDEX('Per Invoice'!$E$2:$E$801,$N769)="","",INDEX('Per Invoice'!$E$2:$E$801,$N769)))</f>
        <v/>
      </c>
      <c r="F769">
        <f>IF($N769="","",IF(INDEX('Per Invoice'!$F$2:$F$801,$N769)="","",INDEX('Per Invoice'!$F$2:$F$801,$N769)))</f>
        <v/>
      </c>
      <c r="G769">
        <f>IF($N769="","",IF(INDEX('Per Invoice'!$G$2:$G$801,$N769)="","",INDEX('Per Invoice'!$G$2:$G$801,$N769)))</f>
        <v/>
      </c>
      <c r="H769">
        <f>IF($N769="","",IF(INDEX('Per Invoice'!$H$2:$H$801,$N769)="","",INDEX('Per Invoice'!$H$2:$H$801,$N769)))</f>
        <v/>
      </c>
      <c r="I769" s="5">
        <f>IF($N769="","",IF(INDEX('Per Invoice'!$I$2:$I$801,$N769)="","",INDEX('Per Invoice'!$I$2:$I$801,$N769)))</f>
        <v/>
      </c>
      <c r="J769" s="5">
        <f>IF($N769="","",IF(INDEX('Per Invoice'!$J$2:$J$801,$N769)="","",INDEX('Per Invoice'!$J$2:$J$801,$N769)))</f>
        <v/>
      </c>
      <c r="K769" s="5">
        <f>IF($N769="","",IF(INDEX('Per Invoice'!$K$2:$K$801,$N769)="","",INDEX('Per Invoice'!$K$2:$K$801,$N769)))</f>
        <v/>
      </c>
      <c r="L769" s="5">
        <f>IF($N769="","",IF(INDEX('Per Invoice'!$L$2:$L$801,$N769)="","",INDEX('Per Invoice'!$L$2:$L$801,$N769)))</f>
        <v/>
      </c>
      <c r="M769" s="5">
        <f>IF($N769="","",IF(INDEX('Per Invoice'!$M$2:$M$801,$N769)="","",INDEX('Per Invoice'!$M$2:$M$801,$N769)))</f>
        <v/>
      </c>
      <c r="N769">
        <f>IF(ROWS($N$2:$N769)&lt;=COUNT('Per Invoice'!$O$2:$O$801),MATCH(ROWS($N$2:$N769),'Per Invoice'!$O$2:$O$801,0),"")</f>
        <v/>
      </c>
    </row>
    <row r="770">
      <c r="A770">
        <f>IF($N770="","",IF(INDEX('Per Invoice'!$A$2:$A$801,$N770)="","",INDEX('Per Invoice'!$A$2:$A$801,$N770)))</f>
        <v/>
      </c>
      <c r="B770">
        <f>IF($N770="","",IF(INDEX('Per Invoice'!$B$2:$B$801,$N770)="","",INDEX('Per Invoice'!$B$2:$B$801,$N770)))</f>
        <v/>
      </c>
      <c r="C770">
        <f>IF($N770="","",IF(INDEX('Per Invoice'!$C$2:$C$801,$N770)="","",INDEX('Per Invoice'!$C$2:$C$801,$N770)))</f>
        <v/>
      </c>
      <c r="D770">
        <f>IF($N770="","",IF(INDEX('Per Invoice'!$D$2:$D$801,$N770)="","",INDEX('Per Invoice'!$D$2:$D$801,$N770)))</f>
        <v/>
      </c>
      <c r="E770">
        <f>IF($N770="","",IF(INDEX('Per Invoice'!$E$2:$E$801,$N770)="","",INDEX('Per Invoice'!$E$2:$E$801,$N770)))</f>
        <v/>
      </c>
      <c r="F770">
        <f>IF($N770="","",IF(INDEX('Per Invoice'!$F$2:$F$801,$N770)="","",INDEX('Per Invoice'!$F$2:$F$801,$N770)))</f>
        <v/>
      </c>
      <c r="G770">
        <f>IF($N770="","",IF(INDEX('Per Invoice'!$G$2:$G$801,$N770)="","",INDEX('Per Invoice'!$G$2:$G$801,$N770)))</f>
        <v/>
      </c>
      <c r="H770">
        <f>IF($N770="","",IF(INDEX('Per Invoice'!$H$2:$H$801,$N770)="","",INDEX('Per Invoice'!$H$2:$H$801,$N770)))</f>
        <v/>
      </c>
      <c r="I770" s="5">
        <f>IF($N770="","",IF(INDEX('Per Invoice'!$I$2:$I$801,$N770)="","",INDEX('Per Invoice'!$I$2:$I$801,$N770)))</f>
        <v/>
      </c>
      <c r="J770" s="5">
        <f>IF($N770="","",IF(INDEX('Per Invoice'!$J$2:$J$801,$N770)="","",INDEX('Per Invoice'!$J$2:$J$801,$N770)))</f>
        <v/>
      </c>
      <c r="K770" s="5">
        <f>IF($N770="","",IF(INDEX('Per Invoice'!$K$2:$K$801,$N770)="","",INDEX('Per Invoice'!$K$2:$K$801,$N770)))</f>
        <v/>
      </c>
      <c r="L770" s="5">
        <f>IF($N770="","",IF(INDEX('Per Invoice'!$L$2:$L$801,$N770)="","",INDEX('Per Invoice'!$L$2:$L$801,$N770)))</f>
        <v/>
      </c>
      <c r="M770" s="5">
        <f>IF($N770="","",IF(INDEX('Per Invoice'!$M$2:$M$801,$N770)="","",INDEX('Per Invoice'!$M$2:$M$801,$N770)))</f>
        <v/>
      </c>
      <c r="N770">
        <f>IF(ROWS($N$2:$N770)&lt;=COUNT('Per Invoice'!$O$2:$O$801),MATCH(ROWS($N$2:$N770),'Per Invoice'!$O$2:$O$801,0),"")</f>
        <v/>
      </c>
    </row>
    <row r="771">
      <c r="A771">
        <f>IF($N771="","",IF(INDEX('Per Invoice'!$A$2:$A$801,$N771)="","",INDEX('Per Invoice'!$A$2:$A$801,$N771)))</f>
        <v/>
      </c>
      <c r="B771">
        <f>IF($N771="","",IF(INDEX('Per Invoice'!$B$2:$B$801,$N771)="","",INDEX('Per Invoice'!$B$2:$B$801,$N771)))</f>
        <v/>
      </c>
      <c r="C771">
        <f>IF($N771="","",IF(INDEX('Per Invoice'!$C$2:$C$801,$N771)="","",INDEX('Per Invoice'!$C$2:$C$801,$N771)))</f>
        <v/>
      </c>
      <c r="D771">
        <f>IF($N771="","",IF(INDEX('Per Invoice'!$D$2:$D$801,$N771)="","",INDEX('Per Invoice'!$D$2:$D$801,$N771)))</f>
        <v/>
      </c>
      <c r="E771">
        <f>IF($N771="","",IF(INDEX('Per Invoice'!$E$2:$E$801,$N771)="","",INDEX('Per Invoice'!$E$2:$E$801,$N771)))</f>
        <v/>
      </c>
      <c r="F771">
        <f>IF($N771="","",IF(INDEX('Per Invoice'!$F$2:$F$801,$N771)="","",INDEX('Per Invoice'!$F$2:$F$801,$N771)))</f>
        <v/>
      </c>
      <c r="G771">
        <f>IF($N771="","",IF(INDEX('Per Invoice'!$G$2:$G$801,$N771)="","",INDEX('Per Invoice'!$G$2:$G$801,$N771)))</f>
        <v/>
      </c>
      <c r="H771">
        <f>IF($N771="","",IF(INDEX('Per Invoice'!$H$2:$H$801,$N771)="","",INDEX('Per Invoice'!$H$2:$H$801,$N771)))</f>
        <v/>
      </c>
      <c r="I771" s="5">
        <f>IF($N771="","",IF(INDEX('Per Invoice'!$I$2:$I$801,$N771)="","",INDEX('Per Invoice'!$I$2:$I$801,$N771)))</f>
        <v/>
      </c>
      <c r="J771" s="5">
        <f>IF($N771="","",IF(INDEX('Per Invoice'!$J$2:$J$801,$N771)="","",INDEX('Per Invoice'!$J$2:$J$801,$N771)))</f>
        <v/>
      </c>
      <c r="K771" s="5">
        <f>IF($N771="","",IF(INDEX('Per Invoice'!$K$2:$K$801,$N771)="","",INDEX('Per Invoice'!$K$2:$K$801,$N771)))</f>
        <v/>
      </c>
      <c r="L771" s="5">
        <f>IF($N771="","",IF(INDEX('Per Invoice'!$L$2:$L$801,$N771)="","",INDEX('Per Invoice'!$L$2:$L$801,$N771)))</f>
        <v/>
      </c>
      <c r="M771" s="5">
        <f>IF($N771="","",IF(INDEX('Per Invoice'!$M$2:$M$801,$N771)="","",INDEX('Per Invoice'!$M$2:$M$801,$N771)))</f>
        <v/>
      </c>
      <c r="N771">
        <f>IF(ROWS($N$2:$N771)&lt;=COUNT('Per Invoice'!$O$2:$O$801),MATCH(ROWS($N$2:$N771),'Per Invoice'!$O$2:$O$801,0),"")</f>
        <v/>
      </c>
    </row>
    <row r="772">
      <c r="A772">
        <f>IF($N772="","",IF(INDEX('Per Invoice'!$A$2:$A$801,$N772)="","",INDEX('Per Invoice'!$A$2:$A$801,$N772)))</f>
        <v/>
      </c>
      <c r="B772">
        <f>IF($N772="","",IF(INDEX('Per Invoice'!$B$2:$B$801,$N772)="","",INDEX('Per Invoice'!$B$2:$B$801,$N772)))</f>
        <v/>
      </c>
      <c r="C772">
        <f>IF($N772="","",IF(INDEX('Per Invoice'!$C$2:$C$801,$N772)="","",INDEX('Per Invoice'!$C$2:$C$801,$N772)))</f>
        <v/>
      </c>
      <c r="D772">
        <f>IF($N772="","",IF(INDEX('Per Invoice'!$D$2:$D$801,$N772)="","",INDEX('Per Invoice'!$D$2:$D$801,$N772)))</f>
        <v/>
      </c>
      <c r="E772">
        <f>IF($N772="","",IF(INDEX('Per Invoice'!$E$2:$E$801,$N772)="","",INDEX('Per Invoice'!$E$2:$E$801,$N772)))</f>
        <v/>
      </c>
      <c r="F772">
        <f>IF($N772="","",IF(INDEX('Per Invoice'!$F$2:$F$801,$N772)="","",INDEX('Per Invoice'!$F$2:$F$801,$N772)))</f>
        <v/>
      </c>
      <c r="G772">
        <f>IF($N772="","",IF(INDEX('Per Invoice'!$G$2:$G$801,$N772)="","",INDEX('Per Invoice'!$G$2:$G$801,$N772)))</f>
        <v/>
      </c>
      <c r="H772">
        <f>IF($N772="","",IF(INDEX('Per Invoice'!$H$2:$H$801,$N772)="","",INDEX('Per Invoice'!$H$2:$H$801,$N772)))</f>
        <v/>
      </c>
      <c r="I772" s="5">
        <f>IF($N772="","",IF(INDEX('Per Invoice'!$I$2:$I$801,$N772)="","",INDEX('Per Invoice'!$I$2:$I$801,$N772)))</f>
        <v/>
      </c>
      <c r="J772" s="5">
        <f>IF($N772="","",IF(INDEX('Per Invoice'!$J$2:$J$801,$N772)="","",INDEX('Per Invoice'!$J$2:$J$801,$N772)))</f>
        <v/>
      </c>
      <c r="K772" s="5">
        <f>IF($N772="","",IF(INDEX('Per Invoice'!$K$2:$K$801,$N772)="","",INDEX('Per Invoice'!$K$2:$K$801,$N772)))</f>
        <v/>
      </c>
      <c r="L772" s="5">
        <f>IF($N772="","",IF(INDEX('Per Invoice'!$L$2:$L$801,$N772)="","",INDEX('Per Invoice'!$L$2:$L$801,$N772)))</f>
        <v/>
      </c>
      <c r="M772" s="5">
        <f>IF($N772="","",IF(INDEX('Per Invoice'!$M$2:$M$801,$N772)="","",INDEX('Per Invoice'!$M$2:$M$801,$N772)))</f>
        <v/>
      </c>
      <c r="N772">
        <f>IF(ROWS($N$2:$N772)&lt;=COUNT('Per Invoice'!$O$2:$O$801),MATCH(ROWS($N$2:$N772),'Per Invoice'!$O$2:$O$801,0),"")</f>
        <v/>
      </c>
    </row>
    <row r="773">
      <c r="A773">
        <f>IF($N773="","",IF(INDEX('Per Invoice'!$A$2:$A$801,$N773)="","",INDEX('Per Invoice'!$A$2:$A$801,$N773)))</f>
        <v/>
      </c>
      <c r="B773">
        <f>IF($N773="","",IF(INDEX('Per Invoice'!$B$2:$B$801,$N773)="","",INDEX('Per Invoice'!$B$2:$B$801,$N773)))</f>
        <v/>
      </c>
      <c r="C773">
        <f>IF($N773="","",IF(INDEX('Per Invoice'!$C$2:$C$801,$N773)="","",INDEX('Per Invoice'!$C$2:$C$801,$N773)))</f>
        <v/>
      </c>
      <c r="D773">
        <f>IF($N773="","",IF(INDEX('Per Invoice'!$D$2:$D$801,$N773)="","",INDEX('Per Invoice'!$D$2:$D$801,$N773)))</f>
        <v/>
      </c>
      <c r="E773">
        <f>IF($N773="","",IF(INDEX('Per Invoice'!$E$2:$E$801,$N773)="","",INDEX('Per Invoice'!$E$2:$E$801,$N773)))</f>
        <v/>
      </c>
      <c r="F773">
        <f>IF($N773="","",IF(INDEX('Per Invoice'!$F$2:$F$801,$N773)="","",INDEX('Per Invoice'!$F$2:$F$801,$N773)))</f>
        <v/>
      </c>
      <c r="G773">
        <f>IF($N773="","",IF(INDEX('Per Invoice'!$G$2:$G$801,$N773)="","",INDEX('Per Invoice'!$G$2:$G$801,$N773)))</f>
        <v/>
      </c>
      <c r="H773">
        <f>IF($N773="","",IF(INDEX('Per Invoice'!$H$2:$H$801,$N773)="","",INDEX('Per Invoice'!$H$2:$H$801,$N773)))</f>
        <v/>
      </c>
      <c r="I773" s="5">
        <f>IF($N773="","",IF(INDEX('Per Invoice'!$I$2:$I$801,$N773)="","",INDEX('Per Invoice'!$I$2:$I$801,$N773)))</f>
        <v/>
      </c>
      <c r="J773" s="5">
        <f>IF($N773="","",IF(INDEX('Per Invoice'!$J$2:$J$801,$N773)="","",INDEX('Per Invoice'!$J$2:$J$801,$N773)))</f>
        <v/>
      </c>
      <c r="K773" s="5">
        <f>IF($N773="","",IF(INDEX('Per Invoice'!$K$2:$K$801,$N773)="","",INDEX('Per Invoice'!$K$2:$K$801,$N773)))</f>
        <v/>
      </c>
      <c r="L773" s="5">
        <f>IF($N773="","",IF(INDEX('Per Invoice'!$L$2:$L$801,$N773)="","",INDEX('Per Invoice'!$L$2:$L$801,$N773)))</f>
        <v/>
      </c>
      <c r="M773" s="5">
        <f>IF($N773="","",IF(INDEX('Per Invoice'!$M$2:$M$801,$N773)="","",INDEX('Per Invoice'!$M$2:$M$801,$N773)))</f>
        <v/>
      </c>
      <c r="N773">
        <f>IF(ROWS($N$2:$N773)&lt;=COUNT('Per Invoice'!$O$2:$O$801),MATCH(ROWS($N$2:$N773),'Per Invoice'!$O$2:$O$801,0),"")</f>
        <v/>
      </c>
    </row>
    <row r="774">
      <c r="A774">
        <f>IF($N774="","",IF(INDEX('Per Invoice'!$A$2:$A$801,$N774)="","",INDEX('Per Invoice'!$A$2:$A$801,$N774)))</f>
        <v/>
      </c>
      <c r="B774">
        <f>IF($N774="","",IF(INDEX('Per Invoice'!$B$2:$B$801,$N774)="","",INDEX('Per Invoice'!$B$2:$B$801,$N774)))</f>
        <v/>
      </c>
      <c r="C774">
        <f>IF($N774="","",IF(INDEX('Per Invoice'!$C$2:$C$801,$N774)="","",INDEX('Per Invoice'!$C$2:$C$801,$N774)))</f>
        <v/>
      </c>
      <c r="D774">
        <f>IF($N774="","",IF(INDEX('Per Invoice'!$D$2:$D$801,$N774)="","",INDEX('Per Invoice'!$D$2:$D$801,$N774)))</f>
        <v/>
      </c>
      <c r="E774">
        <f>IF($N774="","",IF(INDEX('Per Invoice'!$E$2:$E$801,$N774)="","",INDEX('Per Invoice'!$E$2:$E$801,$N774)))</f>
        <v/>
      </c>
      <c r="F774">
        <f>IF($N774="","",IF(INDEX('Per Invoice'!$F$2:$F$801,$N774)="","",INDEX('Per Invoice'!$F$2:$F$801,$N774)))</f>
        <v/>
      </c>
      <c r="G774">
        <f>IF($N774="","",IF(INDEX('Per Invoice'!$G$2:$G$801,$N774)="","",INDEX('Per Invoice'!$G$2:$G$801,$N774)))</f>
        <v/>
      </c>
      <c r="H774">
        <f>IF($N774="","",IF(INDEX('Per Invoice'!$H$2:$H$801,$N774)="","",INDEX('Per Invoice'!$H$2:$H$801,$N774)))</f>
        <v/>
      </c>
      <c r="I774" s="5">
        <f>IF($N774="","",IF(INDEX('Per Invoice'!$I$2:$I$801,$N774)="","",INDEX('Per Invoice'!$I$2:$I$801,$N774)))</f>
        <v/>
      </c>
      <c r="J774" s="5">
        <f>IF($N774="","",IF(INDEX('Per Invoice'!$J$2:$J$801,$N774)="","",INDEX('Per Invoice'!$J$2:$J$801,$N774)))</f>
        <v/>
      </c>
      <c r="K774" s="5">
        <f>IF($N774="","",IF(INDEX('Per Invoice'!$K$2:$K$801,$N774)="","",INDEX('Per Invoice'!$K$2:$K$801,$N774)))</f>
        <v/>
      </c>
      <c r="L774" s="5">
        <f>IF($N774="","",IF(INDEX('Per Invoice'!$L$2:$L$801,$N774)="","",INDEX('Per Invoice'!$L$2:$L$801,$N774)))</f>
        <v/>
      </c>
      <c r="M774" s="5">
        <f>IF($N774="","",IF(INDEX('Per Invoice'!$M$2:$M$801,$N774)="","",INDEX('Per Invoice'!$M$2:$M$801,$N774)))</f>
        <v/>
      </c>
      <c r="N774">
        <f>IF(ROWS($N$2:$N774)&lt;=COUNT('Per Invoice'!$O$2:$O$801),MATCH(ROWS($N$2:$N774),'Per Invoice'!$O$2:$O$801,0),"")</f>
        <v/>
      </c>
    </row>
    <row r="775">
      <c r="A775">
        <f>IF($N775="","",IF(INDEX('Per Invoice'!$A$2:$A$801,$N775)="","",INDEX('Per Invoice'!$A$2:$A$801,$N775)))</f>
        <v/>
      </c>
      <c r="B775">
        <f>IF($N775="","",IF(INDEX('Per Invoice'!$B$2:$B$801,$N775)="","",INDEX('Per Invoice'!$B$2:$B$801,$N775)))</f>
        <v/>
      </c>
      <c r="C775">
        <f>IF($N775="","",IF(INDEX('Per Invoice'!$C$2:$C$801,$N775)="","",INDEX('Per Invoice'!$C$2:$C$801,$N775)))</f>
        <v/>
      </c>
      <c r="D775">
        <f>IF($N775="","",IF(INDEX('Per Invoice'!$D$2:$D$801,$N775)="","",INDEX('Per Invoice'!$D$2:$D$801,$N775)))</f>
        <v/>
      </c>
      <c r="E775">
        <f>IF($N775="","",IF(INDEX('Per Invoice'!$E$2:$E$801,$N775)="","",INDEX('Per Invoice'!$E$2:$E$801,$N775)))</f>
        <v/>
      </c>
      <c r="F775">
        <f>IF($N775="","",IF(INDEX('Per Invoice'!$F$2:$F$801,$N775)="","",INDEX('Per Invoice'!$F$2:$F$801,$N775)))</f>
        <v/>
      </c>
      <c r="G775">
        <f>IF($N775="","",IF(INDEX('Per Invoice'!$G$2:$G$801,$N775)="","",INDEX('Per Invoice'!$G$2:$G$801,$N775)))</f>
        <v/>
      </c>
      <c r="H775">
        <f>IF($N775="","",IF(INDEX('Per Invoice'!$H$2:$H$801,$N775)="","",INDEX('Per Invoice'!$H$2:$H$801,$N775)))</f>
        <v/>
      </c>
      <c r="I775" s="5">
        <f>IF($N775="","",IF(INDEX('Per Invoice'!$I$2:$I$801,$N775)="","",INDEX('Per Invoice'!$I$2:$I$801,$N775)))</f>
        <v/>
      </c>
      <c r="J775" s="5">
        <f>IF($N775="","",IF(INDEX('Per Invoice'!$J$2:$J$801,$N775)="","",INDEX('Per Invoice'!$J$2:$J$801,$N775)))</f>
        <v/>
      </c>
      <c r="K775" s="5">
        <f>IF($N775="","",IF(INDEX('Per Invoice'!$K$2:$K$801,$N775)="","",INDEX('Per Invoice'!$K$2:$K$801,$N775)))</f>
        <v/>
      </c>
      <c r="L775" s="5">
        <f>IF($N775="","",IF(INDEX('Per Invoice'!$L$2:$L$801,$N775)="","",INDEX('Per Invoice'!$L$2:$L$801,$N775)))</f>
        <v/>
      </c>
      <c r="M775" s="5">
        <f>IF($N775="","",IF(INDEX('Per Invoice'!$M$2:$M$801,$N775)="","",INDEX('Per Invoice'!$M$2:$M$801,$N775)))</f>
        <v/>
      </c>
      <c r="N775">
        <f>IF(ROWS($N$2:$N775)&lt;=COUNT('Per Invoice'!$O$2:$O$801),MATCH(ROWS($N$2:$N775),'Per Invoice'!$O$2:$O$801,0),"")</f>
        <v/>
      </c>
    </row>
    <row r="776">
      <c r="A776">
        <f>IF($N776="","",IF(INDEX('Per Invoice'!$A$2:$A$801,$N776)="","",INDEX('Per Invoice'!$A$2:$A$801,$N776)))</f>
        <v/>
      </c>
      <c r="B776">
        <f>IF($N776="","",IF(INDEX('Per Invoice'!$B$2:$B$801,$N776)="","",INDEX('Per Invoice'!$B$2:$B$801,$N776)))</f>
        <v/>
      </c>
      <c r="C776">
        <f>IF($N776="","",IF(INDEX('Per Invoice'!$C$2:$C$801,$N776)="","",INDEX('Per Invoice'!$C$2:$C$801,$N776)))</f>
        <v/>
      </c>
      <c r="D776">
        <f>IF($N776="","",IF(INDEX('Per Invoice'!$D$2:$D$801,$N776)="","",INDEX('Per Invoice'!$D$2:$D$801,$N776)))</f>
        <v/>
      </c>
      <c r="E776">
        <f>IF($N776="","",IF(INDEX('Per Invoice'!$E$2:$E$801,$N776)="","",INDEX('Per Invoice'!$E$2:$E$801,$N776)))</f>
        <v/>
      </c>
      <c r="F776">
        <f>IF($N776="","",IF(INDEX('Per Invoice'!$F$2:$F$801,$N776)="","",INDEX('Per Invoice'!$F$2:$F$801,$N776)))</f>
        <v/>
      </c>
      <c r="G776">
        <f>IF($N776="","",IF(INDEX('Per Invoice'!$G$2:$G$801,$N776)="","",INDEX('Per Invoice'!$G$2:$G$801,$N776)))</f>
        <v/>
      </c>
      <c r="H776">
        <f>IF($N776="","",IF(INDEX('Per Invoice'!$H$2:$H$801,$N776)="","",INDEX('Per Invoice'!$H$2:$H$801,$N776)))</f>
        <v/>
      </c>
      <c r="I776" s="5">
        <f>IF($N776="","",IF(INDEX('Per Invoice'!$I$2:$I$801,$N776)="","",INDEX('Per Invoice'!$I$2:$I$801,$N776)))</f>
        <v/>
      </c>
      <c r="J776" s="5">
        <f>IF($N776="","",IF(INDEX('Per Invoice'!$J$2:$J$801,$N776)="","",INDEX('Per Invoice'!$J$2:$J$801,$N776)))</f>
        <v/>
      </c>
      <c r="K776" s="5">
        <f>IF($N776="","",IF(INDEX('Per Invoice'!$K$2:$K$801,$N776)="","",INDEX('Per Invoice'!$K$2:$K$801,$N776)))</f>
        <v/>
      </c>
      <c r="L776" s="5">
        <f>IF($N776="","",IF(INDEX('Per Invoice'!$L$2:$L$801,$N776)="","",INDEX('Per Invoice'!$L$2:$L$801,$N776)))</f>
        <v/>
      </c>
      <c r="M776" s="5">
        <f>IF($N776="","",IF(INDEX('Per Invoice'!$M$2:$M$801,$N776)="","",INDEX('Per Invoice'!$M$2:$M$801,$N776)))</f>
        <v/>
      </c>
      <c r="N776">
        <f>IF(ROWS($N$2:$N776)&lt;=COUNT('Per Invoice'!$O$2:$O$801),MATCH(ROWS($N$2:$N776),'Per Invoice'!$O$2:$O$801,0),"")</f>
        <v/>
      </c>
    </row>
    <row r="777">
      <c r="A777">
        <f>IF($N777="","",IF(INDEX('Per Invoice'!$A$2:$A$801,$N777)="","",INDEX('Per Invoice'!$A$2:$A$801,$N777)))</f>
        <v/>
      </c>
      <c r="B777">
        <f>IF($N777="","",IF(INDEX('Per Invoice'!$B$2:$B$801,$N777)="","",INDEX('Per Invoice'!$B$2:$B$801,$N777)))</f>
        <v/>
      </c>
      <c r="C777">
        <f>IF($N777="","",IF(INDEX('Per Invoice'!$C$2:$C$801,$N777)="","",INDEX('Per Invoice'!$C$2:$C$801,$N777)))</f>
        <v/>
      </c>
      <c r="D777">
        <f>IF($N777="","",IF(INDEX('Per Invoice'!$D$2:$D$801,$N777)="","",INDEX('Per Invoice'!$D$2:$D$801,$N777)))</f>
        <v/>
      </c>
      <c r="E777">
        <f>IF($N777="","",IF(INDEX('Per Invoice'!$E$2:$E$801,$N777)="","",INDEX('Per Invoice'!$E$2:$E$801,$N777)))</f>
        <v/>
      </c>
      <c r="F777">
        <f>IF($N777="","",IF(INDEX('Per Invoice'!$F$2:$F$801,$N777)="","",INDEX('Per Invoice'!$F$2:$F$801,$N777)))</f>
        <v/>
      </c>
      <c r="G777">
        <f>IF($N777="","",IF(INDEX('Per Invoice'!$G$2:$G$801,$N777)="","",INDEX('Per Invoice'!$G$2:$G$801,$N777)))</f>
        <v/>
      </c>
      <c r="H777">
        <f>IF($N777="","",IF(INDEX('Per Invoice'!$H$2:$H$801,$N777)="","",INDEX('Per Invoice'!$H$2:$H$801,$N777)))</f>
        <v/>
      </c>
      <c r="I777" s="5">
        <f>IF($N777="","",IF(INDEX('Per Invoice'!$I$2:$I$801,$N777)="","",INDEX('Per Invoice'!$I$2:$I$801,$N777)))</f>
        <v/>
      </c>
      <c r="J777" s="5">
        <f>IF($N777="","",IF(INDEX('Per Invoice'!$J$2:$J$801,$N777)="","",INDEX('Per Invoice'!$J$2:$J$801,$N777)))</f>
        <v/>
      </c>
      <c r="K777" s="5">
        <f>IF($N777="","",IF(INDEX('Per Invoice'!$K$2:$K$801,$N777)="","",INDEX('Per Invoice'!$K$2:$K$801,$N777)))</f>
        <v/>
      </c>
      <c r="L777" s="5">
        <f>IF($N777="","",IF(INDEX('Per Invoice'!$L$2:$L$801,$N777)="","",INDEX('Per Invoice'!$L$2:$L$801,$N777)))</f>
        <v/>
      </c>
      <c r="M777" s="5">
        <f>IF($N777="","",IF(INDEX('Per Invoice'!$M$2:$M$801,$N777)="","",INDEX('Per Invoice'!$M$2:$M$801,$N777)))</f>
        <v/>
      </c>
      <c r="N777">
        <f>IF(ROWS($N$2:$N777)&lt;=COUNT('Per Invoice'!$O$2:$O$801),MATCH(ROWS($N$2:$N777),'Per Invoice'!$O$2:$O$801,0),"")</f>
        <v/>
      </c>
    </row>
    <row r="778">
      <c r="A778">
        <f>IF($N778="","",IF(INDEX('Per Invoice'!$A$2:$A$801,$N778)="","",INDEX('Per Invoice'!$A$2:$A$801,$N778)))</f>
        <v/>
      </c>
      <c r="B778">
        <f>IF($N778="","",IF(INDEX('Per Invoice'!$B$2:$B$801,$N778)="","",INDEX('Per Invoice'!$B$2:$B$801,$N778)))</f>
        <v/>
      </c>
      <c r="C778">
        <f>IF($N778="","",IF(INDEX('Per Invoice'!$C$2:$C$801,$N778)="","",INDEX('Per Invoice'!$C$2:$C$801,$N778)))</f>
        <v/>
      </c>
      <c r="D778">
        <f>IF($N778="","",IF(INDEX('Per Invoice'!$D$2:$D$801,$N778)="","",INDEX('Per Invoice'!$D$2:$D$801,$N778)))</f>
        <v/>
      </c>
      <c r="E778">
        <f>IF($N778="","",IF(INDEX('Per Invoice'!$E$2:$E$801,$N778)="","",INDEX('Per Invoice'!$E$2:$E$801,$N778)))</f>
        <v/>
      </c>
      <c r="F778">
        <f>IF($N778="","",IF(INDEX('Per Invoice'!$F$2:$F$801,$N778)="","",INDEX('Per Invoice'!$F$2:$F$801,$N778)))</f>
        <v/>
      </c>
      <c r="G778">
        <f>IF($N778="","",IF(INDEX('Per Invoice'!$G$2:$G$801,$N778)="","",INDEX('Per Invoice'!$G$2:$G$801,$N778)))</f>
        <v/>
      </c>
      <c r="H778">
        <f>IF($N778="","",IF(INDEX('Per Invoice'!$H$2:$H$801,$N778)="","",INDEX('Per Invoice'!$H$2:$H$801,$N778)))</f>
        <v/>
      </c>
      <c r="I778" s="5">
        <f>IF($N778="","",IF(INDEX('Per Invoice'!$I$2:$I$801,$N778)="","",INDEX('Per Invoice'!$I$2:$I$801,$N778)))</f>
        <v/>
      </c>
      <c r="J778" s="5">
        <f>IF($N778="","",IF(INDEX('Per Invoice'!$J$2:$J$801,$N778)="","",INDEX('Per Invoice'!$J$2:$J$801,$N778)))</f>
        <v/>
      </c>
      <c r="K778" s="5">
        <f>IF($N778="","",IF(INDEX('Per Invoice'!$K$2:$K$801,$N778)="","",INDEX('Per Invoice'!$K$2:$K$801,$N778)))</f>
        <v/>
      </c>
      <c r="L778" s="5">
        <f>IF($N778="","",IF(INDEX('Per Invoice'!$L$2:$L$801,$N778)="","",INDEX('Per Invoice'!$L$2:$L$801,$N778)))</f>
        <v/>
      </c>
      <c r="M778" s="5">
        <f>IF($N778="","",IF(INDEX('Per Invoice'!$M$2:$M$801,$N778)="","",INDEX('Per Invoice'!$M$2:$M$801,$N778)))</f>
        <v/>
      </c>
      <c r="N778">
        <f>IF(ROWS($N$2:$N778)&lt;=COUNT('Per Invoice'!$O$2:$O$801),MATCH(ROWS($N$2:$N778),'Per Invoice'!$O$2:$O$801,0),"")</f>
        <v/>
      </c>
    </row>
    <row r="779">
      <c r="A779">
        <f>IF($N779="","",IF(INDEX('Per Invoice'!$A$2:$A$801,$N779)="","",INDEX('Per Invoice'!$A$2:$A$801,$N779)))</f>
        <v/>
      </c>
      <c r="B779">
        <f>IF($N779="","",IF(INDEX('Per Invoice'!$B$2:$B$801,$N779)="","",INDEX('Per Invoice'!$B$2:$B$801,$N779)))</f>
        <v/>
      </c>
      <c r="C779">
        <f>IF($N779="","",IF(INDEX('Per Invoice'!$C$2:$C$801,$N779)="","",INDEX('Per Invoice'!$C$2:$C$801,$N779)))</f>
        <v/>
      </c>
      <c r="D779">
        <f>IF($N779="","",IF(INDEX('Per Invoice'!$D$2:$D$801,$N779)="","",INDEX('Per Invoice'!$D$2:$D$801,$N779)))</f>
        <v/>
      </c>
      <c r="E779">
        <f>IF($N779="","",IF(INDEX('Per Invoice'!$E$2:$E$801,$N779)="","",INDEX('Per Invoice'!$E$2:$E$801,$N779)))</f>
        <v/>
      </c>
      <c r="F779">
        <f>IF($N779="","",IF(INDEX('Per Invoice'!$F$2:$F$801,$N779)="","",INDEX('Per Invoice'!$F$2:$F$801,$N779)))</f>
        <v/>
      </c>
      <c r="G779">
        <f>IF($N779="","",IF(INDEX('Per Invoice'!$G$2:$G$801,$N779)="","",INDEX('Per Invoice'!$G$2:$G$801,$N779)))</f>
        <v/>
      </c>
      <c r="H779">
        <f>IF($N779="","",IF(INDEX('Per Invoice'!$H$2:$H$801,$N779)="","",INDEX('Per Invoice'!$H$2:$H$801,$N779)))</f>
        <v/>
      </c>
      <c r="I779" s="5">
        <f>IF($N779="","",IF(INDEX('Per Invoice'!$I$2:$I$801,$N779)="","",INDEX('Per Invoice'!$I$2:$I$801,$N779)))</f>
        <v/>
      </c>
      <c r="J779" s="5">
        <f>IF($N779="","",IF(INDEX('Per Invoice'!$J$2:$J$801,$N779)="","",INDEX('Per Invoice'!$J$2:$J$801,$N779)))</f>
        <v/>
      </c>
      <c r="K779" s="5">
        <f>IF($N779="","",IF(INDEX('Per Invoice'!$K$2:$K$801,$N779)="","",INDEX('Per Invoice'!$K$2:$K$801,$N779)))</f>
        <v/>
      </c>
      <c r="L779" s="5">
        <f>IF($N779="","",IF(INDEX('Per Invoice'!$L$2:$L$801,$N779)="","",INDEX('Per Invoice'!$L$2:$L$801,$N779)))</f>
        <v/>
      </c>
      <c r="M779" s="5">
        <f>IF($N779="","",IF(INDEX('Per Invoice'!$M$2:$M$801,$N779)="","",INDEX('Per Invoice'!$M$2:$M$801,$N779)))</f>
        <v/>
      </c>
      <c r="N779">
        <f>IF(ROWS($N$2:$N779)&lt;=COUNT('Per Invoice'!$O$2:$O$801),MATCH(ROWS($N$2:$N779),'Per Invoice'!$O$2:$O$801,0),"")</f>
        <v/>
      </c>
    </row>
    <row r="780">
      <c r="A780">
        <f>IF($N780="","",IF(INDEX('Per Invoice'!$A$2:$A$801,$N780)="","",INDEX('Per Invoice'!$A$2:$A$801,$N780)))</f>
        <v/>
      </c>
      <c r="B780">
        <f>IF($N780="","",IF(INDEX('Per Invoice'!$B$2:$B$801,$N780)="","",INDEX('Per Invoice'!$B$2:$B$801,$N780)))</f>
        <v/>
      </c>
      <c r="C780">
        <f>IF($N780="","",IF(INDEX('Per Invoice'!$C$2:$C$801,$N780)="","",INDEX('Per Invoice'!$C$2:$C$801,$N780)))</f>
        <v/>
      </c>
      <c r="D780">
        <f>IF($N780="","",IF(INDEX('Per Invoice'!$D$2:$D$801,$N780)="","",INDEX('Per Invoice'!$D$2:$D$801,$N780)))</f>
        <v/>
      </c>
      <c r="E780">
        <f>IF($N780="","",IF(INDEX('Per Invoice'!$E$2:$E$801,$N780)="","",INDEX('Per Invoice'!$E$2:$E$801,$N780)))</f>
        <v/>
      </c>
      <c r="F780">
        <f>IF($N780="","",IF(INDEX('Per Invoice'!$F$2:$F$801,$N780)="","",INDEX('Per Invoice'!$F$2:$F$801,$N780)))</f>
        <v/>
      </c>
      <c r="G780">
        <f>IF($N780="","",IF(INDEX('Per Invoice'!$G$2:$G$801,$N780)="","",INDEX('Per Invoice'!$G$2:$G$801,$N780)))</f>
        <v/>
      </c>
      <c r="H780">
        <f>IF($N780="","",IF(INDEX('Per Invoice'!$H$2:$H$801,$N780)="","",INDEX('Per Invoice'!$H$2:$H$801,$N780)))</f>
        <v/>
      </c>
      <c r="I780" s="5">
        <f>IF($N780="","",IF(INDEX('Per Invoice'!$I$2:$I$801,$N780)="","",INDEX('Per Invoice'!$I$2:$I$801,$N780)))</f>
        <v/>
      </c>
      <c r="J780" s="5">
        <f>IF($N780="","",IF(INDEX('Per Invoice'!$J$2:$J$801,$N780)="","",INDEX('Per Invoice'!$J$2:$J$801,$N780)))</f>
        <v/>
      </c>
      <c r="K780" s="5">
        <f>IF($N780="","",IF(INDEX('Per Invoice'!$K$2:$K$801,$N780)="","",INDEX('Per Invoice'!$K$2:$K$801,$N780)))</f>
        <v/>
      </c>
      <c r="L780" s="5">
        <f>IF($N780="","",IF(INDEX('Per Invoice'!$L$2:$L$801,$N780)="","",INDEX('Per Invoice'!$L$2:$L$801,$N780)))</f>
        <v/>
      </c>
      <c r="M780" s="5">
        <f>IF($N780="","",IF(INDEX('Per Invoice'!$M$2:$M$801,$N780)="","",INDEX('Per Invoice'!$M$2:$M$801,$N780)))</f>
        <v/>
      </c>
      <c r="N780">
        <f>IF(ROWS($N$2:$N780)&lt;=COUNT('Per Invoice'!$O$2:$O$801),MATCH(ROWS($N$2:$N780),'Per Invoice'!$O$2:$O$801,0),"")</f>
        <v/>
      </c>
    </row>
    <row r="781">
      <c r="A781">
        <f>IF($N781="","",IF(INDEX('Per Invoice'!$A$2:$A$801,$N781)="","",INDEX('Per Invoice'!$A$2:$A$801,$N781)))</f>
        <v/>
      </c>
      <c r="B781">
        <f>IF($N781="","",IF(INDEX('Per Invoice'!$B$2:$B$801,$N781)="","",INDEX('Per Invoice'!$B$2:$B$801,$N781)))</f>
        <v/>
      </c>
      <c r="C781">
        <f>IF($N781="","",IF(INDEX('Per Invoice'!$C$2:$C$801,$N781)="","",INDEX('Per Invoice'!$C$2:$C$801,$N781)))</f>
        <v/>
      </c>
      <c r="D781">
        <f>IF($N781="","",IF(INDEX('Per Invoice'!$D$2:$D$801,$N781)="","",INDEX('Per Invoice'!$D$2:$D$801,$N781)))</f>
        <v/>
      </c>
      <c r="E781">
        <f>IF($N781="","",IF(INDEX('Per Invoice'!$E$2:$E$801,$N781)="","",INDEX('Per Invoice'!$E$2:$E$801,$N781)))</f>
        <v/>
      </c>
      <c r="F781">
        <f>IF($N781="","",IF(INDEX('Per Invoice'!$F$2:$F$801,$N781)="","",INDEX('Per Invoice'!$F$2:$F$801,$N781)))</f>
        <v/>
      </c>
      <c r="G781">
        <f>IF($N781="","",IF(INDEX('Per Invoice'!$G$2:$G$801,$N781)="","",INDEX('Per Invoice'!$G$2:$G$801,$N781)))</f>
        <v/>
      </c>
      <c r="H781">
        <f>IF($N781="","",IF(INDEX('Per Invoice'!$H$2:$H$801,$N781)="","",INDEX('Per Invoice'!$H$2:$H$801,$N781)))</f>
        <v/>
      </c>
      <c r="I781" s="5">
        <f>IF($N781="","",IF(INDEX('Per Invoice'!$I$2:$I$801,$N781)="","",INDEX('Per Invoice'!$I$2:$I$801,$N781)))</f>
        <v/>
      </c>
      <c r="J781" s="5">
        <f>IF($N781="","",IF(INDEX('Per Invoice'!$J$2:$J$801,$N781)="","",INDEX('Per Invoice'!$J$2:$J$801,$N781)))</f>
        <v/>
      </c>
      <c r="K781" s="5">
        <f>IF($N781="","",IF(INDEX('Per Invoice'!$K$2:$K$801,$N781)="","",INDEX('Per Invoice'!$K$2:$K$801,$N781)))</f>
        <v/>
      </c>
      <c r="L781" s="5">
        <f>IF($N781="","",IF(INDEX('Per Invoice'!$L$2:$L$801,$N781)="","",INDEX('Per Invoice'!$L$2:$L$801,$N781)))</f>
        <v/>
      </c>
      <c r="M781" s="5">
        <f>IF($N781="","",IF(INDEX('Per Invoice'!$M$2:$M$801,$N781)="","",INDEX('Per Invoice'!$M$2:$M$801,$N781)))</f>
        <v/>
      </c>
      <c r="N781">
        <f>IF(ROWS($N$2:$N781)&lt;=COUNT('Per Invoice'!$O$2:$O$801),MATCH(ROWS($N$2:$N781),'Per Invoice'!$O$2:$O$801,0),"")</f>
        <v/>
      </c>
    </row>
    <row r="782">
      <c r="A782">
        <f>IF($N782="","",IF(INDEX('Per Invoice'!$A$2:$A$801,$N782)="","",INDEX('Per Invoice'!$A$2:$A$801,$N782)))</f>
        <v/>
      </c>
      <c r="B782">
        <f>IF($N782="","",IF(INDEX('Per Invoice'!$B$2:$B$801,$N782)="","",INDEX('Per Invoice'!$B$2:$B$801,$N782)))</f>
        <v/>
      </c>
      <c r="C782">
        <f>IF($N782="","",IF(INDEX('Per Invoice'!$C$2:$C$801,$N782)="","",INDEX('Per Invoice'!$C$2:$C$801,$N782)))</f>
        <v/>
      </c>
      <c r="D782">
        <f>IF($N782="","",IF(INDEX('Per Invoice'!$D$2:$D$801,$N782)="","",INDEX('Per Invoice'!$D$2:$D$801,$N782)))</f>
        <v/>
      </c>
      <c r="E782">
        <f>IF($N782="","",IF(INDEX('Per Invoice'!$E$2:$E$801,$N782)="","",INDEX('Per Invoice'!$E$2:$E$801,$N782)))</f>
        <v/>
      </c>
      <c r="F782">
        <f>IF($N782="","",IF(INDEX('Per Invoice'!$F$2:$F$801,$N782)="","",INDEX('Per Invoice'!$F$2:$F$801,$N782)))</f>
        <v/>
      </c>
      <c r="G782">
        <f>IF($N782="","",IF(INDEX('Per Invoice'!$G$2:$G$801,$N782)="","",INDEX('Per Invoice'!$G$2:$G$801,$N782)))</f>
        <v/>
      </c>
      <c r="H782">
        <f>IF($N782="","",IF(INDEX('Per Invoice'!$H$2:$H$801,$N782)="","",INDEX('Per Invoice'!$H$2:$H$801,$N782)))</f>
        <v/>
      </c>
      <c r="I782" s="5">
        <f>IF($N782="","",IF(INDEX('Per Invoice'!$I$2:$I$801,$N782)="","",INDEX('Per Invoice'!$I$2:$I$801,$N782)))</f>
        <v/>
      </c>
      <c r="J782" s="5">
        <f>IF($N782="","",IF(INDEX('Per Invoice'!$J$2:$J$801,$N782)="","",INDEX('Per Invoice'!$J$2:$J$801,$N782)))</f>
        <v/>
      </c>
      <c r="K782" s="5">
        <f>IF($N782="","",IF(INDEX('Per Invoice'!$K$2:$K$801,$N782)="","",INDEX('Per Invoice'!$K$2:$K$801,$N782)))</f>
        <v/>
      </c>
      <c r="L782" s="5">
        <f>IF($N782="","",IF(INDEX('Per Invoice'!$L$2:$L$801,$N782)="","",INDEX('Per Invoice'!$L$2:$L$801,$N782)))</f>
        <v/>
      </c>
      <c r="M782" s="5">
        <f>IF($N782="","",IF(INDEX('Per Invoice'!$M$2:$M$801,$N782)="","",INDEX('Per Invoice'!$M$2:$M$801,$N782)))</f>
        <v/>
      </c>
      <c r="N782">
        <f>IF(ROWS($N$2:$N782)&lt;=COUNT('Per Invoice'!$O$2:$O$801),MATCH(ROWS($N$2:$N782),'Per Invoice'!$O$2:$O$801,0),"")</f>
        <v/>
      </c>
    </row>
    <row r="783">
      <c r="A783">
        <f>IF($N783="","",IF(INDEX('Per Invoice'!$A$2:$A$801,$N783)="","",INDEX('Per Invoice'!$A$2:$A$801,$N783)))</f>
        <v/>
      </c>
      <c r="B783">
        <f>IF($N783="","",IF(INDEX('Per Invoice'!$B$2:$B$801,$N783)="","",INDEX('Per Invoice'!$B$2:$B$801,$N783)))</f>
        <v/>
      </c>
      <c r="C783">
        <f>IF($N783="","",IF(INDEX('Per Invoice'!$C$2:$C$801,$N783)="","",INDEX('Per Invoice'!$C$2:$C$801,$N783)))</f>
        <v/>
      </c>
      <c r="D783">
        <f>IF($N783="","",IF(INDEX('Per Invoice'!$D$2:$D$801,$N783)="","",INDEX('Per Invoice'!$D$2:$D$801,$N783)))</f>
        <v/>
      </c>
      <c r="E783">
        <f>IF($N783="","",IF(INDEX('Per Invoice'!$E$2:$E$801,$N783)="","",INDEX('Per Invoice'!$E$2:$E$801,$N783)))</f>
        <v/>
      </c>
      <c r="F783">
        <f>IF($N783="","",IF(INDEX('Per Invoice'!$F$2:$F$801,$N783)="","",INDEX('Per Invoice'!$F$2:$F$801,$N783)))</f>
        <v/>
      </c>
      <c r="G783">
        <f>IF($N783="","",IF(INDEX('Per Invoice'!$G$2:$G$801,$N783)="","",INDEX('Per Invoice'!$G$2:$G$801,$N783)))</f>
        <v/>
      </c>
      <c r="H783">
        <f>IF($N783="","",IF(INDEX('Per Invoice'!$H$2:$H$801,$N783)="","",INDEX('Per Invoice'!$H$2:$H$801,$N783)))</f>
        <v/>
      </c>
      <c r="I783" s="5">
        <f>IF($N783="","",IF(INDEX('Per Invoice'!$I$2:$I$801,$N783)="","",INDEX('Per Invoice'!$I$2:$I$801,$N783)))</f>
        <v/>
      </c>
      <c r="J783" s="5">
        <f>IF($N783="","",IF(INDEX('Per Invoice'!$J$2:$J$801,$N783)="","",INDEX('Per Invoice'!$J$2:$J$801,$N783)))</f>
        <v/>
      </c>
      <c r="K783" s="5">
        <f>IF($N783="","",IF(INDEX('Per Invoice'!$K$2:$K$801,$N783)="","",INDEX('Per Invoice'!$K$2:$K$801,$N783)))</f>
        <v/>
      </c>
      <c r="L783" s="5">
        <f>IF($N783="","",IF(INDEX('Per Invoice'!$L$2:$L$801,$N783)="","",INDEX('Per Invoice'!$L$2:$L$801,$N783)))</f>
        <v/>
      </c>
      <c r="M783" s="5">
        <f>IF($N783="","",IF(INDEX('Per Invoice'!$M$2:$M$801,$N783)="","",INDEX('Per Invoice'!$M$2:$M$801,$N783)))</f>
        <v/>
      </c>
      <c r="N783">
        <f>IF(ROWS($N$2:$N783)&lt;=COUNT('Per Invoice'!$O$2:$O$801),MATCH(ROWS($N$2:$N783),'Per Invoice'!$O$2:$O$801,0),"")</f>
        <v/>
      </c>
    </row>
    <row r="784">
      <c r="A784">
        <f>IF($N784="","",IF(INDEX('Per Invoice'!$A$2:$A$801,$N784)="","",INDEX('Per Invoice'!$A$2:$A$801,$N784)))</f>
        <v/>
      </c>
      <c r="B784">
        <f>IF($N784="","",IF(INDEX('Per Invoice'!$B$2:$B$801,$N784)="","",INDEX('Per Invoice'!$B$2:$B$801,$N784)))</f>
        <v/>
      </c>
      <c r="C784">
        <f>IF($N784="","",IF(INDEX('Per Invoice'!$C$2:$C$801,$N784)="","",INDEX('Per Invoice'!$C$2:$C$801,$N784)))</f>
        <v/>
      </c>
      <c r="D784">
        <f>IF($N784="","",IF(INDEX('Per Invoice'!$D$2:$D$801,$N784)="","",INDEX('Per Invoice'!$D$2:$D$801,$N784)))</f>
        <v/>
      </c>
      <c r="E784">
        <f>IF($N784="","",IF(INDEX('Per Invoice'!$E$2:$E$801,$N784)="","",INDEX('Per Invoice'!$E$2:$E$801,$N784)))</f>
        <v/>
      </c>
      <c r="F784">
        <f>IF($N784="","",IF(INDEX('Per Invoice'!$F$2:$F$801,$N784)="","",INDEX('Per Invoice'!$F$2:$F$801,$N784)))</f>
        <v/>
      </c>
      <c r="G784">
        <f>IF($N784="","",IF(INDEX('Per Invoice'!$G$2:$G$801,$N784)="","",INDEX('Per Invoice'!$G$2:$G$801,$N784)))</f>
        <v/>
      </c>
      <c r="H784">
        <f>IF($N784="","",IF(INDEX('Per Invoice'!$H$2:$H$801,$N784)="","",INDEX('Per Invoice'!$H$2:$H$801,$N784)))</f>
        <v/>
      </c>
      <c r="I784" s="5">
        <f>IF($N784="","",IF(INDEX('Per Invoice'!$I$2:$I$801,$N784)="","",INDEX('Per Invoice'!$I$2:$I$801,$N784)))</f>
        <v/>
      </c>
      <c r="J784" s="5">
        <f>IF($N784="","",IF(INDEX('Per Invoice'!$J$2:$J$801,$N784)="","",INDEX('Per Invoice'!$J$2:$J$801,$N784)))</f>
        <v/>
      </c>
      <c r="K784" s="5">
        <f>IF($N784="","",IF(INDEX('Per Invoice'!$K$2:$K$801,$N784)="","",INDEX('Per Invoice'!$K$2:$K$801,$N784)))</f>
        <v/>
      </c>
      <c r="L784" s="5">
        <f>IF($N784="","",IF(INDEX('Per Invoice'!$L$2:$L$801,$N784)="","",INDEX('Per Invoice'!$L$2:$L$801,$N784)))</f>
        <v/>
      </c>
      <c r="M784" s="5">
        <f>IF($N784="","",IF(INDEX('Per Invoice'!$M$2:$M$801,$N784)="","",INDEX('Per Invoice'!$M$2:$M$801,$N784)))</f>
        <v/>
      </c>
      <c r="N784">
        <f>IF(ROWS($N$2:$N784)&lt;=COUNT('Per Invoice'!$O$2:$O$801),MATCH(ROWS($N$2:$N784),'Per Invoice'!$O$2:$O$801,0),"")</f>
        <v/>
      </c>
    </row>
    <row r="785">
      <c r="A785">
        <f>IF($N785="","",IF(INDEX('Per Invoice'!$A$2:$A$801,$N785)="","",INDEX('Per Invoice'!$A$2:$A$801,$N785)))</f>
        <v/>
      </c>
      <c r="B785">
        <f>IF($N785="","",IF(INDEX('Per Invoice'!$B$2:$B$801,$N785)="","",INDEX('Per Invoice'!$B$2:$B$801,$N785)))</f>
        <v/>
      </c>
      <c r="C785">
        <f>IF($N785="","",IF(INDEX('Per Invoice'!$C$2:$C$801,$N785)="","",INDEX('Per Invoice'!$C$2:$C$801,$N785)))</f>
        <v/>
      </c>
      <c r="D785">
        <f>IF($N785="","",IF(INDEX('Per Invoice'!$D$2:$D$801,$N785)="","",INDEX('Per Invoice'!$D$2:$D$801,$N785)))</f>
        <v/>
      </c>
      <c r="E785">
        <f>IF($N785="","",IF(INDEX('Per Invoice'!$E$2:$E$801,$N785)="","",INDEX('Per Invoice'!$E$2:$E$801,$N785)))</f>
        <v/>
      </c>
      <c r="F785">
        <f>IF($N785="","",IF(INDEX('Per Invoice'!$F$2:$F$801,$N785)="","",INDEX('Per Invoice'!$F$2:$F$801,$N785)))</f>
        <v/>
      </c>
      <c r="G785">
        <f>IF($N785="","",IF(INDEX('Per Invoice'!$G$2:$G$801,$N785)="","",INDEX('Per Invoice'!$G$2:$G$801,$N785)))</f>
        <v/>
      </c>
      <c r="H785">
        <f>IF($N785="","",IF(INDEX('Per Invoice'!$H$2:$H$801,$N785)="","",INDEX('Per Invoice'!$H$2:$H$801,$N785)))</f>
        <v/>
      </c>
      <c r="I785" s="5">
        <f>IF($N785="","",IF(INDEX('Per Invoice'!$I$2:$I$801,$N785)="","",INDEX('Per Invoice'!$I$2:$I$801,$N785)))</f>
        <v/>
      </c>
      <c r="J785" s="5">
        <f>IF($N785="","",IF(INDEX('Per Invoice'!$J$2:$J$801,$N785)="","",INDEX('Per Invoice'!$J$2:$J$801,$N785)))</f>
        <v/>
      </c>
      <c r="K785" s="5">
        <f>IF($N785="","",IF(INDEX('Per Invoice'!$K$2:$K$801,$N785)="","",INDEX('Per Invoice'!$K$2:$K$801,$N785)))</f>
        <v/>
      </c>
      <c r="L785" s="5">
        <f>IF($N785="","",IF(INDEX('Per Invoice'!$L$2:$L$801,$N785)="","",INDEX('Per Invoice'!$L$2:$L$801,$N785)))</f>
        <v/>
      </c>
      <c r="M785" s="5">
        <f>IF($N785="","",IF(INDEX('Per Invoice'!$M$2:$M$801,$N785)="","",INDEX('Per Invoice'!$M$2:$M$801,$N785)))</f>
        <v/>
      </c>
      <c r="N785">
        <f>IF(ROWS($N$2:$N785)&lt;=COUNT('Per Invoice'!$O$2:$O$801),MATCH(ROWS($N$2:$N785),'Per Invoice'!$O$2:$O$801,0),"")</f>
        <v/>
      </c>
    </row>
    <row r="786">
      <c r="A786">
        <f>IF($N786="","",IF(INDEX('Per Invoice'!$A$2:$A$801,$N786)="","",INDEX('Per Invoice'!$A$2:$A$801,$N786)))</f>
        <v/>
      </c>
      <c r="B786">
        <f>IF($N786="","",IF(INDEX('Per Invoice'!$B$2:$B$801,$N786)="","",INDEX('Per Invoice'!$B$2:$B$801,$N786)))</f>
        <v/>
      </c>
      <c r="C786">
        <f>IF($N786="","",IF(INDEX('Per Invoice'!$C$2:$C$801,$N786)="","",INDEX('Per Invoice'!$C$2:$C$801,$N786)))</f>
        <v/>
      </c>
      <c r="D786">
        <f>IF($N786="","",IF(INDEX('Per Invoice'!$D$2:$D$801,$N786)="","",INDEX('Per Invoice'!$D$2:$D$801,$N786)))</f>
        <v/>
      </c>
      <c r="E786">
        <f>IF($N786="","",IF(INDEX('Per Invoice'!$E$2:$E$801,$N786)="","",INDEX('Per Invoice'!$E$2:$E$801,$N786)))</f>
        <v/>
      </c>
      <c r="F786">
        <f>IF($N786="","",IF(INDEX('Per Invoice'!$F$2:$F$801,$N786)="","",INDEX('Per Invoice'!$F$2:$F$801,$N786)))</f>
        <v/>
      </c>
      <c r="G786">
        <f>IF($N786="","",IF(INDEX('Per Invoice'!$G$2:$G$801,$N786)="","",INDEX('Per Invoice'!$G$2:$G$801,$N786)))</f>
        <v/>
      </c>
      <c r="H786">
        <f>IF($N786="","",IF(INDEX('Per Invoice'!$H$2:$H$801,$N786)="","",INDEX('Per Invoice'!$H$2:$H$801,$N786)))</f>
        <v/>
      </c>
      <c r="I786" s="5">
        <f>IF($N786="","",IF(INDEX('Per Invoice'!$I$2:$I$801,$N786)="","",INDEX('Per Invoice'!$I$2:$I$801,$N786)))</f>
        <v/>
      </c>
      <c r="J786" s="5">
        <f>IF($N786="","",IF(INDEX('Per Invoice'!$J$2:$J$801,$N786)="","",INDEX('Per Invoice'!$J$2:$J$801,$N786)))</f>
        <v/>
      </c>
      <c r="K786" s="5">
        <f>IF($N786="","",IF(INDEX('Per Invoice'!$K$2:$K$801,$N786)="","",INDEX('Per Invoice'!$K$2:$K$801,$N786)))</f>
        <v/>
      </c>
      <c r="L786" s="5">
        <f>IF($N786="","",IF(INDEX('Per Invoice'!$L$2:$L$801,$N786)="","",INDEX('Per Invoice'!$L$2:$L$801,$N786)))</f>
        <v/>
      </c>
      <c r="M786" s="5">
        <f>IF($N786="","",IF(INDEX('Per Invoice'!$M$2:$M$801,$N786)="","",INDEX('Per Invoice'!$M$2:$M$801,$N786)))</f>
        <v/>
      </c>
      <c r="N786">
        <f>IF(ROWS($N$2:$N786)&lt;=COUNT('Per Invoice'!$O$2:$O$801),MATCH(ROWS($N$2:$N786),'Per Invoice'!$O$2:$O$801,0),"")</f>
        <v/>
      </c>
    </row>
    <row r="787">
      <c r="A787">
        <f>IF($N787="","",IF(INDEX('Per Invoice'!$A$2:$A$801,$N787)="","",INDEX('Per Invoice'!$A$2:$A$801,$N787)))</f>
        <v/>
      </c>
      <c r="B787">
        <f>IF($N787="","",IF(INDEX('Per Invoice'!$B$2:$B$801,$N787)="","",INDEX('Per Invoice'!$B$2:$B$801,$N787)))</f>
        <v/>
      </c>
      <c r="C787">
        <f>IF($N787="","",IF(INDEX('Per Invoice'!$C$2:$C$801,$N787)="","",INDEX('Per Invoice'!$C$2:$C$801,$N787)))</f>
        <v/>
      </c>
      <c r="D787">
        <f>IF($N787="","",IF(INDEX('Per Invoice'!$D$2:$D$801,$N787)="","",INDEX('Per Invoice'!$D$2:$D$801,$N787)))</f>
        <v/>
      </c>
      <c r="E787">
        <f>IF($N787="","",IF(INDEX('Per Invoice'!$E$2:$E$801,$N787)="","",INDEX('Per Invoice'!$E$2:$E$801,$N787)))</f>
        <v/>
      </c>
      <c r="F787">
        <f>IF($N787="","",IF(INDEX('Per Invoice'!$F$2:$F$801,$N787)="","",INDEX('Per Invoice'!$F$2:$F$801,$N787)))</f>
        <v/>
      </c>
      <c r="G787">
        <f>IF($N787="","",IF(INDEX('Per Invoice'!$G$2:$G$801,$N787)="","",INDEX('Per Invoice'!$G$2:$G$801,$N787)))</f>
        <v/>
      </c>
      <c r="H787">
        <f>IF($N787="","",IF(INDEX('Per Invoice'!$H$2:$H$801,$N787)="","",INDEX('Per Invoice'!$H$2:$H$801,$N787)))</f>
        <v/>
      </c>
      <c r="I787" s="5">
        <f>IF($N787="","",IF(INDEX('Per Invoice'!$I$2:$I$801,$N787)="","",INDEX('Per Invoice'!$I$2:$I$801,$N787)))</f>
        <v/>
      </c>
      <c r="J787" s="5">
        <f>IF($N787="","",IF(INDEX('Per Invoice'!$J$2:$J$801,$N787)="","",INDEX('Per Invoice'!$J$2:$J$801,$N787)))</f>
        <v/>
      </c>
      <c r="K787" s="5">
        <f>IF($N787="","",IF(INDEX('Per Invoice'!$K$2:$K$801,$N787)="","",INDEX('Per Invoice'!$K$2:$K$801,$N787)))</f>
        <v/>
      </c>
      <c r="L787" s="5">
        <f>IF($N787="","",IF(INDEX('Per Invoice'!$L$2:$L$801,$N787)="","",INDEX('Per Invoice'!$L$2:$L$801,$N787)))</f>
        <v/>
      </c>
      <c r="M787" s="5">
        <f>IF($N787="","",IF(INDEX('Per Invoice'!$M$2:$M$801,$N787)="","",INDEX('Per Invoice'!$M$2:$M$801,$N787)))</f>
        <v/>
      </c>
      <c r="N787">
        <f>IF(ROWS($N$2:$N787)&lt;=COUNT('Per Invoice'!$O$2:$O$801),MATCH(ROWS($N$2:$N787),'Per Invoice'!$O$2:$O$801,0),"")</f>
        <v/>
      </c>
    </row>
    <row r="788">
      <c r="A788">
        <f>IF($N788="","",IF(INDEX('Per Invoice'!$A$2:$A$801,$N788)="","",INDEX('Per Invoice'!$A$2:$A$801,$N788)))</f>
        <v/>
      </c>
      <c r="B788">
        <f>IF($N788="","",IF(INDEX('Per Invoice'!$B$2:$B$801,$N788)="","",INDEX('Per Invoice'!$B$2:$B$801,$N788)))</f>
        <v/>
      </c>
      <c r="C788">
        <f>IF($N788="","",IF(INDEX('Per Invoice'!$C$2:$C$801,$N788)="","",INDEX('Per Invoice'!$C$2:$C$801,$N788)))</f>
        <v/>
      </c>
      <c r="D788">
        <f>IF($N788="","",IF(INDEX('Per Invoice'!$D$2:$D$801,$N788)="","",INDEX('Per Invoice'!$D$2:$D$801,$N788)))</f>
        <v/>
      </c>
      <c r="E788">
        <f>IF($N788="","",IF(INDEX('Per Invoice'!$E$2:$E$801,$N788)="","",INDEX('Per Invoice'!$E$2:$E$801,$N788)))</f>
        <v/>
      </c>
      <c r="F788">
        <f>IF($N788="","",IF(INDEX('Per Invoice'!$F$2:$F$801,$N788)="","",INDEX('Per Invoice'!$F$2:$F$801,$N788)))</f>
        <v/>
      </c>
      <c r="G788">
        <f>IF($N788="","",IF(INDEX('Per Invoice'!$G$2:$G$801,$N788)="","",INDEX('Per Invoice'!$G$2:$G$801,$N788)))</f>
        <v/>
      </c>
      <c r="H788">
        <f>IF($N788="","",IF(INDEX('Per Invoice'!$H$2:$H$801,$N788)="","",INDEX('Per Invoice'!$H$2:$H$801,$N788)))</f>
        <v/>
      </c>
      <c r="I788" s="5">
        <f>IF($N788="","",IF(INDEX('Per Invoice'!$I$2:$I$801,$N788)="","",INDEX('Per Invoice'!$I$2:$I$801,$N788)))</f>
        <v/>
      </c>
      <c r="J788" s="5">
        <f>IF($N788="","",IF(INDEX('Per Invoice'!$J$2:$J$801,$N788)="","",INDEX('Per Invoice'!$J$2:$J$801,$N788)))</f>
        <v/>
      </c>
      <c r="K788" s="5">
        <f>IF($N788="","",IF(INDEX('Per Invoice'!$K$2:$K$801,$N788)="","",INDEX('Per Invoice'!$K$2:$K$801,$N788)))</f>
        <v/>
      </c>
      <c r="L788" s="5">
        <f>IF($N788="","",IF(INDEX('Per Invoice'!$L$2:$L$801,$N788)="","",INDEX('Per Invoice'!$L$2:$L$801,$N788)))</f>
        <v/>
      </c>
      <c r="M788" s="5">
        <f>IF($N788="","",IF(INDEX('Per Invoice'!$M$2:$M$801,$N788)="","",INDEX('Per Invoice'!$M$2:$M$801,$N788)))</f>
        <v/>
      </c>
      <c r="N788">
        <f>IF(ROWS($N$2:$N788)&lt;=COUNT('Per Invoice'!$O$2:$O$801),MATCH(ROWS($N$2:$N788),'Per Invoice'!$O$2:$O$801,0),"")</f>
        <v/>
      </c>
    </row>
    <row r="789">
      <c r="A789">
        <f>IF($N789="","",IF(INDEX('Per Invoice'!$A$2:$A$801,$N789)="","",INDEX('Per Invoice'!$A$2:$A$801,$N789)))</f>
        <v/>
      </c>
      <c r="B789">
        <f>IF($N789="","",IF(INDEX('Per Invoice'!$B$2:$B$801,$N789)="","",INDEX('Per Invoice'!$B$2:$B$801,$N789)))</f>
        <v/>
      </c>
      <c r="C789">
        <f>IF($N789="","",IF(INDEX('Per Invoice'!$C$2:$C$801,$N789)="","",INDEX('Per Invoice'!$C$2:$C$801,$N789)))</f>
        <v/>
      </c>
      <c r="D789">
        <f>IF($N789="","",IF(INDEX('Per Invoice'!$D$2:$D$801,$N789)="","",INDEX('Per Invoice'!$D$2:$D$801,$N789)))</f>
        <v/>
      </c>
      <c r="E789">
        <f>IF($N789="","",IF(INDEX('Per Invoice'!$E$2:$E$801,$N789)="","",INDEX('Per Invoice'!$E$2:$E$801,$N789)))</f>
        <v/>
      </c>
      <c r="F789">
        <f>IF($N789="","",IF(INDEX('Per Invoice'!$F$2:$F$801,$N789)="","",INDEX('Per Invoice'!$F$2:$F$801,$N789)))</f>
        <v/>
      </c>
      <c r="G789">
        <f>IF($N789="","",IF(INDEX('Per Invoice'!$G$2:$G$801,$N789)="","",INDEX('Per Invoice'!$G$2:$G$801,$N789)))</f>
        <v/>
      </c>
      <c r="H789">
        <f>IF($N789="","",IF(INDEX('Per Invoice'!$H$2:$H$801,$N789)="","",INDEX('Per Invoice'!$H$2:$H$801,$N789)))</f>
        <v/>
      </c>
      <c r="I789" s="5">
        <f>IF($N789="","",IF(INDEX('Per Invoice'!$I$2:$I$801,$N789)="","",INDEX('Per Invoice'!$I$2:$I$801,$N789)))</f>
        <v/>
      </c>
      <c r="J789" s="5">
        <f>IF($N789="","",IF(INDEX('Per Invoice'!$J$2:$J$801,$N789)="","",INDEX('Per Invoice'!$J$2:$J$801,$N789)))</f>
        <v/>
      </c>
      <c r="K789" s="5">
        <f>IF($N789="","",IF(INDEX('Per Invoice'!$K$2:$K$801,$N789)="","",INDEX('Per Invoice'!$K$2:$K$801,$N789)))</f>
        <v/>
      </c>
      <c r="L789" s="5">
        <f>IF($N789="","",IF(INDEX('Per Invoice'!$L$2:$L$801,$N789)="","",INDEX('Per Invoice'!$L$2:$L$801,$N789)))</f>
        <v/>
      </c>
      <c r="M789" s="5">
        <f>IF($N789="","",IF(INDEX('Per Invoice'!$M$2:$M$801,$N789)="","",INDEX('Per Invoice'!$M$2:$M$801,$N789)))</f>
        <v/>
      </c>
      <c r="N789">
        <f>IF(ROWS($N$2:$N789)&lt;=COUNT('Per Invoice'!$O$2:$O$801),MATCH(ROWS($N$2:$N789),'Per Invoice'!$O$2:$O$801,0),"")</f>
        <v/>
      </c>
    </row>
    <row r="790">
      <c r="A790">
        <f>IF($N790="","",IF(INDEX('Per Invoice'!$A$2:$A$801,$N790)="","",INDEX('Per Invoice'!$A$2:$A$801,$N790)))</f>
        <v/>
      </c>
      <c r="B790">
        <f>IF($N790="","",IF(INDEX('Per Invoice'!$B$2:$B$801,$N790)="","",INDEX('Per Invoice'!$B$2:$B$801,$N790)))</f>
        <v/>
      </c>
      <c r="C790">
        <f>IF($N790="","",IF(INDEX('Per Invoice'!$C$2:$C$801,$N790)="","",INDEX('Per Invoice'!$C$2:$C$801,$N790)))</f>
        <v/>
      </c>
      <c r="D790">
        <f>IF($N790="","",IF(INDEX('Per Invoice'!$D$2:$D$801,$N790)="","",INDEX('Per Invoice'!$D$2:$D$801,$N790)))</f>
        <v/>
      </c>
      <c r="E790">
        <f>IF($N790="","",IF(INDEX('Per Invoice'!$E$2:$E$801,$N790)="","",INDEX('Per Invoice'!$E$2:$E$801,$N790)))</f>
        <v/>
      </c>
      <c r="F790">
        <f>IF($N790="","",IF(INDEX('Per Invoice'!$F$2:$F$801,$N790)="","",INDEX('Per Invoice'!$F$2:$F$801,$N790)))</f>
        <v/>
      </c>
      <c r="G790">
        <f>IF($N790="","",IF(INDEX('Per Invoice'!$G$2:$G$801,$N790)="","",INDEX('Per Invoice'!$G$2:$G$801,$N790)))</f>
        <v/>
      </c>
      <c r="H790">
        <f>IF($N790="","",IF(INDEX('Per Invoice'!$H$2:$H$801,$N790)="","",INDEX('Per Invoice'!$H$2:$H$801,$N790)))</f>
        <v/>
      </c>
      <c r="I790" s="5">
        <f>IF($N790="","",IF(INDEX('Per Invoice'!$I$2:$I$801,$N790)="","",INDEX('Per Invoice'!$I$2:$I$801,$N790)))</f>
        <v/>
      </c>
      <c r="J790" s="5">
        <f>IF($N790="","",IF(INDEX('Per Invoice'!$J$2:$J$801,$N790)="","",INDEX('Per Invoice'!$J$2:$J$801,$N790)))</f>
        <v/>
      </c>
      <c r="K790" s="5">
        <f>IF($N790="","",IF(INDEX('Per Invoice'!$K$2:$K$801,$N790)="","",INDEX('Per Invoice'!$K$2:$K$801,$N790)))</f>
        <v/>
      </c>
      <c r="L790" s="5">
        <f>IF($N790="","",IF(INDEX('Per Invoice'!$L$2:$L$801,$N790)="","",INDEX('Per Invoice'!$L$2:$L$801,$N790)))</f>
        <v/>
      </c>
      <c r="M790" s="5">
        <f>IF($N790="","",IF(INDEX('Per Invoice'!$M$2:$M$801,$N790)="","",INDEX('Per Invoice'!$M$2:$M$801,$N790)))</f>
        <v/>
      </c>
      <c r="N790">
        <f>IF(ROWS($N$2:$N790)&lt;=COUNT('Per Invoice'!$O$2:$O$801),MATCH(ROWS($N$2:$N790),'Per Invoice'!$O$2:$O$801,0),"")</f>
        <v/>
      </c>
    </row>
    <row r="791">
      <c r="A791">
        <f>IF($N791="","",IF(INDEX('Per Invoice'!$A$2:$A$801,$N791)="","",INDEX('Per Invoice'!$A$2:$A$801,$N791)))</f>
        <v/>
      </c>
      <c r="B791">
        <f>IF($N791="","",IF(INDEX('Per Invoice'!$B$2:$B$801,$N791)="","",INDEX('Per Invoice'!$B$2:$B$801,$N791)))</f>
        <v/>
      </c>
      <c r="C791">
        <f>IF($N791="","",IF(INDEX('Per Invoice'!$C$2:$C$801,$N791)="","",INDEX('Per Invoice'!$C$2:$C$801,$N791)))</f>
        <v/>
      </c>
      <c r="D791">
        <f>IF($N791="","",IF(INDEX('Per Invoice'!$D$2:$D$801,$N791)="","",INDEX('Per Invoice'!$D$2:$D$801,$N791)))</f>
        <v/>
      </c>
      <c r="E791">
        <f>IF($N791="","",IF(INDEX('Per Invoice'!$E$2:$E$801,$N791)="","",INDEX('Per Invoice'!$E$2:$E$801,$N791)))</f>
        <v/>
      </c>
      <c r="F791">
        <f>IF($N791="","",IF(INDEX('Per Invoice'!$F$2:$F$801,$N791)="","",INDEX('Per Invoice'!$F$2:$F$801,$N791)))</f>
        <v/>
      </c>
      <c r="G791">
        <f>IF($N791="","",IF(INDEX('Per Invoice'!$G$2:$G$801,$N791)="","",INDEX('Per Invoice'!$G$2:$G$801,$N791)))</f>
        <v/>
      </c>
      <c r="H791">
        <f>IF($N791="","",IF(INDEX('Per Invoice'!$H$2:$H$801,$N791)="","",INDEX('Per Invoice'!$H$2:$H$801,$N791)))</f>
        <v/>
      </c>
      <c r="I791" s="5">
        <f>IF($N791="","",IF(INDEX('Per Invoice'!$I$2:$I$801,$N791)="","",INDEX('Per Invoice'!$I$2:$I$801,$N791)))</f>
        <v/>
      </c>
      <c r="J791" s="5">
        <f>IF($N791="","",IF(INDEX('Per Invoice'!$J$2:$J$801,$N791)="","",INDEX('Per Invoice'!$J$2:$J$801,$N791)))</f>
        <v/>
      </c>
      <c r="K791" s="5">
        <f>IF($N791="","",IF(INDEX('Per Invoice'!$K$2:$K$801,$N791)="","",INDEX('Per Invoice'!$K$2:$K$801,$N791)))</f>
        <v/>
      </c>
      <c r="L791" s="5">
        <f>IF($N791="","",IF(INDEX('Per Invoice'!$L$2:$L$801,$N791)="","",INDEX('Per Invoice'!$L$2:$L$801,$N791)))</f>
        <v/>
      </c>
      <c r="M791" s="5">
        <f>IF($N791="","",IF(INDEX('Per Invoice'!$M$2:$M$801,$N791)="","",INDEX('Per Invoice'!$M$2:$M$801,$N791)))</f>
        <v/>
      </c>
      <c r="N791">
        <f>IF(ROWS($N$2:$N791)&lt;=COUNT('Per Invoice'!$O$2:$O$801),MATCH(ROWS($N$2:$N791),'Per Invoice'!$O$2:$O$801,0),"")</f>
        <v/>
      </c>
    </row>
    <row r="792">
      <c r="A792">
        <f>IF($N792="","",IF(INDEX('Per Invoice'!$A$2:$A$801,$N792)="","",INDEX('Per Invoice'!$A$2:$A$801,$N792)))</f>
        <v/>
      </c>
      <c r="B792">
        <f>IF($N792="","",IF(INDEX('Per Invoice'!$B$2:$B$801,$N792)="","",INDEX('Per Invoice'!$B$2:$B$801,$N792)))</f>
        <v/>
      </c>
      <c r="C792">
        <f>IF($N792="","",IF(INDEX('Per Invoice'!$C$2:$C$801,$N792)="","",INDEX('Per Invoice'!$C$2:$C$801,$N792)))</f>
        <v/>
      </c>
      <c r="D792">
        <f>IF($N792="","",IF(INDEX('Per Invoice'!$D$2:$D$801,$N792)="","",INDEX('Per Invoice'!$D$2:$D$801,$N792)))</f>
        <v/>
      </c>
      <c r="E792">
        <f>IF($N792="","",IF(INDEX('Per Invoice'!$E$2:$E$801,$N792)="","",INDEX('Per Invoice'!$E$2:$E$801,$N792)))</f>
        <v/>
      </c>
      <c r="F792">
        <f>IF($N792="","",IF(INDEX('Per Invoice'!$F$2:$F$801,$N792)="","",INDEX('Per Invoice'!$F$2:$F$801,$N792)))</f>
        <v/>
      </c>
      <c r="G792">
        <f>IF($N792="","",IF(INDEX('Per Invoice'!$G$2:$G$801,$N792)="","",INDEX('Per Invoice'!$G$2:$G$801,$N792)))</f>
        <v/>
      </c>
      <c r="H792">
        <f>IF($N792="","",IF(INDEX('Per Invoice'!$H$2:$H$801,$N792)="","",INDEX('Per Invoice'!$H$2:$H$801,$N792)))</f>
        <v/>
      </c>
      <c r="I792" s="5">
        <f>IF($N792="","",IF(INDEX('Per Invoice'!$I$2:$I$801,$N792)="","",INDEX('Per Invoice'!$I$2:$I$801,$N792)))</f>
        <v/>
      </c>
      <c r="J792" s="5">
        <f>IF($N792="","",IF(INDEX('Per Invoice'!$J$2:$J$801,$N792)="","",INDEX('Per Invoice'!$J$2:$J$801,$N792)))</f>
        <v/>
      </c>
      <c r="K792" s="5">
        <f>IF($N792="","",IF(INDEX('Per Invoice'!$K$2:$K$801,$N792)="","",INDEX('Per Invoice'!$K$2:$K$801,$N792)))</f>
        <v/>
      </c>
      <c r="L792" s="5">
        <f>IF($N792="","",IF(INDEX('Per Invoice'!$L$2:$L$801,$N792)="","",INDEX('Per Invoice'!$L$2:$L$801,$N792)))</f>
        <v/>
      </c>
      <c r="M792" s="5">
        <f>IF($N792="","",IF(INDEX('Per Invoice'!$M$2:$M$801,$N792)="","",INDEX('Per Invoice'!$M$2:$M$801,$N792)))</f>
        <v/>
      </c>
      <c r="N792">
        <f>IF(ROWS($N$2:$N792)&lt;=COUNT('Per Invoice'!$O$2:$O$801),MATCH(ROWS($N$2:$N792),'Per Invoice'!$O$2:$O$801,0),"")</f>
        <v/>
      </c>
    </row>
    <row r="793">
      <c r="A793">
        <f>IF($N793="","",IF(INDEX('Per Invoice'!$A$2:$A$801,$N793)="","",INDEX('Per Invoice'!$A$2:$A$801,$N793)))</f>
        <v/>
      </c>
      <c r="B793">
        <f>IF($N793="","",IF(INDEX('Per Invoice'!$B$2:$B$801,$N793)="","",INDEX('Per Invoice'!$B$2:$B$801,$N793)))</f>
        <v/>
      </c>
      <c r="C793">
        <f>IF($N793="","",IF(INDEX('Per Invoice'!$C$2:$C$801,$N793)="","",INDEX('Per Invoice'!$C$2:$C$801,$N793)))</f>
        <v/>
      </c>
      <c r="D793">
        <f>IF($N793="","",IF(INDEX('Per Invoice'!$D$2:$D$801,$N793)="","",INDEX('Per Invoice'!$D$2:$D$801,$N793)))</f>
        <v/>
      </c>
      <c r="E793">
        <f>IF($N793="","",IF(INDEX('Per Invoice'!$E$2:$E$801,$N793)="","",INDEX('Per Invoice'!$E$2:$E$801,$N793)))</f>
        <v/>
      </c>
      <c r="F793">
        <f>IF($N793="","",IF(INDEX('Per Invoice'!$F$2:$F$801,$N793)="","",INDEX('Per Invoice'!$F$2:$F$801,$N793)))</f>
        <v/>
      </c>
      <c r="G793">
        <f>IF($N793="","",IF(INDEX('Per Invoice'!$G$2:$G$801,$N793)="","",INDEX('Per Invoice'!$G$2:$G$801,$N793)))</f>
        <v/>
      </c>
      <c r="H793">
        <f>IF($N793="","",IF(INDEX('Per Invoice'!$H$2:$H$801,$N793)="","",INDEX('Per Invoice'!$H$2:$H$801,$N793)))</f>
        <v/>
      </c>
      <c r="I793" s="5">
        <f>IF($N793="","",IF(INDEX('Per Invoice'!$I$2:$I$801,$N793)="","",INDEX('Per Invoice'!$I$2:$I$801,$N793)))</f>
        <v/>
      </c>
      <c r="J793" s="5">
        <f>IF($N793="","",IF(INDEX('Per Invoice'!$J$2:$J$801,$N793)="","",INDEX('Per Invoice'!$J$2:$J$801,$N793)))</f>
        <v/>
      </c>
      <c r="K793" s="5">
        <f>IF($N793="","",IF(INDEX('Per Invoice'!$K$2:$K$801,$N793)="","",INDEX('Per Invoice'!$K$2:$K$801,$N793)))</f>
        <v/>
      </c>
      <c r="L793" s="5">
        <f>IF($N793="","",IF(INDEX('Per Invoice'!$L$2:$L$801,$N793)="","",INDEX('Per Invoice'!$L$2:$L$801,$N793)))</f>
        <v/>
      </c>
      <c r="M793" s="5">
        <f>IF($N793="","",IF(INDEX('Per Invoice'!$M$2:$M$801,$N793)="","",INDEX('Per Invoice'!$M$2:$M$801,$N793)))</f>
        <v/>
      </c>
      <c r="N793">
        <f>IF(ROWS($N$2:$N793)&lt;=COUNT('Per Invoice'!$O$2:$O$801),MATCH(ROWS($N$2:$N793),'Per Invoice'!$O$2:$O$801,0),"")</f>
        <v/>
      </c>
    </row>
    <row r="794">
      <c r="A794">
        <f>IF($N794="","",IF(INDEX('Per Invoice'!$A$2:$A$801,$N794)="","",INDEX('Per Invoice'!$A$2:$A$801,$N794)))</f>
        <v/>
      </c>
      <c r="B794">
        <f>IF($N794="","",IF(INDEX('Per Invoice'!$B$2:$B$801,$N794)="","",INDEX('Per Invoice'!$B$2:$B$801,$N794)))</f>
        <v/>
      </c>
      <c r="C794">
        <f>IF($N794="","",IF(INDEX('Per Invoice'!$C$2:$C$801,$N794)="","",INDEX('Per Invoice'!$C$2:$C$801,$N794)))</f>
        <v/>
      </c>
      <c r="D794">
        <f>IF($N794="","",IF(INDEX('Per Invoice'!$D$2:$D$801,$N794)="","",INDEX('Per Invoice'!$D$2:$D$801,$N794)))</f>
        <v/>
      </c>
      <c r="E794">
        <f>IF($N794="","",IF(INDEX('Per Invoice'!$E$2:$E$801,$N794)="","",INDEX('Per Invoice'!$E$2:$E$801,$N794)))</f>
        <v/>
      </c>
      <c r="F794">
        <f>IF($N794="","",IF(INDEX('Per Invoice'!$F$2:$F$801,$N794)="","",INDEX('Per Invoice'!$F$2:$F$801,$N794)))</f>
        <v/>
      </c>
      <c r="G794">
        <f>IF($N794="","",IF(INDEX('Per Invoice'!$G$2:$G$801,$N794)="","",INDEX('Per Invoice'!$G$2:$G$801,$N794)))</f>
        <v/>
      </c>
      <c r="H794">
        <f>IF($N794="","",IF(INDEX('Per Invoice'!$H$2:$H$801,$N794)="","",INDEX('Per Invoice'!$H$2:$H$801,$N794)))</f>
        <v/>
      </c>
      <c r="I794" s="5">
        <f>IF($N794="","",IF(INDEX('Per Invoice'!$I$2:$I$801,$N794)="","",INDEX('Per Invoice'!$I$2:$I$801,$N794)))</f>
        <v/>
      </c>
      <c r="J794" s="5">
        <f>IF($N794="","",IF(INDEX('Per Invoice'!$J$2:$J$801,$N794)="","",INDEX('Per Invoice'!$J$2:$J$801,$N794)))</f>
        <v/>
      </c>
      <c r="K794" s="5">
        <f>IF($N794="","",IF(INDEX('Per Invoice'!$K$2:$K$801,$N794)="","",INDEX('Per Invoice'!$K$2:$K$801,$N794)))</f>
        <v/>
      </c>
      <c r="L794" s="5">
        <f>IF($N794="","",IF(INDEX('Per Invoice'!$L$2:$L$801,$N794)="","",INDEX('Per Invoice'!$L$2:$L$801,$N794)))</f>
        <v/>
      </c>
      <c r="M794" s="5">
        <f>IF($N794="","",IF(INDEX('Per Invoice'!$M$2:$M$801,$N794)="","",INDEX('Per Invoice'!$M$2:$M$801,$N794)))</f>
        <v/>
      </c>
      <c r="N794">
        <f>IF(ROWS($N$2:$N794)&lt;=COUNT('Per Invoice'!$O$2:$O$801),MATCH(ROWS($N$2:$N794),'Per Invoice'!$O$2:$O$801,0),"")</f>
        <v/>
      </c>
    </row>
    <row r="795">
      <c r="A795">
        <f>IF($N795="","",IF(INDEX('Per Invoice'!$A$2:$A$801,$N795)="","",INDEX('Per Invoice'!$A$2:$A$801,$N795)))</f>
        <v/>
      </c>
      <c r="B795">
        <f>IF($N795="","",IF(INDEX('Per Invoice'!$B$2:$B$801,$N795)="","",INDEX('Per Invoice'!$B$2:$B$801,$N795)))</f>
        <v/>
      </c>
      <c r="C795">
        <f>IF($N795="","",IF(INDEX('Per Invoice'!$C$2:$C$801,$N795)="","",INDEX('Per Invoice'!$C$2:$C$801,$N795)))</f>
        <v/>
      </c>
      <c r="D795">
        <f>IF($N795="","",IF(INDEX('Per Invoice'!$D$2:$D$801,$N795)="","",INDEX('Per Invoice'!$D$2:$D$801,$N795)))</f>
        <v/>
      </c>
      <c r="E795">
        <f>IF($N795="","",IF(INDEX('Per Invoice'!$E$2:$E$801,$N795)="","",INDEX('Per Invoice'!$E$2:$E$801,$N795)))</f>
        <v/>
      </c>
      <c r="F795">
        <f>IF($N795="","",IF(INDEX('Per Invoice'!$F$2:$F$801,$N795)="","",INDEX('Per Invoice'!$F$2:$F$801,$N795)))</f>
        <v/>
      </c>
      <c r="G795">
        <f>IF($N795="","",IF(INDEX('Per Invoice'!$G$2:$G$801,$N795)="","",INDEX('Per Invoice'!$G$2:$G$801,$N795)))</f>
        <v/>
      </c>
      <c r="H795">
        <f>IF($N795="","",IF(INDEX('Per Invoice'!$H$2:$H$801,$N795)="","",INDEX('Per Invoice'!$H$2:$H$801,$N795)))</f>
        <v/>
      </c>
      <c r="I795" s="5">
        <f>IF($N795="","",IF(INDEX('Per Invoice'!$I$2:$I$801,$N795)="","",INDEX('Per Invoice'!$I$2:$I$801,$N795)))</f>
        <v/>
      </c>
      <c r="J795" s="5">
        <f>IF($N795="","",IF(INDEX('Per Invoice'!$J$2:$J$801,$N795)="","",INDEX('Per Invoice'!$J$2:$J$801,$N795)))</f>
        <v/>
      </c>
      <c r="K795" s="5">
        <f>IF($N795="","",IF(INDEX('Per Invoice'!$K$2:$K$801,$N795)="","",INDEX('Per Invoice'!$K$2:$K$801,$N795)))</f>
        <v/>
      </c>
      <c r="L795" s="5">
        <f>IF($N795="","",IF(INDEX('Per Invoice'!$L$2:$L$801,$N795)="","",INDEX('Per Invoice'!$L$2:$L$801,$N795)))</f>
        <v/>
      </c>
      <c r="M795" s="5">
        <f>IF($N795="","",IF(INDEX('Per Invoice'!$M$2:$M$801,$N795)="","",INDEX('Per Invoice'!$M$2:$M$801,$N795)))</f>
        <v/>
      </c>
      <c r="N795">
        <f>IF(ROWS($N$2:$N795)&lt;=COUNT('Per Invoice'!$O$2:$O$801),MATCH(ROWS($N$2:$N795),'Per Invoice'!$O$2:$O$801,0),"")</f>
        <v/>
      </c>
    </row>
    <row r="796">
      <c r="A796">
        <f>IF($N796="","",IF(INDEX('Per Invoice'!$A$2:$A$801,$N796)="","",INDEX('Per Invoice'!$A$2:$A$801,$N796)))</f>
        <v/>
      </c>
      <c r="B796">
        <f>IF($N796="","",IF(INDEX('Per Invoice'!$B$2:$B$801,$N796)="","",INDEX('Per Invoice'!$B$2:$B$801,$N796)))</f>
        <v/>
      </c>
      <c r="C796">
        <f>IF($N796="","",IF(INDEX('Per Invoice'!$C$2:$C$801,$N796)="","",INDEX('Per Invoice'!$C$2:$C$801,$N796)))</f>
        <v/>
      </c>
      <c r="D796">
        <f>IF($N796="","",IF(INDEX('Per Invoice'!$D$2:$D$801,$N796)="","",INDEX('Per Invoice'!$D$2:$D$801,$N796)))</f>
        <v/>
      </c>
      <c r="E796">
        <f>IF($N796="","",IF(INDEX('Per Invoice'!$E$2:$E$801,$N796)="","",INDEX('Per Invoice'!$E$2:$E$801,$N796)))</f>
        <v/>
      </c>
      <c r="F796">
        <f>IF($N796="","",IF(INDEX('Per Invoice'!$F$2:$F$801,$N796)="","",INDEX('Per Invoice'!$F$2:$F$801,$N796)))</f>
        <v/>
      </c>
      <c r="G796">
        <f>IF($N796="","",IF(INDEX('Per Invoice'!$G$2:$G$801,$N796)="","",INDEX('Per Invoice'!$G$2:$G$801,$N796)))</f>
        <v/>
      </c>
      <c r="H796">
        <f>IF($N796="","",IF(INDEX('Per Invoice'!$H$2:$H$801,$N796)="","",INDEX('Per Invoice'!$H$2:$H$801,$N796)))</f>
        <v/>
      </c>
      <c r="I796" s="5">
        <f>IF($N796="","",IF(INDEX('Per Invoice'!$I$2:$I$801,$N796)="","",INDEX('Per Invoice'!$I$2:$I$801,$N796)))</f>
        <v/>
      </c>
      <c r="J796" s="5">
        <f>IF($N796="","",IF(INDEX('Per Invoice'!$J$2:$J$801,$N796)="","",INDEX('Per Invoice'!$J$2:$J$801,$N796)))</f>
        <v/>
      </c>
      <c r="K796" s="5">
        <f>IF($N796="","",IF(INDEX('Per Invoice'!$K$2:$K$801,$N796)="","",INDEX('Per Invoice'!$K$2:$K$801,$N796)))</f>
        <v/>
      </c>
      <c r="L796" s="5">
        <f>IF($N796="","",IF(INDEX('Per Invoice'!$L$2:$L$801,$N796)="","",INDEX('Per Invoice'!$L$2:$L$801,$N796)))</f>
        <v/>
      </c>
      <c r="M796" s="5">
        <f>IF($N796="","",IF(INDEX('Per Invoice'!$M$2:$M$801,$N796)="","",INDEX('Per Invoice'!$M$2:$M$801,$N796)))</f>
        <v/>
      </c>
      <c r="N796">
        <f>IF(ROWS($N$2:$N796)&lt;=COUNT('Per Invoice'!$O$2:$O$801),MATCH(ROWS($N$2:$N796),'Per Invoice'!$O$2:$O$801,0),"")</f>
        <v/>
      </c>
    </row>
    <row r="797">
      <c r="A797">
        <f>IF($N797="","",IF(INDEX('Per Invoice'!$A$2:$A$801,$N797)="","",INDEX('Per Invoice'!$A$2:$A$801,$N797)))</f>
        <v/>
      </c>
      <c r="B797">
        <f>IF($N797="","",IF(INDEX('Per Invoice'!$B$2:$B$801,$N797)="","",INDEX('Per Invoice'!$B$2:$B$801,$N797)))</f>
        <v/>
      </c>
      <c r="C797">
        <f>IF($N797="","",IF(INDEX('Per Invoice'!$C$2:$C$801,$N797)="","",INDEX('Per Invoice'!$C$2:$C$801,$N797)))</f>
        <v/>
      </c>
      <c r="D797">
        <f>IF($N797="","",IF(INDEX('Per Invoice'!$D$2:$D$801,$N797)="","",INDEX('Per Invoice'!$D$2:$D$801,$N797)))</f>
        <v/>
      </c>
      <c r="E797">
        <f>IF($N797="","",IF(INDEX('Per Invoice'!$E$2:$E$801,$N797)="","",INDEX('Per Invoice'!$E$2:$E$801,$N797)))</f>
        <v/>
      </c>
      <c r="F797">
        <f>IF($N797="","",IF(INDEX('Per Invoice'!$F$2:$F$801,$N797)="","",INDEX('Per Invoice'!$F$2:$F$801,$N797)))</f>
        <v/>
      </c>
      <c r="G797">
        <f>IF($N797="","",IF(INDEX('Per Invoice'!$G$2:$G$801,$N797)="","",INDEX('Per Invoice'!$G$2:$G$801,$N797)))</f>
        <v/>
      </c>
      <c r="H797">
        <f>IF($N797="","",IF(INDEX('Per Invoice'!$H$2:$H$801,$N797)="","",INDEX('Per Invoice'!$H$2:$H$801,$N797)))</f>
        <v/>
      </c>
      <c r="I797" s="5">
        <f>IF($N797="","",IF(INDEX('Per Invoice'!$I$2:$I$801,$N797)="","",INDEX('Per Invoice'!$I$2:$I$801,$N797)))</f>
        <v/>
      </c>
      <c r="J797" s="5">
        <f>IF($N797="","",IF(INDEX('Per Invoice'!$J$2:$J$801,$N797)="","",INDEX('Per Invoice'!$J$2:$J$801,$N797)))</f>
        <v/>
      </c>
      <c r="K797" s="5">
        <f>IF($N797="","",IF(INDEX('Per Invoice'!$K$2:$K$801,$N797)="","",INDEX('Per Invoice'!$K$2:$K$801,$N797)))</f>
        <v/>
      </c>
      <c r="L797" s="5">
        <f>IF($N797="","",IF(INDEX('Per Invoice'!$L$2:$L$801,$N797)="","",INDEX('Per Invoice'!$L$2:$L$801,$N797)))</f>
        <v/>
      </c>
      <c r="M797" s="5">
        <f>IF($N797="","",IF(INDEX('Per Invoice'!$M$2:$M$801,$N797)="","",INDEX('Per Invoice'!$M$2:$M$801,$N797)))</f>
        <v/>
      </c>
      <c r="N797">
        <f>IF(ROWS($N$2:$N797)&lt;=COUNT('Per Invoice'!$O$2:$O$801),MATCH(ROWS($N$2:$N797),'Per Invoice'!$O$2:$O$801,0),"")</f>
        <v/>
      </c>
    </row>
    <row r="798">
      <c r="A798">
        <f>IF($N798="","",IF(INDEX('Per Invoice'!$A$2:$A$801,$N798)="","",INDEX('Per Invoice'!$A$2:$A$801,$N798)))</f>
        <v/>
      </c>
      <c r="B798">
        <f>IF($N798="","",IF(INDEX('Per Invoice'!$B$2:$B$801,$N798)="","",INDEX('Per Invoice'!$B$2:$B$801,$N798)))</f>
        <v/>
      </c>
      <c r="C798">
        <f>IF($N798="","",IF(INDEX('Per Invoice'!$C$2:$C$801,$N798)="","",INDEX('Per Invoice'!$C$2:$C$801,$N798)))</f>
        <v/>
      </c>
      <c r="D798">
        <f>IF($N798="","",IF(INDEX('Per Invoice'!$D$2:$D$801,$N798)="","",INDEX('Per Invoice'!$D$2:$D$801,$N798)))</f>
        <v/>
      </c>
      <c r="E798">
        <f>IF($N798="","",IF(INDEX('Per Invoice'!$E$2:$E$801,$N798)="","",INDEX('Per Invoice'!$E$2:$E$801,$N798)))</f>
        <v/>
      </c>
      <c r="F798">
        <f>IF($N798="","",IF(INDEX('Per Invoice'!$F$2:$F$801,$N798)="","",INDEX('Per Invoice'!$F$2:$F$801,$N798)))</f>
        <v/>
      </c>
      <c r="G798">
        <f>IF($N798="","",IF(INDEX('Per Invoice'!$G$2:$G$801,$N798)="","",INDEX('Per Invoice'!$G$2:$G$801,$N798)))</f>
        <v/>
      </c>
      <c r="H798">
        <f>IF($N798="","",IF(INDEX('Per Invoice'!$H$2:$H$801,$N798)="","",INDEX('Per Invoice'!$H$2:$H$801,$N798)))</f>
        <v/>
      </c>
      <c r="I798" s="5">
        <f>IF($N798="","",IF(INDEX('Per Invoice'!$I$2:$I$801,$N798)="","",INDEX('Per Invoice'!$I$2:$I$801,$N798)))</f>
        <v/>
      </c>
      <c r="J798" s="5">
        <f>IF($N798="","",IF(INDEX('Per Invoice'!$J$2:$J$801,$N798)="","",INDEX('Per Invoice'!$J$2:$J$801,$N798)))</f>
        <v/>
      </c>
      <c r="K798" s="5">
        <f>IF($N798="","",IF(INDEX('Per Invoice'!$K$2:$K$801,$N798)="","",INDEX('Per Invoice'!$K$2:$K$801,$N798)))</f>
        <v/>
      </c>
      <c r="L798" s="5">
        <f>IF($N798="","",IF(INDEX('Per Invoice'!$L$2:$L$801,$N798)="","",INDEX('Per Invoice'!$L$2:$L$801,$N798)))</f>
        <v/>
      </c>
      <c r="M798" s="5">
        <f>IF($N798="","",IF(INDEX('Per Invoice'!$M$2:$M$801,$N798)="","",INDEX('Per Invoice'!$M$2:$M$801,$N798)))</f>
        <v/>
      </c>
      <c r="N798">
        <f>IF(ROWS($N$2:$N798)&lt;=COUNT('Per Invoice'!$O$2:$O$801),MATCH(ROWS($N$2:$N798),'Per Invoice'!$O$2:$O$801,0),"")</f>
        <v/>
      </c>
    </row>
    <row r="799">
      <c r="A799">
        <f>IF($N799="","",IF(INDEX('Per Invoice'!$A$2:$A$801,$N799)="","",INDEX('Per Invoice'!$A$2:$A$801,$N799)))</f>
        <v/>
      </c>
      <c r="B799">
        <f>IF($N799="","",IF(INDEX('Per Invoice'!$B$2:$B$801,$N799)="","",INDEX('Per Invoice'!$B$2:$B$801,$N799)))</f>
        <v/>
      </c>
      <c r="C799">
        <f>IF($N799="","",IF(INDEX('Per Invoice'!$C$2:$C$801,$N799)="","",INDEX('Per Invoice'!$C$2:$C$801,$N799)))</f>
        <v/>
      </c>
      <c r="D799">
        <f>IF($N799="","",IF(INDEX('Per Invoice'!$D$2:$D$801,$N799)="","",INDEX('Per Invoice'!$D$2:$D$801,$N799)))</f>
        <v/>
      </c>
      <c r="E799">
        <f>IF($N799="","",IF(INDEX('Per Invoice'!$E$2:$E$801,$N799)="","",INDEX('Per Invoice'!$E$2:$E$801,$N799)))</f>
        <v/>
      </c>
      <c r="F799">
        <f>IF($N799="","",IF(INDEX('Per Invoice'!$F$2:$F$801,$N799)="","",INDEX('Per Invoice'!$F$2:$F$801,$N799)))</f>
        <v/>
      </c>
      <c r="G799">
        <f>IF($N799="","",IF(INDEX('Per Invoice'!$G$2:$G$801,$N799)="","",INDEX('Per Invoice'!$G$2:$G$801,$N799)))</f>
        <v/>
      </c>
      <c r="H799">
        <f>IF($N799="","",IF(INDEX('Per Invoice'!$H$2:$H$801,$N799)="","",INDEX('Per Invoice'!$H$2:$H$801,$N799)))</f>
        <v/>
      </c>
      <c r="I799" s="5">
        <f>IF($N799="","",IF(INDEX('Per Invoice'!$I$2:$I$801,$N799)="","",INDEX('Per Invoice'!$I$2:$I$801,$N799)))</f>
        <v/>
      </c>
      <c r="J799" s="5">
        <f>IF($N799="","",IF(INDEX('Per Invoice'!$J$2:$J$801,$N799)="","",INDEX('Per Invoice'!$J$2:$J$801,$N799)))</f>
        <v/>
      </c>
      <c r="K799" s="5">
        <f>IF($N799="","",IF(INDEX('Per Invoice'!$K$2:$K$801,$N799)="","",INDEX('Per Invoice'!$K$2:$K$801,$N799)))</f>
        <v/>
      </c>
      <c r="L799" s="5">
        <f>IF($N799="","",IF(INDEX('Per Invoice'!$L$2:$L$801,$N799)="","",INDEX('Per Invoice'!$L$2:$L$801,$N799)))</f>
        <v/>
      </c>
      <c r="M799" s="5">
        <f>IF($N799="","",IF(INDEX('Per Invoice'!$M$2:$M$801,$N799)="","",INDEX('Per Invoice'!$M$2:$M$801,$N799)))</f>
        <v/>
      </c>
      <c r="N799">
        <f>IF(ROWS($N$2:$N799)&lt;=COUNT('Per Invoice'!$O$2:$O$801),MATCH(ROWS($N$2:$N799),'Per Invoice'!$O$2:$O$801,0),"")</f>
        <v/>
      </c>
    </row>
    <row r="800">
      <c r="A800">
        <f>IF($N800="","",IF(INDEX('Per Invoice'!$A$2:$A$801,$N800)="","",INDEX('Per Invoice'!$A$2:$A$801,$N800)))</f>
        <v/>
      </c>
      <c r="B800">
        <f>IF($N800="","",IF(INDEX('Per Invoice'!$B$2:$B$801,$N800)="","",INDEX('Per Invoice'!$B$2:$B$801,$N800)))</f>
        <v/>
      </c>
      <c r="C800">
        <f>IF($N800="","",IF(INDEX('Per Invoice'!$C$2:$C$801,$N800)="","",INDEX('Per Invoice'!$C$2:$C$801,$N800)))</f>
        <v/>
      </c>
      <c r="D800">
        <f>IF($N800="","",IF(INDEX('Per Invoice'!$D$2:$D$801,$N800)="","",INDEX('Per Invoice'!$D$2:$D$801,$N800)))</f>
        <v/>
      </c>
      <c r="E800">
        <f>IF($N800="","",IF(INDEX('Per Invoice'!$E$2:$E$801,$N800)="","",INDEX('Per Invoice'!$E$2:$E$801,$N800)))</f>
        <v/>
      </c>
      <c r="F800">
        <f>IF($N800="","",IF(INDEX('Per Invoice'!$F$2:$F$801,$N800)="","",INDEX('Per Invoice'!$F$2:$F$801,$N800)))</f>
        <v/>
      </c>
      <c r="G800">
        <f>IF($N800="","",IF(INDEX('Per Invoice'!$G$2:$G$801,$N800)="","",INDEX('Per Invoice'!$G$2:$G$801,$N800)))</f>
        <v/>
      </c>
      <c r="H800">
        <f>IF($N800="","",IF(INDEX('Per Invoice'!$H$2:$H$801,$N800)="","",INDEX('Per Invoice'!$H$2:$H$801,$N800)))</f>
        <v/>
      </c>
      <c r="I800" s="5">
        <f>IF($N800="","",IF(INDEX('Per Invoice'!$I$2:$I$801,$N800)="","",INDEX('Per Invoice'!$I$2:$I$801,$N800)))</f>
        <v/>
      </c>
      <c r="J800" s="5">
        <f>IF($N800="","",IF(INDEX('Per Invoice'!$J$2:$J$801,$N800)="","",INDEX('Per Invoice'!$J$2:$J$801,$N800)))</f>
        <v/>
      </c>
      <c r="K800" s="5">
        <f>IF($N800="","",IF(INDEX('Per Invoice'!$K$2:$K$801,$N800)="","",INDEX('Per Invoice'!$K$2:$K$801,$N800)))</f>
        <v/>
      </c>
      <c r="L800" s="5">
        <f>IF($N800="","",IF(INDEX('Per Invoice'!$L$2:$L$801,$N800)="","",INDEX('Per Invoice'!$L$2:$L$801,$N800)))</f>
        <v/>
      </c>
      <c r="M800" s="5">
        <f>IF($N800="","",IF(INDEX('Per Invoice'!$M$2:$M$801,$N800)="","",INDEX('Per Invoice'!$M$2:$M$801,$N800)))</f>
        <v/>
      </c>
      <c r="N800">
        <f>IF(ROWS($N$2:$N800)&lt;=COUNT('Per Invoice'!$O$2:$O$801),MATCH(ROWS($N$2:$N800),'Per Invoice'!$O$2:$O$801,0),"")</f>
        <v/>
      </c>
    </row>
    <row r="801">
      <c r="A801">
        <f>IF($N801="","",IF(INDEX('Per Invoice'!$A$2:$A$801,$N801)="","",INDEX('Per Invoice'!$A$2:$A$801,$N801)))</f>
        <v/>
      </c>
      <c r="B801">
        <f>IF($N801="","",IF(INDEX('Per Invoice'!$B$2:$B$801,$N801)="","",INDEX('Per Invoice'!$B$2:$B$801,$N801)))</f>
        <v/>
      </c>
      <c r="C801">
        <f>IF($N801="","",IF(INDEX('Per Invoice'!$C$2:$C$801,$N801)="","",INDEX('Per Invoice'!$C$2:$C$801,$N801)))</f>
        <v/>
      </c>
      <c r="D801">
        <f>IF($N801="","",IF(INDEX('Per Invoice'!$D$2:$D$801,$N801)="","",INDEX('Per Invoice'!$D$2:$D$801,$N801)))</f>
        <v/>
      </c>
      <c r="E801">
        <f>IF($N801="","",IF(INDEX('Per Invoice'!$E$2:$E$801,$N801)="","",INDEX('Per Invoice'!$E$2:$E$801,$N801)))</f>
        <v/>
      </c>
      <c r="F801">
        <f>IF($N801="","",IF(INDEX('Per Invoice'!$F$2:$F$801,$N801)="","",INDEX('Per Invoice'!$F$2:$F$801,$N801)))</f>
        <v/>
      </c>
      <c r="G801">
        <f>IF($N801="","",IF(INDEX('Per Invoice'!$G$2:$G$801,$N801)="","",INDEX('Per Invoice'!$G$2:$G$801,$N801)))</f>
        <v/>
      </c>
      <c r="H801">
        <f>IF($N801="","",IF(INDEX('Per Invoice'!$H$2:$H$801,$N801)="","",INDEX('Per Invoice'!$H$2:$H$801,$N801)))</f>
        <v/>
      </c>
      <c r="I801" s="5">
        <f>IF($N801="","",IF(INDEX('Per Invoice'!$I$2:$I$801,$N801)="","",INDEX('Per Invoice'!$I$2:$I$801,$N801)))</f>
        <v/>
      </c>
      <c r="J801" s="5">
        <f>IF($N801="","",IF(INDEX('Per Invoice'!$J$2:$J$801,$N801)="","",INDEX('Per Invoice'!$J$2:$J$801,$N801)))</f>
        <v/>
      </c>
      <c r="K801" s="5">
        <f>IF($N801="","",IF(INDEX('Per Invoice'!$K$2:$K$801,$N801)="","",INDEX('Per Invoice'!$K$2:$K$801,$N801)))</f>
        <v/>
      </c>
      <c r="L801" s="5">
        <f>IF($N801="","",IF(INDEX('Per Invoice'!$L$2:$L$801,$N801)="","",INDEX('Per Invoice'!$L$2:$L$801,$N801)))</f>
        <v/>
      </c>
      <c r="M801" s="5">
        <f>IF($N801="","",IF(INDEX('Per Invoice'!$M$2:$M$801,$N801)="","",INDEX('Per Invoice'!$M$2:$M$801,$N801)))</f>
        <v/>
      </c>
      <c r="N801">
        <f>IF(ROWS($N$2:$N801)&lt;=COUNT('Per Invoice'!$O$2:$O$801),MATCH(ROWS($N$2:$N801),'Per Invoice'!$O$2:$O$801,0),"")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9D18E"/>
    <outlinePr summaryBelow="1" summaryRight="1"/>
    <pageSetUpPr/>
  </sheetPr>
  <dimension ref="A1:N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22" customWidth="1" min="6" max="6"/>
    <col width="2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32" customHeight="1">
      <c r="A1" s="7" t="inlineStr">
        <is>
          <t>Invoice</t>
        </is>
      </c>
      <c r="B1" s="7" t="inlineStr">
        <is>
          <t>Seg</t>
        </is>
      </c>
      <c r="C1" s="7" t="inlineStr">
        <is>
          <t>So</t>
        </is>
      </c>
      <c r="D1" s="7" t="inlineStr">
        <is>
          <t>SSNBR</t>
        </is>
      </c>
      <c r="E1" s="7" t="inlineStr">
        <is>
          <t>Lot</t>
        </is>
      </c>
      <c r="F1" s="7" t="inlineStr">
        <is>
          <t>ERX</t>
        </is>
      </c>
      <c r="G1" s="7" t="inlineStr">
        <is>
          <t>Card</t>
        </is>
      </c>
      <c r="H1" s="7" t="inlineStr">
        <is>
          <t>Svc Date</t>
        </is>
      </c>
      <c r="I1" s="7" t="inlineStr">
        <is>
          <t>Sum of Total Approved</t>
        </is>
      </c>
      <c r="J1" s="7" t="inlineStr">
        <is>
          <t>Sum of dis</t>
        </is>
      </c>
      <c r="K1" s="7" t="inlineStr">
        <is>
          <t>Sum of Paid Amount</t>
        </is>
      </c>
      <c r="L1" s="7" t="inlineStr">
        <is>
          <t>Sum of Subtotal</t>
        </is>
      </c>
      <c r="M1" s="7" t="inlineStr">
        <is>
          <t>Sum of Net Amt</t>
        </is>
      </c>
      <c r="N1" s="10" t="inlineStr">
        <is>
          <t>Per Invoice Row (helper)</t>
        </is>
      </c>
    </row>
    <row r="2">
      <c r="A2">
        <f>IF($N2="","",IF(INDEX('Per Invoice'!$A$2:$A$801,$N2)="","",INDEX('Per Invoice'!$A$2:$A$801,$N2)))</f>
        <v/>
      </c>
      <c r="B2">
        <f>IF($N2="","",IF(INDEX('Per Invoice'!$B$2:$B$801,$N2)="","",INDEX('Per Invoice'!$B$2:$B$801,$N2)))</f>
        <v/>
      </c>
      <c r="C2">
        <f>IF($N2="","",IF(INDEX('Per Invoice'!$C$2:$C$801,$N2)="","",INDEX('Per Invoice'!$C$2:$C$801,$N2)))</f>
        <v/>
      </c>
      <c r="D2">
        <f>IF($N2="","",IF(INDEX('Per Invoice'!$D$2:$D$801,$N2)="","",INDEX('Per Invoice'!$D$2:$D$801,$N2)))</f>
        <v/>
      </c>
      <c r="E2">
        <f>IF($N2="","",IF(INDEX('Per Invoice'!$E$2:$E$801,$N2)="","",INDEX('Per Invoice'!$E$2:$E$801,$N2)))</f>
        <v/>
      </c>
      <c r="F2">
        <f>IF($N2="","",IF(INDEX('Per Invoice'!$F$2:$F$801,$N2)="","",INDEX('Per Invoice'!$F$2:$F$801,$N2)))</f>
        <v/>
      </c>
      <c r="G2">
        <f>IF($N2="","",IF(INDEX('Per Invoice'!$G$2:$G$801,$N2)="","",INDEX('Per Invoice'!$G$2:$G$801,$N2)))</f>
        <v/>
      </c>
      <c r="H2">
        <f>IF($N2="","",IF(INDEX('Per Invoice'!$H$2:$H$801,$N2)="","",INDEX('Per Invoice'!$H$2:$H$801,$N2)))</f>
        <v/>
      </c>
      <c r="I2" s="5">
        <f>IF($N2="","",IF(INDEX('Per Invoice'!$I$2:$I$801,$N2)="","",INDEX('Per Invoice'!$I$2:$I$801,$N2)))</f>
        <v/>
      </c>
      <c r="J2" s="5">
        <f>IF($N2="","",IF(INDEX('Per Invoice'!$J$2:$J$801,$N2)="","",INDEX('Per Invoice'!$J$2:$J$801,$N2)))</f>
        <v/>
      </c>
      <c r="K2" s="5">
        <f>IF($N2="","",IF(INDEX('Per Invoice'!$K$2:$K$801,$N2)="","",INDEX('Per Invoice'!$K$2:$K$801,$N2)))</f>
        <v/>
      </c>
      <c r="L2" s="5">
        <f>IF($N2="","",IF(INDEX('Per Invoice'!$L$2:$L$801,$N2)="","",INDEX('Per Invoice'!$L$2:$L$801,$N2)))</f>
        <v/>
      </c>
      <c r="M2" s="5">
        <f>IF($N2="","",IF(INDEX('Per Invoice'!$M$2:$M$801,$N2)="","",INDEX('Per Invoice'!$M$2:$M$801,$N2)))</f>
        <v/>
      </c>
      <c r="N2">
        <f>IF(ROWS($N$2:$N2)&lt;=COUNT('Per Invoice'!$P$2:$P$801),MATCH(ROWS($N$2:$N2),'Per Invoice'!$P$2:$P$801,0),"")</f>
        <v/>
      </c>
    </row>
    <row r="3">
      <c r="A3">
        <f>IF($N3="","",IF(INDEX('Per Invoice'!$A$2:$A$801,$N3)="","",INDEX('Per Invoice'!$A$2:$A$801,$N3)))</f>
        <v/>
      </c>
      <c r="B3">
        <f>IF($N3="","",IF(INDEX('Per Invoice'!$B$2:$B$801,$N3)="","",INDEX('Per Invoice'!$B$2:$B$801,$N3)))</f>
        <v/>
      </c>
      <c r="C3">
        <f>IF($N3="","",IF(INDEX('Per Invoice'!$C$2:$C$801,$N3)="","",INDEX('Per Invoice'!$C$2:$C$801,$N3)))</f>
        <v/>
      </c>
      <c r="D3">
        <f>IF($N3="","",IF(INDEX('Per Invoice'!$D$2:$D$801,$N3)="","",INDEX('Per Invoice'!$D$2:$D$801,$N3)))</f>
        <v/>
      </c>
      <c r="E3">
        <f>IF($N3="","",IF(INDEX('Per Invoice'!$E$2:$E$801,$N3)="","",INDEX('Per Invoice'!$E$2:$E$801,$N3)))</f>
        <v/>
      </c>
      <c r="F3">
        <f>IF($N3="","",IF(INDEX('Per Invoice'!$F$2:$F$801,$N3)="","",INDEX('Per Invoice'!$F$2:$F$801,$N3)))</f>
        <v/>
      </c>
      <c r="G3">
        <f>IF($N3="","",IF(INDEX('Per Invoice'!$G$2:$G$801,$N3)="","",INDEX('Per Invoice'!$G$2:$G$801,$N3)))</f>
        <v/>
      </c>
      <c r="H3">
        <f>IF($N3="","",IF(INDEX('Per Invoice'!$H$2:$H$801,$N3)="","",INDEX('Per Invoice'!$H$2:$H$801,$N3)))</f>
        <v/>
      </c>
      <c r="I3" s="5">
        <f>IF($N3="","",IF(INDEX('Per Invoice'!$I$2:$I$801,$N3)="","",INDEX('Per Invoice'!$I$2:$I$801,$N3)))</f>
        <v/>
      </c>
      <c r="J3" s="5">
        <f>IF($N3="","",IF(INDEX('Per Invoice'!$J$2:$J$801,$N3)="","",INDEX('Per Invoice'!$J$2:$J$801,$N3)))</f>
        <v/>
      </c>
      <c r="K3" s="5">
        <f>IF($N3="","",IF(INDEX('Per Invoice'!$K$2:$K$801,$N3)="","",INDEX('Per Invoice'!$K$2:$K$801,$N3)))</f>
        <v/>
      </c>
      <c r="L3" s="5">
        <f>IF($N3="","",IF(INDEX('Per Invoice'!$L$2:$L$801,$N3)="","",INDEX('Per Invoice'!$L$2:$L$801,$N3)))</f>
        <v/>
      </c>
      <c r="M3" s="5">
        <f>IF($N3="","",IF(INDEX('Per Invoice'!$M$2:$M$801,$N3)="","",INDEX('Per Invoice'!$M$2:$M$801,$N3)))</f>
        <v/>
      </c>
      <c r="N3">
        <f>IF(ROWS($N$2:$N3)&lt;=COUNT('Per Invoice'!$P$2:$P$801),MATCH(ROWS($N$2:$N3),'Per Invoice'!$P$2:$P$801,0),"")</f>
        <v/>
      </c>
    </row>
    <row r="4">
      <c r="A4">
        <f>IF($N4="","",IF(INDEX('Per Invoice'!$A$2:$A$801,$N4)="","",INDEX('Per Invoice'!$A$2:$A$801,$N4)))</f>
        <v/>
      </c>
      <c r="B4">
        <f>IF($N4="","",IF(INDEX('Per Invoice'!$B$2:$B$801,$N4)="","",INDEX('Per Invoice'!$B$2:$B$801,$N4)))</f>
        <v/>
      </c>
      <c r="C4">
        <f>IF($N4="","",IF(INDEX('Per Invoice'!$C$2:$C$801,$N4)="","",INDEX('Per Invoice'!$C$2:$C$801,$N4)))</f>
        <v/>
      </c>
      <c r="D4">
        <f>IF($N4="","",IF(INDEX('Per Invoice'!$D$2:$D$801,$N4)="","",INDEX('Per Invoice'!$D$2:$D$801,$N4)))</f>
        <v/>
      </c>
      <c r="E4">
        <f>IF($N4="","",IF(INDEX('Per Invoice'!$E$2:$E$801,$N4)="","",INDEX('Per Invoice'!$E$2:$E$801,$N4)))</f>
        <v/>
      </c>
      <c r="F4">
        <f>IF($N4="","",IF(INDEX('Per Invoice'!$F$2:$F$801,$N4)="","",INDEX('Per Invoice'!$F$2:$F$801,$N4)))</f>
        <v/>
      </c>
      <c r="G4">
        <f>IF($N4="","",IF(INDEX('Per Invoice'!$G$2:$G$801,$N4)="","",INDEX('Per Invoice'!$G$2:$G$801,$N4)))</f>
        <v/>
      </c>
      <c r="H4">
        <f>IF($N4="","",IF(INDEX('Per Invoice'!$H$2:$H$801,$N4)="","",INDEX('Per Invoice'!$H$2:$H$801,$N4)))</f>
        <v/>
      </c>
      <c r="I4" s="5">
        <f>IF($N4="","",IF(INDEX('Per Invoice'!$I$2:$I$801,$N4)="","",INDEX('Per Invoice'!$I$2:$I$801,$N4)))</f>
        <v/>
      </c>
      <c r="J4" s="5">
        <f>IF($N4="","",IF(INDEX('Per Invoice'!$J$2:$J$801,$N4)="","",INDEX('Per Invoice'!$J$2:$J$801,$N4)))</f>
        <v/>
      </c>
      <c r="K4" s="5">
        <f>IF($N4="","",IF(INDEX('Per Invoice'!$K$2:$K$801,$N4)="","",INDEX('Per Invoice'!$K$2:$K$801,$N4)))</f>
        <v/>
      </c>
      <c r="L4" s="5">
        <f>IF($N4="","",IF(INDEX('Per Invoice'!$L$2:$L$801,$N4)="","",INDEX('Per Invoice'!$L$2:$L$801,$N4)))</f>
        <v/>
      </c>
      <c r="M4" s="5">
        <f>IF($N4="","",IF(INDEX('Per Invoice'!$M$2:$M$801,$N4)="","",INDEX('Per Invoice'!$M$2:$M$801,$N4)))</f>
        <v/>
      </c>
      <c r="N4">
        <f>IF(ROWS($N$2:$N4)&lt;=COUNT('Per Invoice'!$P$2:$P$801),MATCH(ROWS($N$2:$N4),'Per Invoice'!$P$2:$P$801,0),"")</f>
        <v/>
      </c>
    </row>
    <row r="5">
      <c r="A5">
        <f>IF($N5="","",IF(INDEX('Per Invoice'!$A$2:$A$801,$N5)="","",INDEX('Per Invoice'!$A$2:$A$801,$N5)))</f>
        <v/>
      </c>
      <c r="B5">
        <f>IF($N5="","",IF(INDEX('Per Invoice'!$B$2:$B$801,$N5)="","",INDEX('Per Invoice'!$B$2:$B$801,$N5)))</f>
        <v/>
      </c>
      <c r="C5">
        <f>IF($N5="","",IF(INDEX('Per Invoice'!$C$2:$C$801,$N5)="","",INDEX('Per Invoice'!$C$2:$C$801,$N5)))</f>
        <v/>
      </c>
      <c r="D5">
        <f>IF($N5="","",IF(INDEX('Per Invoice'!$D$2:$D$801,$N5)="","",INDEX('Per Invoice'!$D$2:$D$801,$N5)))</f>
        <v/>
      </c>
      <c r="E5">
        <f>IF($N5="","",IF(INDEX('Per Invoice'!$E$2:$E$801,$N5)="","",INDEX('Per Invoice'!$E$2:$E$801,$N5)))</f>
        <v/>
      </c>
      <c r="F5">
        <f>IF($N5="","",IF(INDEX('Per Invoice'!$F$2:$F$801,$N5)="","",INDEX('Per Invoice'!$F$2:$F$801,$N5)))</f>
        <v/>
      </c>
      <c r="G5">
        <f>IF($N5="","",IF(INDEX('Per Invoice'!$G$2:$G$801,$N5)="","",INDEX('Per Invoice'!$G$2:$G$801,$N5)))</f>
        <v/>
      </c>
      <c r="H5">
        <f>IF($N5="","",IF(INDEX('Per Invoice'!$H$2:$H$801,$N5)="","",INDEX('Per Invoice'!$H$2:$H$801,$N5)))</f>
        <v/>
      </c>
      <c r="I5" s="5">
        <f>IF($N5="","",IF(INDEX('Per Invoice'!$I$2:$I$801,$N5)="","",INDEX('Per Invoice'!$I$2:$I$801,$N5)))</f>
        <v/>
      </c>
      <c r="J5" s="5">
        <f>IF($N5="","",IF(INDEX('Per Invoice'!$J$2:$J$801,$N5)="","",INDEX('Per Invoice'!$J$2:$J$801,$N5)))</f>
        <v/>
      </c>
      <c r="K5" s="5">
        <f>IF($N5="","",IF(INDEX('Per Invoice'!$K$2:$K$801,$N5)="","",INDEX('Per Invoice'!$K$2:$K$801,$N5)))</f>
        <v/>
      </c>
      <c r="L5" s="5">
        <f>IF($N5="","",IF(INDEX('Per Invoice'!$L$2:$L$801,$N5)="","",INDEX('Per Invoice'!$L$2:$L$801,$N5)))</f>
        <v/>
      </c>
      <c r="M5" s="5">
        <f>IF($N5="","",IF(INDEX('Per Invoice'!$M$2:$M$801,$N5)="","",INDEX('Per Invoice'!$M$2:$M$801,$N5)))</f>
        <v/>
      </c>
      <c r="N5">
        <f>IF(ROWS($N$2:$N5)&lt;=COUNT('Per Invoice'!$P$2:$P$801),MATCH(ROWS($N$2:$N5),'Per Invoice'!$P$2:$P$801,0),"")</f>
        <v/>
      </c>
    </row>
    <row r="6">
      <c r="A6">
        <f>IF($N6="","",IF(INDEX('Per Invoice'!$A$2:$A$801,$N6)="","",INDEX('Per Invoice'!$A$2:$A$801,$N6)))</f>
        <v/>
      </c>
      <c r="B6">
        <f>IF($N6="","",IF(INDEX('Per Invoice'!$B$2:$B$801,$N6)="","",INDEX('Per Invoice'!$B$2:$B$801,$N6)))</f>
        <v/>
      </c>
      <c r="C6">
        <f>IF($N6="","",IF(INDEX('Per Invoice'!$C$2:$C$801,$N6)="","",INDEX('Per Invoice'!$C$2:$C$801,$N6)))</f>
        <v/>
      </c>
      <c r="D6">
        <f>IF($N6="","",IF(INDEX('Per Invoice'!$D$2:$D$801,$N6)="","",INDEX('Per Invoice'!$D$2:$D$801,$N6)))</f>
        <v/>
      </c>
      <c r="E6">
        <f>IF($N6="","",IF(INDEX('Per Invoice'!$E$2:$E$801,$N6)="","",INDEX('Per Invoice'!$E$2:$E$801,$N6)))</f>
        <v/>
      </c>
      <c r="F6">
        <f>IF($N6="","",IF(INDEX('Per Invoice'!$F$2:$F$801,$N6)="","",INDEX('Per Invoice'!$F$2:$F$801,$N6)))</f>
        <v/>
      </c>
      <c r="G6">
        <f>IF($N6="","",IF(INDEX('Per Invoice'!$G$2:$G$801,$N6)="","",INDEX('Per Invoice'!$G$2:$G$801,$N6)))</f>
        <v/>
      </c>
      <c r="H6">
        <f>IF($N6="","",IF(INDEX('Per Invoice'!$H$2:$H$801,$N6)="","",INDEX('Per Invoice'!$H$2:$H$801,$N6)))</f>
        <v/>
      </c>
      <c r="I6" s="5">
        <f>IF($N6="","",IF(INDEX('Per Invoice'!$I$2:$I$801,$N6)="","",INDEX('Per Invoice'!$I$2:$I$801,$N6)))</f>
        <v/>
      </c>
      <c r="J6" s="5">
        <f>IF($N6="","",IF(INDEX('Per Invoice'!$J$2:$J$801,$N6)="","",INDEX('Per Invoice'!$J$2:$J$801,$N6)))</f>
        <v/>
      </c>
      <c r="K6" s="5">
        <f>IF($N6="","",IF(INDEX('Per Invoice'!$K$2:$K$801,$N6)="","",INDEX('Per Invoice'!$K$2:$K$801,$N6)))</f>
        <v/>
      </c>
      <c r="L6" s="5">
        <f>IF($N6="","",IF(INDEX('Per Invoice'!$L$2:$L$801,$N6)="","",INDEX('Per Invoice'!$L$2:$L$801,$N6)))</f>
        <v/>
      </c>
      <c r="M6" s="5">
        <f>IF($N6="","",IF(INDEX('Per Invoice'!$M$2:$M$801,$N6)="","",INDEX('Per Invoice'!$M$2:$M$801,$N6)))</f>
        <v/>
      </c>
      <c r="N6">
        <f>IF(ROWS($N$2:$N6)&lt;=COUNT('Per Invoice'!$P$2:$P$801),MATCH(ROWS($N$2:$N6),'Per Invoice'!$P$2:$P$801,0),"")</f>
        <v/>
      </c>
    </row>
    <row r="7">
      <c r="A7">
        <f>IF($N7="","",IF(INDEX('Per Invoice'!$A$2:$A$801,$N7)="","",INDEX('Per Invoice'!$A$2:$A$801,$N7)))</f>
        <v/>
      </c>
      <c r="B7">
        <f>IF($N7="","",IF(INDEX('Per Invoice'!$B$2:$B$801,$N7)="","",INDEX('Per Invoice'!$B$2:$B$801,$N7)))</f>
        <v/>
      </c>
      <c r="C7">
        <f>IF($N7="","",IF(INDEX('Per Invoice'!$C$2:$C$801,$N7)="","",INDEX('Per Invoice'!$C$2:$C$801,$N7)))</f>
        <v/>
      </c>
      <c r="D7">
        <f>IF($N7="","",IF(INDEX('Per Invoice'!$D$2:$D$801,$N7)="","",INDEX('Per Invoice'!$D$2:$D$801,$N7)))</f>
        <v/>
      </c>
      <c r="E7">
        <f>IF($N7="","",IF(INDEX('Per Invoice'!$E$2:$E$801,$N7)="","",INDEX('Per Invoice'!$E$2:$E$801,$N7)))</f>
        <v/>
      </c>
      <c r="F7">
        <f>IF($N7="","",IF(INDEX('Per Invoice'!$F$2:$F$801,$N7)="","",INDEX('Per Invoice'!$F$2:$F$801,$N7)))</f>
        <v/>
      </c>
      <c r="G7">
        <f>IF($N7="","",IF(INDEX('Per Invoice'!$G$2:$G$801,$N7)="","",INDEX('Per Invoice'!$G$2:$G$801,$N7)))</f>
        <v/>
      </c>
      <c r="H7">
        <f>IF($N7="","",IF(INDEX('Per Invoice'!$H$2:$H$801,$N7)="","",INDEX('Per Invoice'!$H$2:$H$801,$N7)))</f>
        <v/>
      </c>
      <c r="I7" s="5">
        <f>IF($N7="","",IF(INDEX('Per Invoice'!$I$2:$I$801,$N7)="","",INDEX('Per Invoice'!$I$2:$I$801,$N7)))</f>
        <v/>
      </c>
      <c r="J7" s="5">
        <f>IF($N7="","",IF(INDEX('Per Invoice'!$J$2:$J$801,$N7)="","",INDEX('Per Invoice'!$J$2:$J$801,$N7)))</f>
        <v/>
      </c>
      <c r="K7" s="5">
        <f>IF($N7="","",IF(INDEX('Per Invoice'!$K$2:$K$801,$N7)="","",INDEX('Per Invoice'!$K$2:$K$801,$N7)))</f>
        <v/>
      </c>
      <c r="L7" s="5">
        <f>IF($N7="","",IF(INDEX('Per Invoice'!$L$2:$L$801,$N7)="","",INDEX('Per Invoice'!$L$2:$L$801,$N7)))</f>
        <v/>
      </c>
      <c r="M7" s="5">
        <f>IF($N7="","",IF(INDEX('Per Invoice'!$M$2:$M$801,$N7)="","",INDEX('Per Invoice'!$M$2:$M$801,$N7)))</f>
        <v/>
      </c>
      <c r="N7">
        <f>IF(ROWS($N$2:$N7)&lt;=COUNT('Per Invoice'!$P$2:$P$801),MATCH(ROWS($N$2:$N7),'Per Invoice'!$P$2:$P$801,0),"")</f>
        <v/>
      </c>
    </row>
    <row r="8">
      <c r="A8">
        <f>IF($N8="","",IF(INDEX('Per Invoice'!$A$2:$A$801,$N8)="","",INDEX('Per Invoice'!$A$2:$A$801,$N8)))</f>
        <v/>
      </c>
      <c r="B8">
        <f>IF($N8="","",IF(INDEX('Per Invoice'!$B$2:$B$801,$N8)="","",INDEX('Per Invoice'!$B$2:$B$801,$N8)))</f>
        <v/>
      </c>
      <c r="C8">
        <f>IF($N8="","",IF(INDEX('Per Invoice'!$C$2:$C$801,$N8)="","",INDEX('Per Invoice'!$C$2:$C$801,$N8)))</f>
        <v/>
      </c>
      <c r="D8">
        <f>IF($N8="","",IF(INDEX('Per Invoice'!$D$2:$D$801,$N8)="","",INDEX('Per Invoice'!$D$2:$D$801,$N8)))</f>
        <v/>
      </c>
      <c r="E8">
        <f>IF($N8="","",IF(INDEX('Per Invoice'!$E$2:$E$801,$N8)="","",INDEX('Per Invoice'!$E$2:$E$801,$N8)))</f>
        <v/>
      </c>
      <c r="F8">
        <f>IF($N8="","",IF(INDEX('Per Invoice'!$F$2:$F$801,$N8)="","",INDEX('Per Invoice'!$F$2:$F$801,$N8)))</f>
        <v/>
      </c>
      <c r="G8">
        <f>IF($N8="","",IF(INDEX('Per Invoice'!$G$2:$G$801,$N8)="","",INDEX('Per Invoice'!$G$2:$G$801,$N8)))</f>
        <v/>
      </c>
      <c r="H8">
        <f>IF($N8="","",IF(INDEX('Per Invoice'!$H$2:$H$801,$N8)="","",INDEX('Per Invoice'!$H$2:$H$801,$N8)))</f>
        <v/>
      </c>
      <c r="I8" s="5">
        <f>IF($N8="","",IF(INDEX('Per Invoice'!$I$2:$I$801,$N8)="","",INDEX('Per Invoice'!$I$2:$I$801,$N8)))</f>
        <v/>
      </c>
      <c r="J8" s="5">
        <f>IF($N8="","",IF(INDEX('Per Invoice'!$J$2:$J$801,$N8)="","",INDEX('Per Invoice'!$J$2:$J$801,$N8)))</f>
        <v/>
      </c>
      <c r="K8" s="5">
        <f>IF($N8="","",IF(INDEX('Per Invoice'!$K$2:$K$801,$N8)="","",INDEX('Per Invoice'!$K$2:$K$801,$N8)))</f>
        <v/>
      </c>
      <c r="L8" s="5">
        <f>IF($N8="","",IF(INDEX('Per Invoice'!$L$2:$L$801,$N8)="","",INDEX('Per Invoice'!$L$2:$L$801,$N8)))</f>
        <v/>
      </c>
      <c r="M8" s="5">
        <f>IF($N8="","",IF(INDEX('Per Invoice'!$M$2:$M$801,$N8)="","",INDEX('Per Invoice'!$M$2:$M$801,$N8)))</f>
        <v/>
      </c>
      <c r="N8">
        <f>IF(ROWS($N$2:$N8)&lt;=COUNT('Per Invoice'!$P$2:$P$801),MATCH(ROWS($N$2:$N8),'Per Invoice'!$P$2:$P$801,0),"")</f>
        <v/>
      </c>
    </row>
    <row r="9">
      <c r="A9">
        <f>IF($N9="","",IF(INDEX('Per Invoice'!$A$2:$A$801,$N9)="","",INDEX('Per Invoice'!$A$2:$A$801,$N9)))</f>
        <v/>
      </c>
      <c r="B9">
        <f>IF($N9="","",IF(INDEX('Per Invoice'!$B$2:$B$801,$N9)="","",INDEX('Per Invoice'!$B$2:$B$801,$N9)))</f>
        <v/>
      </c>
      <c r="C9">
        <f>IF($N9="","",IF(INDEX('Per Invoice'!$C$2:$C$801,$N9)="","",INDEX('Per Invoice'!$C$2:$C$801,$N9)))</f>
        <v/>
      </c>
      <c r="D9">
        <f>IF($N9="","",IF(INDEX('Per Invoice'!$D$2:$D$801,$N9)="","",INDEX('Per Invoice'!$D$2:$D$801,$N9)))</f>
        <v/>
      </c>
      <c r="E9">
        <f>IF($N9="","",IF(INDEX('Per Invoice'!$E$2:$E$801,$N9)="","",INDEX('Per Invoice'!$E$2:$E$801,$N9)))</f>
        <v/>
      </c>
      <c r="F9">
        <f>IF($N9="","",IF(INDEX('Per Invoice'!$F$2:$F$801,$N9)="","",INDEX('Per Invoice'!$F$2:$F$801,$N9)))</f>
        <v/>
      </c>
      <c r="G9">
        <f>IF($N9="","",IF(INDEX('Per Invoice'!$G$2:$G$801,$N9)="","",INDEX('Per Invoice'!$G$2:$G$801,$N9)))</f>
        <v/>
      </c>
      <c r="H9">
        <f>IF($N9="","",IF(INDEX('Per Invoice'!$H$2:$H$801,$N9)="","",INDEX('Per Invoice'!$H$2:$H$801,$N9)))</f>
        <v/>
      </c>
      <c r="I9" s="5">
        <f>IF($N9="","",IF(INDEX('Per Invoice'!$I$2:$I$801,$N9)="","",INDEX('Per Invoice'!$I$2:$I$801,$N9)))</f>
        <v/>
      </c>
      <c r="J9" s="5">
        <f>IF($N9="","",IF(INDEX('Per Invoice'!$J$2:$J$801,$N9)="","",INDEX('Per Invoice'!$J$2:$J$801,$N9)))</f>
        <v/>
      </c>
      <c r="K9" s="5">
        <f>IF($N9="","",IF(INDEX('Per Invoice'!$K$2:$K$801,$N9)="","",INDEX('Per Invoice'!$K$2:$K$801,$N9)))</f>
        <v/>
      </c>
      <c r="L9" s="5">
        <f>IF($N9="","",IF(INDEX('Per Invoice'!$L$2:$L$801,$N9)="","",INDEX('Per Invoice'!$L$2:$L$801,$N9)))</f>
        <v/>
      </c>
      <c r="M9" s="5">
        <f>IF($N9="","",IF(INDEX('Per Invoice'!$M$2:$M$801,$N9)="","",INDEX('Per Invoice'!$M$2:$M$801,$N9)))</f>
        <v/>
      </c>
      <c r="N9">
        <f>IF(ROWS($N$2:$N9)&lt;=COUNT('Per Invoice'!$P$2:$P$801),MATCH(ROWS($N$2:$N9),'Per Invoice'!$P$2:$P$801,0),"")</f>
        <v/>
      </c>
    </row>
    <row r="10">
      <c r="A10">
        <f>IF($N10="","",IF(INDEX('Per Invoice'!$A$2:$A$801,$N10)="","",INDEX('Per Invoice'!$A$2:$A$801,$N10)))</f>
        <v/>
      </c>
      <c r="B10">
        <f>IF($N10="","",IF(INDEX('Per Invoice'!$B$2:$B$801,$N10)="","",INDEX('Per Invoice'!$B$2:$B$801,$N10)))</f>
        <v/>
      </c>
      <c r="C10">
        <f>IF($N10="","",IF(INDEX('Per Invoice'!$C$2:$C$801,$N10)="","",INDEX('Per Invoice'!$C$2:$C$801,$N10)))</f>
        <v/>
      </c>
      <c r="D10">
        <f>IF($N10="","",IF(INDEX('Per Invoice'!$D$2:$D$801,$N10)="","",INDEX('Per Invoice'!$D$2:$D$801,$N10)))</f>
        <v/>
      </c>
      <c r="E10">
        <f>IF($N10="","",IF(INDEX('Per Invoice'!$E$2:$E$801,$N10)="","",INDEX('Per Invoice'!$E$2:$E$801,$N10)))</f>
        <v/>
      </c>
      <c r="F10">
        <f>IF($N10="","",IF(INDEX('Per Invoice'!$F$2:$F$801,$N10)="","",INDEX('Per Invoice'!$F$2:$F$801,$N10)))</f>
        <v/>
      </c>
      <c r="G10">
        <f>IF($N10="","",IF(INDEX('Per Invoice'!$G$2:$G$801,$N10)="","",INDEX('Per Invoice'!$G$2:$G$801,$N10)))</f>
        <v/>
      </c>
      <c r="H10">
        <f>IF($N10="","",IF(INDEX('Per Invoice'!$H$2:$H$801,$N10)="","",INDEX('Per Invoice'!$H$2:$H$801,$N10)))</f>
        <v/>
      </c>
      <c r="I10" s="5">
        <f>IF($N10="","",IF(INDEX('Per Invoice'!$I$2:$I$801,$N10)="","",INDEX('Per Invoice'!$I$2:$I$801,$N10)))</f>
        <v/>
      </c>
      <c r="J10" s="5">
        <f>IF($N10="","",IF(INDEX('Per Invoice'!$J$2:$J$801,$N10)="","",INDEX('Per Invoice'!$J$2:$J$801,$N10)))</f>
        <v/>
      </c>
      <c r="K10" s="5">
        <f>IF($N10="","",IF(INDEX('Per Invoice'!$K$2:$K$801,$N10)="","",INDEX('Per Invoice'!$K$2:$K$801,$N10)))</f>
        <v/>
      </c>
      <c r="L10" s="5">
        <f>IF($N10="","",IF(INDEX('Per Invoice'!$L$2:$L$801,$N10)="","",INDEX('Per Invoice'!$L$2:$L$801,$N10)))</f>
        <v/>
      </c>
      <c r="M10" s="5">
        <f>IF($N10="","",IF(INDEX('Per Invoice'!$M$2:$M$801,$N10)="","",INDEX('Per Invoice'!$M$2:$M$801,$N10)))</f>
        <v/>
      </c>
      <c r="N10">
        <f>IF(ROWS($N$2:$N10)&lt;=COUNT('Per Invoice'!$P$2:$P$801),MATCH(ROWS($N$2:$N10),'Per Invoice'!$P$2:$P$801,0),"")</f>
        <v/>
      </c>
    </row>
    <row r="11">
      <c r="A11">
        <f>IF($N11="","",IF(INDEX('Per Invoice'!$A$2:$A$801,$N11)="","",INDEX('Per Invoice'!$A$2:$A$801,$N11)))</f>
        <v/>
      </c>
      <c r="B11">
        <f>IF($N11="","",IF(INDEX('Per Invoice'!$B$2:$B$801,$N11)="","",INDEX('Per Invoice'!$B$2:$B$801,$N11)))</f>
        <v/>
      </c>
      <c r="C11">
        <f>IF($N11="","",IF(INDEX('Per Invoice'!$C$2:$C$801,$N11)="","",INDEX('Per Invoice'!$C$2:$C$801,$N11)))</f>
        <v/>
      </c>
      <c r="D11">
        <f>IF($N11="","",IF(INDEX('Per Invoice'!$D$2:$D$801,$N11)="","",INDEX('Per Invoice'!$D$2:$D$801,$N11)))</f>
        <v/>
      </c>
      <c r="E11">
        <f>IF($N11="","",IF(INDEX('Per Invoice'!$E$2:$E$801,$N11)="","",INDEX('Per Invoice'!$E$2:$E$801,$N11)))</f>
        <v/>
      </c>
      <c r="F11">
        <f>IF($N11="","",IF(INDEX('Per Invoice'!$F$2:$F$801,$N11)="","",INDEX('Per Invoice'!$F$2:$F$801,$N11)))</f>
        <v/>
      </c>
      <c r="G11">
        <f>IF($N11="","",IF(INDEX('Per Invoice'!$G$2:$G$801,$N11)="","",INDEX('Per Invoice'!$G$2:$G$801,$N11)))</f>
        <v/>
      </c>
      <c r="H11">
        <f>IF($N11="","",IF(INDEX('Per Invoice'!$H$2:$H$801,$N11)="","",INDEX('Per Invoice'!$H$2:$H$801,$N11)))</f>
        <v/>
      </c>
      <c r="I11" s="5">
        <f>IF($N11="","",IF(INDEX('Per Invoice'!$I$2:$I$801,$N11)="","",INDEX('Per Invoice'!$I$2:$I$801,$N11)))</f>
        <v/>
      </c>
      <c r="J11" s="5">
        <f>IF($N11="","",IF(INDEX('Per Invoice'!$J$2:$J$801,$N11)="","",INDEX('Per Invoice'!$J$2:$J$801,$N11)))</f>
        <v/>
      </c>
      <c r="K11" s="5">
        <f>IF($N11="","",IF(INDEX('Per Invoice'!$K$2:$K$801,$N11)="","",INDEX('Per Invoice'!$K$2:$K$801,$N11)))</f>
        <v/>
      </c>
      <c r="L11" s="5">
        <f>IF($N11="","",IF(INDEX('Per Invoice'!$L$2:$L$801,$N11)="","",INDEX('Per Invoice'!$L$2:$L$801,$N11)))</f>
        <v/>
      </c>
      <c r="M11" s="5">
        <f>IF($N11="","",IF(INDEX('Per Invoice'!$M$2:$M$801,$N11)="","",INDEX('Per Invoice'!$M$2:$M$801,$N11)))</f>
        <v/>
      </c>
      <c r="N11">
        <f>IF(ROWS($N$2:$N11)&lt;=COUNT('Per Invoice'!$P$2:$P$801),MATCH(ROWS($N$2:$N11),'Per Invoice'!$P$2:$P$801,0),"")</f>
        <v/>
      </c>
    </row>
    <row r="12">
      <c r="A12">
        <f>IF($N12="","",IF(INDEX('Per Invoice'!$A$2:$A$801,$N12)="","",INDEX('Per Invoice'!$A$2:$A$801,$N12)))</f>
        <v/>
      </c>
      <c r="B12">
        <f>IF($N12="","",IF(INDEX('Per Invoice'!$B$2:$B$801,$N12)="","",INDEX('Per Invoice'!$B$2:$B$801,$N12)))</f>
        <v/>
      </c>
      <c r="C12">
        <f>IF($N12="","",IF(INDEX('Per Invoice'!$C$2:$C$801,$N12)="","",INDEX('Per Invoice'!$C$2:$C$801,$N12)))</f>
        <v/>
      </c>
      <c r="D12">
        <f>IF($N12="","",IF(INDEX('Per Invoice'!$D$2:$D$801,$N12)="","",INDEX('Per Invoice'!$D$2:$D$801,$N12)))</f>
        <v/>
      </c>
      <c r="E12">
        <f>IF($N12="","",IF(INDEX('Per Invoice'!$E$2:$E$801,$N12)="","",INDEX('Per Invoice'!$E$2:$E$801,$N12)))</f>
        <v/>
      </c>
      <c r="F12">
        <f>IF($N12="","",IF(INDEX('Per Invoice'!$F$2:$F$801,$N12)="","",INDEX('Per Invoice'!$F$2:$F$801,$N12)))</f>
        <v/>
      </c>
      <c r="G12">
        <f>IF($N12="","",IF(INDEX('Per Invoice'!$G$2:$G$801,$N12)="","",INDEX('Per Invoice'!$G$2:$G$801,$N12)))</f>
        <v/>
      </c>
      <c r="H12">
        <f>IF($N12="","",IF(INDEX('Per Invoice'!$H$2:$H$801,$N12)="","",INDEX('Per Invoice'!$H$2:$H$801,$N12)))</f>
        <v/>
      </c>
      <c r="I12" s="5">
        <f>IF($N12="","",IF(INDEX('Per Invoice'!$I$2:$I$801,$N12)="","",INDEX('Per Invoice'!$I$2:$I$801,$N12)))</f>
        <v/>
      </c>
      <c r="J12" s="5">
        <f>IF($N12="","",IF(INDEX('Per Invoice'!$J$2:$J$801,$N12)="","",INDEX('Per Invoice'!$J$2:$J$801,$N12)))</f>
        <v/>
      </c>
      <c r="K12" s="5">
        <f>IF($N12="","",IF(INDEX('Per Invoice'!$K$2:$K$801,$N12)="","",INDEX('Per Invoice'!$K$2:$K$801,$N12)))</f>
        <v/>
      </c>
      <c r="L12" s="5">
        <f>IF($N12="","",IF(INDEX('Per Invoice'!$L$2:$L$801,$N12)="","",INDEX('Per Invoice'!$L$2:$L$801,$N12)))</f>
        <v/>
      </c>
      <c r="M12" s="5">
        <f>IF($N12="","",IF(INDEX('Per Invoice'!$M$2:$M$801,$N12)="","",INDEX('Per Invoice'!$M$2:$M$801,$N12)))</f>
        <v/>
      </c>
      <c r="N12">
        <f>IF(ROWS($N$2:$N12)&lt;=COUNT('Per Invoice'!$P$2:$P$801),MATCH(ROWS($N$2:$N12),'Per Invoice'!$P$2:$P$801,0),"")</f>
        <v/>
      </c>
    </row>
    <row r="13">
      <c r="A13">
        <f>IF($N13="","",IF(INDEX('Per Invoice'!$A$2:$A$801,$N13)="","",INDEX('Per Invoice'!$A$2:$A$801,$N13)))</f>
        <v/>
      </c>
      <c r="B13">
        <f>IF($N13="","",IF(INDEX('Per Invoice'!$B$2:$B$801,$N13)="","",INDEX('Per Invoice'!$B$2:$B$801,$N13)))</f>
        <v/>
      </c>
      <c r="C13">
        <f>IF($N13="","",IF(INDEX('Per Invoice'!$C$2:$C$801,$N13)="","",INDEX('Per Invoice'!$C$2:$C$801,$N13)))</f>
        <v/>
      </c>
      <c r="D13">
        <f>IF($N13="","",IF(INDEX('Per Invoice'!$D$2:$D$801,$N13)="","",INDEX('Per Invoice'!$D$2:$D$801,$N13)))</f>
        <v/>
      </c>
      <c r="E13">
        <f>IF($N13="","",IF(INDEX('Per Invoice'!$E$2:$E$801,$N13)="","",INDEX('Per Invoice'!$E$2:$E$801,$N13)))</f>
        <v/>
      </c>
      <c r="F13">
        <f>IF($N13="","",IF(INDEX('Per Invoice'!$F$2:$F$801,$N13)="","",INDEX('Per Invoice'!$F$2:$F$801,$N13)))</f>
        <v/>
      </c>
      <c r="G13">
        <f>IF($N13="","",IF(INDEX('Per Invoice'!$G$2:$G$801,$N13)="","",INDEX('Per Invoice'!$G$2:$G$801,$N13)))</f>
        <v/>
      </c>
      <c r="H13">
        <f>IF($N13="","",IF(INDEX('Per Invoice'!$H$2:$H$801,$N13)="","",INDEX('Per Invoice'!$H$2:$H$801,$N13)))</f>
        <v/>
      </c>
      <c r="I13" s="5">
        <f>IF($N13="","",IF(INDEX('Per Invoice'!$I$2:$I$801,$N13)="","",INDEX('Per Invoice'!$I$2:$I$801,$N13)))</f>
        <v/>
      </c>
      <c r="J13" s="5">
        <f>IF($N13="","",IF(INDEX('Per Invoice'!$J$2:$J$801,$N13)="","",INDEX('Per Invoice'!$J$2:$J$801,$N13)))</f>
        <v/>
      </c>
      <c r="K13" s="5">
        <f>IF($N13="","",IF(INDEX('Per Invoice'!$K$2:$K$801,$N13)="","",INDEX('Per Invoice'!$K$2:$K$801,$N13)))</f>
        <v/>
      </c>
      <c r="L13" s="5">
        <f>IF($N13="","",IF(INDEX('Per Invoice'!$L$2:$L$801,$N13)="","",INDEX('Per Invoice'!$L$2:$L$801,$N13)))</f>
        <v/>
      </c>
      <c r="M13" s="5">
        <f>IF($N13="","",IF(INDEX('Per Invoice'!$M$2:$M$801,$N13)="","",INDEX('Per Invoice'!$M$2:$M$801,$N13)))</f>
        <v/>
      </c>
      <c r="N13">
        <f>IF(ROWS($N$2:$N13)&lt;=COUNT('Per Invoice'!$P$2:$P$801),MATCH(ROWS($N$2:$N13),'Per Invoice'!$P$2:$P$801,0),"")</f>
        <v/>
      </c>
    </row>
    <row r="14">
      <c r="A14">
        <f>IF($N14="","",IF(INDEX('Per Invoice'!$A$2:$A$801,$N14)="","",INDEX('Per Invoice'!$A$2:$A$801,$N14)))</f>
        <v/>
      </c>
      <c r="B14">
        <f>IF($N14="","",IF(INDEX('Per Invoice'!$B$2:$B$801,$N14)="","",INDEX('Per Invoice'!$B$2:$B$801,$N14)))</f>
        <v/>
      </c>
      <c r="C14">
        <f>IF($N14="","",IF(INDEX('Per Invoice'!$C$2:$C$801,$N14)="","",INDEX('Per Invoice'!$C$2:$C$801,$N14)))</f>
        <v/>
      </c>
      <c r="D14">
        <f>IF($N14="","",IF(INDEX('Per Invoice'!$D$2:$D$801,$N14)="","",INDEX('Per Invoice'!$D$2:$D$801,$N14)))</f>
        <v/>
      </c>
      <c r="E14">
        <f>IF($N14="","",IF(INDEX('Per Invoice'!$E$2:$E$801,$N14)="","",INDEX('Per Invoice'!$E$2:$E$801,$N14)))</f>
        <v/>
      </c>
      <c r="F14">
        <f>IF($N14="","",IF(INDEX('Per Invoice'!$F$2:$F$801,$N14)="","",INDEX('Per Invoice'!$F$2:$F$801,$N14)))</f>
        <v/>
      </c>
      <c r="G14">
        <f>IF($N14="","",IF(INDEX('Per Invoice'!$G$2:$G$801,$N14)="","",INDEX('Per Invoice'!$G$2:$G$801,$N14)))</f>
        <v/>
      </c>
      <c r="H14">
        <f>IF($N14="","",IF(INDEX('Per Invoice'!$H$2:$H$801,$N14)="","",INDEX('Per Invoice'!$H$2:$H$801,$N14)))</f>
        <v/>
      </c>
      <c r="I14" s="5">
        <f>IF($N14="","",IF(INDEX('Per Invoice'!$I$2:$I$801,$N14)="","",INDEX('Per Invoice'!$I$2:$I$801,$N14)))</f>
        <v/>
      </c>
      <c r="J14" s="5">
        <f>IF($N14="","",IF(INDEX('Per Invoice'!$J$2:$J$801,$N14)="","",INDEX('Per Invoice'!$J$2:$J$801,$N14)))</f>
        <v/>
      </c>
      <c r="K14" s="5">
        <f>IF($N14="","",IF(INDEX('Per Invoice'!$K$2:$K$801,$N14)="","",INDEX('Per Invoice'!$K$2:$K$801,$N14)))</f>
        <v/>
      </c>
      <c r="L14" s="5">
        <f>IF($N14="","",IF(INDEX('Per Invoice'!$L$2:$L$801,$N14)="","",INDEX('Per Invoice'!$L$2:$L$801,$N14)))</f>
        <v/>
      </c>
      <c r="M14" s="5">
        <f>IF($N14="","",IF(INDEX('Per Invoice'!$M$2:$M$801,$N14)="","",INDEX('Per Invoice'!$M$2:$M$801,$N14)))</f>
        <v/>
      </c>
      <c r="N14">
        <f>IF(ROWS($N$2:$N14)&lt;=COUNT('Per Invoice'!$P$2:$P$801),MATCH(ROWS($N$2:$N14),'Per Invoice'!$P$2:$P$801,0),"")</f>
        <v/>
      </c>
    </row>
    <row r="15">
      <c r="A15">
        <f>IF($N15="","",IF(INDEX('Per Invoice'!$A$2:$A$801,$N15)="","",INDEX('Per Invoice'!$A$2:$A$801,$N15)))</f>
        <v/>
      </c>
      <c r="B15">
        <f>IF($N15="","",IF(INDEX('Per Invoice'!$B$2:$B$801,$N15)="","",INDEX('Per Invoice'!$B$2:$B$801,$N15)))</f>
        <v/>
      </c>
      <c r="C15">
        <f>IF($N15="","",IF(INDEX('Per Invoice'!$C$2:$C$801,$N15)="","",INDEX('Per Invoice'!$C$2:$C$801,$N15)))</f>
        <v/>
      </c>
      <c r="D15">
        <f>IF($N15="","",IF(INDEX('Per Invoice'!$D$2:$D$801,$N15)="","",INDEX('Per Invoice'!$D$2:$D$801,$N15)))</f>
        <v/>
      </c>
      <c r="E15">
        <f>IF($N15="","",IF(INDEX('Per Invoice'!$E$2:$E$801,$N15)="","",INDEX('Per Invoice'!$E$2:$E$801,$N15)))</f>
        <v/>
      </c>
      <c r="F15">
        <f>IF($N15="","",IF(INDEX('Per Invoice'!$F$2:$F$801,$N15)="","",INDEX('Per Invoice'!$F$2:$F$801,$N15)))</f>
        <v/>
      </c>
      <c r="G15">
        <f>IF($N15="","",IF(INDEX('Per Invoice'!$G$2:$G$801,$N15)="","",INDEX('Per Invoice'!$G$2:$G$801,$N15)))</f>
        <v/>
      </c>
      <c r="H15">
        <f>IF($N15="","",IF(INDEX('Per Invoice'!$H$2:$H$801,$N15)="","",INDEX('Per Invoice'!$H$2:$H$801,$N15)))</f>
        <v/>
      </c>
      <c r="I15" s="5">
        <f>IF($N15="","",IF(INDEX('Per Invoice'!$I$2:$I$801,$N15)="","",INDEX('Per Invoice'!$I$2:$I$801,$N15)))</f>
        <v/>
      </c>
      <c r="J15" s="5">
        <f>IF($N15="","",IF(INDEX('Per Invoice'!$J$2:$J$801,$N15)="","",INDEX('Per Invoice'!$J$2:$J$801,$N15)))</f>
        <v/>
      </c>
      <c r="K15" s="5">
        <f>IF($N15="","",IF(INDEX('Per Invoice'!$K$2:$K$801,$N15)="","",INDEX('Per Invoice'!$K$2:$K$801,$N15)))</f>
        <v/>
      </c>
      <c r="L15" s="5">
        <f>IF($N15="","",IF(INDEX('Per Invoice'!$L$2:$L$801,$N15)="","",INDEX('Per Invoice'!$L$2:$L$801,$N15)))</f>
        <v/>
      </c>
      <c r="M15" s="5">
        <f>IF($N15="","",IF(INDEX('Per Invoice'!$M$2:$M$801,$N15)="","",INDEX('Per Invoice'!$M$2:$M$801,$N15)))</f>
        <v/>
      </c>
      <c r="N15">
        <f>IF(ROWS($N$2:$N15)&lt;=COUNT('Per Invoice'!$P$2:$P$801),MATCH(ROWS($N$2:$N15),'Per Invoice'!$P$2:$P$801,0),"")</f>
        <v/>
      </c>
    </row>
    <row r="16">
      <c r="A16">
        <f>IF($N16="","",IF(INDEX('Per Invoice'!$A$2:$A$801,$N16)="","",INDEX('Per Invoice'!$A$2:$A$801,$N16)))</f>
        <v/>
      </c>
      <c r="B16">
        <f>IF($N16="","",IF(INDEX('Per Invoice'!$B$2:$B$801,$N16)="","",INDEX('Per Invoice'!$B$2:$B$801,$N16)))</f>
        <v/>
      </c>
      <c r="C16">
        <f>IF($N16="","",IF(INDEX('Per Invoice'!$C$2:$C$801,$N16)="","",INDEX('Per Invoice'!$C$2:$C$801,$N16)))</f>
        <v/>
      </c>
      <c r="D16">
        <f>IF($N16="","",IF(INDEX('Per Invoice'!$D$2:$D$801,$N16)="","",INDEX('Per Invoice'!$D$2:$D$801,$N16)))</f>
        <v/>
      </c>
      <c r="E16">
        <f>IF($N16="","",IF(INDEX('Per Invoice'!$E$2:$E$801,$N16)="","",INDEX('Per Invoice'!$E$2:$E$801,$N16)))</f>
        <v/>
      </c>
      <c r="F16">
        <f>IF($N16="","",IF(INDEX('Per Invoice'!$F$2:$F$801,$N16)="","",INDEX('Per Invoice'!$F$2:$F$801,$N16)))</f>
        <v/>
      </c>
      <c r="G16">
        <f>IF($N16="","",IF(INDEX('Per Invoice'!$G$2:$G$801,$N16)="","",INDEX('Per Invoice'!$G$2:$G$801,$N16)))</f>
        <v/>
      </c>
      <c r="H16">
        <f>IF($N16="","",IF(INDEX('Per Invoice'!$H$2:$H$801,$N16)="","",INDEX('Per Invoice'!$H$2:$H$801,$N16)))</f>
        <v/>
      </c>
      <c r="I16" s="5">
        <f>IF($N16="","",IF(INDEX('Per Invoice'!$I$2:$I$801,$N16)="","",INDEX('Per Invoice'!$I$2:$I$801,$N16)))</f>
        <v/>
      </c>
      <c r="J16" s="5">
        <f>IF($N16="","",IF(INDEX('Per Invoice'!$J$2:$J$801,$N16)="","",INDEX('Per Invoice'!$J$2:$J$801,$N16)))</f>
        <v/>
      </c>
      <c r="K16" s="5">
        <f>IF($N16="","",IF(INDEX('Per Invoice'!$K$2:$K$801,$N16)="","",INDEX('Per Invoice'!$K$2:$K$801,$N16)))</f>
        <v/>
      </c>
      <c r="L16" s="5">
        <f>IF($N16="","",IF(INDEX('Per Invoice'!$L$2:$L$801,$N16)="","",INDEX('Per Invoice'!$L$2:$L$801,$N16)))</f>
        <v/>
      </c>
      <c r="M16" s="5">
        <f>IF($N16="","",IF(INDEX('Per Invoice'!$M$2:$M$801,$N16)="","",INDEX('Per Invoice'!$M$2:$M$801,$N16)))</f>
        <v/>
      </c>
      <c r="N16">
        <f>IF(ROWS($N$2:$N16)&lt;=COUNT('Per Invoice'!$P$2:$P$801),MATCH(ROWS($N$2:$N16),'Per Invoice'!$P$2:$P$801,0),"")</f>
        <v/>
      </c>
    </row>
    <row r="17">
      <c r="A17">
        <f>IF($N17="","",IF(INDEX('Per Invoice'!$A$2:$A$801,$N17)="","",INDEX('Per Invoice'!$A$2:$A$801,$N17)))</f>
        <v/>
      </c>
      <c r="B17">
        <f>IF($N17="","",IF(INDEX('Per Invoice'!$B$2:$B$801,$N17)="","",INDEX('Per Invoice'!$B$2:$B$801,$N17)))</f>
        <v/>
      </c>
      <c r="C17">
        <f>IF($N17="","",IF(INDEX('Per Invoice'!$C$2:$C$801,$N17)="","",INDEX('Per Invoice'!$C$2:$C$801,$N17)))</f>
        <v/>
      </c>
      <c r="D17">
        <f>IF($N17="","",IF(INDEX('Per Invoice'!$D$2:$D$801,$N17)="","",INDEX('Per Invoice'!$D$2:$D$801,$N17)))</f>
        <v/>
      </c>
      <c r="E17">
        <f>IF($N17="","",IF(INDEX('Per Invoice'!$E$2:$E$801,$N17)="","",INDEX('Per Invoice'!$E$2:$E$801,$N17)))</f>
        <v/>
      </c>
      <c r="F17">
        <f>IF($N17="","",IF(INDEX('Per Invoice'!$F$2:$F$801,$N17)="","",INDEX('Per Invoice'!$F$2:$F$801,$N17)))</f>
        <v/>
      </c>
      <c r="G17">
        <f>IF($N17="","",IF(INDEX('Per Invoice'!$G$2:$G$801,$N17)="","",INDEX('Per Invoice'!$G$2:$G$801,$N17)))</f>
        <v/>
      </c>
      <c r="H17">
        <f>IF($N17="","",IF(INDEX('Per Invoice'!$H$2:$H$801,$N17)="","",INDEX('Per Invoice'!$H$2:$H$801,$N17)))</f>
        <v/>
      </c>
      <c r="I17" s="5">
        <f>IF($N17="","",IF(INDEX('Per Invoice'!$I$2:$I$801,$N17)="","",INDEX('Per Invoice'!$I$2:$I$801,$N17)))</f>
        <v/>
      </c>
      <c r="J17" s="5">
        <f>IF($N17="","",IF(INDEX('Per Invoice'!$J$2:$J$801,$N17)="","",INDEX('Per Invoice'!$J$2:$J$801,$N17)))</f>
        <v/>
      </c>
      <c r="K17" s="5">
        <f>IF($N17="","",IF(INDEX('Per Invoice'!$K$2:$K$801,$N17)="","",INDEX('Per Invoice'!$K$2:$K$801,$N17)))</f>
        <v/>
      </c>
      <c r="L17" s="5">
        <f>IF($N17="","",IF(INDEX('Per Invoice'!$L$2:$L$801,$N17)="","",INDEX('Per Invoice'!$L$2:$L$801,$N17)))</f>
        <v/>
      </c>
      <c r="M17" s="5">
        <f>IF($N17="","",IF(INDEX('Per Invoice'!$M$2:$M$801,$N17)="","",INDEX('Per Invoice'!$M$2:$M$801,$N17)))</f>
        <v/>
      </c>
      <c r="N17">
        <f>IF(ROWS($N$2:$N17)&lt;=COUNT('Per Invoice'!$P$2:$P$801),MATCH(ROWS($N$2:$N17),'Per Invoice'!$P$2:$P$801,0),"")</f>
        <v/>
      </c>
    </row>
    <row r="18">
      <c r="A18">
        <f>IF($N18="","",IF(INDEX('Per Invoice'!$A$2:$A$801,$N18)="","",INDEX('Per Invoice'!$A$2:$A$801,$N18)))</f>
        <v/>
      </c>
      <c r="B18">
        <f>IF($N18="","",IF(INDEX('Per Invoice'!$B$2:$B$801,$N18)="","",INDEX('Per Invoice'!$B$2:$B$801,$N18)))</f>
        <v/>
      </c>
      <c r="C18">
        <f>IF($N18="","",IF(INDEX('Per Invoice'!$C$2:$C$801,$N18)="","",INDEX('Per Invoice'!$C$2:$C$801,$N18)))</f>
        <v/>
      </c>
      <c r="D18">
        <f>IF($N18="","",IF(INDEX('Per Invoice'!$D$2:$D$801,$N18)="","",INDEX('Per Invoice'!$D$2:$D$801,$N18)))</f>
        <v/>
      </c>
      <c r="E18">
        <f>IF($N18="","",IF(INDEX('Per Invoice'!$E$2:$E$801,$N18)="","",INDEX('Per Invoice'!$E$2:$E$801,$N18)))</f>
        <v/>
      </c>
      <c r="F18">
        <f>IF($N18="","",IF(INDEX('Per Invoice'!$F$2:$F$801,$N18)="","",INDEX('Per Invoice'!$F$2:$F$801,$N18)))</f>
        <v/>
      </c>
      <c r="G18">
        <f>IF($N18="","",IF(INDEX('Per Invoice'!$G$2:$G$801,$N18)="","",INDEX('Per Invoice'!$G$2:$G$801,$N18)))</f>
        <v/>
      </c>
      <c r="H18">
        <f>IF($N18="","",IF(INDEX('Per Invoice'!$H$2:$H$801,$N18)="","",INDEX('Per Invoice'!$H$2:$H$801,$N18)))</f>
        <v/>
      </c>
      <c r="I18" s="5">
        <f>IF($N18="","",IF(INDEX('Per Invoice'!$I$2:$I$801,$N18)="","",INDEX('Per Invoice'!$I$2:$I$801,$N18)))</f>
        <v/>
      </c>
      <c r="J18" s="5">
        <f>IF($N18="","",IF(INDEX('Per Invoice'!$J$2:$J$801,$N18)="","",INDEX('Per Invoice'!$J$2:$J$801,$N18)))</f>
        <v/>
      </c>
      <c r="K18" s="5">
        <f>IF($N18="","",IF(INDEX('Per Invoice'!$K$2:$K$801,$N18)="","",INDEX('Per Invoice'!$K$2:$K$801,$N18)))</f>
        <v/>
      </c>
      <c r="L18" s="5">
        <f>IF($N18="","",IF(INDEX('Per Invoice'!$L$2:$L$801,$N18)="","",INDEX('Per Invoice'!$L$2:$L$801,$N18)))</f>
        <v/>
      </c>
      <c r="M18" s="5">
        <f>IF($N18="","",IF(INDEX('Per Invoice'!$M$2:$M$801,$N18)="","",INDEX('Per Invoice'!$M$2:$M$801,$N18)))</f>
        <v/>
      </c>
      <c r="N18">
        <f>IF(ROWS($N$2:$N18)&lt;=COUNT('Per Invoice'!$P$2:$P$801),MATCH(ROWS($N$2:$N18),'Per Invoice'!$P$2:$P$801,0),"")</f>
        <v/>
      </c>
    </row>
    <row r="19">
      <c r="A19">
        <f>IF($N19="","",IF(INDEX('Per Invoice'!$A$2:$A$801,$N19)="","",INDEX('Per Invoice'!$A$2:$A$801,$N19)))</f>
        <v/>
      </c>
      <c r="B19">
        <f>IF($N19="","",IF(INDEX('Per Invoice'!$B$2:$B$801,$N19)="","",INDEX('Per Invoice'!$B$2:$B$801,$N19)))</f>
        <v/>
      </c>
      <c r="C19">
        <f>IF($N19="","",IF(INDEX('Per Invoice'!$C$2:$C$801,$N19)="","",INDEX('Per Invoice'!$C$2:$C$801,$N19)))</f>
        <v/>
      </c>
      <c r="D19">
        <f>IF($N19="","",IF(INDEX('Per Invoice'!$D$2:$D$801,$N19)="","",INDEX('Per Invoice'!$D$2:$D$801,$N19)))</f>
        <v/>
      </c>
      <c r="E19">
        <f>IF($N19="","",IF(INDEX('Per Invoice'!$E$2:$E$801,$N19)="","",INDEX('Per Invoice'!$E$2:$E$801,$N19)))</f>
        <v/>
      </c>
      <c r="F19">
        <f>IF($N19="","",IF(INDEX('Per Invoice'!$F$2:$F$801,$N19)="","",INDEX('Per Invoice'!$F$2:$F$801,$N19)))</f>
        <v/>
      </c>
      <c r="G19">
        <f>IF($N19="","",IF(INDEX('Per Invoice'!$G$2:$G$801,$N19)="","",INDEX('Per Invoice'!$G$2:$G$801,$N19)))</f>
        <v/>
      </c>
      <c r="H19">
        <f>IF($N19="","",IF(INDEX('Per Invoice'!$H$2:$H$801,$N19)="","",INDEX('Per Invoice'!$H$2:$H$801,$N19)))</f>
        <v/>
      </c>
      <c r="I19" s="5">
        <f>IF($N19="","",IF(INDEX('Per Invoice'!$I$2:$I$801,$N19)="","",INDEX('Per Invoice'!$I$2:$I$801,$N19)))</f>
        <v/>
      </c>
      <c r="J19" s="5">
        <f>IF($N19="","",IF(INDEX('Per Invoice'!$J$2:$J$801,$N19)="","",INDEX('Per Invoice'!$J$2:$J$801,$N19)))</f>
        <v/>
      </c>
      <c r="K19" s="5">
        <f>IF($N19="","",IF(INDEX('Per Invoice'!$K$2:$K$801,$N19)="","",INDEX('Per Invoice'!$K$2:$K$801,$N19)))</f>
        <v/>
      </c>
      <c r="L19" s="5">
        <f>IF($N19="","",IF(INDEX('Per Invoice'!$L$2:$L$801,$N19)="","",INDEX('Per Invoice'!$L$2:$L$801,$N19)))</f>
        <v/>
      </c>
      <c r="M19" s="5">
        <f>IF($N19="","",IF(INDEX('Per Invoice'!$M$2:$M$801,$N19)="","",INDEX('Per Invoice'!$M$2:$M$801,$N19)))</f>
        <v/>
      </c>
      <c r="N19">
        <f>IF(ROWS($N$2:$N19)&lt;=COUNT('Per Invoice'!$P$2:$P$801),MATCH(ROWS($N$2:$N19),'Per Invoice'!$P$2:$P$801,0),"")</f>
        <v/>
      </c>
    </row>
    <row r="20">
      <c r="A20">
        <f>IF($N20="","",IF(INDEX('Per Invoice'!$A$2:$A$801,$N20)="","",INDEX('Per Invoice'!$A$2:$A$801,$N20)))</f>
        <v/>
      </c>
      <c r="B20">
        <f>IF($N20="","",IF(INDEX('Per Invoice'!$B$2:$B$801,$N20)="","",INDEX('Per Invoice'!$B$2:$B$801,$N20)))</f>
        <v/>
      </c>
      <c r="C20">
        <f>IF($N20="","",IF(INDEX('Per Invoice'!$C$2:$C$801,$N20)="","",INDEX('Per Invoice'!$C$2:$C$801,$N20)))</f>
        <v/>
      </c>
      <c r="D20">
        <f>IF($N20="","",IF(INDEX('Per Invoice'!$D$2:$D$801,$N20)="","",INDEX('Per Invoice'!$D$2:$D$801,$N20)))</f>
        <v/>
      </c>
      <c r="E20">
        <f>IF($N20="","",IF(INDEX('Per Invoice'!$E$2:$E$801,$N20)="","",INDEX('Per Invoice'!$E$2:$E$801,$N20)))</f>
        <v/>
      </c>
      <c r="F20">
        <f>IF($N20="","",IF(INDEX('Per Invoice'!$F$2:$F$801,$N20)="","",INDEX('Per Invoice'!$F$2:$F$801,$N20)))</f>
        <v/>
      </c>
      <c r="G20">
        <f>IF($N20="","",IF(INDEX('Per Invoice'!$G$2:$G$801,$N20)="","",INDEX('Per Invoice'!$G$2:$G$801,$N20)))</f>
        <v/>
      </c>
      <c r="H20">
        <f>IF($N20="","",IF(INDEX('Per Invoice'!$H$2:$H$801,$N20)="","",INDEX('Per Invoice'!$H$2:$H$801,$N20)))</f>
        <v/>
      </c>
      <c r="I20" s="5">
        <f>IF($N20="","",IF(INDEX('Per Invoice'!$I$2:$I$801,$N20)="","",INDEX('Per Invoice'!$I$2:$I$801,$N20)))</f>
        <v/>
      </c>
      <c r="J20" s="5">
        <f>IF($N20="","",IF(INDEX('Per Invoice'!$J$2:$J$801,$N20)="","",INDEX('Per Invoice'!$J$2:$J$801,$N20)))</f>
        <v/>
      </c>
      <c r="K20" s="5">
        <f>IF($N20="","",IF(INDEX('Per Invoice'!$K$2:$K$801,$N20)="","",INDEX('Per Invoice'!$K$2:$K$801,$N20)))</f>
        <v/>
      </c>
      <c r="L20" s="5">
        <f>IF($N20="","",IF(INDEX('Per Invoice'!$L$2:$L$801,$N20)="","",INDEX('Per Invoice'!$L$2:$L$801,$N20)))</f>
        <v/>
      </c>
      <c r="M20" s="5">
        <f>IF($N20="","",IF(INDEX('Per Invoice'!$M$2:$M$801,$N20)="","",INDEX('Per Invoice'!$M$2:$M$801,$N20)))</f>
        <v/>
      </c>
      <c r="N20">
        <f>IF(ROWS($N$2:$N20)&lt;=COUNT('Per Invoice'!$P$2:$P$801),MATCH(ROWS($N$2:$N20),'Per Invoice'!$P$2:$P$801,0),"")</f>
        <v/>
      </c>
    </row>
    <row r="21">
      <c r="A21">
        <f>IF($N21="","",IF(INDEX('Per Invoice'!$A$2:$A$801,$N21)="","",INDEX('Per Invoice'!$A$2:$A$801,$N21)))</f>
        <v/>
      </c>
      <c r="B21">
        <f>IF($N21="","",IF(INDEX('Per Invoice'!$B$2:$B$801,$N21)="","",INDEX('Per Invoice'!$B$2:$B$801,$N21)))</f>
        <v/>
      </c>
      <c r="C21">
        <f>IF($N21="","",IF(INDEX('Per Invoice'!$C$2:$C$801,$N21)="","",INDEX('Per Invoice'!$C$2:$C$801,$N21)))</f>
        <v/>
      </c>
      <c r="D21">
        <f>IF($N21="","",IF(INDEX('Per Invoice'!$D$2:$D$801,$N21)="","",INDEX('Per Invoice'!$D$2:$D$801,$N21)))</f>
        <v/>
      </c>
      <c r="E21">
        <f>IF($N21="","",IF(INDEX('Per Invoice'!$E$2:$E$801,$N21)="","",INDEX('Per Invoice'!$E$2:$E$801,$N21)))</f>
        <v/>
      </c>
      <c r="F21">
        <f>IF($N21="","",IF(INDEX('Per Invoice'!$F$2:$F$801,$N21)="","",INDEX('Per Invoice'!$F$2:$F$801,$N21)))</f>
        <v/>
      </c>
      <c r="G21">
        <f>IF($N21="","",IF(INDEX('Per Invoice'!$G$2:$G$801,$N21)="","",INDEX('Per Invoice'!$G$2:$G$801,$N21)))</f>
        <v/>
      </c>
      <c r="H21">
        <f>IF($N21="","",IF(INDEX('Per Invoice'!$H$2:$H$801,$N21)="","",INDEX('Per Invoice'!$H$2:$H$801,$N21)))</f>
        <v/>
      </c>
      <c r="I21" s="5">
        <f>IF($N21="","",IF(INDEX('Per Invoice'!$I$2:$I$801,$N21)="","",INDEX('Per Invoice'!$I$2:$I$801,$N21)))</f>
        <v/>
      </c>
      <c r="J21" s="5">
        <f>IF($N21="","",IF(INDEX('Per Invoice'!$J$2:$J$801,$N21)="","",INDEX('Per Invoice'!$J$2:$J$801,$N21)))</f>
        <v/>
      </c>
      <c r="K21" s="5">
        <f>IF($N21="","",IF(INDEX('Per Invoice'!$K$2:$K$801,$N21)="","",INDEX('Per Invoice'!$K$2:$K$801,$N21)))</f>
        <v/>
      </c>
      <c r="L21" s="5">
        <f>IF($N21="","",IF(INDEX('Per Invoice'!$L$2:$L$801,$N21)="","",INDEX('Per Invoice'!$L$2:$L$801,$N21)))</f>
        <v/>
      </c>
      <c r="M21" s="5">
        <f>IF($N21="","",IF(INDEX('Per Invoice'!$M$2:$M$801,$N21)="","",INDEX('Per Invoice'!$M$2:$M$801,$N21)))</f>
        <v/>
      </c>
      <c r="N21">
        <f>IF(ROWS($N$2:$N21)&lt;=COUNT('Per Invoice'!$P$2:$P$801),MATCH(ROWS($N$2:$N21),'Per Invoice'!$P$2:$P$801,0),"")</f>
        <v/>
      </c>
    </row>
    <row r="22">
      <c r="A22">
        <f>IF($N22="","",IF(INDEX('Per Invoice'!$A$2:$A$801,$N22)="","",INDEX('Per Invoice'!$A$2:$A$801,$N22)))</f>
        <v/>
      </c>
      <c r="B22">
        <f>IF($N22="","",IF(INDEX('Per Invoice'!$B$2:$B$801,$N22)="","",INDEX('Per Invoice'!$B$2:$B$801,$N22)))</f>
        <v/>
      </c>
      <c r="C22">
        <f>IF($N22="","",IF(INDEX('Per Invoice'!$C$2:$C$801,$N22)="","",INDEX('Per Invoice'!$C$2:$C$801,$N22)))</f>
        <v/>
      </c>
      <c r="D22">
        <f>IF($N22="","",IF(INDEX('Per Invoice'!$D$2:$D$801,$N22)="","",INDEX('Per Invoice'!$D$2:$D$801,$N22)))</f>
        <v/>
      </c>
      <c r="E22">
        <f>IF($N22="","",IF(INDEX('Per Invoice'!$E$2:$E$801,$N22)="","",INDEX('Per Invoice'!$E$2:$E$801,$N22)))</f>
        <v/>
      </c>
      <c r="F22">
        <f>IF($N22="","",IF(INDEX('Per Invoice'!$F$2:$F$801,$N22)="","",INDEX('Per Invoice'!$F$2:$F$801,$N22)))</f>
        <v/>
      </c>
      <c r="G22">
        <f>IF($N22="","",IF(INDEX('Per Invoice'!$G$2:$G$801,$N22)="","",INDEX('Per Invoice'!$G$2:$G$801,$N22)))</f>
        <v/>
      </c>
      <c r="H22">
        <f>IF($N22="","",IF(INDEX('Per Invoice'!$H$2:$H$801,$N22)="","",INDEX('Per Invoice'!$H$2:$H$801,$N22)))</f>
        <v/>
      </c>
      <c r="I22" s="5">
        <f>IF($N22="","",IF(INDEX('Per Invoice'!$I$2:$I$801,$N22)="","",INDEX('Per Invoice'!$I$2:$I$801,$N22)))</f>
        <v/>
      </c>
      <c r="J22" s="5">
        <f>IF($N22="","",IF(INDEX('Per Invoice'!$J$2:$J$801,$N22)="","",INDEX('Per Invoice'!$J$2:$J$801,$N22)))</f>
        <v/>
      </c>
      <c r="K22" s="5">
        <f>IF($N22="","",IF(INDEX('Per Invoice'!$K$2:$K$801,$N22)="","",INDEX('Per Invoice'!$K$2:$K$801,$N22)))</f>
        <v/>
      </c>
      <c r="L22" s="5">
        <f>IF($N22="","",IF(INDEX('Per Invoice'!$L$2:$L$801,$N22)="","",INDEX('Per Invoice'!$L$2:$L$801,$N22)))</f>
        <v/>
      </c>
      <c r="M22" s="5">
        <f>IF($N22="","",IF(INDEX('Per Invoice'!$M$2:$M$801,$N22)="","",INDEX('Per Invoice'!$M$2:$M$801,$N22)))</f>
        <v/>
      </c>
      <c r="N22">
        <f>IF(ROWS($N$2:$N22)&lt;=COUNT('Per Invoice'!$P$2:$P$801),MATCH(ROWS($N$2:$N22),'Per Invoice'!$P$2:$P$801,0),"")</f>
        <v/>
      </c>
    </row>
    <row r="23">
      <c r="A23">
        <f>IF($N23="","",IF(INDEX('Per Invoice'!$A$2:$A$801,$N23)="","",INDEX('Per Invoice'!$A$2:$A$801,$N23)))</f>
        <v/>
      </c>
      <c r="B23">
        <f>IF($N23="","",IF(INDEX('Per Invoice'!$B$2:$B$801,$N23)="","",INDEX('Per Invoice'!$B$2:$B$801,$N23)))</f>
        <v/>
      </c>
      <c r="C23">
        <f>IF($N23="","",IF(INDEX('Per Invoice'!$C$2:$C$801,$N23)="","",INDEX('Per Invoice'!$C$2:$C$801,$N23)))</f>
        <v/>
      </c>
      <c r="D23">
        <f>IF($N23="","",IF(INDEX('Per Invoice'!$D$2:$D$801,$N23)="","",INDEX('Per Invoice'!$D$2:$D$801,$N23)))</f>
        <v/>
      </c>
      <c r="E23">
        <f>IF($N23="","",IF(INDEX('Per Invoice'!$E$2:$E$801,$N23)="","",INDEX('Per Invoice'!$E$2:$E$801,$N23)))</f>
        <v/>
      </c>
      <c r="F23">
        <f>IF($N23="","",IF(INDEX('Per Invoice'!$F$2:$F$801,$N23)="","",INDEX('Per Invoice'!$F$2:$F$801,$N23)))</f>
        <v/>
      </c>
      <c r="G23">
        <f>IF($N23="","",IF(INDEX('Per Invoice'!$G$2:$G$801,$N23)="","",INDEX('Per Invoice'!$G$2:$G$801,$N23)))</f>
        <v/>
      </c>
      <c r="H23">
        <f>IF($N23="","",IF(INDEX('Per Invoice'!$H$2:$H$801,$N23)="","",INDEX('Per Invoice'!$H$2:$H$801,$N23)))</f>
        <v/>
      </c>
      <c r="I23" s="5">
        <f>IF($N23="","",IF(INDEX('Per Invoice'!$I$2:$I$801,$N23)="","",INDEX('Per Invoice'!$I$2:$I$801,$N23)))</f>
        <v/>
      </c>
      <c r="J23" s="5">
        <f>IF($N23="","",IF(INDEX('Per Invoice'!$J$2:$J$801,$N23)="","",INDEX('Per Invoice'!$J$2:$J$801,$N23)))</f>
        <v/>
      </c>
      <c r="K23" s="5">
        <f>IF($N23="","",IF(INDEX('Per Invoice'!$K$2:$K$801,$N23)="","",INDEX('Per Invoice'!$K$2:$K$801,$N23)))</f>
        <v/>
      </c>
      <c r="L23" s="5">
        <f>IF($N23="","",IF(INDEX('Per Invoice'!$L$2:$L$801,$N23)="","",INDEX('Per Invoice'!$L$2:$L$801,$N23)))</f>
        <v/>
      </c>
      <c r="M23" s="5">
        <f>IF($N23="","",IF(INDEX('Per Invoice'!$M$2:$M$801,$N23)="","",INDEX('Per Invoice'!$M$2:$M$801,$N23)))</f>
        <v/>
      </c>
      <c r="N23">
        <f>IF(ROWS($N$2:$N23)&lt;=COUNT('Per Invoice'!$P$2:$P$801),MATCH(ROWS($N$2:$N23),'Per Invoice'!$P$2:$P$801,0),"")</f>
        <v/>
      </c>
    </row>
    <row r="24">
      <c r="A24">
        <f>IF($N24="","",IF(INDEX('Per Invoice'!$A$2:$A$801,$N24)="","",INDEX('Per Invoice'!$A$2:$A$801,$N24)))</f>
        <v/>
      </c>
      <c r="B24">
        <f>IF($N24="","",IF(INDEX('Per Invoice'!$B$2:$B$801,$N24)="","",INDEX('Per Invoice'!$B$2:$B$801,$N24)))</f>
        <v/>
      </c>
      <c r="C24">
        <f>IF($N24="","",IF(INDEX('Per Invoice'!$C$2:$C$801,$N24)="","",INDEX('Per Invoice'!$C$2:$C$801,$N24)))</f>
        <v/>
      </c>
      <c r="D24">
        <f>IF($N24="","",IF(INDEX('Per Invoice'!$D$2:$D$801,$N24)="","",INDEX('Per Invoice'!$D$2:$D$801,$N24)))</f>
        <v/>
      </c>
      <c r="E24">
        <f>IF($N24="","",IF(INDEX('Per Invoice'!$E$2:$E$801,$N24)="","",INDEX('Per Invoice'!$E$2:$E$801,$N24)))</f>
        <v/>
      </c>
      <c r="F24">
        <f>IF($N24="","",IF(INDEX('Per Invoice'!$F$2:$F$801,$N24)="","",INDEX('Per Invoice'!$F$2:$F$801,$N24)))</f>
        <v/>
      </c>
      <c r="G24">
        <f>IF($N24="","",IF(INDEX('Per Invoice'!$G$2:$G$801,$N24)="","",INDEX('Per Invoice'!$G$2:$G$801,$N24)))</f>
        <v/>
      </c>
      <c r="H24">
        <f>IF($N24="","",IF(INDEX('Per Invoice'!$H$2:$H$801,$N24)="","",INDEX('Per Invoice'!$H$2:$H$801,$N24)))</f>
        <v/>
      </c>
      <c r="I24" s="5">
        <f>IF($N24="","",IF(INDEX('Per Invoice'!$I$2:$I$801,$N24)="","",INDEX('Per Invoice'!$I$2:$I$801,$N24)))</f>
        <v/>
      </c>
      <c r="J24" s="5">
        <f>IF($N24="","",IF(INDEX('Per Invoice'!$J$2:$J$801,$N24)="","",INDEX('Per Invoice'!$J$2:$J$801,$N24)))</f>
        <v/>
      </c>
      <c r="K24" s="5">
        <f>IF($N24="","",IF(INDEX('Per Invoice'!$K$2:$K$801,$N24)="","",INDEX('Per Invoice'!$K$2:$K$801,$N24)))</f>
        <v/>
      </c>
      <c r="L24" s="5">
        <f>IF($N24="","",IF(INDEX('Per Invoice'!$L$2:$L$801,$N24)="","",INDEX('Per Invoice'!$L$2:$L$801,$N24)))</f>
        <v/>
      </c>
      <c r="M24" s="5">
        <f>IF($N24="","",IF(INDEX('Per Invoice'!$M$2:$M$801,$N24)="","",INDEX('Per Invoice'!$M$2:$M$801,$N24)))</f>
        <v/>
      </c>
      <c r="N24">
        <f>IF(ROWS($N$2:$N24)&lt;=COUNT('Per Invoice'!$P$2:$P$801),MATCH(ROWS($N$2:$N24),'Per Invoice'!$P$2:$P$801,0),"")</f>
        <v/>
      </c>
    </row>
    <row r="25">
      <c r="A25">
        <f>IF($N25="","",IF(INDEX('Per Invoice'!$A$2:$A$801,$N25)="","",INDEX('Per Invoice'!$A$2:$A$801,$N25)))</f>
        <v/>
      </c>
      <c r="B25">
        <f>IF($N25="","",IF(INDEX('Per Invoice'!$B$2:$B$801,$N25)="","",INDEX('Per Invoice'!$B$2:$B$801,$N25)))</f>
        <v/>
      </c>
      <c r="C25">
        <f>IF($N25="","",IF(INDEX('Per Invoice'!$C$2:$C$801,$N25)="","",INDEX('Per Invoice'!$C$2:$C$801,$N25)))</f>
        <v/>
      </c>
      <c r="D25">
        <f>IF($N25="","",IF(INDEX('Per Invoice'!$D$2:$D$801,$N25)="","",INDEX('Per Invoice'!$D$2:$D$801,$N25)))</f>
        <v/>
      </c>
      <c r="E25">
        <f>IF($N25="","",IF(INDEX('Per Invoice'!$E$2:$E$801,$N25)="","",INDEX('Per Invoice'!$E$2:$E$801,$N25)))</f>
        <v/>
      </c>
      <c r="F25">
        <f>IF($N25="","",IF(INDEX('Per Invoice'!$F$2:$F$801,$N25)="","",INDEX('Per Invoice'!$F$2:$F$801,$N25)))</f>
        <v/>
      </c>
      <c r="G25">
        <f>IF($N25="","",IF(INDEX('Per Invoice'!$G$2:$G$801,$N25)="","",INDEX('Per Invoice'!$G$2:$G$801,$N25)))</f>
        <v/>
      </c>
      <c r="H25">
        <f>IF($N25="","",IF(INDEX('Per Invoice'!$H$2:$H$801,$N25)="","",INDEX('Per Invoice'!$H$2:$H$801,$N25)))</f>
        <v/>
      </c>
      <c r="I25" s="5">
        <f>IF($N25="","",IF(INDEX('Per Invoice'!$I$2:$I$801,$N25)="","",INDEX('Per Invoice'!$I$2:$I$801,$N25)))</f>
        <v/>
      </c>
      <c r="J25" s="5">
        <f>IF($N25="","",IF(INDEX('Per Invoice'!$J$2:$J$801,$N25)="","",INDEX('Per Invoice'!$J$2:$J$801,$N25)))</f>
        <v/>
      </c>
      <c r="K25" s="5">
        <f>IF($N25="","",IF(INDEX('Per Invoice'!$K$2:$K$801,$N25)="","",INDEX('Per Invoice'!$K$2:$K$801,$N25)))</f>
        <v/>
      </c>
      <c r="L25" s="5">
        <f>IF($N25="","",IF(INDEX('Per Invoice'!$L$2:$L$801,$N25)="","",INDEX('Per Invoice'!$L$2:$L$801,$N25)))</f>
        <v/>
      </c>
      <c r="M25" s="5">
        <f>IF($N25="","",IF(INDEX('Per Invoice'!$M$2:$M$801,$N25)="","",INDEX('Per Invoice'!$M$2:$M$801,$N25)))</f>
        <v/>
      </c>
      <c r="N25">
        <f>IF(ROWS($N$2:$N25)&lt;=COUNT('Per Invoice'!$P$2:$P$801),MATCH(ROWS($N$2:$N25),'Per Invoice'!$P$2:$P$801,0),"")</f>
        <v/>
      </c>
    </row>
    <row r="26">
      <c r="A26">
        <f>IF($N26="","",IF(INDEX('Per Invoice'!$A$2:$A$801,$N26)="","",INDEX('Per Invoice'!$A$2:$A$801,$N26)))</f>
        <v/>
      </c>
      <c r="B26">
        <f>IF($N26="","",IF(INDEX('Per Invoice'!$B$2:$B$801,$N26)="","",INDEX('Per Invoice'!$B$2:$B$801,$N26)))</f>
        <v/>
      </c>
      <c r="C26">
        <f>IF($N26="","",IF(INDEX('Per Invoice'!$C$2:$C$801,$N26)="","",INDEX('Per Invoice'!$C$2:$C$801,$N26)))</f>
        <v/>
      </c>
      <c r="D26">
        <f>IF($N26="","",IF(INDEX('Per Invoice'!$D$2:$D$801,$N26)="","",INDEX('Per Invoice'!$D$2:$D$801,$N26)))</f>
        <v/>
      </c>
      <c r="E26">
        <f>IF($N26="","",IF(INDEX('Per Invoice'!$E$2:$E$801,$N26)="","",INDEX('Per Invoice'!$E$2:$E$801,$N26)))</f>
        <v/>
      </c>
      <c r="F26">
        <f>IF($N26="","",IF(INDEX('Per Invoice'!$F$2:$F$801,$N26)="","",INDEX('Per Invoice'!$F$2:$F$801,$N26)))</f>
        <v/>
      </c>
      <c r="G26">
        <f>IF($N26="","",IF(INDEX('Per Invoice'!$G$2:$G$801,$N26)="","",INDEX('Per Invoice'!$G$2:$G$801,$N26)))</f>
        <v/>
      </c>
      <c r="H26">
        <f>IF($N26="","",IF(INDEX('Per Invoice'!$H$2:$H$801,$N26)="","",INDEX('Per Invoice'!$H$2:$H$801,$N26)))</f>
        <v/>
      </c>
      <c r="I26" s="5">
        <f>IF($N26="","",IF(INDEX('Per Invoice'!$I$2:$I$801,$N26)="","",INDEX('Per Invoice'!$I$2:$I$801,$N26)))</f>
        <v/>
      </c>
      <c r="J26" s="5">
        <f>IF($N26="","",IF(INDEX('Per Invoice'!$J$2:$J$801,$N26)="","",INDEX('Per Invoice'!$J$2:$J$801,$N26)))</f>
        <v/>
      </c>
      <c r="K26" s="5">
        <f>IF($N26="","",IF(INDEX('Per Invoice'!$K$2:$K$801,$N26)="","",INDEX('Per Invoice'!$K$2:$K$801,$N26)))</f>
        <v/>
      </c>
      <c r="L26" s="5">
        <f>IF($N26="","",IF(INDEX('Per Invoice'!$L$2:$L$801,$N26)="","",INDEX('Per Invoice'!$L$2:$L$801,$N26)))</f>
        <v/>
      </c>
      <c r="M26" s="5">
        <f>IF($N26="","",IF(INDEX('Per Invoice'!$M$2:$M$801,$N26)="","",INDEX('Per Invoice'!$M$2:$M$801,$N26)))</f>
        <v/>
      </c>
      <c r="N26">
        <f>IF(ROWS($N$2:$N26)&lt;=COUNT('Per Invoice'!$P$2:$P$801),MATCH(ROWS($N$2:$N26),'Per Invoice'!$P$2:$P$801,0),"")</f>
        <v/>
      </c>
    </row>
    <row r="27">
      <c r="A27">
        <f>IF($N27="","",IF(INDEX('Per Invoice'!$A$2:$A$801,$N27)="","",INDEX('Per Invoice'!$A$2:$A$801,$N27)))</f>
        <v/>
      </c>
      <c r="B27">
        <f>IF($N27="","",IF(INDEX('Per Invoice'!$B$2:$B$801,$N27)="","",INDEX('Per Invoice'!$B$2:$B$801,$N27)))</f>
        <v/>
      </c>
      <c r="C27">
        <f>IF($N27="","",IF(INDEX('Per Invoice'!$C$2:$C$801,$N27)="","",INDEX('Per Invoice'!$C$2:$C$801,$N27)))</f>
        <v/>
      </c>
      <c r="D27">
        <f>IF($N27="","",IF(INDEX('Per Invoice'!$D$2:$D$801,$N27)="","",INDEX('Per Invoice'!$D$2:$D$801,$N27)))</f>
        <v/>
      </c>
      <c r="E27">
        <f>IF($N27="","",IF(INDEX('Per Invoice'!$E$2:$E$801,$N27)="","",INDEX('Per Invoice'!$E$2:$E$801,$N27)))</f>
        <v/>
      </c>
      <c r="F27">
        <f>IF($N27="","",IF(INDEX('Per Invoice'!$F$2:$F$801,$N27)="","",INDEX('Per Invoice'!$F$2:$F$801,$N27)))</f>
        <v/>
      </c>
      <c r="G27">
        <f>IF($N27="","",IF(INDEX('Per Invoice'!$G$2:$G$801,$N27)="","",INDEX('Per Invoice'!$G$2:$G$801,$N27)))</f>
        <v/>
      </c>
      <c r="H27">
        <f>IF($N27="","",IF(INDEX('Per Invoice'!$H$2:$H$801,$N27)="","",INDEX('Per Invoice'!$H$2:$H$801,$N27)))</f>
        <v/>
      </c>
      <c r="I27" s="5">
        <f>IF($N27="","",IF(INDEX('Per Invoice'!$I$2:$I$801,$N27)="","",INDEX('Per Invoice'!$I$2:$I$801,$N27)))</f>
        <v/>
      </c>
      <c r="J27" s="5">
        <f>IF($N27="","",IF(INDEX('Per Invoice'!$J$2:$J$801,$N27)="","",INDEX('Per Invoice'!$J$2:$J$801,$N27)))</f>
        <v/>
      </c>
      <c r="K27" s="5">
        <f>IF($N27="","",IF(INDEX('Per Invoice'!$K$2:$K$801,$N27)="","",INDEX('Per Invoice'!$K$2:$K$801,$N27)))</f>
        <v/>
      </c>
      <c r="L27" s="5">
        <f>IF($N27="","",IF(INDEX('Per Invoice'!$L$2:$L$801,$N27)="","",INDEX('Per Invoice'!$L$2:$L$801,$N27)))</f>
        <v/>
      </c>
      <c r="M27" s="5">
        <f>IF($N27="","",IF(INDEX('Per Invoice'!$M$2:$M$801,$N27)="","",INDEX('Per Invoice'!$M$2:$M$801,$N27)))</f>
        <v/>
      </c>
      <c r="N27">
        <f>IF(ROWS($N$2:$N27)&lt;=COUNT('Per Invoice'!$P$2:$P$801),MATCH(ROWS($N$2:$N27),'Per Invoice'!$P$2:$P$801,0),"")</f>
        <v/>
      </c>
    </row>
    <row r="28">
      <c r="A28">
        <f>IF($N28="","",IF(INDEX('Per Invoice'!$A$2:$A$801,$N28)="","",INDEX('Per Invoice'!$A$2:$A$801,$N28)))</f>
        <v/>
      </c>
      <c r="B28">
        <f>IF($N28="","",IF(INDEX('Per Invoice'!$B$2:$B$801,$N28)="","",INDEX('Per Invoice'!$B$2:$B$801,$N28)))</f>
        <v/>
      </c>
      <c r="C28">
        <f>IF($N28="","",IF(INDEX('Per Invoice'!$C$2:$C$801,$N28)="","",INDEX('Per Invoice'!$C$2:$C$801,$N28)))</f>
        <v/>
      </c>
      <c r="D28">
        <f>IF($N28="","",IF(INDEX('Per Invoice'!$D$2:$D$801,$N28)="","",INDEX('Per Invoice'!$D$2:$D$801,$N28)))</f>
        <v/>
      </c>
      <c r="E28">
        <f>IF($N28="","",IF(INDEX('Per Invoice'!$E$2:$E$801,$N28)="","",INDEX('Per Invoice'!$E$2:$E$801,$N28)))</f>
        <v/>
      </c>
      <c r="F28">
        <f>IF($N28="","",IF(INDEX('Per Invoice'!$F$2:$F$801,$N28)="","",INDEX('Per Invoice'!$F$2:$F$801,$N28)))</f>
        <v/>
      </c>
      <c r="G28">
        <f>IF($N28="","",IF(INDEX('Per Invoice'!$G$2:$G$801,$N28)="","",INDEX('Per Invoice'!$G$2:$G$801,$N28)))</f>
        <v/>
      </c>
      <c r="H28">
        <f>IF($N28="","",IF(INDEX('Per Invoice'!$H$2:$H$801,$N28)="","",INDEX('Per Invoice'!$H$2:$H$801,$N28)))</f>
        <v/>
      </c>
      <c r="I28" s="5">
        <f>IF($N28="","",IF(INDEX('Per Invoice'!$I$2:$I$801,$N28)="","",INDEX('Per Invoice'!$I$2:$I$801,$N28)))</f>
        <v/>
      </c>
      <c r="J28" s="5">
        <f>IF($N28="","",IF(INDEX('Per Invoice'!$J$2:$J$801,$N28)="","",INDEX('Per Invoice'!$J$2:$J$801,$N28)))</f>
        <v/>
      </c>
      <c r="K28" s="5">
        <f>IF($N28="","",IF(INDEX('Per Invoice'!$K$2:$K$801,$N28)="","",INDEX('Per Invoice'!$K$2:$K$801,$N28)))</f>
        <v/>
      </c>
      <c r="L28" s="5">
        <f>IF($N28="","",IF(INDEX('Per Invoice'!$L$2:$L$801,$N28)="","",INDEX('Per Invoice'!$L$2:$L$801,$N28)))</f>
        <v/>
      </c>
      <c r="M28" s="5">
        <f>IF($N28="","",IF(INDEX('Per Invoice'!$M$2:$M$801,$N28)="","",INDEX('Per Invoice'!$M$2:$M$801,$N28)))</f>
        <v/>
      </c>
      <c r="N28">
        <f>IF(ROWS($N$2:$N28)&lt;=COUNT('Per Invoice'!$P$2:$P$801),MATCH(ROWS($N$2:$N28),'Per Invoice'!$P$2:$P$801,0),"")</f>
        <v/>
      </c>
    </row>
    <row r="29">
      <c r="A29">
        <f>IF($N29="","",IF(INDEX('Per Invoice'!$A$2:$A$801,$N29)="","",INDEX('Per Invoice'!$A$2:$A$801,$N29)))</f>
        <v/>
      </c>
      <c r="B29">
        <f>IF($N29="","",IF(INDEX('Per Invoice'!$B$2:$B$801,$N29)="","",INDEX('Per Invoice'!$B$2:$B$801,$N29)))</f>
        <v/>
      </c>
      <c r="C29">
        <f>IF($N29="","",IF(INDEX('Per Invoice'!$C$2:$C$801,$N29)="","",INDEX('Per Invoice'!$C$2:$C$801,$N29)))</f>
        <v/>
      </c>
      <c r="D29">
        <f>IF($N29="","",IF(INDEX('Per Invoice'!$D$2:$D$801,$N29)="","",INDEX('Per Invoice'!$D$2:$D$801,$N29)))</f>
        <v/>
      </c>
      <c r="E29">
        <f>IF($N29="","",IF(INDEX('Per Invoice'!$E$2:$E$801,$N29)="","",INDEX('Per Invoice'!$E$2:$E$801,$N29)))</f>
        <v/>
      </c>
      <c r="F29">
        <f>IF($N29="","",IF(INDEX('Per Invoice'!$F$2:$F$801,$N29)="","",INDEX('Per Invoice'!$F$2:$F$801,$N29)))</f>
        <v/>
      </c>
      <c r="G29">
        <f>IF($N29="","",IF(INDEX('Per Invoice'!$G$2:$G$801,$N29)="","",INDEX('Per Invoice'!$G$2:$G$801,$N29)))</f>
        <v/>
      </c>
      <c r="H29">
        <f>IF($N29="","",IF(INDEX('Per Invoice'!$H$2:$H$801,$N29)="","",INDEX('Per Invoice'!$H$2:$H$801,$N29)))</f>
        <v/>
      </c>
      <c r="I29" s="5">
        <f>IF($N29="","",IF(INDEX('Per Invoice'!$I$2:$I$801,$N29)="","",INDEX('Per Invoice'!$I$2:$I$801,$N29)))</f>
        <v/>
      </c>
      <c r="J29" s="5">
        <f>IF($N29="","",IF(INDEX('Per Invoice'!$J$2:$J$801,$N29)="","",INDEX('Per Invoice'!$J$2:$J$801,$N29)))</f>
        <v/>
      </c>
      <c r="K29" s="5">
        <f>IF($N29="","",IF(INDEX('Per Invoice'!$K$2:$K$801,$N29)="","",INDEX('Per Invoice'!$K$2:$K$801,$N29)))</f>
        <v/>
      </c>
      <c r="L29" s="5">
        <f>IF($N29="","",IF(INDEX('Per Invoice'!$L$2:$L$801,$N29)="","",INDEX('Per Invoice'!$L$2:$L$801,$N29)))</f>
        <v/>
      </c>
      <c r="M29" s="5">
        <f>IF($N29="","",IF(INDEX('Per Invoice'!$M$2:$M$801,$N29)="","",INDEX('Per Invoice'!$M$2:$M$801,$N29)))</f>
        <v/>
      </c>
      <c r="N29">
        <f>IF(ROWS($N$2:$N29)&lt;=COUNT('Per Invoice'!$P$2:$P$801),MATCH(ROWS($N$2:$N29),'Per Invoice'!$P$2:$P$801,0),"")</f>
        <v/>
      </c>
    </row>
    <row r="30">
      <c r="A30">
        <f>IF($N30="","",IF(INDEX('Per Invoice'!$A$2:$A$801,$N30)="","",INDEX('Per Invoice'!$A$2:$A$801,$N30)))</f>
        <v/>
      </c>
      <c r="B30">
        <f>IF($N30="","",IF(INDEX('Per Invoice'!$B$2:$B$801,$N30)="","",INDEX('Per Invoice'!$B$2:$B$801,$N30)))</f>
        <v/>
      </c>
      <c r="C30">
        <f>IF($N30="","",IF(INDEX('Per Invoice'!$C$2:$C$801,$N30)="","",INDEX('Per Invoice'!$C$2:$C$801,$N30)))</f>
        <v/>
      </c>
      <c r="D30">
        <f>IF($N30="","",IF(INDEX('Per Invoice'!$D$2:$D$801,$N30)="","",INDEX('Per Invoice'!$D$2:$D$801,$N30)))</f>
        <v/>
      </c>
      <c r="E30">
        <f>IF($N30="","",IF(INDEX('Per Invoice'!$E$2:$E$801,$N30)="","",INDEX('Per Invoice'!$E$2:$E$801,$N30)))</f>
        <v/>
      </c>
      <c r="F30">
        <f>IF($N30="","",IF(INDEX('Per Invoice'!$F$2:$F$801,$N30)="","",INDEX('Per Invoice'!$F$2:$F$801,$N30)))</f>
        <v/>
      </c>
      <c r="G30">
        <f>IF($N30="","",IF(INDEX('Per Invoice'!$G$2:$G$801,$N30)="","",INDEX('Per Invoice'!$G$2:$G$801,$N30)))</f>
        <v/>
      </c>
      <c r="H30">
        <f>IF($N30="","",IF(INDEX('Per Invoice'!$H$2:$H$801,$N30)="","",INDEX('Per Invoice'!$H$2:$H$801,$N30)))</f>
        <v/>
      </c>
      <c r="I30" s="5">
        <f>IF($N30="","",IF(INDEX('Per Invoice'!$I$2:$I$801,$N30)="","",INDEX('Per Invoice'!$I$2:$I$801,$N30)))</f>
        <v/>
      </c>
      <c r="J30" s="5">
        <f>IF($N30="","",IF(INDEX('Per Invoice'!$J$2:$J$801,$N30)="","",INDEX('Per Invoice'!$J$2:$J$801,$N30)))</f>
        <v/>
      </c>
      <c r="K30" s="5">
        <f>IF($N30="","",IF(INDEX('Per Invoice'!$K$2:$K$801,$N30)="","",INDEX('Per Invoice'!$K$2:$K$801,$N30)))</f>
        <v/>
      </c>
      <c r="L30" s="5">
        <f>IF($N30="","",IF(INDEX('Per Invoice'!$L$2:$L$801,$N30)="","",INDEX('Per Invoice'!$L$2:$L$801,$N30)))</f>
        <v/>
      </c>
      <c r="M30" s="5">
        <f>IF($N30="","",IF(INDEX('Per Invoice'!$M$2:$M$801,$N30)="","",INDEX('Per Invoice'!$M$2:$M$801,$N30)))</f>
        <v/>
      </c>
      <c r="N30">
        <f>IF(ROWS($N$2:$N30)&lt;=COUNT('Per Invoice'!$P$2:$P$801),MATCH(ROWS($N$2:$N30),'Per Invoice'!$P$2:$P$801,0),"")</f>
        <v/>
      </c>
    </row>
    <row r="31">
      <c r="A31">
        <f>IF($N31="","",IF(INDEX('Per Invoice'!$A$2:$A$801,$N31)="","",INDEX('Per Invoice'!$A$2:$A$801,$N31)))</f>
        <v/>
      </c>
      <c r="B31">
        <f>IF($N31="","",IF(INDEX('Per Invoice'!$B$2:$B$801,$N31)="","",INDEX('Per Invoice'!$B$2:$B$801,$N31)))</f>
        <v/>
      </c>
      <c r="C31">
        <f>IF($N31="","",IF(INDEX('Per Invoice'!$C$2:$C$801,$N31)="","",INDEX('Per Invoice'!$C$2:$C$801,$N31)))</f>
        <v/>
      </c>
      <c r="D31">
        <f>IF($N31="","",IF(INDEX('Per Invoice'!$D$2:$D$801,$N31)="","",INDEX('Per Invoice'!$D$2:$D$801,$N31)))</f>
        <v/>
      </c>
      <c r="E31">
        <f>IF($N31="","",IF(INDEX('Per Invoice'!$E$2:$E$801,$N31)="","",INDEX('Per Invoice'!$E$2:$E$801,$N31)))</f>
        <v/>
      </c>
      <c r="F31">
        <f>IF($N31="","",IF(INDEX('Per Invoice'!$F$2:$F$801,$N31)="","",INDEX('Per Invoice'!$F$2:$F$801,$N31)))</f>
        <v/>
      </c>
      <c r="G31">
        <f>IF($N31="","",IF(INDEX('Per Invoice'!$G$2:$G$801,$N31)="","",INDEX('Per Invoice'!$G$2:$G$801,$N31)))</f>
        <v/>
      </c>
      <c r="H31">
        <f>IF($N31="","",IF(INDEX('Per Invoice'!$H$2:$H$801,$N31)="","",INDEX('Per Invoice'!$H$2:$H$801,$N31)))</f>
        <v/>
      </c>
      <c r="I31" s="5">
        <f>IF($N31="","",IF(INDEX('Per Invoice'!$I$2:$I$801,$N31)="","",INDEX('Per Invoice'!$I$2:$I$801,$N31)))</f>
        <v/>
      </c>
      <c r="J31" s="5">
        <f>IF($N31="","",IF(INDEX('Per Invoice'!$J$2:$J$801,$N31)="","",INDEX('Per Invoice'!$J$2:$J$801,$N31)))</f>
        <v/>
      </c>
      <c r="K31" s="5">
        <f>IF($N31="","",IF(INDEX('Per Invoice'!$K$2:$K$801,$N31)="","",INDEX('Per Invoice'!$K$2:$K$801,$N31)))</f>
        <v/>
      </c>
      <c r="L31" s="5">
        <f>IF($N31="","",IF(INDEX('Per Invoice'!$L$2:$L$801,$N31)="","",INDEX('Per Invoice'!$L$2:$L$801,$N31)))</f>
        <v/>
      </c>
      <c r="M31" s="5">
        <f>IF($N31="","",IF(INDEX('Per Invoice'!$M$2:$M$801,$N31)="","",INDEX('Per Invoice'!$M$2:$M$801,$N31)))</f>
        <v/>
      </c>
      <c r="N31">
        <f>IF(ROWS($N$2:$N31)&lt;=COUNT('Per Invoice'!$P$2:$P$801),MATCH(ROWS($N$2:$N31),'Per Invoice'!$P$2:$P$801,0),"")</f>
        <v/>
      </c>
    </row>
    <row r="32">
      <c r="A32">
        <f>IF($N32="","",IF(INDEX('Per Invoice'!$A$2:$A$801,$N32)="","",INDEX('Per Invoice'!$A$2:$A$801,$N32)))</f>
        <v/>
      </c>
      <c r="B32">
        <f>IF($N32="","",IF(INDEX('Per Invoice'!$B$2:$B$801,$N32)="","",INDEX('Per Invoice'!$B$2:$B$801,$N32)))</f>
        <v/>
      </c>
      <c r="C32">
        <f>IF($N32="","",IF(INDEX('Per Invoice'!$C$2:$C$801,$N32)="","",INDEX('Per Invoice'!$C$2:$C$801,$N32)))</f>
        <v/>
      </c>
      <c r="D32">
        <f>IF($N32="","",IF(INDEX('Per Invoice'!$D$2:$D$801,$N32)="","",INDEX('Per Invoice'!$D$2:$D$801,$N32)))</f>
        <v/>
      </c>
      <c r="E32">
        <f>IF($N32="","",IF(INDEX('Per Invoice'!$E$2:$E$801,$N32)="","",INDEX('Per Invoice'!$E$2:$E$801,$N32)))</f>
        <v/>
      </c>
      <c r="F32">
        <f>IF($N32="","",IF(INDEX('Per Invoice'!$F$2:$F$801,$N32)="","",INDEX('Per Invoice'!$F$2:$F$801,$N32)))</f>
        <v/>
      </c>
      <c r="G32">
        <f>IF($N32="","",IF(INDEX('Per Invoice'!$G$2:$G$801,$N32)="","",INDEX('Per Invoice'!$G$2:$G$801,$N32)))</f>
        <v/>
      </c>
      <c r="H32">
        <f>IF($N32="","",IF(INDEX('Per Invoice'!$H$2:$H$801,$N32)="","",INDEX('Per Invoice'!$H$2:$H$801,$N32)))</f>
        <v/>
      </c>
      <c r="I32" s="5">
        <f>IF($N32="","",IF(INDEX('Per Invoice'!$I$2:$I$801,$N32)="","",INDEX('Per Invoice'!$I$2:$I$801,$N32)))</f>
        <v/>
      </c>
      <c r="J32" s="5">
        <f>IF($N32="","",IF(INDEX('Per Invoice'!$J$2:$J$801,$N32)="","",INDEX('Per Invoice'!$J$2:$J$801,$N32)))</f>
        <v/>
      </c>
      <c r="K32" s="5">
        <f>IF($N32="","",IF(INDEX('Per Invoice'!$K$2:$K$801,$N32)="","",INDEX('Per Invoice'!$K$2:$K$801,$N32)))</f>
        <v/>
      </c>
      <c r="L32" s="5">
        <f>IF($N32="","",IF(INDEX('Per Invoice'!$L$2:$L$801,$N32)="","",INDEX('Per Invoice'!$L$2:$L$801,$N32)))</f>
        <v/>
      </c>
      <c r="M32" s="5">
        <f>IF($N32="","",IF(INDEX('Per Invoice'!$M$2:$M$801,$N32)="","",INDEX('Per Invoice'!$M$2:$M$801,$N32)))</f>
        <v/>
      </c>
      <c r="N32">
        <f>IF(ROWS($N$2:$N32)&lt;=COUNT('Per Invoice'!$P$2:$P$801),MATCH(ROWS($N$2:$N32),'Per Invoice'!$P$2:$P$801,0),"")</f>
        <v/>
      </c>
    </row>
    <row r="33">
      <c r="A33">
        <f>IF($N33="","",IF(INDEX('Per Invoice'!$A$2:$A$801,$N33)="","",INDEX('Per Invoice'!$A$2:$A$801,$N33)))</f>
        <v/>
      </c>
      <c r="B33">
        <f>IF($N33="","",IF(INDEX('Per Invoice'!$B$2:$B$801,$N33)="","",INDEX('Per Invoice'!$B$2:$B$801,$N33)))</f>
        <v/>
      </c>
      <c r="C33">
        <f>IF($N33="","",IF(INDEX('Per Invoice'!$C$2:$C$801,$N33)="","",INDEX('Per Invoice'!$C$2:$C$801,$N33)))</f>
        <v/>
      </c>
      <c r="D33">
        <f>IF($N33="","",IF(INDEX('Per Invoice'!$D$2:$D$801,$N33)="","",INDEX('Per Invoice'!$D$2:$D$801,$N33)))</f>
        <v/>
      </c>
      <c r="E33">
        <f>IF($N33="","",IF(INDEX('Per Invoice'!$E$2:$E$801,$N33)="","",INDEX('Per Invoice'!$E$2:$E$801,$N33)))</f>
        <v/>
      </c>
      <c r="F33">
        <f>IF($N33="","",IF(INDEX('Per Invoice'!$F$2:$F$801,$N33)="","",INDEX('Per Invoice'!$F$2:$F$801,$N33)))</f>
        <v/>
      </c>
      <c r="G33">
        <f>IF($N33="","",IF(INDEX('Per Invoice'!$G$2:$G$801,$N33)="","",INDEX('Per Invoice'!$G$2:$G$801,$N33)))</f>
        <v/>
      </c>
      <c r="H33">
        <f>IF($N33="","",IF(INDEX('Per Invoice'!$H$2:$H$801,$N33)="","",INDEX('Per Invoice'!$H$2:$H$801,$N33)))</f>
        <v/>
      </c>
      <c r="I33" s="5">
        <f>IF($N33="","",IF(INDEX('Per Invoice'!$I$2:$I$801,$N33)="","",INDEX('Per Invoice'!$I$2:$I$801,$N33)))</f>
        <v/>
      </c>
      <c r="J33" s="5">
        <f>IF($N33="","",IF(INDEX('Per Invoice'!$J$2:$J$801,$N33)="","",INDEX('Per Invoice'!$J$2:$J$801,$N33)))</f>
        <v/>
      </c>
      <c r="K33" s="5">
        <f>IF($N33="","",IF(INDEX('Per Invoice'!$K$2:$K$801,$N33)="","",INDEX('Per Invoice'!$K$2:$K$801,$N33)))</f>
        <v/>
      </c>
      <c r="L33" s="5">
        <f>IF($N33="","",IF(INDEX('Per Invoice'!$L$2:$L$801,$N33)="","",INDEX('Per Invoice'!$L$2:$L$801,$N33)))</f>
        <v/>
      </c>
      <c r="M33" s="5">
        <f>IF($N33="","",IF(INDEX('Per Invoice'!$M$2:$M$801,$N33)="","",INDEX('Per Invoice'!$M$2:$M$801,$N33)))</f>
        <v/>
      </c>
      <c r="N33">
        <f>IF(ROWS($N$2:$N33)&lt;=COUNT('Per Invoice'!$P$2:$P$801),MATCH(ROWS($N$2:$N33),'Per Invoice'!$P$2:$P$801,0),"")</f>
        <v/>
      </c>
    </row>
    <row r="34">
      <c r="A34">
        <f>IF($N34="","",IF(INDEX('Per Invoice'!$A$2:$A$801,$N34)="","",INDEX('Per Invoice'!$A$2:$A$801,$N34)))</f>
        <v/>
      </c>
      <c r="B34">
        <f>IF($N34="","",IF(INDEX('Per Invoice'!$B$2:$B$801,$N34)="","",INDEX('Per Invoice'!$B$2:$B$801,$N34)))</f>
        <v/>
      </c>
      <c r="C34">
        <f>IF($N34="","",IF(INDEX('Per Invoice'!$C$2:$C$801,$N34)="","",INDEX('Per Invoice'!$C$2:$C$801,$N34)))</f>
        <v/>
      </c>
      <c r="D34">
        <f>IF($N34="","",IF(INDEX('Per Invoice'!$D$2:$D$801,$N34)="","",INDEX('Per Invoice'!$D$2:$D$801,$N34)))</f>
        <v/>
      </c>
      <c r="E34">
        <f>IF($N34="","",IF(INDEX('Per Invoice'!$E$2:$E$801,$N34)="","",INDEX('Per Invoice'!$E$2:$E$801,$N34)))</f>
        <v/>
      </c>
      <c r="F34">
        <f>IF($N34="","",IF(INDEX('Per Invoice'!$F$2:$F$801,$N34)="","",INDEX('Per Invoice'!$F$2:$F$801,$N34)))</f>
        <v/>
      </c>
      <c r="G34">
        <f>IF($N34="","",IF(INDEX('Per Invoice'!$G$2:$G$801,$N34)="","",INDEX('Per Invoice'!$G$2:$G$801,$N34)))</f>
        <v/>
      </c>
      <c r="H34">
        <f>IF($N34="","",IF(INDEX('Per Invoice'!$H$2:$H$801,$N34)="","",INDEX('Per Invoice'!$H$2:$H$801,$N34)))</f>
        <v/>
      </c>
      <c r="I34" s="5">
        <f>IF($N34="","",IF(INDEX('Per Invoice'!$I$2:$I$801,$N34)="","",INDEX('Per Invoice'!$I$2:$I$801,$N34)))</f>
        <v/>
      </c>
      <c r="J34" s="5">
        <f>IF($N34="","",IF(INDEX('Per Invoice'!$J$2:$J$801,$N34)="","",INDEX('Per Invoice'!$J$2:$J$801,$N34)))</f>
        <v/>
      </c>
      <c r="K34" s="5">
        <f>IF($N34="","",IF(INDEX('Per Invoice'!$K$2:$K$801,$N34)="","",INDEX('Per Invoice'!$K$2:$K$801,$N34)))</f>
        <v/>
      </c>
      <c r="L34" s="5">
        <f>IF($N34="","",IF(INDEX('Per Invoice'!$L$2:$L$801,$N34)="","",INDEX('Per Invoice'!$L$2:$L$801,$N34)))</f>
        <v/>
      </c>
      <c r="M34" s="5">
        <f>IF($N34="","",IF(INDEX('Per Invoice'!$M$2:$M$801,$N34)="","",INDEX('Per Invoice'!$M$2:$M$801,$N34)))</f>
        <v/>
      </c>
      <c r="N34">
        <f>IF(ROWS($N$2:$N34)&lt;=COUNT('Per Invoice'!$P$2:$P$801),MATCH(ROWS($N$2:$N34),'Per Invoice'!$P$2:$P$801,0),"")</f>
        <v/>
      </c>
    </row>
    <row r="35">
      <c r="A35">
        <f>IF($N35="","",IF(INDEX('Per Invoice'!$A$2:$A$801,$N35)="","",INDEX('Per Invoice'!$A$2:$A$801,$N35)))</f>
        <v/>
      </c>
      <c r="B35">
        <f>IF($N35="","",IF(INDEX('Per Invoice'!$B$2:$B$801,$N35)="","",INDEX('Per Invoice'!$B$2:$B$801,$N35)))</f>
        <v/>
      </c>
      <c r="C35">
        <f>IF($N35="","",IF(INDEX('Per Invoice'!$C$2:$C$801,$N35)="","",INDEX('Per Invoice'!$C$2:$C$801,$N35)))</f>
        <v/>
      </c>
      <c r="D35">
        <f>IF($N35="","",IF(INDEX('Per Invoice'!$D$2:$D$801,$N35)="","",INDEX('Per Invoice'!$D$2:$D$801,$N35)))</f>
        <v/>
      </c>
      <c r="E35">
        <f>IF($N35="","",IF(INDEX('Per Invoice'!$E$2:$E$801,$N35)="","",INDEX('Per Invoice'!$E$2:$E$801,$N35)))</f>
        <v/>
      </c>
      <c r="F35">
        <f>IF($N35="","",IF(INDEX('Per Invoice'!$F$2:$F$801,$N35)="","",INDEX('Per Invoice'!$F$2:$F$801,$N35)))</f>
        <v/>
      </c>
      <c r="G35">
        <f>IF($N35="","",IF(INDEX('Per Invoice'!$G$2:$G$801,$N35)="","",INDEX('Per Invoice'!$G$2:$G$801,$N35)))</f>
        <v/>
      </c>
      <c r="H35">
        <f>IF($N35="","",IF(INDEX('Per Invoice'!$H$2:$H$801,$N35)="","",INDEX('Per Invoice'!$H$2:$H$801,$N35)))</f>
        <v/>
      </c>
      <c r="I35" s="5">
        <f>IF($N35="","",IF(INDEX('Per Invoice'!$I$2:$I$801,$N35)="","",INDEX('Per Invoice'!$I$2:$I$801,$N35)))</f>
        <v/>
      </c>
      <c r="J35" s="5">
        <f>IF($N35="","",IF(INDEX('Per Invoice'!$J$2:$J$801,$N35)="","",INDEX('Per Invoice'!$J$2:$J$801,$N35)))</f>
        <v/>
      </c>
      <c r="K35" s="5">
        <f>IF($N35="","",IF(INDEX('Per Invoice'!$K$2:$K$801,$N35)="","",INDEX('Per Invoice'!$K$2:$K$801,$N35)))</f>
        <v/>
      </c>
      <c r="L35" s="5">
        <f>IF($N35="","",IF(INDEX('Per Invoice'!$L$2:$L$801,$N35)="","",INDEX('Per Invoice'!$L$2:$L$801,$N35)))</f>
        <v/>
      </c>
      <c r="M35" s="5">
        <f>IF($N35="","",IF(INDEX('Per Invoice'!$M$2:$M$801,$N35)="","",INDEX('Per Invoice'!$M$2:$M$801,$N35)))</f>
        <v/>
      </c>
      <c r="N35">
        <f>IF(ROWS($N$2:$N35)&lt;=COUNT('Per Invoice'!$P$2:$P$801),MATCH(ROWS($N$2:$N35),'Per Invoice'!$P$2:$P$801,0),"")</f>
        <v/>
      </c>
    </row>
    <row r="36">
      <c r="A36">
        <f>IF($N36="","",IF(INDEX('Per Invoice'!$A$2:$A$801,$N36)="","",INDEX('Per Invoice'!$A$2:$A$801,$N36)))</f>
        <v/>
      </c>
      <c r="B36">
        <f>IF($N36="","",IF(INDEX('Per Invoice'!$B$2:$B$801,$N36)="","",INDEX('Per Invoice'!$B$2:$B$801,$N36)))</f>
        <v/>
      </c>
      <c r="C36">
        <f>IF($N36="","",IF(INDEX('Per Invoice'!$C$2:$C$801,$N36)="","",INDEX('Per Invoice'!$C$2:$C$801,$N36)))</f>
        <v/>
      </c>
      <c r="D36">
        <f>IF($N36="","",IF(INDEX('Per Invoice'!$D$2:$D$801,$N36)="","",INDEX('Per Invoice'!$D$2:$D$801,$N36)))</f>
        <v/>
      </c>
      <c r="E36">
        <f>IF($N36="","",IF(INDEX('Per Invoice'!$E$2:$E$801,$N36)="","",INDEX('Per Invoice'!$E$2:$E$801,$N36)))</f>
        <v/>
      </c>
      <c r="F36">
        <f>IF($N36="","",IF(INDEX('Per Invoice'!$F$2:$F$801,$N36)="","",INDEX('Per Invoice'!$F$2:$F$801,$N36)))</f>
        <v/>
      </c>
      <c r="G36">
        <f>IF($N36="","",IF(INDEX('Per Invoice'!$G$2:$G$801,$N36)="","",INDEX('Per Invoice'!$G$2:$G$801,$N36)))</f>
        <v/>
      </c>
      <c r="H36">
        <f>IF($N36="","",IF(INDEX('Per Invoice'!$H$2:$H$801,$N36)="","",INDEX('Per Invoice'!$H$2:$H$801,$N36)))</f>
        <v/>
      </c>
      <c r="I36" s="5">
        <f>IF($N36="","",IF(INDEX('Per Invoice'!$I$2:$I$801,$N36)="","",INDEX('Per Invoice'!$I$2:$I$801,$N36)))</f>
        <v/>
      </c>
      <c r="J36" s="5">
        <f>IF($N36="","",IF(INDEX('Per Invoice'!$J$2:$J$801,$N36)="","",INDEX('Per Invoice'!$J$2:$J$801,$N36)))</f>
        <v/>
      </c>
      <c r="K36" s="5">
        <f>IF($N36="","",IF(INDEX('Per Invoice'!$K$2:$K$801,$N36)="","",INDEX('Per Invoice'!$K$2:$K$801,$N36)))</f>
        <v/>
      </c>
      <c r="L36" s="5">
        <f>IF($N36="","",IF(INDEX('Per Invoice'!$L$2:$L$801,$N36)="","",INDEX('Per Invoice'!$L$2:$L$801,$N36)))</f>
        <v/>
      </c>
      <c r="M36" s="5">
        <f>IF($N36="","",IF(INDEX('Per Invoice'!$M$2:$M$801,$N36)="","",INDEX('Per Invoice'!$M$2:$M$801,$N36)))</f>
        <v/>
      </c>
      <c r="N36">
        <f>IF(ROWS($N$2:$N36)&lt;=COUNT('Per Invoice'!$P$2:$P$801),MATCH(ROWS($N$2:$N36),'Per Invoice'!$P$2:$P$801,0),"")</f>
        <v/>
      </c>
    </row>
    <row r="37">
      <c r="A37">
        <f>IF($N37="","",IF(INDEX('Per Invoice'!$A$2:$A$801,$N37)="","",INDEX('Per Invoice'!$A$2:$A$801,$N37)))</f>
        <v/>
      </c>
      <c r="B37">
        <f>IF($N37="","",IF(INDEX('Per Invoice'!$B$2:$B$801,$N37)="","",INDEX('Per Invoice'!$B$2:$B$801,$N37)))</f>
        <v/>
      </c>
      <c r="C37">
        <f>IF($N37="","",IF(INDEX('Per Invoice'!$C$2:$C$801,$N37)="","",INDEX('Per Invoice'!$C$2:$C$801,$N37)))</f>
        <v/>
      </c>
      <c r="D37">
        <f>IF($N37="","",IF(INDEX('Per Invoice'!$D$2:$D$801,$N37)="","",INDEX('Per Invoice'!$D$2:$D$801,$N37)))</f>
        <v/>
      </c>
      <c r="E37">
        <f>IF($N37="","",IF(INDEX('Per Invoice'!$E$2:$E$801,$N37)="","",INDEX('Per Invoice'!$E$2:$E$801,$N37)))</f>
        <v/>
      </c>
      <c r="F37">
        <f>IF($N37="","",IF(INDEX('Per Invoice'!$F$2:$F$801,$N37)="","",INDEX('Per Invoice'!$F$2:$F$801,$N37)))</f>
        <v/>
      </c>
      <c r="G37">
        <f>IF($N37="","",IF(INDEX('Per Invoice'!$G$2:$G$801,$N37)="","",INDEX('Per Invoice'!$G$2:$G$801,$N37)))</f>
        <v/>
      </c>
      <c r="H37">
        <f>IF($N37="","",IF(INDEX('Per Invoice'!$H$2:$H$801,$N37)="","",INDEX('Per Invoice'!$H$2:$H$801,$N37)))</f>
        <v/>
      </c>
      <c r="I37" s="5">
        <f>IF($N37="","",IF(INDEX('Per Invoice'!$I$2:$I$801,$N37)="","",INDEX('Per Invoice'!$I$2:$I$801,$N37)))</f>
        <v/>
      </c>
      <c r="J37" s="5">
        <f>IF($N37="","",IF(INDEX('Per Invoice'!$J$2:$J$801,$N37)="","",INDEX('Per Invoice'!$J$2:$J$801,$N37)))</f>
        <v/>
      </c>
      <c r="K37" s="5">
        <f>IF($N37="","",IF(INDEX('Per Invoice'!$K$2:$K$801,$N37)="","",INDEX('Per Invoice'!$K$2:$K$801,$N37)))</f>
        <v/>
      </c>
      <c r="L37" s="5">
        <f>IF($N37="","",IF(INDEX('Per Invoice'!$L$2:$L$801,$N37)="","",INDEX('Per Invoice'!$L$2:$L$801,$N37)))</f>
        <v/>
      </c>
      <c r="M37" s="5">
        <f>IF($N37="","",IF(INDEX('Per Invoice'!$M$2:$M$801,$N37)="","",INDEX('Per Invoice'!$M$2:$M$801,$N37)))</f>
        <v/>
      </c>
      <c r="N37">
        <f>IF(ROWS($N$2:$N37)&lt;=COUNT('Per Invoice'!$P$2:$P$801),MATCH(ROWS($N$2:$N37),'Per Invoice'!$P$2:$P$801,0),"")</f>
        <v/>
      </c>
    </row>
    <row r="38">
      <c r="A38">
        <f>IF($N38="","",IF(INDEX('Per Invoice'!$A$2:$A$801,$N38)="","",INDEX('Per Invoice'!$A$2:$A$801,$N38)))</f>
        <v/>
      </c>
      <c r="B38">
        <f>IF($N38="","",IF(INDEX('Per Invoice'!$B$2:$B$801,$N38)="","",INDEX('Per Invoice'!$B$2:$B$801,$N38)))</f>
        <v/>
      </c>
      <c r="C38">
        <f>IF($N38="","",IF(INDEX('Per Invoice'!$C$2:$C$801,$N38)="","",INDEX('Per Invoice'!$C$2:$C$801,$N38)))</f>
        <v/>
      </c>
      <c r="D38">
        <f>IF($N38="","",IF(INDEX('Per Invoice'!$D$2:$D$801,$N38)="","",INDEX('Per Invoice'!$D$2:$D$801,$N38)))</f>
        <v/>
      </c>
      <c r="E38">
        <f>IF($N38="","",IF(INDEX('Per Invoice'!$E$2:$E$801,$N38)="","",INDEX('Per Invoice'!$E$2:$E$801,$N38)))</f>
        <v/>
      </c>
      <c r="F38">
        <f>IF($N38="","",IF(INDEX('Per Invoice'!$F$2:$F$801,$N38)="","",INDEX('Per Invoice'!$F$2:$F$801,$N38)))</f>
        <v/>
      </c>
      <c r="G38">
        <f>IF($N38="","",IF(INDEX('Per Invoice'!$G$2:$G$801,$N38)="","",INDEX('Per Invoice'!$G$2:$G$801,$N38)))</f>
        <v/>
      </c>
      <c r="H38">
        <f>IF($N38="","",IF(INDEX('Per Invoice'!$H$2:$H$801,$N38)="","",INDEX('Per Invoice'!$H$2:$H$801,$N38)))</f>
        <v/>
      </c>
      <c r="I38" s="5">
        <f>IF($N38="","",IF(INDEX('Per Invoice'!$I$2:$I$801,$N38)="","",INDEX('Per Invoice'!$I$2:$I$801,$N38)))</f>
        <v/>
      </c>
      <c r="J38" s="5">
        <f>IF($N38="","",IF(INDEX('Per Invoice'!$J$2:$J$801,$N38)="","",INDEX('Per Invoice'!$J$2:$J$801,$N38)))</f>
        <v/>
      </c>
      <c r="K38" s="5">
        <f>IF($N38="","",IF(INDEX('Per Invoice'!$K$2:$K$801,$N38)="","",INDEX('Per Invoice'!$K$2:$K$801,$N38)))</f>
        <v/>
      </c>
      <c r="L38" s="5">
        <f>IF($N38="","",IF(INDEX('Per Invoice'!$L$2:$L$801,$N38)="","",INDEX('Per Invoice'!$L$2:$L$801,$N38)))</f>
        <v/>
      </c>
      <c r="M38" s="5">
        <f>IF($N38="","",IF(INDEX('Per Invoice'!$M$2:$M$801,$N38)="","",INDEX('Per Invoice'!$M$2:$M$801,$N38)))</f>
        <v/>
      </c>
      <c r="N38">
        <f>IF(ROWS($N$2:$N38)&lt;=COUNT('Per Invoice'!$P$2:$P$801),MATCH(ROWS($N$2:$N38),'Per Invoice'!$P$2:$P$801,0),"")</f>
        <v/>
      </c>
    </row>
    <row r="39">
      <c r="A39">
        <f>IF($N39="","",IF(INDEX('Per Invoice'!$A$2:$A$801,$N39)="","",INDEX('Per Invoice'!$A$2:$A$801,$N39)))</f>
        <v/>
      </c>
      <c r="B39">
        <f>IF($N39="","",IF(INDEX('Per Invoice'!$B$2:$B$801,$N39)="","",INDEX('Per Invoice'!$B$2:$B$801,$N39)))</f>
        <v/>
      </c>
      <c r="C39">
        <f>IF($N39="","",IF(INDEX('Per Invoice'!$C$2:$C$801,$N39)="","",INDEX('Per Invoice'!$C$2:$C$801,$N39)))</f>
        <v/>
      </c>
      <c r="D39">
        <f>IF($N39="","",IF(INDEX('Per Invoice'!$D$2:$D$801,$N39)="","",INDEX('Per Invoice'!$D$2:$D$801,$N39)))</f>
        <v/>
      </c>
      <c r="E39">
        <f>IF($N39="","",IF(INDEX('Per Invoice'!$E$2:$E$801,$N39)="","",INDEX('Per Invoice'!$E$2:$E$801,$N39)))</f>
        <v/>
      </c>
      <c r="F39">
        <f>IF($N39="","",IF(INDEX('Per Invoice'!$F$2:$F$801,$N39)="","",INDEX('Per Invoice'!$F$2:$F$801,$N39)))</f>
        <v/>
      </c>
      <c r="G39">
        <f>IF($N39="","",IF(INDEX('Per Invoice'!$G$2:$G$801,$N39)="","",INDEX('Per Invoice'!$G$2:$G$801,$N39)))</f>
        <v/>
      </c>
      <c r="H39">
        <f>IF($N39="","",IF(INDEX('Per Invoice'!$H$2:$H$801,$N39)="","",INDEX('Per Invoice'!$H$2:$H$801,$N39)))</f>
        <v/>
      </c>
      <c r="I39" s="5">
        <f>IF($N39="","",IF(INDEX('Per Invoice'!$I$2:$I$801,$N39)="","",INDEX('Per Invoice'!$I$2:$I$801,$N39)))</f>
        <v/>
      </c>
      <c r="J39" s="5">
        <f>IF($N39="","",IF(INDEX('Per Invoice'!$J$2:$J$801,$N39)="","",INDEX('Per Invoice'!$J$2:$J$801,$N39)))</f>
        <v/>
      </c>
      <c r="K39" s="5">
        <f>IF($N39="","",IF(INDEX('Per Invoice'!$K$2:$K$801,$N39)="","",INDEX('Per Invoice'!$K$2:$K$801,$N39)))</f>
        <v/>
      </c>
      <c r="L39" s="5">
        <f>IF($N39="","",IF(INDEX('Per Invoice'!$L$2:$L$801,$N39)="","",INDEX('Per Invoice'!$L$2:$L$801,$N39)))</f>
        <v/>
      </c>
      <c r="M39" s="5">
        <f>IF($N39="","",IF(INDEX('Per Invoice'!$M$2:$M$801,$N39)="","",INDEX('Per Invoice'!$M$2:$M$801,$N39)))</f>
        <v/>
      </c>
      <c r="N39">
        <f>IF(ROWS($N$2:$N39)&lt;=COUNT('Per Invoice'!$P$2:$P$801),MATCH(ROWS($N$2:$N39),'Per Invoice'!$P$2:$P$801,0),"")</f>
        <v/>
      </c>
    </row>
    <row r="40">
      <c r="A40">
        <f>IF($N40="","",IF(INDEX('Per Invoice'!$A$2:$A$801,$N40)="","",INDEX('Per Invoice'!$A$2:$A$801,$N40)))</f>
        <v/>
      </c>
      <c r="B40">
        <f>IF($N40="","",IF(INDEX('Per Invoice'!$B$2:$B$801,$N40)="","",INDEX('Per Invoice'!$B$2:$B$801,$N40)))</f>
        <v/>
      </c>
      <c r="C40">
        <f>IF($N40="","",IF(INDEX('Per Invoice'!$C$2:$C$801,$N40)="","",INDEX('Per Invoice'!$C$2:$C$801,$N40)))</f>
        <v/>
      </c>
      <c r="D40">
        <f>IF($N40="","",IF(INDEX('Per Invoice'!$D$2:$D$801,$N40)="","",INDEX('Per Invoice'!$D$2:$D$801,$N40)))</f>
        <v/>
      </c>
      <c r="E40">
        <f>IF($N40="","",IF(INDEX('Per Invoice'!$E$2:$E$801,$N40)="","",INDEX('Per Invoice'!$E$2:$E$801,$N40)))</f>
        <v/>
      </c>
      <c r="F40">
        <f>IF($N40="","",IF(INDEX('Per Invoice'!$F$2:$F$801,$N40)="","",INDEX('Per Invoice'!$F$2:$F$801,$N40)))</f>
        <v/>
      </c>
      <c r="G40">
        <f>IF($N40="","",IF(INDEX('Per Invoice'!$G$2:$G$801,$N40)="","",INDEX('Per Invoice'!$G$2:$G$801,$N40)))</f>
        <v/>
      </c>
      <c r="H40">
        <f>IF($N40="","",IF(INDEX('Per Invoice'!$H$2:$H$801,$N40)="","",INDEX('Per Invoice'!$H$2:$H$801,$N40)))</f>
        <v/>
      </c>
      <c r="I40" s="5">
        <f>IF($N40="","",IF(INDEX('Per Invoice'!$I$2:$I$801,$N40)="","",INDEX('Per Invoice'!$I$2:$I$801,$N40)))</f>
        <v/>
      </c>
      <c r="J40" s="5">
        <f>IF($N40="","",IF(INDEX('Per Invoice'!$J$2:$J$801,$N40)="","",INDEX('Per Invoice'!$J$2:$J$801,$N40)))</f>
        <v/>
      </c>
      <c r="K40" s="5">
        <f>IF($N40="","",IF(INDEX('Per Invoice'!$K$2:$K$801,$N40)="","",INDEX('Per Invoice'!$K$2:$K$801,$N40)))</f>
        <v/>
      </c>
      <c r="L40" s="5">
        <f>IF($N40="","",IF(INDEX('Per Invoice'!$L$2:$L$801,$N40)="","",INDEX('Per Invoice'!$L$2:$L$801,$N40)))</f>
        <v/>
      </c>
      <c r="M40" s="5">
        <f>IF($N40="","",IF(INDEX('Per Invoice'!$M$2:$M$801,$N40)="","",INDEX('Per Invoice'!$M$2:$M$801,$N40)))</f>
        <v/>
      </c>
      <c r="N40">
        <f>IF(ROWS($N$2:$N40)&lt;=COUNT('Per Invoice'!$P$2:$P$801),MATCH(ROWS($N$2:$N40),'Per Invoice'!$P$2:$P$801,0),"")</f>
        <v/>
      </c>
    </row>
    <row r="41">
      <c r="A41">
        <f>IF($N41="","",IF(INDEX('Per Invoice'!$A$2:$A$801,$N41)="","",INDEX('Per Invoice'!$A$2:$A$801,$N41)))</f>
        <v/>
      </c>
      <c r="B41">
        <f>IF($N41="","",IF(INDEX('Per Invoice'!$B$2:$B$801,$N41)="","",INDEX('Per Invoice'!$B$2:$B$801,$N41)))</f>
        <v/>
      </c>
      <c r="C41">
        <f>IF($N41="","",IF(INDEX('Per Invoice'!$C$2:$C$801,$N41)="","",INDEX('Per Invoice'!$C$2:$C$801,$N41)))</f>
        <v/>
      </c>
      <c r="D41">
        <f>IF($N41="","",IF(INDEX('Per Invoice'!$D$2:$D$801,$N41)="","",INDEX('Per Invoice'!$D$2:$D$801,$N41)))</f>
        <v/>
      </c>
      <c r="E41">
        <f>IF($N41="","",IF(INDEX('Per Invoice'!$E$2:$E$801,$N41)="","",INDEX('Per Invoice'!$E$2:$E$801,$N41)))</f>
        <v/>
      </c>
      <c r="F41">
        <f>IF($N41="","",IF(INDEX('Per Invoice'!$F$2:$F$801,$N41)="","",INDEX('Per Invoice'!$F$2:$F$801,$N41)))</f>
        <v/>
      </c>
      <c r="G41">
        <f>IF($N41="","",IF(INDEX('Per Invoice'!$G$2:$G$801,$N41)="","",INDEX('Per Invoice'!$G$2:$G$801,$N41)))</f>
        <v/>
      </c>
      <c r="H41">
        <f>IF($N41="","",IF(INDEX('Per Invoice'!$H$2:$H$801,$N41)="","",INDEX('Per Invoice'!$H$2:$H$801,$N41)))</f>
        <v/>
      </c>
      <c r="I41" s="5">
        <f>IF($N41="","",IF(INDEX('Per Invoice'!$I$2:$I$801,$N41)="","",INDEX('Per Invoice'!$I$2:$I$801,$N41)))</f>
        <v/>
      </c>
      <c r="J41" s="5">
        <f>IF($N41="","",IF(INDEX('Per Invoice'!$J$2:$J$801,$N41)="","",INDEX('Per Invoice'!$J$2:$J$801,$N41)))</f>
        <v/>
      </c>
      <c r="K41" s="5">
        <f>IF($N41="","",IF(INDEX('Per Invoice'!$K$2:$K$801,$N41)="","",INDEX('Per Invoice'!$K$2:$K$801,$N41)))</f>
        <v/>
      </c>
      <c r="L41" s="5">
        <f>IF($N41="","",IF(INDEX('Per Invoice'!$L$2:$L$801,$N41)="","",INDEX('Per Invoice'!$L$2:$L$801,$N41)))</f>
        <v/>
      </c>
      <c r="M41" s="5">
        <f>IF($N41="","",IF(INDEX('Per Invoice'!$M$2:$M$801,$N41)="","",INDEX('Per Invoice'!$M$2:$M$801,$N41)))</f>
        <v/>
      </c>
      <c r="N41">
        <f>IF(ROWS($N$2:$N41)&lt;=COUNT('Per Invoice'!$P$2:$P$801),MATCH(ROWS($N$2:$N41),'Per Invoice'!$P$2:$P$801,0),"")</f>
        <v/>
      </c>
    </row>
    <row r="42">
      <c r="A42">
        <f>IF($N42="","",IF(INDEX('Per Invoice'!$A$2:$A$801,$N42)="","",INDEX('Per Invoice'!$A$2:$A$801,$N42)))</f>
        <v/>
      </c>
      <c r="B42">
        <f>IF($N42="","",IF(INDEX('Per Invoice'!$B$2:$B$801,$N42)="","",INDEX('Per Invoice'!$B$2:$B$801,$N42)))</f>
        <v/>
      </c>
      <c r="C42">
        <f>IF($N42="","",IF(INDEX('Per Invoice'!$C$2:$C$801,$N42)="","",INDEX('Per Invoice'!$C$2:$C$801,$N42)))</f>
        <v/>
      </c>
      <c r="D42">
        <f>IF($N42="","",IF(INDEX('Per Invoice'!$D$2:$D$801,$N42)="","",INDEX('Per Invoice'!$D$2:$D$801,$N42)))</f>
        <v/>
      </c>
      <c r="E42">
        <f>IF($N42="","",IF(INDEX('Per Invoice'!$E$2:$E$801,$N42)="","",INDEX('Per Invoice'!$E$2:$E$801,$N42)))</f>
        <v/>
      </c>
      <c r="F42">
        <f>IF($N42="","",IF(INDEX('Per Invoice'!$F$2:$F$801,$N42)="","",INDEX('Per Invoice'!$F$2:$F$801,$N42)))</f>
        <v/>
      </c>
      <c r="G42">
        <f>IF($N42="","",IF(INDEX('Per Invoice'!$G$2:$G$801,$N42)="","",INDEX('Per Invoice'!$G$2:$G$801,$N42)))</f>
        <v/>
      </c>
      <c r="H42">
        <f>IF($N42="","",IF(INDEX('Per Invoice'!$H$2:$H$801,$N42)="","",INDEX('Per Invoice'!$H$2:$H$801,$N42)))</f>
        <v/>
      </c>
      <c r="I42" s="5">
        <f>IF($N42="","",IF(INDEX('Per Invoice'!$I$2:$I$801,$N42)="","",INDEX('Per Invoice'!$I$2:$I$801,$N42)))</f>
        <v/>
      </c>
      <c r="J42" s="5">
        <f>IF($N42="","",IF(INDEX('Per Invoice'!$J$2:$J$801,$N42)="","",INDEX('Per Invoice'!$J$2:$J$801,$N42)))</f>
        <v/>
      </c>
      <c r="K42" s="5">
        <f>IF($N42="","",IF(INDEX('Per Invoice'!$K$2:$K$801,$N42)="","",INDEX('Per Invoice'!$K$2:$K$801,$N42)))</f>
        <v/>
      </c>
      <c r="L42" s="5">
        <f>IF($N42="","",IF(INDEX('Per Invoice'!$L$2:$L$801,$N42)="","",INDEX('Per Invoice'!$L$2:$L$801,$N42)))</f>
        <v/>
      </c>
      <c r="M42" s="5">
        <f>IF($N42="","",IF(INDEX('Per Invoice'!$M$2:$M$801,$N42)="","",INDEX('Per Invoice'!$M$2:$M$801,$N42)))</f>
        <v/>
      </c>
      <c r="N42">
        <f>IF(ROWS($N$2:$N42)&lt;=COUNT('Per Invoice'!$P$2:$P$801),MATCH(ROWS($N$2:$N42),'Per Invoice'!$P$2:$P$801,0),"")</f>
        <v/>
      </c>
    </row>
    <row r="43">
      <c r="A43">
        <f>IF($N43="","",IF(INDEX('Per Invoice'!$A$2:$A$801,$N43)="","",INDEX('Per Invoice'!$A$2:$A$801,$N43)))</f>
        <v/>
      </c>
      <c r="B43">
        <f>IF($N43="","",IF(INDEX('Per Invoice'!$B$2:$B$801,$N43)="","",INDEX('Per Invoice'!$B$2:$B$801,$N43)))</f>
        <v/>
      </c>
      <c r="C43">
        <f>IF($N43="","",IF(INDEX('Per Invoice'!$C$2:$C$801,$N43)="","",INDEX('Per Invoice'!$C$2:$C$801,$N43)))</f>
        <v/>
      </c>
      <c r="D43">
        <f>IF($N43="","",IF(INDEX('Per Invoice'!$D$2:$D$801,$N43)="","",INDEX('Per Invoice'!$D$2:$D$801,$N43)))</f>
        <v/>
      </c>
      <c r="E43">
        <f>IF($N43="","",IF(INDEX('Per Invoice'!$E$2:$E$801,$N43)="","",INDEX('Per Invoice'!$E$2:$E$801,$N43)))</f>
        <v/>
      </c>
      <c r="F43">
        <f>IF($N43="","",IF(INDEX('Per Invoice'!$F$2:$F$801,$N43)="","",INDEX('Per Invoice'!$F$2:$F$801,$N43)))</f>
        <v/>
      </c>
      <c r="G43">
        <f>IF($N43="","",IF(INDEX('Per Invoice'!$G$2:$G$801,$N43)="","",INDEX('Per Invoice'!$G$2:$G$801,$N43)))</f>
        <v/>
      </c>
      <c r="H43">
        <f>IF($N43="","",IF(INDEX('Per Invoice'!$H$2:$H$801,$N43)="","",INDEX('Per Invoice'!$H$2:$H$801,$N43)))</f>
        <v/>
      </c>
      <c r="I43" s="5">
        <f>IF($N43="","",IF(INDEX('Per Invoice'!$I$2:$I$801,$N43)="","",INDEX('Per Invoice'!$I$2:$I$801,$N43)))</f>
        <v/>
      </c>
      <c r="J43" s="5">
        <f>IF($N43="","",IF(INDEX('Per Invoice'!$J$2:$J$801,$N43)="","",INDEX('Per Invoice'!$J$2:$J$801,$N43)))</f>
        <v/>
      </c>
      <c r="K43" s="5">
        <f>IF($N43="","",IF(INDEX('Per Invoice'!$K$2:$K$801,$N43)="","",INDEX('Per Invoice'!$K$2:$K$801,$N43)))</f>
        <v/>
      </c>
      <c r="L43" s="5">
        <f>IF($N43="","",IF(INDEX('Per Invoice'!$L$2:$L$801,$N43)="","",INDEX('Per Invoice'!$L$2:$L$801,$N43)))</f>
        <v/>
      </c>
      <c r="M43" s="5">
        <f>IF($N43="","",IF(INDEX('Per Invoice'!$M$2:$M$801,$N43)="","",INDEX('Per Invoice'!$M$2:$M$801,$N43)))</f>
        <v/>
      </c>
      <c r="N43">
        <f>IF(ROWS($N$2:$N43)&lt;=COUNT('Per Invoice'!$P$2:$P$801),MATCH(ROWS($N$2:$N43),'Per Invoice'!$P$2:$P$801,0),"")</f>
        <v/>
      </c>
    </row>
    <row r="44">
      <c r="A44">
        <f>IF($N44="","",IF(INDEX('Per Invoice'!$A$2:$A$801,$N44)="","",INDEX('Per Invoice'!$A$2:$A$801,$N44)))</f>
        <v/>
      </c>
      <c r="B44">
        <f>IF($N44="","",IF(INDEX('Per Invoice'!$B$2:$B$801,$N44)="","",INDEX('Per Invoice'!$B$2:$B$801,$N44)))</f>
        <v/>
      </c>
      <c r="C44">
        <f>IF($N44="","",IF(INDEX('Per Invoice'!$C$2:$C$801,$N44)="","",INDEX('Per Invoice'!$C$2:$C$801,$N44)))</f>
        <v/>
      </c>
      <c r="D44">
        <f>IF($N44="","",IF(INDEX('Per Invoice'!$D$2:$D$801,$N44)="","",INDEX('Per Invoice'!$D$2:$D$801,$N44)))</f>
        <v/>
      </c>
      <c r="E44">
        <f>IF($N44="","",IF(INDEX('Per Invoice'!$E$2:$E$801,$N44)="","",INDEX('Per Invoice'!$E$2:$E$801,$N44)))</f>
        <v/>
      </c>
      <c r="F44">
        <f>IF($N44="","",IF(INDEX('Per Invoice'!$F$2:$F$801,$N44)="","",INDEX('Per Invoice'!$F$2:$F$801,$N44)))</f>
        <v/>
      </c>
      <c r="G44">
        <f>IF($N44="","",IF(INDEX('Per Invoice'!$G$2:$G$801,$N44)="","",INDEX('Per Invoice'!$G$2:$G$801,$N44)))</f>
        <v/>
      </c>
      <c r="H44">
        <f>IF($N44="","",IF(INDEX('Per Invoice'!$H$2:$H$801,$N44)="","",INDEX('Per Invoice'!$H$2:$H$801,$N44)))</f>
        <v/>
      </c>
      <c r="I44" s="5">
        <f>IF($N44="","",IF(INDEX('Per Invoice'!$I$2:$I$801,$N44)="","",INDEX('Per Invoice'!$I$2:$I$801,$N44)))</f>
        <v/>
      </c>
      <c r="J44" s="5">
        <f>IF($N44="","",IF(INDEX('Per Invoice'!$J$2:$J$801,$N44)="","",INDEX('Per Invoice'!$J$2:$J$801,$N44)))</f>
        <v/>
      </c>
      <c r="K44" s="5">
        <f>IF($N44="","",IF(INDEX('Per Invoice'!$K$2:$K$801,$N44)="","",INDEX('Per Invoice'!$K$2:$K$801,$N44)))</f>
        <v/>
      </c>
      <c r="L44" s="5">
        <f>IF($N44="","",IF(INDEX('Per Invoice'!$L$2:$L$801,$N44)="","",INDEX('Per Invoice'!$L$2:$L$801,$N44)))</f>
        <v/>
      </c>
      <c r="M44" s="5">
        <f>IF($N44="","",IF(INDEX('Per Invoice'!$M$2:$M$801,$N44)="","",INDEX('Per Invoice'!$M$2:$M$801,$N44)))</f>
        <v/>
      </c>
      <c r="N44">
        <f>IF(ROWS($N$2:$N44)&lt;=COUNT('Per Invoice'!$P$2:$P$801),MATCH(ROWS($N$2:$N44),'Per Invoice'!$P$2:$P$801,0),"")</f>
        <v/>
      </c>
    </row>
    <row r="45">
      <c r="A45">
        <f>IF($N45="","",IF(INDEX('Per Invoice'!$A$2:$A$801,$N45)="","",INDEX('Per Invoice'!$A$2:$A$801,$N45)))</f>
        <v/>
      </c>
      <c r="B45">
        <f>IF($N45="","",IF(INDEX('Per Invoice'!$B$2:$B$801,$N45)="","",INDEX('Per Invoice'!$B$2:$B$801,$N45)))</f>
        <v/>
      </c>
      <c r="C45">
        <f>IF($N45="","",IF(INDEX('Per Invoice'!$C$2:$C$801,$N45)="","",INDEX('Per Invoice'!$C$2:$C$801,$N45)))</f>
        <v/>
      </c>
      <c r="D45">
        <f>IF($N45="","",IF(INDEX('Per Invoice'!$D$2:$D$801,$N45)="","",INDEX('Per Invoice'!$D$2:$D$801,$N45)))</f>
        <v/>
      </c>
      <c r="E45">
        <f>IF($N45="","",IF(INDEX('Per Invoice'!$E$2:$E$801,$N45)="","",INDEX('Per Invoice'!$E$2:$E$801,$N45)))</f>
        <v/>
      </c>
      <c r="F45">
        <f>IF($N45="","",IF(INDEX('Per Invoice'!$F$2:$F$801,$N45)="","",INDEX('Per Invoice'!$F$2:$F$801,$N45)))</f>
        <v/>
      </c>
      <c r="G45">
        <f>IF($N45="","",IF(INDEX('Per Invoice'!$G$2:$G$801,$N45)="","",INDEX('Per Invoice'!$G$2:$G$801,$N45)))</f>
        <v/>
      </c>
      <c r="H45">
        <f>IF($N45="","",IF(INDEX('Per Invoice'!$H$2:$H$801,$N45)="","",INDEX('Per Invoice'!$H$2:$H$801,$N45)))</f>
        <v/>
      </c>
      <c r="I45" s="5">
        <f>IF($N45="","",IF(INDEX('Per Invoice'!$I$2:$I$801,$N45)="","",INDEX('Per Invoice'!$I$2:$I$801,$N45)))</f>
        <v/>
      </c>
      <c r="J45" s="5">
        <f>IF($N45="","",IF(INDEX('Per Invoice'!$J$2:$J$801,$N45)="","",INDEX('Per Invoice'!$J$2:$J$801,$N45)))</f>
        <v/>
      </c>
      <c r="K45" s="5">
        <f>IF($N45="","",IF(INDEX('Per Invoice'!$K$2:$K$801,$N45)="","",INDEX('Per Invoice'!$K$2:$K$801,$N45)))</f>
        <v/>
      </c>
      <c r="L45" s="5">
        <f>IF($N45="","",IF(INDEX('Per Invoice'!$L$2:$L$801,$N45)="","",INDEX('Per Invoice'!$L$2:$L$801,$N45)))</f>
        <v/>
      </c>
      <c r="M45" s="5">
        <f>IF($N45="","",IF(INDEX('Per Invoice'!$M$2:$M$801,$N45)="","",INDEX('Per Invoice'!$M$2:$M$801,$N45)))</f>
        <v/>
      </c>
      <c r="N45">
        <f>IF(ROWS($N$2:$N45)&lt;=COUNT('Per Invoice'!$P$2:$P$801),MATCH(ROWS($N$2:$N45),'Per Invoice'!$P$2:$P$801,0),"")</f>
        <v/>
      </c>
    </row>
    <row r="46">
      <c r="A46">
        <f>IF($N46="","",IF(INDEX('Per Invoice'!$A$2:$A$801,$N46)="","",INDEX('Per Invoice'!$A$2:$A$801,$N46)))</f>
        <v/>
      </c>
      <c r="B46">
        <f>IF($N46="","",IF(INDEX('Per Invoice'!$B$2:$B$801,$N46)="","",INDEX('Per Invoice'!$B$2:$B$801,$N46)))</f>
        <v/>
      </c>
      <c r="C46">
        <f>IF($N46="","",IF(INDEX('Per Invoice'!$C$2:$C$801,$N46)="","",INDEX('Per Invoice'!$C$2:$C$801,$N46)))</f>
        <v/>
      </c>
      <c r="D46">
        <f>IF($N46="","",IF(INDEX('Per Invoice'!$D$2:$D$801,$N46)="","",INDEX('Per Invoice'!$D$2:$D$801,$N46)))</f>
        <v/>
      </c>
      <c r="E46">
        <f>IF($N46="","",IF(INDEX('Per Invoice'!$E$2:$E$801,$N46)="","",INDEX('Per Invoice'!$E$2:$E$801,$N46)))</f>
        <v/>
      </c>
      <c r="F46">
        <f>IF($N46="","",IF(INDEX('Per Invoice'!$F$2:$F$801,$N46)="","",INDEX('Per Invoice'!$F$2:$F$801,$N46)))</f>
        <v/>
      </c>
      <c r="G46">
        <f>IF($N46="","",IF(INDEX('Per Invoice'!$G$2:$G$801,$N46)="","",INDEX('Per Invoice'!$G$2:$G$801,$N46)))</f>
        <v/>
      </c>
      <c r="H46">
        <f>IF($N46="","",IF(INDEX('Per Invoice'!$H$2:$H$801,$N46)="","",INDEX('Per Invoice'!$H$2:$H$801,$N46)))</f>
        <v/>
      </c>
      <c r="I46" s="5">
        <f>IF($N46="","",IF(INDEX('Per Invoice'!$I$2:$I$801,$N46)="","",INDEX('Per Invoice'!$I$2:$I$801,$N46)))</f>
        <v/>
      </c>
      <c r="J46" s="5">
        <f>IF($N46="","",IF(INDEX('Per Invoice'!$J$2:$J$801,$N46)="","",INDEX('Per Invoice'!$J$2:$J$801,$N46)))</f>
        <v/>
      </c>
      <c r="K46" s="5">
        <f>IF($N46="","",IF(INDEX('Per Invoice'!$K$2:$K$801,$N46)="","",INDEX('Per Invoice'!$K$2:$K$801,$N46)))</f>
        <v/>
      </c>
      <c r="L46" s="5">
        <f>IF($N46="","",IF(INDEX('Per Invoice'!$L$2:$L$801,$N46)="","",INDEX('Per Invoice'!$L$2:$L$801,$N46)))</f>
        <v/>
      </c>
      <c r="M46" s="5">
        <f>IF($N46="","",IF(INDEX('Per Invoice'!$M$2:$M$801,$N46)="","",INDEX('Per Invoice'!$M$2:$M$801,$N46)))</f>
        <v/>
      </c>
      <c r="N46">
        <f>IF(ROWS($N$2:$N46)&lt;=COUNT('Per Invoice'!$P$2:$P$801),MATCH(ROWS($N$2:$N46),'Per Invoice'!$P$2:$P$801,0),"")</f>
        <v/>
      </c>
    </row>
    <row r="47">
      <c r="A47">
        <f>IF($N47="","",IF(INDEX('Per Invoice'!$A$2:$A$801,$N47)="","",INDEX('Per Invoice'!$A$2:$A$801,$N47)))</f>
        <v/>
      </c>
      <c r="B47">
        <f>IF($N47="","",IF(INDEX('Per Invoice'!$B$2:$B$801,$N47)="","",INDEX('Per Invoice'!$B$2:$B$801,$N47)))</f>
        <v/>
      </c>
      <c r="C47">
        <f>IF($N47="","",IF(INDEX('Per Invoice'!$C$2:$C$801,$N47)="","",INDEX('Per Invoice'!$C$2:$C$801,$N47)))</f>
        <v/>
      </c>
      <c r="D47">
        <f>IF($N47="","",IF(INDEX('Per Invoice'!$D$2:$D$801,$N47)="","",INDEX('Per Invoice'!$D$2:$D$801,$N47)))</f>
        <v/>
      </c>
      <c r="E47">
        <f>IF($N47="","",IF(INDEX('Per Invoice'!$E$2:$E$801,$N47)="","",INDEX('Per Invoice'!$E$2:$E$801,$N47)))</f>
        <v/>
      </c>
      <c r="F47">
        <f>IF($N47="","",IF(INDEX('Per Invoice'!$F$2:$F$801,$N47)="","",INDEX('Per Invoice'!$F$2:$F$801,$N47)))</f>
        <v/>
      </c>
      <c r="G47">
        <f>IF($N47="","",IF(INDEX('Per Invoice'!$G$2:$G$801,$N47)="","",INDEX('Per Invoice'!$G$2:$G$801,$N47)))</f>
        <v/>
      </c>
      <c r="H47">
        <f>IF($N47="","",IF(INDEX('Per Invoice'!$H$2:$H$801,$N47)="","",INDEX('Per Invoice'!$H$2:$H$801,$N47)))</f>
        <v/>
      </c>
      <c r="I47" s="5">
        <f>IF($N47="","",IF(INDEX('Per Invoice'!$I$2:$I$801,$N47)="","",INDEX('Per Invoice'!$I$2:$I$801,$N47)))</f>
        <v/>
      </c>
      <c r="J47" s="5">
        <f>IF($N47="","",IF(INDEX('Per Invoice'!$J$2:$J$801,$N47)="","",INDEX('Per Invoice'!$J$2:$J$801,$N47)))</f>
        <v/>
      </c>
      <c r="K47" s="5">
        <f>IF($N47="","",IF(INDEX('Per Invoice'!$K$2:$K$801,$N47)="","",INDEX('Per Invoice'!$K$2:$K$801,$N47)))</f>
        <v/>
      </c>
      <c r="L47" s="5">
        <f>IF($N47="","",IF(INDEX('Per Invoice'!$L$2:$L$801,$N47)="","",INDEX('Per Invoice'!$L$2:$L$801,$N47)))</f>
        <v/>
      </c>
      <c r="M47" s="5">
        <f>IF($N47="","",IF(INDEX('Per Invoice'!$M$2:$M$801,$N47)="","",INDEX('Per Invoice'!$M$2:$M$801,$N47)))</f>
        <v/>
      </c>
      <c r="N47">
        <f>IF(ROWS($N$2:$N47)&lt;=COUNT('Per Invoice'!$P$2:$P$801),MATCH(ROWS($N$2:$N47),'Per Invoice'!$P$2:$P$801,0),"")</f>
        <v/>
      </c>
    </row>
    <row r="48">
      <c r="A48">
        <f>IF($N48="","",IF(INDEX('Per Invoice'!$A$2:$A$801,$N48)="","",INDEX('Per Invoice'!$A$2:$A$801,$N48)))</f>
        <v/>
      </c>
      <c r="B48">
        <f>IF($N48="","",IF(INDEX('Per Invoice'!$B$2:$B$801,$N48)="","",INDEX('Per Invoice'!$B$2:$B$801,$N48)))</f>
        <v/>
      </c>
      <c r="C48">
        <f>IF($N48="","",IF(INDEX('Per Invoice'!$C$2:$C$801,$N48)="","",INDEX('Per Invoice'!$C$2:$C$801,$N48)))</f>
        <v/>
      </c>
      <c r="D48">
        <f>IF($N48="","",IF(INDEX('Per Invoice'!$D$2:$D$801,$N48)="","",INDEX('Per Invoice'!$D$2:$D$801,$N48)))</f>
        <v/>
      </c>
      <c r="E48">
        <f>IF($N48="","",IF(INDEX('Per Invoice'!$E$2:$E$801,$N48)="","",INDEX('Per Invoice'!$E$2:$E$801,$N48)))</f>
        <v/>
      </c>
      <c r="F48">
        <f>IF($N48="","",IF(INDEX('Per Invoice'!$F$2:$F$801,$N48)="","",INDEX('Per Invoice'!$F$2:$F$801,$N48)))</f>
        <v/>
      </c>
      <c r="G48">
        <f>IF($N48="","",IF(INDEX('Per Invoice'!$G$2:$G$801,$N48)="","",INDEX('Per Invoice'!$G$2:$G$801,$N48)))</f>
        <v/>
      </c>
      <c r="H48">
        <f>IF($N48="","",IF(INDEX('Per Invoice'!$H$2:$H$801,$N48)="","",INDEX('Per Invoice'!$H$2:$H$801,$N48)))</f>
        <v/>
      </c>
      <c r="I48" s="5">
        <f>IF($N48="","",IF(INDEX('Per Invoice'!$I$2:$I$801,$N48)="","",INDEX('Per Invoice'!$I$2:$I$801,$N48)))</f>
        <v/>
      </c>
      <c r="J48" s="5">
        <f>IF($N48="","",IF(INDEX('Per Invoice'!$J$2:$J$801,$N48)="","",INDEX('Per Invoice'!$J$2:$J$801,$N48)))</f>
        <v/>
      </c>
      <c r="K48" s="5">
        <f>IF($N48="","",IF(INDEX('Per Invoice'!$K$2:$K$801,$N48)="","",INDEX('Per Invoice'!$K$2:$K$801,$N48)))</f>
        <v/>
      </c>
      <c r="L48" s="5">
        <f>IF($N48="","",IF(INDEX('Per Invoice'!$L$2:$L$801,$N48)="","",INDEX('Per Invoice'!$L$2:$L$801,$N48)))</f>
        <v/>
      </c>
      <c r="M48" s="5">
        <f>IF($N48="","",IF(INDEX('Per Invoice'!$M$2:$M$801,$N48)="","",INDEX('Per Invoice'!$M$2:$M$801,$N48)))</f>
        <v/>
      </c>
      <c r="N48">
        <f>IF(ROWS($N$2:$N48)&lt;=COUNT('Per Invoice'!$P$2:$P$801),MATCH(ROWS($N$2:$N48),'Per Invoice'!$P$2:$P$801,0),"")</f>
        <v/>
      </c>
    </row>
    <row r="49">
      <c r="A49">
        <f>IF($N49="","",IF(INDEX('Per Invoice'!$A$2:$A$801,$N49)="","",INDEX('Per Invoice'!$A$2:$A$801,$N49)))</f>
        <v/>
      </c>
      <c r="B49">
        <f>IF($N49="","",IF(INDEX('Per Invoice'!$B$2:$B$801,$N49)="","",INDEX('Per Invoice'!$B$2:$B$801,$N49)))</f>
        <v/>
      </c>
      <c r="C49">
        <f>IF($N49="","",IF(INDEX('Per Invoice'!$C$2:$C$801,$N49)="","",INDEX('Per Invoice'!$C$2:$C$801,$N49)))</f>
        <v/>
      </c>
      <c r="D49">
        <f>IF($N49="","",IF(INDEX('Per Invoice'!$D$2:$D$801,$N49)="","",INDEX('Per Invoice'!$D$2:$D$801,$N49)))</f>
        <v/>
      </c>
      <c r="E49">
        <f>IF($N49="","",IF(INDEX('Per Invoice'!$E$2:$E$801,$N49)="","",INDEX('Per Invoice'!$E$2:$E$801,$N49)))</f>
        <v/>
      </c>
      <c r="F49">
        <f>IF($N49="","",IF(INDEX('Per Invoice'!$F$2:$F$801,$N49)="","",INDEX('Per Invoice'!$F$2:$F$801,$N49)))</f>
        <v/>
      </c>
      <c r="G49">
        <f>IF($N49="","",IF(INDEX('Per Invoice'!$G$2:$G$801,$N49)="","",INDEX('Per Invoice'!$G$2:$G$801,$N49)))</f>
        <v/>
      </c>
      <c r="H49">
        <f>IF($N49="","",IF(INDEX('Per Invoice'!$H$2:$H$801,$N49)="","",INDEX('Per Invoice'!$H$2:$H$801,$N49)))</f>
        <v/>
      </c>
      <c r="I49" s="5">
        <f>IF($N49="","",IF(INDEX('Per Invoice'!$I$2:$I$801,$N49)="","",INDEX('Per Invoice'!$I$2:$I$801,$N49)))</f>
        <v/>
      </c>
      <c r="J49" s="5">
        <f>IF($N49="","",IF(INDEX('Per Invoice'!$J$2:$J$801,$N49)="","",INDEX('Per Invoice'!$J$2:$J$801,$N49)))</f>
        <v/>
      </c>
      <c r="K49" s="5">
        <f>IF($N49="","",IF(INDEX('Per Invoice'!$K$2:$K$801,$N49)="","",INDEX('Per Invoice'!$K$2:$K$801,$N49)))</f>
        <v/>
      </c>
      <c r="L49" s="5">
        <f>IF($N49="","",IF(INDEX('Per Invoice'!$L$2:$L$801,$N49)="","",INDEX('Per Invoice'!$L$2:$L$801,$N49)))</f>
        <v/>
      </c>
      <c r="M49" s="5">
        <f>IF($N49="","",IF(INDEX('Per Invoice'!$M$2:$M$801,$N49)="","",INDEX('Per Invoice'!$M$2:$M$801,$N49)))</f>
        <v/>
      </c>
      <c r="N49">
        <f>IF(ROWS($N$2:$N49)&lt;=COUNT('Per Invoice'!$P$2:$P$801),MATCH(ROWS($N$2:$N49),'Per Invoice'!$P$2:$P$801,0),"")</f>
        <v/>
      </c>
    </row>
    <row r="50">
      <c r="A50">
        <f>IF($N50="","",IF(INDEX('Per Invoice'!$A$2:$A$801,$N50)="","",INDEX('Per Invoice'!$A$2:$A$801,$N50)))</f>
        <v/>
      </c>
      <c r="B50">
        <f>IF($N50="","",IF(INDEX('Per Invoice'!$B$2:$B$801,$N50)="","",INDEX('Per Invoice'!$B$2:$B$801,$N50)))</f>
        <v/>
      </c>
      <c r="C50">
        <f>IF($N50="","",IF(INDEX('Per Invoice'!$C$2:$C$801,$N50)="","",INDEX('Per Invoice'!$C$2:$C$801,$N50)))</f>
        <v/>
      </c>
      <c r="D50">
        <f>IF($N50="","",IF(INDEX('Per Invoice'!$D$2:$D$801,$N50)="","",INDEX('Per Invoice'!$D$2:$D$801,$N50)))</f>
        <v/>
      </c>
      <c r="E50">
        <f>IF($N50="","",IF(INDEX('Per Invoice'!$E$2:$E$801,$N50)="","",INDEX('Per Invoice'!$E$2:$E$801,$N50)))</f>
        <v/>
      </c>
      <c r="F50">
        <f>IF($N50="","",IF(INDEX('Per Invoice'!$F$2:$F$801,$N50)="","",INDEX('Per Invoice'!$F$2:$F$801,$N50)))</f>
        <v/>
      </c>
      <c r="G50">
        <f>IF($N50="","",IF(INDEX('Per Invoice'!$G$2:$G$801,$N50)="","",INDEX('Per Invoice'!$G$2:$G$801,$N50)))</f>
        <v/>
      </c>
      <c r="H50">
        <f>IF($N50="","",IF(INDEX('Per Invoice'!$H$2:$H$801,$N50)="","",INDEX('Per Invoice'!$H$2:$H$801,$N50)))</f>
        <v/>
      </c>
      <c r="I50" s="5">
        <f>IF($N50="","",IF(INDEX('Per Invoice'!$I$2:$I$801,$N50)="","",INDEX('Per Invoice'!$I$2:$I$801,$N50)))</f>
        <v/>
      </c>
      <c r="J50" s="5">
        <f>IF($N50="","",IF(INDEX('Per Invoice'!$J$2:$J$801,$N50)="","",INDEX('Per Invoice'!$J$2:$J$801,$N50)))</f>
        <v/>
      </c>
      <c r="K50" s="5">
        <f>IF($N50="","",IF(INDEX('Per Invoice'!$K$2:$K$801,$N50)="","",INDEX('Per Invoice'!$K$2:$K$801,$N50)))</f>
        <v/>
      </c>
      <c r="L50" s="5">
        <f>IF($N50="","",IF(INDEX('Per Invoice'!$L$2:$L$801,$N50)="","",INDEX('Per Invoice'!$L$2:$L$801,$N50)))</f>
        <v/>
      </c>
      <c r="M50" s="5">
        <f>IF($N50="","",IF(INDEX('Per Invoice'!$M$2:$M$801,$N50)="","",INDEX('Per Invoice'!$M$2:$M$801,$N50)))</f>
        <v/>
      </c>
      <c r="N50">
        <f>IF(ROWS($N$2:$N50)&lt;=COUNT('Per Invoice'!$P$2:$P$801),MATCH(ROWS($N$2:$N50),'Per Invoice'!$P$2:$P$801,0),"")</f>
        <v/>
      </c>
    </row>
    <row r="51">
      <c r="A51">
        <f>IF($N51="","",IF(INDEX('Per Invoice'!$A$2:$A$801,$N51)="","",INDEX('Per Invoice'!$A$2:$A$801,$N51)))</f>
        <v/>
      </c>
      <c r="B51">
        <f>IF($N51="","",IF(INDEX('Per Invoice'!$B$2:$B$801,$N51)="","",INDEX('Per Invoice'!$B$2:$B$801,$N51)))</f>
        <v/>
      </c>
      <c r="C51">
        <f>IF($N51="","",IF(INDEX('Per Invoice'!$C$2:$C$801,$N51)="","",INDEX('Per Invoice'!$C$2:$C$801,$N51)))</f>
        <v/>
      </c>
      <c r="D51">
        <f>IF($N51="","",IF(INDEX('Per Invoice'!$D$2:$D$801,$N51)="","",INDEX('Per Invoice'!$D$2:$D$801,$N51)))</f>
        <v/>
      </c>
      <c r="E51">
        <f>IF($N51="","",IF(INDEX('Per Invoice'!$E$2:$E$801,$N51)="","",INDEX('Per Invoice'!$E$2:$E$801,$N51)))</f>
        <v/>
      </c>
      <c r="F51">
        <f>IF($N51="","",IF(INDEX('Per Invoice'!$F$2:$F$801,$N51)="","",INDEX('Per Invoice'!$F$2:$F$801,$N51)))</f>
        <v/>
      </c>
      <c r="G51">
        <f>IF($N51="","",IF(INDEX('Per Invoice'!$G$2:$G$801,$N51)="","",INDEX('Per Invoice'!$G$2:$G$801,$N51)))</f>
        <v/>
      </c>
      <c r="H51">
        <f>IF($N51="","",IF(INDEX('Per Invoice'!$H$2:$H$801,$N51)="","",INDEX('Per Invoice'!$H$2:$H$801,$N51)))</f>
        <v/>
      </c>
      <c r="I51" s="5">
        <f>IF($N51="","",IF(INDEX('Per Invoice'!$I$2:$I$801,$N51)="","",INDEX('Per Invoice'!$I$2:$I$801,$N51)))</f>
        <v/>
      </c>
      <c r="J51" s="5">
        <f>IF($N51="","",IF(INDEX('Per Invoice'!$J$2:$J$801,$N51)="","",INDEX('Per Invoice'!$J$2:$J$801,$N51)))</f>
        <v/>
      </c>
      <c r="K51" s="5">
        <f>IF($N51="","",IF(INDEX('Per Invoice'!$K$2:$K$801,$N51)="","",INDEX('Per Invoice'!$K$2:$K$801,$N51)))</f>
        <v/>
      </c>
      <c r="L51" s="5">
        <f>IF($N51="","",IF(INDEX('Per Invoice'!$L$2:$L$801,$N51)="","",INDEX('Per Invoice'!$L$2:$L$801,$N51)))</f>
        <v/>
      </c>
      <c r="M51" s="5">
        <f>IF($N51="","",IF(INDEX('Per Invoice'!$M$2:$M$801,$N51)="","",INDEX('Per Invoice'!$M$2:$M$801,$N51)))</f>
        <v/>
      </c>
      <c r="N51">
        <f>IF(ROWS($N$2:$N51)&lt;=COUNT('Per Invoice'!$P$2:$P$801),MATCH(ROWS($N$2:$N51),'Per Invoice'!$P$2:$P$801,0),"")</f>
        <v/>
      </c>
    </row>
    <row r="52">
      <c r="A52">
        <f>IF($N52="","",IF(INDEX('Per Invoice'!$A$2:$A$801,$N52)="","",INDEX('Per Invoice'!$A$2:$A$801,$N52)))</f>
        <v/>
      </c>
      <c r="B52">
        <f>IF($N52="","",IF(INDEX('Per Invoice'!$B$2:$B$801,$N52)="","",INDEX('Per Invoice'!$B$2:$B$801,$N52)))</f>
        <v/>
      </c>
      <c r="C52">
        <f>IF($N52="","",IF(INDEX('Per Invoice'!$C$2:$C$801,$N52)="","",INDEX('Per Invoice'!$C$2:$C$801,$N52)))</f>
        <v/>
      </c>
      <c r="D52">
        <f>IF($N52="","",IF(INDEX('Per Invoice'!$D$2:$D$801,$N52)="","",INDEX('Per Invoice'!$D$2:$D$801,$N52)))</f>
        <v/>
      </c>
      <c r="E52">
        <f>IF($N52="","",IF(INDEX('Per Invoice'!$E$2:$E$801,$N52)="","",INDEX('Per Invoice'!$E$2:$E$801,$N52)))</f>
        <v/>
      </c>
      <c r="F52">
        <f>IF($N52="","",IF(INDEX('Per Invoice'!$F$2:$F$801,$N52)="","",INDEX('Per Invoice'!$F$2:$F$801,$N52)))</f>
        <v/>
      </c>
      <c r="G52">
        <f>IF($N52="","",IF(INDEX('Per Invoice'!$G$2:$G$801,$N52)="","",INDEX('Per Invoice'!$G$2:$G$801,$N52)))</f>
        <v/>
      </c>
      <c r="H52">
        <f>IF($N52="","",IF(INDEX('Per Invoice'!$H$2:$H$801,$N52)="","",INDEX('Per Invoice'!$H$2:$H$801,$N52)))</f>
        <v/>
      </c>
      <c r="I52" s="5">
        <f>IF($N52="","",IF(INDEX('Per Invoice'!$I$2:$I$801,$N52)="","",INDEX('Per Invoice'!$I$2:$I$801,$N52)))</f>
        <v/>
      </c>
      <c r="J52" s="5">
        <f>IF($N52="","",IF(INDEX('Per Invoice'!$J$2:$J$801,$N52)="","",INDEX('Per Invoice'!$J$2:$J$801,$N52)))</f>
        <v/>
      </c>
      <c r="K52" s="5">
        <f>IF($N52="","",IF(INDEX('Per Invoice'!$K$2:$K$801,$N52)="","",INDEX('Per Invoice'!$K$2:$K$801,$N52)))</f>
        <v/>
      </c>
      <c r="L52" s="5">
        <f>IF($N52="","",IF(INDEX('Per Invoice'!$L$2:$L$801,$N52)="","",INDEX('Per Invoice'!$L$2:$L$801,$N52)))</f>
        <v/>
      </c>
      <c r="M52" s="5">
        <f>IF($N52="","",IF(INDEX('Per Invoice'!$M$2:$M$801,$N52)="","",INDEX('Per Invoice'!$M$2:$M$801,$N52)))</f>
        <v/>
      </c>
      <c r="N52">
        <f>IF(ROWS($N$2:$N52)&lt;=COUNT('Per Invoice'!$P$2:$P$801),MATCH(ROWS($N$2:$N52),'Per Invoice'!$P$2:$P$801,0),"")</f>
        <v/>
      </c>
    </row>
    <row r="53">
      <c r="A53">
        <f>IF($N53="","",IF(INDEX('Per Invoice'!$A$2:$A$801,$N53)="","",INDEX('Per Invoice'!$A$2:$A$801,$N53)))</f>
        <v/>
      </c>
      <c r="B53">
        <f>IF($N53="","",IF(INDEX('Per Invoice'!$B$2:$B$801,$N53)="","",INDEX('Per Invoice'!$B$2:$B$801,$N53)))</f>
        <v/>
      </c>
      <c r="C53">
        <f>IF($N53="","",IF(INDEX('Per Invoice'!$C$2:$C$801,$N53)="","",INDEX('Per Invoice'!$C$2:$C$801,$N53)))</f>
        <v/>
      </c>
      <c r="D53">
        <f>IF($N53="","",IF(INDEX('Per Invoice'!$D$2:$D$801,$N53)="","",INDEX('Per Invoice'!$D$2:$D$801,$N53)))</f>
        <v/>
      </c>
      <c r="E53">
        <f>IF($N53="","",IF(INDEX('Per Invoice'!$E$2:$E$801,$N53)="","",INDEX('Per Invoice'!$E$2:$E$801,$N53)))</f>
        <v/>
      </c>
      <c r="F53">
        <f>IF($N53="","",IF(INDEX('Per Invoice'!$F$2:$F$801,$N53)="","",INDEX('Per Invoice'!$F$2:$F$801,$N53)))</f>
        <v/>
      </c>
      <c r="G53">
        <f>IF($N53="","",IF(INDEX('Per Invoice'!$G$2:$G$801,$N53)="","",INDEX('Per Invoice'!$G$2:$G$801,$N53)))</f>
        <v/>
      </c>
      <c r="H53">
        <f>IF($N53="","",IF(INDEX('Per Invoice'!$H$2:$H$801,$N53)="","",INDEX('Per Invoice'!$H$2:$H$801,$N53)))</f>
        <v/>
      </c>
      <c r="I53" s="5">
        <f>IF($N53="","",IF(INDEX('Per Invoice'!$I$2:$I$801,$N53)="","",INDEX('Per Invoice'!$I$2:$I$801,$N53)))</f>
        <v/>
      </c>
      <c r="J53" s="5">
        <f>IF($N53="","",IF(INDEX('Per Invoice'!$J$2:$J$801,$N53)="","",INDEX('Per Invoice'!$J$2:$J$801,$N53)))</f>
        <v/>
      </c>
      <c r="K53" s="5">
        <f>IF($N53="","",IF(INDEX('Per Invoice'!$K$2:$K$801,$N53)="","",INDEX('Per Invoice'!$K$2:$K$801,$N53)))</f>
        <v/>
      </c>
      <c r="L53" s="5">
        <f>IF($N53="","",IF(INDEX('Per Invoice'!$L$2:$L$801,$N53)="","",INDEX('Per Invoice'!$L$2:$L$801,$N53)))</f>
        <v/>
      </c>
      <c r="M53" s="5">
        <f>IF($N53="","",IF(INDEX('Per Invoice'!$M$2:$M$801,$N53)="","",INDEX('Per Invoice'!$M$2:$M$801,$N53)))</f>
        <v/>
      </c>
      <c r="N53">
        <f>IF(ROWS($N$2:$N53)&lt;=COUNT('Per Invoice'!$P$2:$P$801),MATCH(ROWS($N$2:$N53),'Per Invoice'!$P$2:$P$801,0),"")</f>
        <v/>
      </c>
    </row>
    <row r="54">
      <c r="A54">
        <f>IF($N54="","",IF(INDEX('Per Invoice'!$A$2:$A$801,$N54)="","",INDEX('Per Invoice'!$A$2:$A$801,$N54)))</f>
        <v/>
      </c>
      <c r="B54">
        <f>IF($N54="","",IF(INDEX('Per Invoice'!$B$2:$B$801,$N54)="","",INDEX('Per Invoice'!$B$2:$B$801,$N54)))</f>
        <v/>
      </c>
      <c r="C54">
        <f>IF($N54="","",IF(INDEX('Per Invoice'!$C$2:$C$801,$N54)="","",INDEX('Per Invoice'!$C$2:$C$801,$N54)))</f>
        <v/>
      </c>
      <c r="D54">
        <f>IF($N54="","",IF(INDEX('Per Invoice'!$D$2:$D$801,$N54)="","",INDEX('Per Invoice'!$D$2:$D$801,$N54)))</f>
        <v/>
      </c>
      <c r="E54">
        <f>IF($N54="","",IF(INDEX('Per Invoice'!$E$2:$E$801,$N54)="","",INDEX('Per Invoice'!$E$2:$E$801,$N54)))</f>
        <v/>
      </c>
      <c r="F54">
        <f>IF($N54="","",IF(INDEX('Per Invoice'!$F$2:$F$801,$N54)="","",INDEX('Per Invoice'!$F$2:$F$801,$N54)))</f>
        <v/>
      </c>
      <c r="G54">
        <f>IF($N54="","",IF(INDEX('Per Invoice'!$G$2:$G$801,$N54)="","",INDEX('Per Invoice'!$G$2:$G$801,$N54)))</f>
        <v/>
      </c>
      <c r="H54">
        <f>IF($N54="","",IF(INDEX('Per Invoice'!$H$2:$H$801,$N54)="","",INDEX('Per Invoice'!$H$2:$H$801,$N54)))</f>
        <v/>
      </c>
      <c r="I54" s="5">
        <f>IF($N54="","",IF(INDEX('Per Invoice'!$I$2:$I$801,$N54)="","",INDEX('Per Invoice'!$I$2:$I$801,$N54)))</f>
        <v/>
      </c>
      <c r="J54" s="5">
        <f>IF($N54="","",IF(INDEX('Per Invoice'!$J$2:$J$801,$N54)="","",INDEX('Per Invoice'!$J$2:$J$801,$N54)))</f>
        <v/>
      </c>
      <c r="K54" s="5">
        <f>IF($N54="","",IF(INDEX('Per Invoice'!$K$2:$K$801,$N54)="","",INDEX('Per Invoice'!$K$2:$K$801,$N54)))</f>
        <v/>
      </c>
      <c r="L54" s="5">
        <f>IF($N54="","",IF(INDEX('Per Invoice'!$L$2:$L$801,$N54)="","",INDEX('Per Invoice'!$L$2:$L$801,$N54)))</f>
        <v/>
      </c>
      <c r="M54" s="5">
        <f>IF($N54="","",IF(INDEX('Per Invoice'!$M$2:$M$801,$N54)="","",INDEX('Per Invoice'!$M$2:$M$801,$N54)))</f>
        <v/>
      </c>
      <c r="N54">
        <f>IF(ROWS($N$2:$N54)&lt;=COUNT('Per Invoice'!$P$2:$P$801),MATCH(ROWS($N$2:$N54),'Per Invoice'!$P$2:$P$801,0),"")</f>
        <v/>
      </c>
    </row>
    <row r="55">
      <c r="A55">
        <f>IF($N55="","",IF(INDEX('Per Invoice'!$A$2:$A$801,$N55)="","",INDEX('Per Invoice'!$A$2:$A$801,$N55)))</f>
        <v/>
      </c>
      <c r="B55">
        <f>IF($N55="","",IF(INDEX('Per Invoice'!$B$2:$B$801,$N55)="","",INDEX('Per Invoice'!$B$2:$B$801,$N55)))</f>
        <v/>
      </c>
      <c r="C55">
        <f>IF($N55="","",IF(INDEX('Per Invoice'!$C$2:$C$801,$N55)="","",INDEX('Per Invoice'!$C$2:$C$801,$N55)))</f>
        <v/>
      </c>
      <c r="D55">
        <f>IF($N55="","",IF(INDEX('Per Invoice'!$D$2:$D$801,$N55)="","",INDEX('Per Invoice'!$D$2:$D$801,$N55)))</f>
        <v/>
      </c>
      <c r="E55">
        <f>IF($N55="","",IF(INDEX('Per Invoice'!$E$2:$E$801,$N55)="","",INDEX('Per Invoice'!$E$2:$E$801,$N55)))</f>
        <v/>
      </c>
      <c r="F55">
        <f>IF($N55="","",IF(INDEX('Per Invoice'!$F$2:$F$801,$N55)="","",INDEX('Per Invoice'!$F$2:$F$801,$N55)))</f>
        <v/>
      </c>
      <c r="G55">
        <f>IF($N55="","",IF(INDEX('Per Invoice'!$G$2:$G$801,$N55)="","",INDEX('Per Invoice'!$G$2:$G$801,$N55)))</f>
        <v/>
      </c>
      <c r="H55">
        <f>IF($N55="","",IF(INDEX('Per Invoice'!$H$2:$H$801,$N55)="","",INDEX('Per Invoice'!$H$2:$H$801,$N55)))</f>
        <v/>
      </c>
      <c r="I55" s="5">
        <f>IF($N55="","",IF(INDEX('Per Invoice'!$I$2:$I$801,$N55)="","",INDEX('Per Invoice'!$I$2:$I$801,$N55)))</f>
        <v/>
      </c>
      <c r="J55" s="5">
        <f>IF($N55="","",IF(INDEX('Per Invoice'!$J$2:$J$801,$N55)="","",INDEX('Per Invoice'!$J$2:$J$801,$N55)))</f>
        <v/>
      </c>
      <c r="K55" s="5">
        <f>IF($N55="","",IF(INDEX('Per Invoice'!$K$2:$K$801,$N55)="","",INDEX('Per Invoice'!$K$2:$K$801,$N55)))</f>
        <v/>
      </c>
      <c r="L55" s="5">
        <f>IF($N55="","",IF(INDEX('Per Invoice'!$L$2:$L$801,$N55)="","",INDEX('Per Invoice'!$L$2:$L$801,$N55)))</f>
        <v/>
      </c>
      <c r="M55" s="5">
        <f>IF($N55="","",IF(INDEX('Per Invoice'!$M$2:$M$801,$N55)="","",INDEX('Per Invoice'!$M$2:$M$801,$N55)))</f>
        <v/>
      </c>
      <c r="N55">
        <f>IF(ROWS($N$2:$N55)&lt;=COUNT('Per Invoice'!$P$2:$P$801),MATCH(ROWS($N$2:$N55),'Per Invoice'!$P$2:$P$801,0),"")</f>
        <v/>
      </c>
    </row>
    <row r="56">
      <c r="A56">
        <f>IF($N56="","",IF(INDEX('Per Invoice'!$A$2:$A$801,$N56)="","",INDEX('Per Invoice'!$A$2:$A$801,$N56)))</f>
        <v/>
      </c>
      <c r="B56">
        <f>IF($N56="","",IF(INDEX('Per Invoice'!$B$2:$B$801,$N56)="","",INDEX('Per Invoice'!$B$2:$B$801,$N56)))</f>
        <v/>
      </c>
      <c r="C56">
        <f>IF($N56="","",IF(INDEX('Per Invoice'!$C$2:$C$801,$N56)="","",INDEX('Per Invoice'!$C$2:$C$801,$N56)))</f>
        <v/>
      </c>
      <c r="D56">
        <f>IF($N56="","",IF(INDEX('Per Invoice'!$D$2:$D$801,$N56)="","",INDEX('Per Invoice'!$D$2:$D$801,$N56)))</f>
        <v/>
      </c>
      <c r="E56">
        <f>IF($N56="","",IF(INDEX('Per Invoice'!$E$2:$E$801,$N56)="","",INDEX('Per Invoice'!$E$2:$E$801,$N56)))</f>
        <v/>
      </c>
      <c r="F56">
        <f>IF($N56="","",IF(INDEX('Per Invoice'!$F$2:$F$801,$N56)="","",INDEX('Per Invoice'!$F$2:$F$801,$N56)))</f>
        <v/>
      </c>
      <c r="G56">
        <f>IF($N56="","",IF(INDEX('Per Invoice'!$G$2:$G$801,$N56)="","",INDEX('Per Invoice'!$G$2:$G$801,$N56)))</f>
        <v/>
      </c>
      <c r="H56">
        <f>IF($N56="","",IF(INDEX('Per Invoice'!$H$2:$H$801,$N56)="","",INDEX('Per Invoice'!$H$2:$H$801,$N56)))</f>
        <v/>
      </c>
      <c r="I56" s="5">
        <f>IF($N56="","",IF(INDEX('Per Invoice'!$I$2:$I$801,$N56)="","",INDEX('Per Invoice'!$I$2:$I$801,$N56)))</f>
        <v/>
      </c>
      <c r="J56" s="5">
        <f>IF($N56="","",IF(INDEX('Per Invoice'!$J$2:$J$801,$N56)="","",INDEX('Per Invoice'!$J$2:$J$801,$N56)))</f>
        <v/>
      </c>
      <c r="K56" s="5">
        <f>IF($N56="","",IF(INDEX('Per Invoice'!$K$2:$K$801,$N56)="","",INDEX('Per Invoice'!$K$2:$K$801,$N56)))</f>
        <v/>
      </c>
      <c r="L56" s="5">
        <f>IF($N56="","",IF(INDEX('Per Invoice'!$L$2:$L$801,$N56)="","",INDEX('Per Invoice'!$L$2:$L$801,$N56)))</f>
        <v/>
      </c>
      <c r="M56" s="5">
        <f>IF($N56="","",IF(INDEX('Per Invoice'!$M$2:$M$801,$N56)="","",INDEX('Per Invoice'!$M$2:$M$801,$N56)))</f>
        <v/>
      </c>
      <c r="N56">
        <f>IF(ROWS($N$2:$N56)&lt;=COUNT('Per Invoice'!$P$2:$P$801),MATCH(ROWS($N$2:$N56),'Per Invoice'!$P$2:$P$801,0),"")</f>
        <v/>
      </c>
    </row>
    <row r="57">
      <c r="A57">
        <f>IF($N57="","",IF(INDEX('Per Invoice'!$A$2:$A$801,$N57)="","",INDEX('Per Invoice'!$A$2:$A$801,$N57)))</f>
        <v/>
      </c>
      <c r="B57">
        <f>IF($N57="","",IF(INDEX('Per Invoice'!$B$2:$B$801,$N57)="","",INDEX('Per Invoice'!$B$2:$B$801,$N57)))</f>
        <v/>
      </c>
      <c r="C57">
        <f>IF($N57="","",IF(INDEX('Per Invoice'!$C$2:$C$801,$N57)="","",INDEX('Per Invoice'!$C$2:$C$801,$N57)))</f>
        <v/>
      </c>
      <c r="D57">
        <f>IF($N57="","",IF(INDEX('Per Invoice'!$D$2:$D$801,$N57)="","",INDEX('Per Invoice'!$D$2:$D$801,$N57)))</f>
        <v/>
      </c>
      <c r="E57">
        <f>IF($N57="","",IF(INDEX('Per Invoice'!$E$2:$E$801,$N57)="","",INDEX('Per Invoice'!$E$2:$E$801,$N57)))</f>
        <v/>
      </c>
      <c r="F57">
        <f>IF($N57="","",IF(INDEX('Per Invoice'!$F$2:$F$801,$N57)="","",INDEX('Per Invoice'!$F$2:$F$801,$N57)))</f>
        <v/>
      </c>
      <c r="G57">
        <f>IF($N57="","",IF(INDEX('Per Invoice'!$G$2:$G$801,$N57)="","",INDEX('Per Invoice'!$G$2:$G$801,$N57)))</f>
        <v/>
      </c>
      <c r="H57">
        <f>IF($N57="","",IF(INDEX('Per Invoice'!$H$2:$H$801,$N57)="","",INDEX('Per Invoice'!$H$2:$H$801,$N57)))</f>
        <v/>
      </c>
      <c r="I57" s="5">
        <f>IF($N57="","",IF(INDEX('Per Invoice'!$I$2:$I$801,$N57)="","",INDEX('Per Invoice'!$I$2:$I$801,$N57)))</f>
        <v/>
      </c>
      <c r="J57" s="5">
        <f>IF($N57="","",IF(INDEX('Per Invoice'!$J$2:$J$801,$N57)="","",INDEX('Per Invoice'!$J$2:$J$801,$N57)))</f>
        <v/>
      </c>
      <c r="K57" s="5">
        <f>IF($N57="","",IF(INDEX('Per Invoice'!$K$2:$K$801,$N57)="","",INDEX('Per Invoice'!$K$2:$K$801,$N57)))</f>
        <v/>
      </c>
      <c r="L57" s="5">
        <f>IF($N57="","",IF(INDEX('Per Invoice'!$L$2:$L$801,$N57)="","",INDEX('Per Invoice'!$L$2:$L$801,$N57)))</f>
        <v/>
      </c>
      <c r="M57" s="5">
        <f>IF($N57="","",IF(INDEX('Per Invoice'!$M$2:$M$801,$N57)="","",INDEX('Per Invoice'!$M$2:$M$801,$N57)))</f>
        <v/>
      </c>
      <c r="N57">
        <f>IF(ROWS($N$2:$N57)&lt;=COUNT('Per Invoice'!$P$2:$P$801),MATCH(ROWS($N$2:$N57),'Per Invoice'!$P$2:$P$801,0),"")</f>
        <v/>
      </c>
    </row>
    <row r="58">
      <c r="A58">
        <f>IF($N58="","",IF(INDEX('Per Invoice'!$A$2:$A$801,$N58)="","",INDEX('Per Invoice'!$A$2:$A$801,$N58)))</f>
        <v/>
      </c>
      <c r="B58">
        <f>IF($N58="","",IF(INDEX('Per Invoice'!$B$2:$B$801,$N58)="","",INDEX('Per Invoice'!$B$2:$B$801,$N58)))</f>
        <v/>
      </c>
      <c r="C58">
        <f>IF($N58="","",IF(INDEX('Per Invoice'!$C$2:$C$801,$N58)="","",INDEX('Per Invoice'!$C$2:$C$801,$N58)))</f>
        <v/>
      </c>
      <c r="D58">
        <f>IF($N58="","",IF(INDEX('Per Invoice'!$D$2:$D$801,$N58)="","",INDEX('Per Invoice'!$D$2:$D$801,$N58)))</f>
        <v/>
      </c>
      <c r="E58">
        <f>IF($N58="","",IF(INDEX('Per Invoice'!$E$2:$E$801,$N58)="","",INDEX('Per Invoice'!$E$2:$E$801,$N58)))</f>
        <v/>
      </c>
      <c r="F58">
        <f>IF($N58="","",IF(INDEX('Per Invoice'!$F$2:$F$801,$N58)="","",INDEX('Per Invoice'!$F$2:$F$801,$N58)))</f>
        <v/>
      </c>
      <c r="G58">
        <f>IF($N58="","",IF(INDEX('Per Invoice'!$G$2:$G$801,$N58)="","",INDEX('Per Invoice'!$G$2:$G$801,$N58)))</f>
        <v/>
      </c>
      <c r="H58">
        <f>IF($N58="","",IF(INDEX('Per Invoice'!$H$2:$H$801,$N58)="","",INDEX('Per Invoice'!$H$2:$H$801,$N58)))</f>
        <v/>
      </c>
      <c r="I58" s="5">
        <f>IF($N58="","",IF(INDEX('Per Invoice'!$I$2:$I$801,$N58)="","",INDEX('Per Invoice'!$I$2:$I$801,$N58)))</f>
        <v/>
      </c>
      <c r="J58" s="5">
        <f>IF($N58="","",IF(INDEX('Per Invoice'!$J$2:$J$801,$N58)="","",INDEX('Per Invoice'!$J$2:$J$801,$N58)))</f>
        <v/>
      </c>
      <c r="K58" s="5">
        <f>IF($N58="","",IF(INDEX('Per Invoice'!$K$2:$K$801,$N58)="","",INDEX('Per Invoice'!$K$2:$K$801,$N58)))</f>
        <v/>
      </c>
      <c r="L58" s="5">
        <f>IF($N58="","",IF(INDEX('Per Invoice'!$L$2:$L$801,$N58)="","",INDEX('Per Invoice'!$L$2:$L$801,$N58)))</f>
        <v/>
      </c>
      <c r="M58" s="5">
        <f>IF($N58="","",IF(INDEX('Per Invoice'!$M$2:$M$801,$N58)="","",INDEX('Per Invoice'!$M$2:$M$801,$N58)))</f>
        <v/>
      </c>
      <c r="N58">
        <f>IF(ROWS($N$2:$N58)&lt;=COUNT('Per Invoice'!$P$2:$P$801),MATCH(ROWS($N$2:$N58),'Per Invoice'!$P$2:$P$801,0),"")</f>
        <v/>
      </c>
    </row>
    <row r="59">
      <c r="A59">
        <f>IF($N59="","",IF(INDEX('Per Invoice'!$A$2:$A$801,$N59)="","",INDEX('Per Invoice'!$A$2:$A$801,$N59)))</f>
        <v/>
      </c>
      <c r="B59">
        <f>IF($N59="","",IF(INDEX('Per Invoice'!$B$2:$B$801,$N59)="","",INDEX('Per Invoice'!$B$2:$B$801,$N59)))</f>
        <v/>
      </c>
      <c r="C59">
        <f>IF($N59="","",IF(INDEX('Per Invoice'!$C$2:$C$801,$N59)="","",INDEX('Per Invoice'!$C$2:$C$801,$N59)))</f>
        <v/>
      </c>
      <c r="D59">
        <f>IF($N59="","",IF(INDEX('Per Invoice'!$D$2:$D$801,$N59)="","",INDEX('Per Invoice'!$D$2:$D$801,$N59)))</f>
        <v/>
      </c>
      <c r="E59">
        <f>IF($N59="","",IF(INDEX('Per Invoice'!$E$2:$E$801,$N59)="","",INDEX('Per Invoice'!$E$2:$E$801,$N59)))</f>
        <v/>
      </c>
      <c r="F59">
        <f>IF($N59="","",IF(INDEX('Per Invoice'!$F$2:$F$801,$N59)="","",INDEX('Per Invoice'!$F$2:$F$801,$N59)))</f>
        <v/>
      </c>
      <c r="G59">
        <f>IF($N59="","",IF(INDEX('Per Invoice'!$G$2:$G$801,$N59)="","",INDEX('Per Invoice'!$G$2:$G$801,$N59)))</f>
        <v/>
      </c>
      <c r="H59">
        <f>IF($N59="","",IF(INDEX('Per Invoice'!$H$2:$H$801,$N59)="","",INDEX('Per Invoice'!$H$2:$H$801,$N59)))</f>
        <v/>
      </c>
      <c r="I59" s="5">
        <f>IF($N59="","",IF(INDEX('Per Invoice'!$I$2:$I$801,$N59)="","",INDEX('Per Invoice'!$I$2:$I$801,$N59)))</f>
        <v/>
      </c>
      <c r="J59" s="5">
        <f>IF($N59="","",IF(INDEX('Per Invoice'!$J$2:$J$801,$N59)="","",INDEX('Per Invoice'!$J$2:$J$801,$N59)))</f>
        <v/>
      </c>
      <c r="K59" s="5">
        <f>IF($N59="","",IF(INDEX('Per Invoice'!$K$2:$K$801,$N59)="","",INDEX('Per Invoice'!$K$2:$K$801,$N59)))</f>
        <v/>
      </c>
      <c r="L59" s="5">
        <f>IF($N59="","",IF(INDEX('Per Invoice'!$L$2:$L$801,$N59)="","",INDEX('Per Invoice'!$L$2:$L$801,$N59)))</f>
        <v/>
      </c>
      <c r="M59" s="5">
        <f>IF($N59="","",IF(INDEX('Per Invoice'!$M$2:$M$801,$N59)="","",INDEX('Per Invoice'!$M$2:$M$801,$N59)))</f>
        <v/>
      </c>
      <c r="N59">
        <f>IF(ROWS($N$2:$N59)&lt;=COUNT('Per Invoice'!$P$2:$P$801),MATCH(ROWS($N$2:$N59),'Per Invoice'!$P$2:$P$801,0),"")</f>
        <v/>
      </c>
    </row>
    <row r="60">
      <c r="A60">
        <f>IF($N60="","",IF(INDEX('Per Invoice'!$A$2:$A$801,$N60)="","",INDEX('Per Invoice'!$A$2:$A$801,$N60)))</f>
        <v/>
      </c>
      <c r="B60">
        <f>IF($N60="","",IF(INDEX('Per Invoice'!$B$2:$B$801,$N60)="","",INDEX('Per Invoice'!$B$2:$B$801,$N60)))</f>
        <v/>
      </c>
      <c r="C60">
        <f>IF($N60="","",IF(INDEX('Per Invoice'!$C$2:$C$801,$N60)="","",INDEX('Per Invoice'!$C$2:$C$801,$N60)))</f>
        <v/>
      </c>
      <c r="D60">
        <f>IF($N60="","",IF(INDEX('Per Invoice'!$D$2:$D$801,$N60)="","",INDEX('Per Invoice'!$D$2:$D$801,$N60)))</f>
        <v/>
      </c>
      <c r="E60">
        <f>IF($N60="","",IF(INDEX('Per Invoice'!$E$2:$E$801,$N60)="","",INDEX('Per Invoice'!$E$2:$E$801,$N60)))</f>
        <v/>
      </c>
      <c r="F60">
        <f>IF($N60="","",IF(INDEX('Per Invoice'!$F$2:$F$801,$N60)="","",INDEX('Per Invoice'!$F$2:$F$801,$N60)))</f>
        <v/>
      </c>
      <c r="G60">
        <f>IF($N60="","",IF(INDEX('Per Invoice'!$G$2:$G$801,$N60)="","",INDEX('Per Invoice'!$G$2:$G$801,$N60)))</f>
        <v/>
      </c>
      <c r="H60">
        <f>IF($N60="","",IF(INDEX('Per Invoice'!$H$2:$H$801,$N60)="","",INDEX('Per Invoice'!$H$2:$H$801,$N60)))</f>
        <v/>
      </c>
      <c r="I60" s="5">
        <f>IF($N60="","",IF(INDEX('Per Invoice'!$I$2:$I$801,$N60)="","",INDEX('Per Invoice'!$I$2:$I$801,$N60)))</f>
        <v/>
      </c>
      <c r="J60" s="5">
        <f>IF($N60="","",IF(INDEX('Per Invoice'!$J$2:$J$801,$N60)="","",INDEX('Per Invoice'!$J$2:$J$801,$N60)))</f>
        <v/>
      </c>
      <c r="K60" s="5">
        <f>IF($N60="","",IF(INDEX('Per Invoice'!$K$2:$K$801,$N60)="","",INDEX('Per Invoice'!$K$2:$K$801,$N60)))</f>
        <v/>
      </c>
      <c r="L60" s="5">
        <f>IF($N60="","",IF(INDEX('Per Invoice'!$L$2:$L$801,$N60)="","",INDEX('Per Invoice'!$L$2:$L$801,$N60)))</f>
        <v/>
      </c>
      <c r="M60" s="5">
        <f>IF($N60="","",IF(INDEX('Per Invoice'!$M$2:$M$801,$N60)="","",INDEX('Per Invoice'!$M$2:$M$801,$N60)))</f>
        <v/>
      </c>
      <c r="N60">
        <f>IF(ROWS($N$2:$N60)&lt;=COUNT('Per Invoice'!$P$2:$P$801),MATCH(ROWS($N$2:$N60),'Per Invoice'!$P$2:$P$801,0),"")</f>
        <v/>
      </c>
    </row>
    <row r="61">
      <c r="A61">
        <f>IF($N61="","",IF(INDEX('Per Invoice'!$A$2:$A$801,$N61)="","",INDEX('Per Invoice'!$A$2:$A$801,$N61)))</f>
        <v/>
      </c>
      <c r="B61">
        <f>IF($N61="","",IF(INDEX('Per Invoice'!$B$2:$B$801,$N61)="","",INDEX('Per Invoice'!$B$2:$B$801,$N61)))</f>
        <v/>
      </c>
      <c r="C61">
        <f>IF($N61="","",IF(INDEX('Per Invoice'!$C$2:$C$801,$N61)="","",INDEX('Per Invoice'!$C$2:$C$801,$N61)))</f>
        <v/>
      </c>
      <c r="D61">
        <f>IF($N61="","",IF(INDEX('Per Invoice'!$D$2:$D$801,$N61)="","",INDEX('Per Invoice'!$D$2:$D$801,$N61)))</f>
        <v/>
      </c>
      <c r="E61">
        <f>IF($N61="","",IF(INDEX('Per Invoice'!$E$2:$E$801,$N61)="","",INDEX('Per Invoice'!$E$2:$E$801,$N61)))</f>
        <v/>
      </c>
      <c r="F61">
        <f>IF($N61="","",IF(INDEX('Per Invoice'!$F$2:$F$801,$N61)="","",INDEX('Per Invoice'!$F$2:$F$801,$N61)))</f>
        <v/>
      </c>
      <c r="G61">
        <f>IF($N61="","",IF(INDEX('Per Invoice'!$G$2:$G$801,$N61)="","",INDEX('Per Invoice'!$G$2:$G$801,$N61)))</f>
        <v/>
      </c>
      <c r="H61">
        <f>IF($N61="","",IF(INDEX('Per Invoice'!$H$2:$H$801,$N61)="","",INDEX('Per Invoice'!$H$2:$H$801,$N61)))</f>
        <v/>
      </c>
      <c r="I61" s="5">
        <f>IF($N61="","",IF(INDEX('Per Invoice'!$I$2:$I$801,$N61)="","",INDEX('Per Invoice'!$I$2:$I$801,$N61)))</f>
        <v/>
      </c>
      <c r="J61" s="5">
        <f>IF($N61="","",IF(INDEX('Per Invoice'!$J$2:$J$801,$N61)="","",INDEX('Per Invoice'!$J$2:$J$801,$N61)))</f>
        <v/>
      </c>
      <c r="K61" s="5">
        <f>IF($N61="","",IF(INDEX('Per Invoice'!$K$2:$K$801,$N61)="","",INDEX('Per Invoice'!$K$2:$K$801,$N61)))</f>
        <v/>
      </c>
      <c r="L61" s="5">
        <f>IF($N61="","",IF(INDEX('Per Invoice'!$L$2:$L$801,$N61)="","",INDEX('Per Invoice'!$L$2:$L$801,$N61)))</f>
        <v/>
      </c>
      <c r="M61" s="5">
        <f>IF($N61="","",IF(INDEX('Per Invoice'!$M$2:$M$801,$N61)="","",INDEX('Per Invoice'!$M$2:$M$801,$N61)))</f>
        <v/>
      </c>
      <c r="N61">
        <f>IF(ROWS($N$2:$N61)&lt;=COUNT('Per Invoice'!$P$2:$P$801),MATCH(ROWS($N$2:$N61),'Per Invoice'!$P$2:$P$801,0),"")</f>
        <v/>
      </c>
    </row>
    <row r="62">
      <c r="A62">
        <f>IF($N62="","",IF(INDEX('Per Invoice'!$A$2:$A$801,$N62)="","",INDEX('Per Invoice'!$A$2:$A$801,$N62)))</f>
        <v/>
      </c>
      <c r="B62">
        <f>IF($N62="","",IF(INDEX('Per Invoice'!$B$2:$B$801,$N62)="","",INDEX('Per Invoice'!$B$2:$B$801,$N62)))</f>
        <v/>
      </c>
      <c r="C62">
        <f>IF($N62="","",IF(INDEX('Per Invoice'!$C$2:$C$801,$N62)="","",INDEX('Per Invoice'!$C$2:$C$801,$N62)))</f>
        <v/>
      </c>
      <c r="D62">
        <f>IF($N62="","",IF(INDEX('Per Invoice'!$D$2:$D$801,$N62)="","",INDEX('Per Invoice'!$D$2:$D$801,$N62)))</f>
        <v/>
      </c>
      <c r="E62">
        <f>IF($N62="","",IF(INDEX('Per Invoice'!$E$2:$E$801,$N62)="","",INDEX('Per Invoice'!$E$2:$E$801,$N62)))</f>
        <v/>
      </c>
      <c r="F62">
        <f>IF($N62="","",IF(INDEX('Per Invoice'!$F$2:$F$801,$N62)="","",INDEX('Per Invoice'!$F$2:$F$801,$N62)))</f>
        <v/>
      </c>
      <c r="G62">
        <f>IF($N62="","",IF(INDEX('Per Invoice'!$G$2:$G$801,$N62)="","",INDEX('Per Invoice'!$G$2:$G$801,$N62)))</f>
        <v/>
      </c>
      <c r="H62">
        <f>IF($N62="","",IF(INDEX('Per Invoice'!$H$2:$H$801,$N62)="","",INDEX('Per Invoice'!$H$2:$H$801,$N62)))</f>
        <v/>
      </c>
      <c r="I62" s="5">
        <f>IF($N62="","",IF(INDEX('Per Invoice'!$I$2:$I$801,$N62)="","",INDEX('Per Invoice'!$I$2:$I$801,$N62)))</f>
        <v/>
      </c>
      <c r="J62" s="5">
        <f>IF($N62="","",IF(INDEX('Per Invoice'!$J$2:$J$801,$N62)="","",INDEX('Per Invoice'!$J$2:$J$801,$N62)))</f>
        <v/>
      </c>
      <c r="K62" s="5">
        <f>IF($N62="","",IF(INDEX('Per Invoice'!$K$2:$K$801,$N62)="","",INDEX('Per Invoice'!$K$2:$K$801,$N62)))</f>
        <v/>
      </c>
      <c r="L62" s="5">
        <f>IF($N62="","",IF(INDEX('Per Invoice'!$L$2:$L$801,$N62)="","",INDEX('Per Invoice'!$L$2:$L$801,$N62)))</f>
        <v/>
      </c>
      <c r="M62" s="5">
        <f>IF($N62="","",IF(INDEX('Per Invoice'!$M$2:$M$801,$N62)="","",INDEX('Per Invoice'!$M$2:$M$801,$N62)))</f>
        <v/>
      </c>
      <c r="N62">
        <f>IF(ROWS($N$2:$N62)&lt;=COUNT('Per Invoice'!$P$2:$P$801),MATCH(ROWS($N$2:$N62),'Per Invoice'!$P$2:$P$801,0),"")</f>
        <v/>
      </c>
    </row>
    <row r="63">
      <c r="A63">
        <f>IF($N63="","",IF(INDEX('Per Invoice'!$A$2:$A$801,$N63)="","",INDEX('Per Invoice'!$A$2:$A$801,$N63)))</f>
        <v/>
      </c>
      <c r="B63">
        <f>IF($N63="","",IF(INDEX('Per Invoice'!$B$2:$B$801,$N63)="","",INDEX('Per Invoice'!$B$2:$B$801,$N63)))</f>
        <v/>
      </c>
      <c r="C63">
        <f>IF($N63="","",IF(INDEX('Per Invoice'!$C$2:$C$801,$N63)="","",INDEX('Per Invoice'!$C$2:$C$801,$N63)))</f>
        <v/>
      </c>
      <c r="D63">
        <f>IF($N63="","",IF(INDEX('Per Invoice'!$D$2:$D$801,$N63)="","",INDEX('Per Invoice'!$D$2:$D$801,$N63)))</f>
        <v/>
      </c>
      <c r="E63">
        <f>IF($N63="","",IF(INDEX('Per Invoice'!$E$2:$E$801,$N63)="","",INDEX('Per Invoice'!$E$2:$E$801,$N63)))</f>
        <v/>
      </c>
      <c r="F63">
        <f>IF($N63="","",IF(INDEX('Per Invoice'!$F$2:$F$801,$N63)="","",INDEX('Per Invoice'!$F$2:$F$801,$N63)))</f>
        <v/>
      </c>
      <c r="G63">
        <f>IF($N63="","",IF(INDEX('Per Invoice'!$G$2:$G$801,$N63)="","",INDEX('Per Invoice'!$G$2:$G$801,$N63)))</f>
        <v/>
      </c>
      <c r="H63">
        <f>IF($N63="","",IF(INDEX('Per Invoice'!$H$2:$H$801,$N63)="","",INDEX('Per Invoice'!$H$2:$H$801,$N63)))</f>
        <v/>
      </c>
      <c r="I63" s="5">
        <f>IF($N63="","",IF(INDEX('Per Invoice'!$I$2:$I$801,$N63)="","",INDEX('Per Invoice'!$I$2:$I$801,$N63)))</f>
        <v/>
      </c>
      <c r="J63" s="5">
        <f>IF($N63="","",IF(INDEX('Per Invoice'!$J$2:$J$801,$N63)="","",INDEX('Per Invoice'!$J$2:$J$801,$N63)))</f>
        <v/>
      </c>
      <c r="K63" s="5">
        <f>IF($N63="","",IF(INDEX('Per Invoice'!$K$2:$K$801,$N63)="","",INDEX('Per Invoice'!$K$2:$K$801,$N63)))</f>
        <v/>
      </c>
      <c r="L63" s="5">
        <f>IF($N63="","",IF(INDEX('Per Invoice'!$L$2:$L$801,$N63)="","",INDEX('Per Invoice'!$L$2:$L$801,$N63)))</f>
        <v/>
      </c>
      <c r="M63" s="5">
        <f>IF($N63="","",IF(INDEX('Per Invoice'!$M$2:$M$801,$N63)="","",INDEX('Per Invoice'!$M$2:$M$801,$N63)))</f>
        <v/>
      </c>
      <c r="N63">
        <f>IF(ROWS($N$2:$N63)&lt;=COUNT('Per Invoice'!$P$2:$P$801),MATCH(ROWS($N$2:$N63),'Per Invoice'!$P$2:$P$801,0),"")</f>
        <v/>
      </c>
    </row>
    <row r="64">
      <c r="A64">
        <f>IF($N64="","",IF(INDEX('Per Invoice'!$A$2:$A$801,$N64)="","",INDEX('Per Invoice'!$A$2:$A$801,$N64)))</f>
        <v/>
      </c>
      <c r="B64">
        <f>IF($N64="","",IF(INDEX('Per Invoice'!$B$2:$B$801,$N64)="","",INDEX('Per Invoice'!$B$2:$B$801,$N64)))</f>
        <v/>
      </c>
      <c r="C64">
        <f>IF($N64="","",IF(INDEX('Per Invoice'!$C$2:$C$801,$N64)="","",INDEX('Per Invoice'!$C$2:$C$801,$N64)))</f>
        <v/>
      </c>
      <c r="D64">
        <f>IF($N64="","",IF(INDEX('Per Invoice'!$D$2:$D$801,$N64)="","",INDEX('Per Invoice'!$D$2:$D$801,$N64)))</f>
        <v/>
      </c>
      <c r="E64">
        <f>IF($N64="","",IF(INDEX('Per Invoice'!$E$2:$E$801,$N64)="","",INDEX('Per Invoice'!$E$2:$E$801,$N64)))</f>
        <v/>
      </c>
      <c r="F64">
        <f>IF($N64="","",IF(INDEX('Per Invoice'!$F$2:$F$801,$N64)="","",INDEX('Per Invoice'!$F$2:$F$801,$N64)))</f>
        <v/>
      </c>
      <c r="G64">
        <f>IF($N64="","",IF(INDEX('Per Invoice'!$G$2:$G$801,$N64)="","",INDEX('Per Invoice'!$G$2:$G$801,$N64)))</f>
        <v/>
      </c>
      <c r="H64">
        <f>IF($N64="","",IF(INDEX('Per Invoice'!$H$2:$H$801,$N64)="","",INDEX('Per Invoice'!$H$2:$H$801,$N64)))</f>
        <v/>
      </c>
      <c r="I64" s="5">
        <f>IF($N64="","",IF(INDEX('Per Invoice'!$I$2:$I$801,$N64)="","",INDEX('Per Invoice'!$I$2:$I$801,$N64)))</f>
        <v/>
      </c>
      <c r="J64" s="5">
        <f>IF($N64="","",IF(INDEX('Per Invoice'!$J$2:$J$801,$N64)="","",INDEX('Per Invoice'!$J$2:$J$801,$N64)))</f>
        <v/>
      </c>
      <c r="K64" s="5">
        <f>IF($N64="","",IF(INDEX('Per Invoice'!$K$2:$K$801,$N64)="","",INDEX('Per Invoice'!$K$2:$K$801,$N64)))</f>
        <v/>
      </c>
      <c r="L64" s="5">
        <f>IF($N64="","",IF(INDEX('Per Invoice'!$L$2:$L$801,$N64)="","",INDEX('Per Invoice'!$L$2:$L$801,$N64)))</f>
        <v/>
      </c>
      <c r="M64" s="5">
        <f>IF($N64="","",IF(INDEX('Per Invoice'!$M$2:$M$801,$N64)="","",INDEX('Per Invoice'!$M$2:$M$801,$N64)))</f>
        <v/>
      </c>
      <c r="N64">
        <f>IF(ROWS($N$2:$N64)&lt;=COUNT('Per Invoice'!$P$2:$P$801),MATCH(ROWS($N$2:$N64),'Per Invoice'!$P$2:$P$801,0),"")</f>
        <v/>
      </c>
    </row>
    <row r="65">
      <c r="A65">
        <f>IF($N65="","",IF(INDEX('Per Invoice'!$A$2:$A$801,$N65)="","",INDEX('Per Invoice'!$A$2:$A$801,$N65)))</f>
        <v/>
      </c>
      <c r="B65">
        <f>IF($N65="","",IF(INDEX('Per Invoice'!$B$2:$B$801,$N65)="","",INDEX('Per Invoice'!$B$2:$B$801,$N65)))</f>
        <v/>
      </c>
      <c r="C65">
        <f>IF($N65="","",IF(INDEX('Per Invoice'!$C$2:$C$801,$N65)="","",INDEX('Per Invoice'!$C$2:$C$801,$N65)))</f>
        <v/>
      </c>
      <c r="D65">
        <f>IF($N65="","",IF(INDEX('Per Invoice'!$D$2:$D$801,$N65)="","",INDEX('Per Invoice'!$D$2:$D$801,$N65)))</f>
        <v/>
      </c>
      <c r="E65">
        <f>IF($N65="","",IF(INDEX('Per Invoice'!$E$2:$E$801,$N65)="","",INDEX('Per Invoice'!$E$2:$E$801,$N65)))</f>
        <v/>
      </c>
      <c r="F65">
        <f>IF($N65="","",IF(INDEX('Per Invoice'!$F$2:$F$801,$N65)="","",INDEX('Per Invoice'!$F$2:$F$801,$N65)))</f>
        <v/>
      </c>
      <c r="G65">
        <f>IF($N65="","",IF(INDEX('Per Invoice'!$G$2:$G$801,$N65)="","",INDEX('Per Invoice'!$G$2:$G$801,$N65)))</f>
        <v/>
      </c>
      <c r="H65">
        <f>IF($N65="","",IF(INDEX('Per Invoice'!$H$2:$H$801,$N65)="","",INDEX('Per Invoice'!$H$2:$H$801,$N65)))</f>
        <v/>
      </c>
      <c r="I65" s="5">
        <f>IF($N65="","",IF(INDEX('Per Invoice'!$I$2:$I$801,$N65)="","",INDEX('Per Invoice'!$I$2:$I$801,$N65)))</f>
        <v/>
      </c>
      <c r="J65" s="5">
        <f>IF($N65="","",IF(INDEX('Per Invoice'!$J$2:$J$801,$N65)="","",INDEX('Per Invoice'!$J$2:$J$801,$N65)))</f>
        <v/>
      </c>
      <c r="K65" s="5">
        <f>IF($N65="","",IF(INDEX('Per Invoice'!$K$2:$K$801,$N65)="","",INDEX('Per Invoice'!$K$2:$K$801,$N65)))</f>
        <v/>
      </c>
      <c r="L65" s="5">
        <f>IF($N65="","",IF(INDEX('Per Invoice'!$L$2:$L$801,$N65)="","",INDEX('Per Invoice'!$L$2:$L$801,$N65)))</f>
        <v/>
      </c>
      <c r="M65" s="5">
        <f>IF($N65="","",IF(INDEX('Per Invoice'!$M$2:$M$801,$N65)="","",INDEX('Per Invoice'!$M$2:$M$801,$N65)))</f>
        <v/>
      </c>
      <c r="N65">
        <f>IF(ROWS($N$2:$N65)&lt;=COUNT('Per Invoice'!$P$2:$P$801),MATCH(ROWS($N$2:$N65),'Per Invoice'!$P$2:$P$801,0),"")</f>
        <v/>
      </c>
    </row>
    <row r="66">
      <c r="A66">
        <f>IF($N66="","",IF(INDEX('Per Invoice'!$A$2:$A$801,$N66)="","",INDEX('Per Invoice'!$A$2:$A$801,$N66)))</f>
        <v/>
      </c>
      <c r="B66">
        <f>IF($N66="","",IF(INDEX('Per Invoice'!$B$2:$B$801,$N66)="","",INDEX('Per Invoice'!$B$2:$B$801,$N66)))</f>
        <v/>
      </c>
      <c r="C66">
        <f>IF($N66="","",IF(INDEX('Per Invoice'!$C$2:$C$801,$N66)="","",INDEX('Per Invoice'!$C$2:$C$801,$N66)))</f>
        <v/>
      </c>
      <c r="D66">
        <f>IF($N66="","",IF(INDEX('Per Invoice'!$D$2:$D$801,$N66)="","",INDEX('Per Invoice'!$D$2:$D$801,$N66)))</f>
        <v/>
      </c>
      <c r="E66">
        <f>IF($N66="","",IF(INDEX('Per Invoice'!$E$2:$E$801,$N66)="","",INDEX('Per Invoice'!$E$2:$E$801,$N66)))</f>
        <v/>
      </c>
      <c r="F66">
        <f>IF($N66="","",IF(INDEX('Per Invoice'!$F$2:$F$801,$N66)="","",INDEX('Per Invoice'!$F$2:$F$801,$N66)))</f>
        <v/>
      </c>
      <c r="G66">
        <f>IF($N66="","",IF(INDEX('Per Invoice'!$G$2:$G$801,$N66)="","",INDEX('Per Invoice'!$G$2:$G$801,$N66)))</f>
        <v/>
      </c>
      <c r="H66">
        <f>IF($N66="","",IF(INDEX('Per Invoice'!$H$2:$H$801,$N66)="","",INDEX('Per Invoice'!$H$2:$H$801,$N66)))</f>
        <v/>
      </c>
      <c r="I66" s="5">
        <f>IF($N66="","",IF(INDEX('Per Invoice'!$I$2:$I$801,$N66)="","",INDEX('Per Invoice'!$I$2:$I$801,$N66)))</f>
        <v/>
      </c>
      <c r="J66" s="5">
        <f>IF($N66="","",IF(INDEX('Per Invoice'!$J$2:$J$801,$N66)="","",INDEX('Per Invoice'!$J$2:$J$801,$N66)))</f>
        <v/>
      </c>
      <c r="K66" s="5">
        <f>IF($N66="","",IF(INDEX('Per Invoice'!$K$2:$K$801,$N66)="","",INDEX('Per Invoice'!$K$2:$K$801,$N66)))</f>
        <v/>
      </c>
      <c r="L66" s="5">
        <f>IF($N66="","",IF(INDEX('Per Invoice'!$L$2:$L$801,$N66)="","",INDEX('Per Invoice'!$L$2:$L$801,$N66)))</f>
        <v/>
      </c>
      <c r="M66" s="5">
        <f>IF($N66="","",IF(INDEX('Per Invoice'!$M$2:$M$801,$N66)="","",INDEX('Per Invoice'!$M$2:$M$801,$N66)))</f>
        <v/>
      </c>
      <c r="N66">
        <f>IF(ROWS($N$2:$N66)&lt;=COUNT('Per Invoice'!$P$2:$P$801),MATCH(ROWS($N$2:$N66),'Per Invoice'!$P$2:$P$801,0),"")</f>
        <v/>
      </c>
    </row>
    <row r="67">
      <c r="A67">
        <f>IF($N67="","",IF(INDEX('Per Invoice'!$A$2:$A$801,$N67)="","",INDEX('Per Invoice'!$A$2:$A$801,$N67)))</f>
        <v/>
      </c>
      <c r="B67">
        <f>IF($N67="","",IF(INDEX('Per Invoice'!$B$2:$B$801,$N67)="","",INDEX('Per Invoice'!$B$2:$B$801,$N67)))</f>
        <v/>
      </c>
      <c r="C67">
        <f>IF($N67="","",IF(INDEX('Per Invoice'!$C$2:$C$801,$N67)="","",INDEX('Per Invoice'!$C$2:$C$801,$N67)))</f>
        <v/>
      </c>
      <c r="D67">
        <f>IF($N67="","",IF(INDEX('Per Invoice'!$D$2:$D$801,$N67)="","",INDEX('Per Invoice'!$D$2:$D$801,$N67)))</f>
        <v/>
      </c>
      <c r="E67">
        <f>IF($N67="","",IF(INDEX('Per Invoice'!$E$2:$E$801,$N67)="","",INDEX('Per Invoice'!$E$2:$E$801,$N67)))</f>
        <v/>
      </c>
      <c r="F67">
        <f>IF($N67="","",IF(INDEX('Per Invoice'!$F$2:$F$801,$N67)="","",INDEX('Per Invoice'!$F$2:$F$801,$N67)))</f>
        <v/>
      </c>
      <c r="G67">
        <f>IF($N67="","",IF(INDEX('Per Invoice'!$G$2:$G$801,$N67)="","",INDEX('Per Invoice'!$G$2:$G$801,$N67)))</f>
        <v/>
      </c>
      <c r="H67">
        <f>IF($N67="","",IF(INDEX('Per Invoice'!$H$2:$H$801,$N67)="","",INDEX('Per Invoice'!$H$2:$H$801,$N67)))</f>
        <v/>
      </c>
      <c r="I67" s="5">
        <f>IF($N67="","",IF(INDEX('Per Invoice'!$I$2:$I$801,$N67)="","",INDEX('Per Invoice'!$I$2:$I$801,$N67)))</f>
        <v/>
      </c>
      <c r="J67" s="5">
        <f>IF($N67="","",IF(INDEX('Per Invoice'!$J$2:$J$801,$N67)="","",INDEX('Per Invoice'!$J$2:$J$801,$N67)))</f>
        <v/>
      </c>
      <c r="K67" s="5">
        <f>IF($N67="","",IF(INDEX('Per Invoice'!$K$2:$K$801,$N67)="","",INDEX('Per Invoice'!$K$2:$K$801,$N67)))</f>
        <v/>
      </c>
      <c r="L67" s="5">
        <f>IF($N67="","",IF(INDEX('Per Invoice'!$L$2:$L$801,$N67)="","",INDEX('Per Invoice'!$L$2:$L$801,$N67)))</f>
        <v/>
      </c>
      <c r="M67" s="5">
        <f>IF($N67="","",IF(INDEX('Per Invoice'!$M$2:$M$801,$N67)="","",INDEX('Per Invoice'!$M$2:$M$801,$N67)))</f>
        <v/>
      </c>
      <c r="N67">
        <f>IF(ROWS($N$2:$N67)&lt;=COUNT('Per Invoice'!$P$2:$P$801),MATCH(ROWS($N$2:$N67),'Per Invoice'!$P$2:$P$801,0),"")</f>
        <v/>
      </c>
    </row>
    <row r="68">
      <c r="A68">
        <f>IF($N68="","",IF(INDEX('Per Invoice'!$A$2:$A$801,$N68)="","",INDEX('Per Invoice'!$A$2:$A$801,$N68)))</f>
        <v/>
      </c>
      <c r="B68">
        <f>IF($N68="","",IF(INDEX('Per Invoice'!$B$2:$B$801,$N68)="","",INDEX('Per Invoice'!$B$2:$B$801,$N68)))</f>
        <v/>
      </c>
      <c r="C68">
        <f>IF($N68="","",IF(INDEX('Per Invoice'!$C$2:$C$801,$N68)="","",INDEX('Per Invoice'!$C$2:$C$801,$N68)))</f>
        <v/>
      </c>
      <c r="D68">
        <f>IF($N68="","",IF(INDEX('Per Invoice'!$D$2:$D$801,$N68)="","",INDEX('Per Invoice'!$D$2:$D$801,$N68)))</f>
        <v/>
      </c>
      <c r="E68">
        <f>IF($N68="","",IF(INDEX('Per Invoice'!$E$2:$E$801,$N68)="","",INDEX('Per Invoice'!$E$2:$E$801,$N68)))</f>
        <v/>
      </c>
      <c r="F68">
        <f>IF($N68="","",IF(INDEX('Per Invoice'!$F$2:$F$801,$N68)="","",INDEX('Per Invoice'!$F$2:$F$801,$N68)))</f>
        <v/>
      </c>
      <c r="G68">
        <f>IF($N68="","",IF(INDEX('Per Invoice'!$G$2:$G$801,$N68)="","",INDEX('Per Invoice'!$G$2:$G$801,$N68)))</f>
        <v/>
      </c>
      <c r="H68">
        <f>IF($N68="","",IF(INDEX('Per Invoice'!$H$2:$H$801,$N68)="","",INDEX('Per Invoice'!$H$2:$H$801,$N68)))</f>
        <v/>
      </c>
      <c r="I68" s="5">
        <f>IF($N68="","",IF(INDEX('Per Invoice'!$I$2:$I$801,$N68)="","",INDEX('Per Invoice'!$I$2:$I$801,$N68)))</f>
        <v/>
      </c>
      <c r="J68" s="5">
        <f>IF($N68="","",IF(INDEX('Per Invoice'!$J$2:$J$801,$N68)="","",INDEX('Per Invoice'!$J$2:$J$801,$N68)))</f>
        <v/>
      </c>
      <c r="K68" s="5">
        <f>IF($N68="","",IF(INDEX('Per Invoice'!$K$2:$K$801,$N68)="","",INDEX('Per Invoice'!$K$2:$K$801,$N68)))</f>
        <v/>
      </c>
      <c r="L68" s="5">
        <f>IF($N68="","",IF(INDEX('Per Invoice'!$L$2:$L$801,$N68)="","",INDEX('Per Invoice'!$L$2:$L$801,$N68)))</f>
        <v/>
      </c>
      <c r="M68" s="5">
        <f>IF($N68="","",IF(INDEX('Per Invoice'!$M$2:$M$801,$N68)="","",INDEX('Per Invoice'!$M$2:$M$801,$N68)))</f>
        <v/>
      </c>
      <c r="N68">
        <f>IF(ROWS($N$2:$N68)&lt;=COUNT('Per Invoice'!$P$2:$P$801),MATCH(ROWS($N$2:$N68),'Per Invoice'!$P$2:$P$801,0),"")</f>
        <v/>
      </c>
    </row>
    <row r="69">
      <c r="A69">
        <f>IF($N69="","",IF(INDEX('Per Invoice'!$A$2:$A$801,$N69)="","",INDEX('Per Invoice'!$A$2:$A$801,$N69)))</f>
        <v/>
      </c>
      <c r="B69">
        <f>IF($N69="","",IF(INDEX('Per Invoice'!$B$2:$B$801,$N69)="","",INDEX('Per Invoice'!$B$2:$B$801,$N69)))</f>
        <v/>
      </c>
      <c r="C69">
        <f>IF($N69="","",IF(INDEX('Per Invoice'!$C$2:$C$801,$N69)="","",INDEX('Per Invoice'!$C$2:$C$801,$N69)))</f>
        <v/>
      </c>
      <c r="D69">
        <f>IF($N69="","",IF(INDEX('Per Invoice'!$D$2:$D$801,$N69)="","",INDEX('Per Invoice'!$D$2:$D$801,$N69)))</f>
        <v/>
      </c>
      <c r="E69">
        <f>IF($N69="","",IF(INDEX('Per Invoice'!$E$2:$E$801,$N69)="","",INDEX('Per Invoice'!$E$2:$E$801,$N69)))</f>
        <v/>
      </c>
      <c r="F69">
        <f>IF($N69="","",IF(INDEX('Per Invoice'!$F$2:$F$801,$N69)="","",INDEX('Per Invoice'!$F$2:$F$801,$N69)))</f>
        <v/>
      </c>
      <c r="G69">
        <f>IF($N69="","",IF(INDEX('Per Invoice'!$G$2:$G$801,$N69)="","",INDEX('Per Invoice'!$G$2:$G$801,$N69)))</f>
        <v/>
      </c>
      <c r="H69">
        <f>IF($N69="","",IF(INDEX('Per Invoice'!$H$2:$H$801,$N69)="","",INDEX('Per Invoice'!$H$2:$H$801,$N69)))</f>
        <v/>
      </c>
      <c r="I69" s="5">
        <f>IF($N69="","",IF(INDEX('Per Invoice'!$I$2:$I$801,$N69)="","",INDEX('Per Invoice'!$I$2:$I$801,$N69)))</f>
        <v/>
      </c>
      <c r="J69" s="5">
        <f>IF($N69="","",IF(INDEX('Per Invoice'!$J$2:$J$801,$N69)="","",INDEX('Per Invoice'!$J$2:$J$801,$N69)))</f>
        <v/>
      </c>
      <c r="K69" s="5">
        <f>IF($N69="","",IF(INDEX('Per Invoice'!$K$2:$K$801,$N69)="","",INDEX('Per Invoice'!$K$2:$K$801,$N69)))</f>
        <v/>
      </c>
      <c r="L69" s="5">
        <f>IF($N69="","",IF(INDEX('Per Invoice'!$L$2:$L$801,$N69)="","",INDEX('Per Invoice'!$L$2:$L$801,$N69)))</f>
        <v/>
      </c>
      <c r="M69" s="5">
        <f>IF($N69="","",IF(INDEX('Per Invoice'!$M$2:$M$801,$N69)="","",INDEX('Per Invoice'!$M$2:$M$801,$N69)))</f>
        <v/>
      </c>
      <c r="N69">
        <f>IF(ROWS($N$2:$N69)&lt;=COUNT('Per Invoice'!$P$2:$P$801),MATCH(ROWS($N$2:$N69),'Per Invoice'!$P$2:$P$801,0),"")</f>
        <v/>
      </c>
    </row>
    <row r="70">
      <c r="A70">
        <f>IF($N70="","",IF(INDEX('Per Invoice'!$A$2:$A$801,$N70)="","",INDEX('Per Invoice'!$A$2:$A$801,$N70)))</f>
        <v/>
      </c>
      <c r="B70">
        <f>IF($N70="","",IF(INDEX('Per Invoice'!$B$2:$B$801,$N70)="","",INDEX('Per Invoice'!$B$2:$B$801,$N70)))</f>
        <v/>
      </c>
      <c r="C70">
        <f>IF($N70="","",IF(INDEX('Per Invoice'!$C$2:$C$801,$N70)="","",INDEX('Per Invoice'!$C$2:$C$801,$N70)))</f>
        <v/>
      </c>
      <c r="D70">
        <f>IF($N70="","",IF(INDEX('Per Invoice'!$D$2:$D$801,$N70)="","",INDEX('Per Invoice'!$D$2:$D$801,$N70)))</f>
        <v/>
      </c>
      <c r="E70">
        <f>IF($N70="","",IF(INDEX('Per Invoice'!$E$2:$E$801,$N70)="","",INDEX('Per Invoice'!$E$2:$E$801,$N70)))</f>
        <v/>
      </c>
      <c r="F70">
        <f>IF($N70="","",IF(INDEX('Per Invoice'!$F$2:$F$801,$N70)="","",INDEX('Per Invoice'!$F$2:$F$801,$N70)))</f>
        <v/>
      </c>
      <c r="G70">
        <f>IF($N70="","",IF(INDEX('Per Invoice'!$G$2:$G$801,$N70)="","",INDEX('Per Invoice'!$G$2:$G$801,$N70)))</f>
        <v/>
      </c>
      <c r="H70">
        <f>IF($N70="","",IF(INDEX('Per Invoice'!$H$2:$H$801,$N70)="","",INDEX('Per Invoice'!$H$2:$H$801,$N70)))</f>
        <v/>
      </c>
      <c r="I70" s="5">
        <f>IF($N70="","",IF(INDEX('Per Invoice'!$I$2:$I$801,$N70)="","",INDEX('Per Invoice'!$I$2:$I$801,$N70)))</f>
        <v/>
      </c>
      <c r="J70" s="5">
        <f>IF($N70="","",IF(INDEX('Per Invoice'!$J$2:$J$801,$N70)="","",INDEX('Per Invoice'!$J$2:$J$801,$N70)))</f>
        <v/>
      </c>
      <c r="K70" s="5">
        <f>IF($N70="","",IF(INDEX('Per Invoice'!$K$2:$K$801,$N70)="","",INDEX('Per Invoice'!$K$2:$K$801,$N70)))</f>
        <v/>
      </c>
      <c r="L70" s="5">
        <f>IF($N70="","",IF(INDEX('Per Invoice'!$L$2:$L$801,$N70)="","",INDEX('Per Invoice'!$L$2:$L$801,$N70)))</f>
        <v/>
      </c>
      <c r="M70" s="5">
        <f>IF($N70="","",IF(INDEX('Per Invoice'!$M$2:$M$801,$N70)="","",INDEX('Per Invoice'!$M$2:$M$801,$N70)))</f>
        <v/>
      </c>
      <c r="N70">
        <f>IF(ROWS($N$2:$N70)&lt;=COUNT('Per Invoice'!$P$2:$P$801),MATCH(ROWS($N$2:$N70),'Per Invoice'!$P$2:$P$801,0),"")</f>
        <v/>
      </c>
    </row>
    <row r="71">
      <c r="A71">
        <f>IF($N71="","",IF(INDEX('Per Invoice'!$A$2:$A$801,$N71)="","",INDEX('Per Invoice'!$A$2:$A$801,$N71)))</f>
        <v/>
      </c>
      <c r="B71">
        <f>IF($N71="","",IF(INDEX('Per Invoice'!$B$2:$B$801,$N71)="","",INDEX('Per Invoice'!$B$2:$B$801,$N71)))</f>
        <v/>
      </c>
      <c r="C71">
        <f>IF($N71="","",IF(INDEX('Per Invoice'!$C$2:$C$801,$N71)="","",INDEX('Per Invoice'!$C$2:$C$801,$N71)))</f>
        <v/>
      </c>
      <c r="D71">
        <f>IF($N71="","",IF(INDEX('Per Invoice'!$D$2:$D$801,$N71)="","",INDEX('Per Invoice'!$D$2:$D$801,$N71)))</f>
        <v/>
      </c>
      <c r="E71">
        <f>IF($N71="","",IF(INDEX('Per Invoice'!$E$2:$E$801,$N71)="","",INDEX('Per Invoice'!$E$2:$E$801,$N71)))</f>
        <v/>
      </c>
      <c r="F71">
        <f>IF($N71="","",IF(INDEX('Per Invoice'!$F$2:$F$801,$N71)="","",INDEX('Per Invoice'!$F$2:$F$801,$N71)))</f>
        <v/>
      </c>
      <c r="G71">
        <f>IF($N71="","",IF(INDEX('Per Invoice'!$G$2:$G$801,$N71)="","",INDEX('Per Invoice'!$G$2:$G$801,$N71)))</f>
        <v/>
      </c>
      <c r="H71">
        <f>IF($N71="","",IF(INDEX('Per Invoice'!$H$2:$H$801,$N71)="","",INDEX('Per Invoice'!$H$2:$H$801,$N71)))</f>
        <v/>
      </c>
      <c r="I71" s="5">
        <f>IF($N71="","",IF(INDEX('Per Invoice'!$I$2:$I$801,$N71)="","",INDEX('Per Invoice'!$I$2:$I$801,$N71)))</f>
        <v/>
      </c>
      <c r="J71" s="5">
        <f>IF($N71="","",IF(INDEX('Per Invoice'!$J$2:$J$801,$N71)="","",INDEX('Per Invoice'!$J$2:$J$801,$N71)))</f>
        <v/>
      </c>
      <c r="K71" s="5">
        <f>IF($N71="","",IF(INDEX('Per Invoice'!$K$2:$K$801,$N71)="","",INDEX('Per Invoice'!$K$2:$K$801,$N71)))</f>
        <v/>
      </c>
      <c r="L71" s="5">
        <f>IF($N71="","",IF(INDEX('Per Invoice'!$L$2:$L$801,$N71)="","",INDEX('Per Invoice'!$L$2:$L$801,$N71)))</f>
        <v/>
      </c>
      <c r="M71" s="5">
        <f>IF($N71="","",IF(INDEX('Per Invoice'!$M$2:$M$801,$N71)="","",INDEX('Per Invoice'!$M$2:$M$801,$N71)))</f>
        <v/>
      </c>
      <c r="N71">
        <f>IF(ROWS($N$2:$N71)&lt;=COUNT('Per Invoice'!$P$2:$P$801),MATCH(ROWS($N$2:$N71),'Per Invoice'!$P$2:$P$801,0),"")</f>
        <v/>
      </c>
    </row>
    <row r="72">
      <c r="A72">
        <f>IF($N72="","",IF(INDEX('Per Invoice'!$A$2:$A$801,$N72)="","",INDEX('Per Invoice'!$A$2:$A$801,$N72)))</f>
        <v/>
      </c>
      <c r="B72">
        <f>IF($N72="","",IF(INDEX('Per Invoice'!$B$2:$B$801,$N72)="","",INDEX('Per Invoice'!$B$2:$B$801,$N72)))</f>
        <v/>
      </c>
      <c r="C72">
        <f>IF($N72="","",IF(INDEX('Per Invoice'!$C$2:$C$801,$N72)="","",INDEX('Per Invoice'!$C$2:$C$801,$N72)))</f>
        <v/>
      </c>
      <c r="D72">
        <f>IF($N72="","",IF(INDEX('Per Invoice'!$D$2:$D$801,$N72)="","",INDEX('Per Invoice'!$D$2:$D$801,$N72)))</f>
        <v/>
      </c>
      <c r="E72">
        <f>IF($N72="","",IF(INDEX('Per Invoice'!$E$2:$E$801,$N72)="","",INDEX('Per Invoice'!$E$2:$E$801,$N72)))</f>
        <v/>
      </c>
      <c r="F72">
        <f>IF($N72="","",IF(INDEX('Per Invoice'!$F$2:$F$801,$N72)="","",INDEX('Per Invoice'!$F$2:$F$801,$N72)))</f>
        <v/>
      </c>
      <c r="G72">
        <f>IF($N72="","",IF(INDEX('Per Invoice'!$G$2:$G$801,$N72)="","",INDEX('Per Invoice'!$G$2:$G$801,$N72)))</f>
        <v/>
      </c>
      <c r="H72">
        <f>IF($N72="","",IF(INDEX('Per Invoice'!$H$2:$H$801,$N72)="","",INDEX('Per Invoice'!$H$2:$H$801,$N72)))</f>
        <v/>
      </c>
      <c r="I72" s="5">
        <f>IF($N72="","",IF(INDEX('Per Invoice'!$I$2:$I$801,$N72)="","",INDEX('Per Invoice'!$I$2:$I$801,$N72)))</f>
        <v/>
      </c>
      <c r="J72" s="5">
        <f>IF($N72="","",IF(INDEX('Per Invoice'!$J$2:$J$801,$N72)="","",INDEX('Per Invoice'!$J$2:$J$801,$N72)))</f>
        <v/>
      </c>
      <c r="K72" s="5">
        <f>IF($N72="","",IF(INDEX('Per Invoice'!$K$2:$K$801,$N72)="","",INDEX('Per Invoice'!$K$2:$K$801,$N72)))</f>
        <v/>
      </c>
      <c r="L72" s="5">
        <f>IF($N72="","",IF(INDEX('Per Invoice'!$L$2:$L$801,$N72)="","",INDEX('Per Invoice'!$L$2:$L$801,$N72)))</f>
        <v/>
      </c>
      <c r="M72" s="5">
        <f>IF($N72="","",IF(INDEX('Per Invoice'!$M$2:$M$801,$N72)="","",INDEX('Per Invoice'!$M$2:$M$801,$N72)))</f>
        <v/>
      </c>
      <c r="N72">
        <f>IF(ROWS($N$2:$N72)&lt;=COUNT('Per Invoice'!$P$2:$P$801),MATCH(ROWS($N$2:$N72),'Per Invoice'!$P$2:$P$801,0),"")</f>
        <v/>
      </c>
    </row>
    <row r="73">
      <c r="A73">
        <f>IF($N73="","",IF(INDEX('Per Invoice'!$A$2:$A$801,$N73)="","",INDEX('Per Invoice'!$A$2:$A$801,$N73)))</f>
        <v/>
      </c>
      <c r="B73">
        <f>IF($N73="","",IF(INDEX('Per Invoice'!$B$2:$B$801,$N73)="","",INDEX('Per Invoice'!$B$2:$B$801,$N73)))</f>
        <v/>
      </c>
      <c r="C73">
        <f>IF($N73="","",IF(INDEX('Per Invoice'!$C$2:$C$801,$N73)="","",INDEX('Per Invoice'!$C$2:$C$801,$N73)))</f>
        <v/>
      </c>
      <c r="D73">
        <f>IF($N73="","",IF(INDEX('Per Invoice'!$D$2:$D$801,$N73)="","",INDEX('Per Invoice'!$D$2:$D$801,$N73)))</f>
        <v/>
      </c>
      <c r="E73">
        <f>IF($N73="","",IF(INDEX('Per Invoice'!$E$2:$E$801,$N73)="","",INDEX('Per Invoice'!$E$2:$E$801,$N73)))</f>
        <v/>
      </c>
      <c r="F73">
        <f>IF($N73="","",IF(INDEX('Per Invoice'!$F$2:$F$801,$N73)="","",INDEX('Per Invoice'!$F$2:$F$801,$N73)))</f>
        <v/>
      </c>
      <c r="G73">
        <f>IF($N73="","",IF(INDEX('Per Invoice'!$G$2:$G$801,$N73)="","",INDEX('Per Invoice'!$G$2:$G$801,$N73)))</f>
        <v/>
      </c>
      <c r="H73">
        <f>IF($N73="","",IF(INDEX('Per Invoice'!$H$2:$H$801,$N73)="","",INDEX('Per Invoice'!$H$2:$H$801,$N73)))</f>
        <v/>
      </c>
      <c r="I73" s="5">
        <f>IF($N73="","",IF(INDEX('Per Invoice'!$I$2:$I$801,$N73)="","",INDEX('Per Invoice'!$I$2:$I$801,$N73)))</f>
        <v/>
      </c>
      <c r="J73" s="5">
        <f>IF($N73="","",IF(INDEX('Per Invoice'!$J$2:$J$801,$N73)="","",INDEX('Per Invoice'!$J$2:$J$801,$N73)))</f>
        <v/>
      </c>
      <c r="K73" s="5">
        <f>IF($N73="","",IF(INDEX('Per Invoice'!$K$2:$K$801,$N73)="","",INDEX('Per Invoice'!$K$2:$K$801,$N73)))</f>
        <v/>
      </c>
      <c r="L73" s="5">
        <f>IF($N73="","",IF(INDEX('Per Invoice'!$L$2:$L$801,$N73)="","",INDEX('Per Invoice'!$L$2:$L$801,$N73)))</f>
        <v/>
      </c>
      <c r="M73" s="5">
        <f>IF($N73="","",IF(INDEX('Per Invoice'!$M$2:$M$801,$N73)="","",INDEX('Per Invoice'!$M$2:$M$801,$N73)))</f>
        <v/>
      </c>
      <c r="N73">
        <f>IF(ROWS($N$2:$N73)&lt;=COUNT('Per Invoice'!$P$2:$P$801),MATCH(ROWS($N$2:$N73),'Per Invoice'!$P$2:$P$801,0),"")</f>
        <v/>
      </c>
    </row>
    <row r="74">
      <c r="A74">
        <f>IF($N74="","",IF(INDEX('Per Invoice'!$A$2:$A$801,$N74)="","",INDEX('Per Invoice'!$A$2:$A$801,$N74)))</f>
        <v/>
      </c>
      <c r="B74">
        <f>IF($N74="","",IF(INDEX('Per Invoice'!$B$2:$B$801,$N74)="","",INDEX('Per Invoice'!$B$2:$B$801,$N74)))</f>
        <v/>
      </c>
      <c r="C74">
        <f>IF($N74="","",IF(INDEX('Per Invoice'!$C$2:$C$801,$N74)="","",INDEX('Per Invoice'!$C$2:$C$801,$N74)))</f>
        <v/>
      </c>
      <c r="D74">
        <f>IF($N74="","",IF(INDEX('Per Invoice'!$D$2:$D$801,$N74)="","",INDEX('Per Invoice'!$D$2:$D$801,$N74)))</f>
        <v/>
      </c>
      <c r="E74">
        <f>IF($N74="","",IF(INDEX('Per Invoice'!$E$2:$E$801,$N74)="","",INDEX('Per Invoice'!$E$2:$E$801,$N74)))</f>
        <v/>
      </c>
      <c r="F74">
        <f>IF($N74="","",IF(INDEX('Per Invoice'!$F$2:$F$801,$N74)="","",INDEX('Per Invoice'!$F$2:$F$801,$N74)))</f>
        <v/>
      </c>
      <c r="G74">
        <f>IF($N74="","",IF(INDEX('Per Invoice'!$G$2:$G$801,$N74)="","",INDEX('Per Invoice'!$G$2:$G$801,$N74)))</f>
        <v/>
      </c>
      <c r="H74">
        <f>IF($N74="","",IF(INDEX('Per Invoice'!$H$2:$H$801,$N74)="","",INDEX('Per Invoice'!$H$2:$H$801,$N74)))</f>
        <v/>
      </c>
      <c r="I74" s="5">
        <f>IF($N74="","",IF(INDEX('Per Invoice'!$I$2:$I$801,$N74)="","",INDEX('Per Invoice'!$I$2:$I$801,$N74)))</f>
        <v/>
      </c>
      <c r="J74" s="5">
        <f>IF($N74="","",IF(INDEX('Per Invoice'!$J$2:$J$801,$N74)="","",INDEX('Per Invoice'!$J$2:$J$801,$N74)))</f>
        <v/>
      </c>
      <c r="K74" s="5">
        <f>IF($N74="","",IF(INDEX('Per Invoice'!$K$2:$K$801,$N74)="","",INDEX('Per Invoice'!$K$2:$K$801,$N74)))</f>
        <v/>
      </c>
      <c r="L74" s="5">
        <f>IF($N74="","",IF(INDEX('Per Invoice'!$L$2:$L$801,$N74)="","",INDEX('Per Invoice'!$L$2:$L$801,$N74)))</f>
        <v/>
      </c>
      <c r="M74" s="5">
        <f>IF($N74="","",IF(INDEX('Per Invoice'!$M$2:$M$801,$N74)="","",INDEX('Per Invoice'!$M$2:$M$801,$N74)))</f>
        <v/>
      </c>
      <c r="N74">
        <f>IF(ROWS($N$2:$N74)&lt;=COUNT('Per Invoice'!$P$2:$P$801),MATCH(ROWS($N$2:$N74),'Per Invoice'!$P$2:$P$801,0),"")</f>
        <v/>
      </c>
    </row>
    <row r="75">
      <c r="A75">
        <f>IF($N75="","",IF(INDEX('Per Invoice'!$A$2:$A$801,$N75)="","",INDEX('Per Invoice'!$A$2:$A$801,$N75)))</f>
        <v/>
      </c>
      <c r="B75">
        <f>IF($N75="","",IF(INDEX('Per Invoice'!$B$2:$B$801,$N75)="","",INDEX('Per Invoice'!$B$2:$B$801,$N75)))</f>
        <v/>
      </c>
      <c r="C75">
        <f>IF($N75="","",IF(INDEX('Per Invoice'!$C$2:$C$801,$N75)="","",INDEX('Per Invoice'!$C$2:$C$801,$N75)))</f>
        <v/>
      </c>
      <c r="D75">
        <f>IF($N75="","",IF(INDEX('Per Invoice'!$D$2:$D$801,$N75)="","",INDEX('Per Invoice'!$D$2:$D$801,$N75)))</f>
        <v/>
      </c>
      <c r="E75">
        <f>IF($N75="","",IF(INDEX('Per Invoice'!$E$2:$E$801,$N75)="","",INDEX('Per Invoice'!$E$2:$E$801,$N75)))</f>
        <v/>
      </c>
      <c r="F75">
        <f>IF($N75="","",IF(INDEX('Per Invoice'!$F$2:$F$801,$N75)="","",INDEX('Per Invoice'!$F$2:$F$801,$N75)))</f>
        <v/>
      </c>
      <c r="G75">
        <f>IF($N75="","",IF(INDEX('Per Invoice'!$G$2:$G$801,$N75)="","",INDEX('Per Invoice'!$G$2:$G$801,$N75)))</f>
        <v/>
      </c>
      <c r="H75">
        <f>IF($N75="","",IF(INDEX('Per Invoice'!$H$2:$H$801,$N75)="","",INDEX('Per Invoice'!$H$2:$H$801,$N75)))</f>
        <v/>
      </c>
      <c r="I75" s="5">
        <f>IF($N75="","",IF(INDEX('Per Invoice'!$I$2:$I$801,$N75)="","",INDEX('Per Invoice'!$I$2:$I$801,$N75)))</f>
        <v/>
      </c>
      <c r="J75" s="5">
        <f>IF($N75="","",IF(INDEX('Per Invoice'!$J$2:$J$801,$N75)="","",INDEX('Per Invoice'!$J$2:$J$801,$N75)))</f>
        <v/>
      </c>
      <c r="K75" s="5">
        <f>IF($N75="","",IF(INDEX('Per Invoice'!$K$2:$K$801,$N75)="","",INDEX('Per Invoice'!$K$2:$K$801,$N75)))</f>
        <v/>
      </c>
      <c r="L75" s="5">
        <f>IF($N75="","",IF(INDEX('Per Invoice'!$L$2:$L$801,$N75)="","",INDEX('Per Invoice'!$L$2:$L$801,$N75)))</f>
        <v/>
      </c>
      <c r="M75" s="5">
        <f>IF($N75="","",IF(INDEX('Per Invoice'!$M$2:$M$801,$N75)="","",INDEX('Per Invoice'!$M$2:$M$801,$N75)))</f>
        <v/>
      </c>
      <c r="N75">
        <f>IF(ROWS($N$2:$N75)&lt;=COUNT('Per Invoice'!$P$2:$P$801),MATCH(ROWS($N$2:$N75),'Per Invoice'!$P$2:$P$801,0),"")</f>
        <v/>
      </c>
    </row>
    <row r="76">
      <c r="A76">
        <f>IF($N76="","",IF(INDEX('Per Invoice'!$A$2:$A$801,$N76)="","",INDEX('Per Invoice'!$A$2:$A$801,$N76)))</f>
        <v/>
      </c>
      <c r="B76">
        <f>IF($N76="","",IF(INDEX('Per Invoice'!$B$2:$B$801,$N76)="","",INDEX('Per Invoice'!$B$2:$B$801,$N76)))</f>
        <v/>
      </c>
      <c r="C76">
        <f>IF($N76="","",IF(INDEX('Per Invoice'!$C$2:$C$801,$N76)="","",INDEX('Per Invoice'!$C$2:$C$801,$N76)))</f>
        <v/>
      </c>
      <c r="D76">
        <f>IF($N76="","",IF(INDEX('Per Invoice'!$D$2:$D$801,$N76)="","",INDEX('Per Invoice'!$D$2:$D$801,$N76)))</f>
        <v/>
      </c>
      <c r="E76">
        <f>IF($N76="","",IF(INDEX('Per Invoice'!$E$2:$E$801,$N76)="","",INDEX('Per Invoice'!$E$2:$E$801,$N76)))</f>
        <v/>
      </c>
      <c r="F76">
        <f>IF($N76="","",IF(INDEX('Per Invoice'!$F$2:$F$801,$N76)="","",INDEX('Per Invoice'!$F$2:$F$801,$N76)))</f>
        <v/>
      </c>
      <c r="G76">
        <f>IF($N76="","",IF(INDEX('Per Invoice'!$G$2:$G$801,$N76)="","",INDEX('Per Invoice'!$G$2:$G$801,$N76)))</f>
        <v/>
      </c>
      <c r="H76">
        <f>IF($N76="","",IF(INDEX('Per Invoice'!$H$2:$H$801,$N76)="","",INDEX('Per Invoice'!$H$2:$H$801,$N76)))</f>
        <v/>
      </c>
      <c r="I76" s="5">
        <f>IF($N76="","",IF(INDEX('Per Invoice'!$I$2:$I$801,$N76)="","",INDEX('Per Invoice'!$I$2:$I$801,$N76)))</f>
        <v/>
      </c>
      <c r="J76" s="5">
        <f>IF($N76="","",IF(INDEX('Per Invoice'!$J$2:$J$801,$N76)="","",INDEX('Per Invoice'!$J$2:$J$801,$N76)))</f>
        <v/>
      </c>
      <c r="K76" s="5">
        <f>IF($N76="","",IF(INDEX('Per Invoice'!$K$2:$K$801,$N76)="","",INDEX('Per Invoice'!$K$2:$K$801,$N76)))</f>
        <v/>
      </c>
      <c r="L76" s="5">
        <f>IF($N76="","",IF(INDEX('Per Invoice'!$L$2:$L$801,$N76)="","",INDEX('Per Invoice'!$L$2:$L$801,$N76)))</f>
        <v/>
      </c>
      <c r="M76" s="5">
        <f>IF($N76="","",IF(INDEX('Per Invoice'!$M$2:$M$801,$N76)="","",INDEX('Per Invoice'!$M$2:$M$801,$N76)))</f>
        <v/>
      </c>
      <c r="N76">
        <f>IF(ROWS($N$2:$N76)&lt;=COUNT('Per Invoice'!$P$2:$P$801),MATCH(ROWS($N$2:$N76),'Per Invoice'!$P$2:$P$801,0),"")</f>
        <v/>
      </c>
    </row>
    <row r="77">
      <c r="A77">
        <f>IF($N77="","",IF(INDEX('Per Invoice'!$A$2:$A$801,$N77)="","",INDEX('Per Invoice'!$A$2:$A$801,$N77)))</f>
        <v/>
      </c>
      <c r="B77">
        <f>IF($N77="","",IF(INDEX('Per Invoice'!$B$2:$B$801,$N77)="","",INDEX('Per Invoice'!$B$2:$B$801,$N77)))</f>
        <v/>
      </c>
      <c r="C77">
        <f>IF($N77="","",IF(INDEX('Per Invoice'!$C$2:$C$801,$N77)="","",INDEX('Per Invoice'!$C$2:$C$801,$N77)))</f>
        <v/>
      </c>
      <c r="D77">
        <f>IF($N77="","",IF(INDEX('Per Invoice'!$D$2:$D$801,$N77)="","",INDEX('Per Invoice'!$D$2:$D$801,$N77)))</f>
        <v/>
      </c>
      <c r="E77">
        <f>IF($N77="","",IF(INDEX('Per Invoice'!$E$2:$E$801,$N77)="","",INDEX('Per Invoice'!$E$2:$E$801,$N77)))</f>
        <v/>
      </c>
      <c r="F77">
        <f>IF($N77="","",IF(INDEX('Per Invoice'!$F$2:$F$801,$N77)="","",INDEX('Per Invoice'!$F$2:$F$801,$N77)))</f>
        <v/>
      </c>
      <c r="G77">
        <f>IF($N77="","",IF(INDEX('Per Invoice'!$G$2:$G$801,$N77)="","",INDEX('Per Invoice'!$G$2:$G$801,$N77)))</f>
        <v/>
      </c>
      <c r="H77">
        <f>IF($N77="","",IF(INDEX('Per Invoice'!$H$2:$H$801,$N77)="","",INDEX('Per Invoice'!$H$2:$H$801,$N77)))</f>
        <v/>
      </c>
      <c r="I77" s="5">
        <f>IF($N77="","",IF(INDEX('Per Invoice'!$I$2:$I$801,$N77)="","",INDEX('Per Invoice'!$I$2:$I$801,$N77)))</f>
        <v/>
      </c>
      <c r="J77" s="5">
        <f>IF($N77="","",IF(INDEX('Per Invoice'!$J$2:$J$801,$N77)="","",INDEX('Per Invoice'!$J$2:$J$801,$N77)))</f>
        <v/>
      </c>
      <c r="K77" s="5">
        <f>IF($N77="","",IF(INDEX('Per Invoice'!$K$2:$K$801,$N77)="","",INDEX('Per Invoice'!$K$2:$K$801,$N77)))</f>
        <v/>
      </c>
      <c r="L77" s="5">
        <f>IF($N77="","",IF(INDEX('Per Invoice'!$L$2:$L$801,$N77)="","",INDEX('Per Invoice'!$L$2:$L$801,$N77)))</f>
        <v/>
      </c>
      <c r="M77" s="5">
        <f>IF($N77="","",IF(INDEX('Per Invoice'!$M$2:$M$801,$N77)="","",INDEX('Per Invoice'!$M$2:$M$801,$N77)))</f>
        <v/>
      </c>
      <c r="N77">
        <f>IF(ROWS($N$2:$N77)&lt;=COUNT('Per Invoice'!$P$2:$P$801),MATCH(ROWS($N$2:$N77),'Per Invoice'!$P$2:$P$801,0),"")</f>
        <v/>
      </c>
    </row>
    <row r="78">
      <c r="A78">
        <f>IF($N78="","",IF(INDEX('Per Invoice'!$A$2:$A$801,$N78)="","",INDEX('Per Invoice'!$A$2:$A$801,$N78)))</f>
        <v/>
      </c>
      <c r="B78">
        <f>IF($N78="","",IF(INDEX('Per Invoice'!$B$2:$B$801,$N78)="","",INDEX('Per Invoice'!$B$2:$B$801,$N78)))</f>
        <v/>
      </c>
      <c r="C78">
        <f>IF($N78="","",IF(INDEX('Per Invoice'!$C$2:$C$801,$N78)="","",INDEX('Per Invoice'!$C$2:$C$801,$N78)))</f>
        <v/>
      </c>
      <c r="D78">
        <f>IF($N78="","",IF(INDEX('Per Invoice'!$D$2:$D$801,$N78)="","",INDEX('Per Invoice'!$D$2:$D$801,$N78)))</f>
        <v/>
      </c>
      <c r="E78">
        <f>IF($N78="","",IF(INDEX('Per Invoice'!$E$2:$E$801,$N78)="","",INDEX('Per Invoice'!$E$2:$E$801,$N78)))</f>
        <v/>
      </c>
      <c r="F78">
        <f>IF($N78="","",IF(INDEX('Per Invoice'!$F$2:$F$801,$N78)="","",INDEX('Per Invoice'!$F$2:$F$801,$N78)))</f>
        <v/>
      </c>
      <c r="G78">
        <f>IF($N78="","",IF(INDEX('Per Invoice'!$G$2:$G$801,$N78)="","",INDEX('Per Invoice'!$G$2:$G$801,$N78)))</f>
        <v/>
      </c>
      <c r="H78">
        <f>IF($N78="","",IF(INDEX('Per Invoice'!$H$2:$H$801,$N78)="","",INDEX('Per Invoice'!$H$2:$H$801,$N78)))</f>
        <v/>
      </c>
      <c r="I78" s="5">
        <f>IF($N78="","",IF(INDEX('Per Invoice'!$I$2:$I$801,$N78)="","",INDEX('Per Invoice'!$I$2:$I$801,$N78)))</f>
        <v/>
      </c>
      <c r="J78" s="5">
        <f>IF($N78="","",IF(INDEX('Per Invoice'!$J$2:$J$801,$N78)="","",INDEX('Per Invoice'!$J$2:$J$801,$N78)))</f>
        <v/>
      </c>
      <c r="K78" s="5">
        <f>IF($N78="","",IF(INDEX('Per Invoice'!$K$2:$K$801,$N78)="","",INDEX('Per Invoice'!$K$2:$K$801,$N78)))</f>
        <v/>
      </c>
      <c r="L78" s="5">
        <f>IF($N78="","",IF(INDEX('Per Invoice'!$L$2:$L$801,$N78)="","",INDEX('Per Invoice'!$L$2:$L$801,$N78)))</f>
        <v/>
      </c>
      <c r="M78" s="5">
        <f>IF($N78="","",IF(INDEX('Per Invoice'!$M$2:$M$801,$N78)="","",INDEX('Per Invoice'!$M$2:$M$801,$N78)))</f>
        <v/>
      </c>
      <c r="N78">
        <f>IF(ROWS($N$2:$N78)&lt;=COUNT('Per Invoice'!$P$2:$P$801),MATCH(ROWS($N$2:$N78),'Per Invoice'!$P$2:$P$801,0),"")</f>
        <v/>
      </c>
    </row>
    <row r="79">
      <c r="A79">
        <f>IF($N79="","",IF(INDEX('Per Invoice'!$A$2:$A$801,$N79)="","",INDEX('Per Invoice'!$A$2:$A$801,$N79)))</f>
        <v/>
      </c>
      <c r="B79">
        <f>IF($N79="","",IF(INDEX('Per Invoice'!$B$2:$B$801,$N79)="","",INDEX('Per Invoice'!$B$2:$B$801,$N79)))</f>
        <v/>
      </c>
      <c r="C79">
        <f>IF($N79="","",IF(INDEX('Per Invoice'!$C$2:$C$801,$N79)="","",INDEX('Per Invoice'!$C$2:$C$801,$N79)))</f>
        <v/>
      </c>
      <c r="D79">
        <f>IF($N79="","",IF(INDEX('Per Invoice'!$D$2:$D$801,$N79)="","",INDEX('Per Invoice'!$D$2:$D$801,$N79)))</f>
        <v/>
      </c>
      <c r="E79">
        <f>IF($N79="","",IF(INDEX('Per Invoice'!$E$2:$E$801,$N79)="","",INDEX('Per Invoice'!$E$2:$E$801,$N79)))</f>
        <v/>
      </c>
      <c r="F79">
        <f>IF($N79="","",IF(INDEX('Per Invoice'!$F$2:$F$801,$N79)="","",INDEX('Per Invoice'!$F$2:$F$801,$N79)))</f>
        <v/>
      </c>
      <c r="G79">
        <f>IF($N79="","",IF(INDEX('Per Invoice'!$G$2:$G$801,$N79)="","",INDEX('Per Invoice'!$G$2:$G$801,$N79)))</f>
        <v/>
      </c>
      <c r="H79">
        <f>IF($N79="","",IF(INDEX('Per Invoice'!$H$2:$H$801,$N79)="","",INDEX('Per Invoice'!$H$2:$H$801,$N79)))</f>
        <v/>
      </c>
      <c r="I79" s="5">
        <f>IF($N79="","",IF(INDEX('Per Invoice'!$I$2:$I$801,$N79)="","",INDEX('Per Invoice'!$I$2:$I$801,$N79)))</f>
        <v/>
      </c>
      <c r="J79" s="5">
        <f>IF($N79="","",IF(INDEX('Per Invoice'!$J$2:$J$801,$N79)="","",INDEX('Per Invoice'!$J$2:$J$801,$N79)))</f>
        <v/>
      </c>
      <c r="K79" s="5">
        <f>IF($N79="","",IF(INDEX('Per Invoice'!$K$2:$K$801,$N79)="","",INDEX('Per Invoice'!$K$2:$K$801,$N79)))</f>
        <v/>
      </c>
      <c r="L79" s="5">
        <f>IF($N79="","",IF(INDEX('Per Invoice'!$L$2:$L$801,$N79)="","",INDEX('Per Invoice'!$L$2:$L$801,$N79)))</f>
        <v/>
      </c>
      <c r="M79" s="5">
        <f>IF($N79="","",IF(INDEX('Per Invoice'!$M$2:$M$801,$N79)="","",INDEX('Per Invoice'!$M$2:$M$801,$N79)))</f>
        <v/>
      </c>
      <c r="N79">
        <f>IF(ROWS($N$2:$N79)&lt;=COUNT('Per Invoice'!$P$2:$P$801),MATCH(ROWS($N$2:$N79),'Per Invoice'!$P$2:$P$801,0),"")</f>
        <v/>
      </c>
    </row>
    <row r="80">
      <c r="A80">
        <f>IF($N80="","",IF(INDEX('Per Invoice'!$A$2:$A$801,$N80)="","",INDEX('Per Invoice'!$A$2:$A$801,$N80)))</f>
        <v/>
      </c>
      <c r="B80">
        <f>IF($N80="","",IF(INDEX('Per Invoice'!$B$2:$B$801,$N80)="","",INDEX('Per Invoice'!$B$2:$B$801,$N80)))</f>
        <v/>
      </c>
      <c r="C80">
        <f>IF($N80="","",IF(INDEX('Per Invoice'!$C$2:$C$801,$N80)="","",INDEX('Per Invoice'!$C$2:$C$801,$N80)))</f>
        <v/>
      </c>
      <c r="D80">
        <f>IF($N80="","",IF(INDEX('Per Invoice'!$D$2:$D$801,$N80)="","",INDEX('Per Invoice'!$D$2:$D$801,$N80)))</f>
        <v/>
      </c>
      <c r="E80">
        <f>IF($N80="","",IF(INDEX('Per Invoice'!$E$2:$E$801,$N80)="","",INDEX('Per Invoice'!$E$2:$E$801,$N80)))</f>
        <v/>
      </c>
      <c r="F80">
        <f>IF($N80="","",IF(INDEX('Per Invoice'!$F$2:$F$801,$N80)="","",INDEX('Per Invoice'!$F$2:$F$801,$N80)))</f>
        <v/>
      </c>
      <c r="G80">
        <f>IF($N80="","",IF(INDEX('Per Invoice'!$G$2:$G$801,$N80)="","",INDEX('Per Invoice'!$G$2:$G$801,$N80)))</f>
        <v/>
      </c>
      <c r="H80">
        <f>IF($N80="","",IF(INDEX('Per Invoice'!$H$2:$H$801,$N80)="","",INDEX('Per Invoice'!$H$2:$H$801,$N80)))</f>
        <v/>
      </c>
      <c r="I80" s="5">
        <f>IF($N80="","",IF(INDEX('Per Invoice'!$I$2:$I$801,$N80)="","",INDEX('Per Invoice'!$I$2:$I$801,$N80)))</f>
        <v/>
      </c>
      <c r="J80" s="5">
        <f>IF($N80="","",IF(INDEX('Per Invoice'!$J$2:$J$801,$N80)="","",INDEX('Per Invoice'!$J$2:$J$801,$N80)))</f>
        <v/>
      </c>
      <c r="K80" s="5">
        <f>IF($N80="","",IF(INDEX('Per Invoice'!$K$2:$K$801,$N80)="","",INDEX('Per Invoice'!$K$2:$K$801,$N80)))</f>
        <v/>
      </c>
      <c r="L80" s="5">
        <f>IF($N80="","",IF(INDEX('Per Invoice'!$L$2:$L$801,$N80)="","",INDEX('Per Invoice'!$L$2:$L$801,$N80)))</f>
        <v/>
      </c>
      <c r="M80" s="5">
        <f>IF($N80="","",IF(INDEX('Per Invoice'!$M$2:$M$801,$N80)="","",INDEX('Per Invoice'!$M$2:$M$801,$N80)))</f>
        <v/>
      </c>
      <c r="N80">
        <f>IF(ROWS($N$2:$N80)&lt;=COUNT('Per Invoice'!$P$2:$P$801),MATCH(ROWS($N$2:$N80),'Per Invoice'!$P$2:$P$801,0),"")</f>
        <v/>
      </c>
    </row>
    <row r="81">
      <c r="A81">
        <f>IF($N81="","",IF(INDEX('Per Invoice'!$A$2:$A$801,$N81)="","",INDEX('Per Invoice'!$A$2:$A$801,$N81)))</f>
        <v/>
      </c>
      <c r="B81">
        <f>IF($N81="","",IF(INDEX('Per Invoice'!$B$2:$B$801,$N81)="","",INDEX('Per Invoice'!$B$2:$B$801,$N81)))</f>
        <v/>
      </c>
      <c r="C81">
        <f>IF($N81="","",IF(INDEX('Per Invoice'!$C$2:$C$801,$N81)="","",INDEX('Per Invoice'!$C$2:$C$801,$N81)))</f>
        <v/>
      </c>
      <c r="D81">
        <f>IF($N81="","",IF(INDEX('Per Invoice'!$D$2:$D$801,$N81)="","",INDEX('Per Invoice'!$D$2:$D$801,$N81)))</f>
        <v/>
      </c>
      <c r="E81">
        <f>IF($N81="","",IF(INDEX('Per Invoice'!$E$2:$E$801,$N81)="","",INDEX('Per Invoice'!$E$2:$E$801,$N81)))</f>
        <v/>
      </c>
      <c r="F81">
        <f>IF($N81="","",IF(INDEX('Per Invoice'!$F$2:$F$801,$N81)="","",INDEX('Per Invoice'!$F$2:$F$801,$N81)))</f>
        <v/>
      </c>
      <c r="G81">
        <f>IF($N81="","",IF(INDEX('Per Invoice'!$G$2:$G$801,$N81)="","",INDEX('Per Invoice'!$G$2:$G$801,$N81)))</f>
        <v/>
      </c>
      <c r="H81">
        <f>IF($N81="","",IF(INDEX('Per Invoice'!$H$2:$H$801,$N81)="","",INDEX('Per Invoice'!$H$2:$H$801,$N81)))</f>
        <v/>
      </c>
      <c r="I81" s="5">
        <f>IF($N81="","",IF(INDEX('Per Invoice'!$I$2:$I$801,$N81)="","",INDEX('Per Invoice'!$I$2:$I$801,$N81)))</f>
        <v/>
      </c>
      <c r="J81" s="5">
        <f>IF($N81="","",IF(INDEX('Per Invoice'!$J$2:$J$801,$N81)="","",INDEX('Per Invoice'!$J$2:$J$801,$N81)))</f>
        <v/>
      </c>
      <c r="K81" s="5">
        <f>IF($N81="","",IF(INDEX('Per Invoice'!$K$2:$K$801,$N81)="","",INDEX('Per Invoice'!$K$2:$K$801,$N81)))</f>
        <v/>
      </c>
      <c r="L81" s="5">
        <f>IF($N81="","",IF(INDEX('Per Invoice'!$L$2:$L$801,$N81)="","",INDEX('Per Invoice'!$L$2:$L$801,$N81)))</f>
        <v/>
      </c>
      <c r="M81" s="5">
        <f>IF($N81="","",IF(INDEX('Per Invoice'!$M$2:$M$801,$N81)="","",INDEX('Per Invoice'!$M$2:$M$801,$N81)))</f>
        <v/>
      </c>
      <c r="N81">
        <f>IF(ROWS($N$2:$N81)&lt;=COUNT('Per Invoice'!$P$2:$P$801),MATCH(ROWS($N$2:$N81),'Per Invoice'!$P$2:$P$801,0),"")</f>
        <v/>
      </c>
    </row>
    <row r="82">
      <c r="A82">
        <f>IF($N82="","",IF(INDEX('Per Invoice'!$A$2:$A$801,$N82)="","",INDEX('Per Invoice'!$A$2:$A$801,$N82)))</f>
        <v/>
      </c>
      <c r="B82">
        <f>IF($N82="","",IF(INDEX('Per Invoice'!$B$2:$B$801,$N82)="","",INDEX('Per Invoice'!$B$2:$B$801,$N82)))</f>
        <v/>
      </c>
      <c r="C82">
        <f>IF($N82="","",IF(INDEX('Per Invoice'!$C$2:$C$801,$N82)="","",INDEX('Per Invoice'!$C$2:$C$801,$N82)))</f>
        <v/>
      </c>
      <c r="D82">
        <f>IF($N82="","",IF(INDEX('Per Invoice'!$D$2:$D$801,$N82)="","",INDEX('Per Invoice'!$D$2:$D$801,$N82)))</f>
        <v/>
      </c>
      <c r="E82">
        <f>IF($N82="","",IF(INDEX('Per Invoice'!$E$2:$E$801,$N82)="","",INDEX('Per Invoice'!$E$2:$E$801,$N82)))</f>
        <v/>
      </c>
      <c r="F82">
        <f>IF($N82="","",IF(INDEX('Per Invoice'!$F$2:$F$801,$N82)="","",INDEX('Per Invoice'!$F$2:$F$801,$N82)))</f>
        <v/>
      </c>
      <c r="G82">
        <f>IF($N82="","",IF(INDEX('Per Invoice'!$G$2:$G$801,$N82)="","",INDEX('Per Invoice'!$G$2:$G$801,$N82)))</f>
        <v/>
      </c>
      <c r="H82">
        <f>IF($N82="","",IF(INDEX('Per Invoice'!$H$2:$H$801,$N82)="","",INDEX('Per Invoice'!$H$2:$H$801,$N82)))</f>
        <v/>
      </c>
      <c r="I82" s="5">
        <f>IF($N82="","",IF(INDEX('Per Invoice'!$I$2:$I$801,$N82)="","",INDEX('Per Invoice'!$I$2:$I$801,$N82)))</f>
        <v/>
      </c>
      <c r="J82" s="5">
        <f>IF($N82="","",IF(INDEX('Per Invoice'!$J$2:$J$801,$N82)="","",INDEX('Per Invoice'!$J$2:$J$801,$N82)))</f>
        <v/>
      </c>
      <c r="K82" s="5">
        <f>IF($N82="","",IF(INDEX('Per Invoice'!$K$2:$K$801,$N82)="","",INDEX('Per Invoice'!$K$2:$K$801,$N82)))</f>
        <v/>
      </c>
      <c r="L82" s="5">
        <f>IF($N82="","",IF(INDEX('Per Invoice'!$L$2:$L$801,$N82)="","",INDEX('Per Invoice'!$L$2:$L$801,$N82)))</f>
        <v/>
      </c>
      <c r="M82" s="5">
        <f>IF($N82="","",IF(INDEX('Per Invoice'!$M$2:$M$801,$N82)="","",INDEX('Per Invoice'!$M$2:$M$801,$N82)))</f>
        <v/>
      </c>
      <c r="N82">
        <f>IF(ROWS($N$2:$N82)&lt;=COUNT('Per Invoice'!$P$2:$P$801),MATCH(ROWS($N$2:$N82),'Per Invoice'!$P$2:$P$801,0),"")</f>
        <v/>
      </c>
    </row>
    <row r="83">
      <c r="A83">
        <f>IF($N83="","",IF(INDEX('Per Invoice'!$A$2:$A$801,$N83)="","",INDEX('Per Invoice'!$A$2:$A$801,$N83)))</f>
        <v/>
      </c>
      <c r="B83">
        <f>IF($N83="","",IF(INDEX('Per Invoice'!$B$2:$B$801,$N83)="","",INDEX('Per Invoice'!$B$2:$B$801,$N83)))</f>
        <v/>
      </c>
      <c r="C83">
        <f>IF($N83="","",IF(INDEX('Per Invoice'!$C$2:$C$801,$N83)="","",INDEX('Per Invoice'!$C$2:$C$801,$N83)))</f>
        <v/>
      </c>
      <c r="D83">
        <f>IF($N83="","",IF(INDEX('Per Invoice'!$D$2:$D$801,$N83)="","",INDEX('Per Invoice'!$D$2:$D$801,$N83)))</f>
        <v/>
      </c>
      <c r="E83">
        <f>IF($N83="","",IF(INDEX('Per Invoice'!$E$2:$E$801,$N83)="","",INDEX('Per Invoice'!$E$2:$E$801,$N83)))</f>
        <v/>
      </c>
      <c r="F83">
        <f>IF($N83="","",IF(INDEX('Per Invoice'!$F$2:$F$801,$N83)="","",INDEX('Per Invoice'!$F$2:$F$801,$N83)))</f>
        <v/>
      </c>
      <c r="G83">
        <f>IF($N83="","",IF(INDEX('Per Invoice'!$G$2:$G$801,$N83)="","",INDEX('Per Invoice'!$G$2:$G$801,$N83)))</f>
        <v/>
      </c>
      <c r="H83">
        <f>IF($N83="","",IF(INDEX('Per Invoice'!$H$2:$H$801,$N83)="","",INDEX('Per Invoice'!$H$2:$H$801,$N83)))</f>
        <v/>
      </c>
      <c r="I83" s="5">
        <f>IF($N83="","",IF(INDEX('Per Invoice'!$I$2:$I$801,$N83)="","",INDEX('Per Invoice'!$I$2:$I$801,$N83)))</f>
        <v/>
      </c>
      <c r="J83" s="5">
        <f>IF($N83="","",IF(INDEX('Per Invoice'!$J$2:$J$801,$N83)="","",INDEX('Per Invoice'!$J$2:$J$801,$N83)))</f>
        <v/>
      </c>
      <c r="K83" s="5">
        <f>IF($N83="","",IF(INDEX('Per Invoice'!$K$2:$K$801,$N83)="","",INDEX('Per Invoice'!$K$2:$K$801,$N83)))</f>
        <v/>
      </c>
      <c r="L83" s="5">
        <f>IF($N83="","",IF(INDEX('Per Invoice'!$L$2:$L$801,$N83)="","",INDEX('Per Invoice'!$L$2:$L$801,$N83)))</f>
        <v/>
      </c>
      <c r="M83" s="5">
        <f>IF($N83="","",IF(INDEX('Per Invoice'!$M$2:$M$801,$N83)="","",INDEX('Per Invoice'!$M$2:$M$801,$N83)))</f>
        <v/>
      </c>
      <c r="N83">
        <f>IF(ROWS($N$2:$N83)&lt;=COUNT('Per Invoice'!$P$2:$P$801),MATCH(ROWS($N$2:$N83),'Per Invoice'!$P$2:$P$801,0),"")</f>
        <v/>
      </c>
    </row>
    <row r="84">
      <c r="A84">
        <f>IF($N84="","",IF(INDEX('Per Invoice'!$A$2:$A$801,$N84)="","",INDEX('Per Invoice'!$A$2:$A$801,$N84)))</f>
        <v/>
      </c>
      <c r="B84">
        <f>IF($N84="","",IF(INDEX('Per Invoice'!$B$2:$B$801,$N84)="","",INDEX('Per Invoice'!$B$2:$B$801,$N84)))</f>
        <v/>
      </c>
      <c r="C84">
        <f>IF($N84="","",IF(INDEX('Per Invoice'!$C$2:$C$801,$N84)="","",INDEX('Per Invoice'!$C$2:$C$801,$N84)))</f>
        <v/>
      </c>
      <c r="D84">
        <f>IF($N84="","",IF(INDEX('Per Invoice'!$D$2:$D$801,$N84)="","",INDEX('Per Invoice'!$D$2:$D$801,$N84)))</f>
        <v/>
      </c>
      <c r="E84">
        <f>IF($N84="","",IF(INDEX('Per Invoice'!$E$2:$E$801,$N84)="","",INDEX('Per Invoice'!$E$2:$E$801,$N84)))</f>
        <v/>
      </c>
      <c r="F84">
        <f>IF($N84="","",IF(INDEX('Per Invoice'!$F$2:$F$801,$N84)="","",INDEX('Per Invoice'!$F$2:$F$801,$N84)))</f>
        <v/>
      </c>
      <c r="G84">
        <f>IF($N84="","",IF(INDEX('Per Invoice'!$G$2:$G$801,$N84)="","",INDEX('Per Invoice'!$G$2:$G$801,$N84)))</f>
        <v/>
      </c>
      <c r="H84">
        <f>IF($N84="","",IF(INDEX('Per Invoice'!$H$2:$H$801,$N84)="","",INDEX('Per Invoice'!$H$2:$H$801,$N84)))</f>
        <v/>
      </c>
      <c r="I84" s="5">
        <f>IF($N84="","",IF(INDEX('Per Invoice'!$I$2:$I$801,$N84)="","",INDEX('Per Invoice'!$I$2:$I$801,$N84)))</f>
        <v/>
      </c>
      <c r="J84" s="5">
        <f>IF($N84="","",IF(INDEX('Per Invoice'!$J$2:$J$801,$N84)="","",INDEX('Per Invoice'!$J$2:$J$801,$N84)))</f>
        <v/>
      </c>
      <c r="K84" s="5">
        <f>IF($N84="","",IF(INDEX('Per Invoice'!$K$2:$K$801,$N84)="","",INDEX('Per Invoice'!$K$2:$K$801,$N84)))</f>
        <v/>
      </c>
      <c r="L84" s="5">
        <f>IF($N84="","",IF(INDEX('Per Invoice'!$L$2:$L$801,$N84)="","",INDEX('Per Invoice'!$L$2:$L$801,$N84)))</f>
        <v/>
      </c>
      <c r="M84" s="5">
        <f>IF($N84="","",IF(INDEX('Per Invoice'!$M$2:$M$801,$N84)="","",INDEX('Per Invoice'!$M$2:$M$801,$N84)))</f>
        <v/>
      </c>
      <c r="N84">
        <f>IF(ROWS($N$2:$N84)&lt;=COUNT('Per Invoice'!$P$2:$P$801),MATCH(ROWS($N$2:$N84),'Per Invoice'!$P$2:$P$801,0),"")</f>
        <v/>
      </c>
    </row>
    <row r="85">
      <c r="A85">
        <f>IF($N85="","",IF(INDEX('Per Invoice'!$A$2:$A$801,$N85)="","",INDEX('Per Invoice'!$A$2:$A$801,$N85)))</f>
        <v/>
      </c>
      <c r="B85">
        <f>IF($N85="","",IF(INDEX('Per Invoice'!$B$2:$B$801,$N85)="","",INDEX('Per Invoice'!$B$2:$B$801,$N85)))</f>
        <v/>
      </c>
      <c r="C85">
        <f>IF($N85="","",IF(INDEX('Per Invoice'!$C$2:$C$801,$N85)="","",INDEX('Per Invoice'!$C$2:$C$801,$N85)))</f>
        <v/>
      </c>
      <c r="D85">
        <f>IF($N85="","",IF(INDEX('Per Invoice'!$D$2:$D$801,$N85)="","",INDEX('Per Invoice'!$D$2:$D$801,$N85)))</f>
        <v/>
      </c>
      <c r="E85">
        <f>IF($N85="","",IF(INDEX('Per Invoice'!$E$2:$E$801,$N85)="","",INDEX('Per Invoice'!$E$2:$E$801,$N85)))</f>
        <v/>
      </c>
      <c r="F85">
        <f>IF($N85="","",IF(INDEX('Per Invoice'!$F$2:$F$801,$N85)="","",INDEX('Per Invoice'!$F$2:$F$801,$N85)))</f>
        <v/>
      </c>
      <c r="G85">
        <f>IF($N85="","",IF(INDEX('Per Invoice'!$G$2:$G$801,$N85)="","",INDEX('Per Invoice'!$G$2:$G$801,$N85)))</f>
        <v/>
      </c>
      <c r="H85">
        <f>IF($N85="","",IF(INDEX('Per Invoice'!$H$2:$H$801,$N85)="","",INDEX('Per Invoice'!$H$2:$H$801,$N85)))</f>
        <v/>
      </c>
      <c r="I85" s="5">
        <f>IF($N85="","",IF(INDEX('Per Invoice'!$I$2:$I$801,$N85)="","",INDEX('Per Invoice'!$I$2:$I$801,$N85)))</f>
        <v/>
      </c>
      <c r="J85" s="5">
        <f>IF($N85="","",IF(INDEX('Per Invoice'!$J$2:$J$801,$N85)="","",INDEX('Per Invoice'!$J$2:$J$801,$N85)))</f>
        <v/>
      </c>
      <c r="K85" s="5">
        <f>IF($N85="","",IF(INDEX('Per Invoice'!$K$2:$K$801,$N85)="","",INDEX('Per Invoice'!$K$2:$K$801,$N85)))</f>
        <v/>
      </c>
      <c r="L85" s="5">
        <f>IF($N85="","",IF(INDEX('Per Invoice'!$L$2:$L$801,$N85)="","",INDEX('Per Invoice'!$L$2:$L$801,$N85)))</f>
        <v/>
      </c>
      <c r="M85" s="5">
        <f>IF($N85="","",IF(INDEX('Per Invoice'!$M$2:$M$801,$N85)="","",INDEX('Per Invoice'!$M$2:$M$801,$N85)))</f>
        <v/>
      </c>
      <c r="N85">
        <f>IF(ROWS($N$2:$N85)&lt;=COUNT('Per Invoice'!$P$2:$P$801),MATCH(ROWS($N$2:$N85),'Per Invoice'!$P$2:$P$801,0),"")</f>
        <v/>
      </c>
    </row>
    <row r="86">
      <c r="A86">
        <f>IF($N86="","",IF(INDEX('Per Invoice'!$A$2:$A$801,$N86)="","",INDEX('Per Invoice'!$A$2:$A$801,$N86)))</f>
        <v/>
      </c>
      <c r="B86">
        <f>IF($N86="","",IF(INDEX('Per Invoice'!$B$2:$B$801,$N86)="","",INDEX('Per Invoice'!$B$2:$B$801,$N86)))</f>
        <v/>
      </c>
      <c r="C86">
        <f>IF($N86="","",IF(INDEX('Per Invoice'!$C$2:$C$801,$N86)="","",INDEX('Per Invoice'!$C$2:$C$801,$N86)))</f>
        <v/>
      </c>
      <c r="D86">
        <f>IF($N86="","",IF(INDEX('Per Invoice'!$D$2:$D$801,$N86)="","",INDEX('Per Invoice'!$D$2:$D$801,$N86)))</f>
        <v/>
      </c>
      <c r="E86">
        <f>IF($N86="","",IF(INDEX('Per Invoice'!$E$2:$E$801,$N86)="","",INDEX('Per Invoice'!$E$2:$E$801,$N86)))</f>
        <v/>
      </c>
      <c r="F86">
        <f>IF($N86="","",IF(INDEX('Per Invoice'!$F$2:$F$801,$N86)="","",INDEX('Per Invoice'!$F$2:$F$801,$N86)))</f>
        <v/>
      </c>
      <c r="G86">
        <f>IF($N86="","",IF(INDEX('Per Invoice'!$G$2:$G$801,$N86)="","",INDEX('Per Invoice'!$G$2:$G$801,$N86)))</f>
        <v/>
      </c>
      <c r="H86">
        <f>IF($N86="","",IF(INDEX('Per Invoice'!$H$2:$H$801,$N86)="","",INDEX('Per Invoice'!$H$2:$H$801,$N86)))</f>
        <v/>
      </c>
      <c r="I86" s="5">
        <f>IF($N86="","",IF(INDEX('Per Invoice'!$I$2:$I$801,$N86)="","",INDEX('Per Invoice'!$I$2:$I$801,$N86)))</f>
        <v/>
      </c>
      <c r="J86" s="5">
        <f>IF($N86="","",IF(INDEX('Per Invoice'!$J$2:$J$801,$N86)="","",INDEX('Per Invoice'!$J$2:$J$801,$N86)))</f>
        <v/>
      </c>
      <c r="K86" s="5">
        <f>IF($N86="","",IF(INDEX('Per Invoice'!$K$2:$K$801,$N86)="","",INDEX('Per Invoice'!$K$2:$K$801,$N86)))</f>
        <v/>
      </c>
      <c r="L86" s="5">
        <f>IF($N86="","",IF(INDEX('Per Invoice'!$L$2:$L$801,$N86)="","",INDEX('Per Invoice'!$L$2:$L$801,$N86)))</f>
        <v/>
      </c>
      <c r="M86" s="5">
        <f>IF($N86="","",IF(INDEX('Per Invoice'!$M$2:$M$801,$N86)="","",INDEX('Per Invoice'!$M$2:$M$801,$N86)))</f>
        <v/>
      </c>
      <c r="N86">
        <f>IF(ROWS($N$2:$N86)&lt;=COUNT('Per Invoice'!$P$2:$P$801),MATCH(ROWS($N$2:$N86),'Per Invoice'!$P$2:$P$801,0),"")</f>
        <v/>
      </c>
    </row>
    <row r="87">
      <c r="A87">
        <f>IF($N87="","",IF(INDEX('Per Invoice'!$A$2:$A$801,$N87)="","",INDEX('Per Invoice'!$A$2:$A$801,$N87)))</f>
        <v/>
      </c>
      <c r="B87">
        <f>IF($N87="","",IF(INDEX('Per Invoice'!$B$2:$B$801,$N87)="","",INDEX('Per Invoice'!$B$2:$B$801,$N87)))</f>
        <v/>
      </c>
      <c r="C87">
        <f>IF($N87="","",IF(INDEX('Per Invoice'!$C$2:$C$801,$N87)="","",INDEX('Per Invoice'!$C$2:$C$801,$N87)))</f>
        <v/>
      </c>
      <c r="D87">
        <f>IF($N87="","",IF(INDEX('Per Invoice'!$D$2:$D$801,$N87)="","",INDEX('Per Invoice'!$D$2:$D$801,$N87)))</f>
        <v/>
      </c>
      <c r="E87">
        <f>IF($N87="","",IF(INDEX('Per Invoice'!$E$2:$E$801,$N87)="","",INDEX('Per Invoice'!$E$2:$E$801,$N87)))</f>
        <v/>
      </c>
      <c r="F87">
        <f>IF($N87="","",IF(INDEX('Per Invoice'!$F$2:$F$801,$N87)="","",INDEX('Per Invoice'!$F$2:$F$801,$N87)))</f>
        <v/>
      </c>
      <c r="G87">
        <f>IF($N87="","",IF(INDEX('Per Invoice'!$G$2:$G$801,$N87)="","",INDEX('Per Invoice'!$G$2:$G$801,$N87)))</f>
        <v/>
      </c>
      <c r="H87">
        <f>IF($N87="","",IF(INDEX('Per Invoice'!$H$2:$H$801,$N87)="","",INDEX('Per Invoice'!$H$2:$H$801,$N87)))</f>
        <v/>
      </c>
      <c r="I87" s="5">
        <f>IF($N87="","",IF(INDEX('Per Invoice'!$I$2:$I$801,$N87)="","",INDEX('Per Invoice'!$I$2:$I$801,$N87)))</f>
        <v/>
      </c>
      <c r="J87" s="5">
        <f>IF($N87="","",IF(INDEX('Per Invoice'!$J$2:$J$801,$N87)="","",INDEX('Per Invoice'!$J$2:$J$801,$N87)))</f>
        <v/>
      </c>
      <c r="K87" s="5">
        <f>IF($N87="","",IF(INDEX('Per Invoice'!$K$2:$K$801,$N87)="","",INDEX('Per Invoice'!$K$2:$K$801,$N87)))</f>
        <v/>
      </c>
      <c r="L87" s="5">
        <f>IF($N87="","",IF(INDEX('Per Invoice'!$L$2:$L$801,$N87)="","",INDEX('Per Invoice'!$L$2:$L$801,$N87)))</f>
        <v/>
      </c>
      <c r="M87" s="5">
        <f>IF($N87="","",IF(INDEX('Per Invoice'!$M$2:$M$801,$N87)="","",INDEX('Per Invoice'!$M$2:$M$801,$N87)))</f>
        <v/>
      </c>
      <c r="N87">
        <f>IF(ROWS($N$2:$N87)&lt;=COUNT('Per Invoice'!$P$2:$P$801),MATCH(ROWS($N$2:$N87),'Per Invoice'!$P$2:$P$801,0),"")</f>
        <v/>
      </c>
    </row>
    <row r="88">
      <c r="A88">
        <f>IF($N88="","",IF(INDEX('Per Invoice'!$A$2:$A$801,$N88)="","",INDEX('Per Invoice'!$A$2:$A$801,$N88)))</f>
        <v/>
      </c>
      <c r="B88">
        <f>IF($N88="","",IF(INDEX('Per Invoice'!$B$2:$B$801,$N88)="","",INDEX('Per Invoice'!$B$2:$B$801,$N88)))</f>
        <v/>
      </c>
      <c r="C88">
        <f>IF($N88="","",IF(INDEX('Per Invoice'!$C$2:$C$801,$N88)="","",INDEX('Per Invoice'!$C$2:$C$801,$N88)))</f>
        <v/>
      </c>
      <c r="D88">
        <f>IF($N88="","",IF(INDEX('Per Invoice'!$D$2:$D$801,$N88)="","",INDEX('Per Invoice'!$D$2:$D$801,$N88)))</f>
        <v/>
      </c>
      <c r="E88">
        <f>IF($N88="","",IF(INDEX('Per Invoice'!$E$2:$E$801,$N88)="","",INDEX('Per Invoice'!$E$2:$E$801,$N88)))</f>
        <v/>
      </c>
      <c r="F88">
        <f>IF($N88="","",IF(INDEX('Per Invoice'!$F$2:$F$801,$N88)="","",INDEX('Per Invoice'!$F$2:$F$801,$N88)))</f>
        <v/>
      </c>
      <c r="G88">
        <f>IF($N88="","",IF(INDEX('Per Invoice'!$G$2:$G$801,$N88)="","",INDEX('Per Invoice'!$G$2:$G$801,$N88)))</f>
        <v/>
      </c>
      <c r="H88">
        <f>IF($N88="","",IF(INDEX('Per Invoice'!$H$2:$H$801,$N88)="","",INDEX('Per Invoice'!$H$2:$H$801,$N88)))</f>
        <v/>
      </c>
      <c r="I88" s="5">
        <f>IF($N88="","",IF(INDEX('Per Invoice'!$I$2:$I$801,$N88)="","",INDEX('Per Invoice'!$I$2:$I$801,$N88)))</f>
        <v/>
      </c>
      <c r="J88" s="5">
        <f>IF($N88="","",IF(INDEX('Per Invoice'!$J$2:$J$801,$N88)="","",INDEX('Per Invoice'!$J$2:$J$801,$N88)))</f>
        <v/>
      </c>
      <c r="K88" s="5">
        <f>IF($N88="","",IF(INDEX('Per Invoice'!$K$2:$K$801,$N88)="","",INDEX('Per Invoice'!$K$2:$K$801,$N88)))</f>
        <v/>
      </c>
      <c r="L88" s="5">
        <f>IF($N88="","",IF(INDEX('Per Invoice'!$L$2:$L$801,$N88)="","",INDEX('Per Invoice'!$L$2:$L$801,$N88)))</f>
        <v/>
      </c>
      <c r="M88" s="5">
        <f>IF($N88="","",IF(INDEX('Per Invoice'!$M$2:$M$801,$N88)="","",INDEX('Per Invoice'!$M$2:$M$801,$N88)))</f>
        <v/>
      </c>
      <c r="N88">
        <f>IF(ROWS($N$2:$N88)&lt;=COUNT('Per Invoice'!$P$2:$P$801),MATCH(ROWS($N$2:$N88),'Per Invoice'!$P$2:$P$801,0),"")</f>
        <v/>
      </c>
    </row>
    <row r="89">
      <c r="A89">
        <f>IF($N89="","",IF(INDEX('Per Invoice'!$A$2:$A$801,$N89)="","",INDEX('Per Invoice'!$A$2:$A$801,$N89)))</f>
        <v/>
      </c>
      <c r="B89">
        <f>IF($N89="","",IF(INDEX('Per Invoice'!$B$2:$B$801,$N89)="","",INDEX('Per Invoice'!$B$2:$B$801,$N89)))</f>
        <v/>
      </c>
      <c r="C89">
        <f>IF($N89="","",IF(INDEX('Per Invoice'!$C$2:$C$801,$N89)="","",INDEX('Per Invoice'!$C$2:$C$801,$N89)))</f>
        <v/>
      </c>
      <c r="D89">
        <f>IF($N89="","",IF(INDEX('Per Invoice'!$D$2:$D$801,$N89)="","",INDEX('Per Invoice'!$D$2:$D$801,$N89)))</f>
        <v/>
      </c>
      <c r="E89">
        <f>IF($N89="","",IF(INDEX('Per Invoice'!$E$2:$E$801,$N89)="","",INDEX('Per Invoice'!$E$2:$E$801,$N89)))</f>
        <v/>
      </c>
      <c r="F89">
        <f>IF($N89="","",IF(INDEX('Per Invoice'!$F$2:$F$801,$N89)="","",INDEX('Per Invoice'!$F$2:$F$801,$N89)))</f>
        <v/>
      </c>
      <c r="G89">
        <f>IF($N89="","",IF(INDEX('Per Invoice'!$G$2:$G$801,$N89)="","",INDEX('Per Invoice'!$G$2:$G$801,$N89)))</f>
        <v/>
      </c>
      <c r="H89">
        <f>IF($N89="","",IF(INDEX('Per Invoice'!$H$2:$H$801,$N89)="","",INDEX('Per Invoice'!$H$2:$H$801,$N89)))</f>
        <v/>
      </c>
      <c r="I89" s="5">
        <f>IF($N89="","",IF(INDEX('Per Invoice'!$I$2:$I$801,$N89)="","",INDEX('Per Invoice'!$I$2:$I$801,$N89)))</f>
        <v/>
      </c>
      <c r="J89" s="5">
        <f>IF($N89="","",IF(INDEX('Per Invoice'!$J$2:$J$801,$N89)="","",INDEX('Per Invoice'!$J$2:$J$801,$N89)))</f>
        <v/>
      </c>
      <c r="K89" s="5">
        <f>IF($N89="","",IF(INDEX('Per Invoice'!$K$2:$K$801,$N89)="","",INDEX('Per Invoice'!$K$2:$K$801,$N89)))</f>
        <v/>
      </c>
      <c r="L89" s="5">
        <f>IF($N89="","",IF(INDEX('Per Invoice'!$L$2:$L$801,$N89)="","",INDEX('Per Invoice'!$L$2:$L$801,$N89)))</f>
        <v/>
      </c>
      <c r="M89" s="5">
        <f>IF($N89="","",IF(INDEX('Per Invoice'!$M$2:$M$801,$N89)="","",INDEX('Per Invoice'!$M$2:$M$801,$N89)))</f>
        <v/>
      </c>
      <c r="N89">
        <f>IF(ROWS($N$2:$N89)&lt;=COUNT('Per Invoice'!$P$2:$P$801),MATCH(ROWS($N$2:$N89),'Per Invoice'!$P$2:$P$801,0),"")</f>
        <v/>
      </c>
    </row>
    <row r="90">
      <c r="A90">
        <f>IF($N90="","",IF(INDEX('Per Invoice'!$A$2:$A$801,$N90)="","",INDEX('Per Invoice'!$A$2:$A$801,$N90)))</f>
        <v/>
      </c>
      <c r="B90">
        <f>IF($N90="","",IF(INDEX('Per Invoice'!$B$2:$B$801,$N90)="","",INDEX('Per Invoice'!$B$2:$B$801,$N90)))</f>
        <v/>
      </c>
      <c r="C90">
        <f>IF($N90="","",IF(INDEX('Per Invoice'!$C$2:$C$801,$N90)="","",INDEX('Per Invoice'!$C$2:$C$801,$N90)))</f>
        <v/>
      </c>
      <c r="D90">
        <f>IF($N90="","",IF(INDEX('Per Invoice'!$D$2:$D$801,$N90)="","",INDEX('Per Invoice'!$D$2:$D$801,$N90)))</f>
        <v/>
      </c>
      <c r="E90">
        <f>IF($N90="","",IF(INDEX('Per Invoice'!$E$2:$E$801,$N90)="","",INDEX('Per Invoice'!$E$2:$E$801,$N90)))</f>
        <v/>
      </c>
      <c r="F90">
        <f>IF($N90="","",IF(INDEX('Per Invoice'!$F$2:$F$801,$N90)="","",INDEX('Per Invoice'!$F$2:$F$801,$N90)))</f>
        <v/>
      </c>
      <c r="G90">
        <f>IF($N90="","",IF(INDEX('Per Invoice'!$G$2:$G$801,$N90)="","",INDEX('Per Invoice'!$G$2:$G$801,$N90)))</f>
        <v/>
      </c>
      <c r="H90">
        <f>IF($N90="","",IF(INDEX('Per Invoice'!$H$2:$H$801,$N90)="","",INDEX('Per Invoice'!$H$2:$H$801,$N90)))</f>
        <v/>
      </c>
      <c r="I90" s="5">
        <f>IF($N90="","",IF(INDEX('Per Invoice'!$I$2:$I$801,$N90)="","",INDEX('Per Invoice'!$I$2:$I$801,$N90)))</f>
        <v/>
      </c>
      <c r="J90" s="5">
        <f>IF($N90="","",IF(INDEX('Per Invoice'!$J$2:$J$801,$N90)="","",INDEX('Per Invoice'!$J$2:$J$801,$N90)))</f>
        <v/>
      </c>
      <c r="K90" s="5">
        <f>IF($N90="","",IF(INDEX('Per Invoice'!$K$2:$K$801,$N90)="","",INDEX('Per Invoice'!$K$2:$K$801,$N90)))</f>
        <v/>
      </c>
      <c r="L90" s="5">
        <f>IF($N90="","",IF(INDEX('Per Invoice'!$L$2:$L$801,$N90)="","",INDEX('Per Invoice'!$L$2:$L$801,$N90)))</f>
        <v/>
      </c>
      <c r="M90" s="5">
        <f>IF($N90="","",IF(INDEX('Per Invoice'!$M$2:$M$801,$N90)="","",INDEX('Per Invoice'!$M$2:$M$801,$N90)))</f>
        <v/>
      </c>
      <c r="N90">
        <f>IF(ROWS($N$2:$N90)&lt;=COUNT('Per Invoice'!$P$2:$P$801),MATCH(ROWS($N$2:$N90),'Per Invoice'!$P$2:$P$801,0),"")</f>
        <v/>
      </c>
    </row>
    <row r="91">
      <c r="A91">
        <f>IF($N91="","",IF(INDEX('Per Invoice'!$A$2:$A$801,$N91)="","",INDEX('Per Invoice'!$A$2:$A$801,$N91)))</f>
        <v/>
      </c>
      <c r="B91">
        <f>IF($N91="","",IF(INDEX('Per Invoice'!$B$2:$B$801,$N91)="","",INDEX('Per Invoice'!$B$2:$B$801,$N91)))</f>
        <v/>
      </c>
      <c r="C91">
        <f>IF($N91="","",IF(INDEX('Per Invoice'!$C$2:$C$801,$N91)="","",INDEX('Per Invoice'!$C$2:$C$801,$N91)))</f>
        <v/>
      </c>
      <c r="D91">
        <f>IF($N91="","",IF(INDEX('Per Invoice'!$D$2:$D$801,$N91)="","",INDEX('Per Invoice'!$D$2:$D$801,$N91)))</f>
        <v/>
      </c>
      <c r="E91">
        <f>IF($N91="","",IF(INDEX('Per Invoice'!$E$2:$E$801,$N91)="","",INDEX('Per Invoice'!$E$2:$E$801,$N91)))</f>
        <v/>
      </c>
      <c r="F91">
        <f>IF($N91="","",IF(INDEX('Per Invoice'!$F$2:$F$801,$N91)="","",INDEX('Per Invoice'!$F$2:$F$801,$N91)))</f>
        <v/>
      </c>
      <c r="G91">
        <f>IF($N91="","",IF(INDEX('Per Invoice'!$G$2:$G$801,$N91)="","",INDEX('Per Invoice'!$G$2:$G$801,$N91)))</f>
        <v/>
      </c>
      <c r="H91">
        <f>IF($N91="","",IF(INDEX('Per Invoice'!$H$2:$H$801,$N91)="","",INDEX('Per Invoice'!$H$2:$H$801,$N91)))</f>
        <v/>
      </c>
      <c r="I91" s="5">
        <f>IF($N91="","",IF(INDEX('Per Invoice'!$I$2:$I$801,$N91)="","",INDEX('Per Invoice'!$I$2:$I$801,$N91)))</f>
        <v/>
      </c>
      <c r="J91" s="5">
        <f>IF($N91="","",IF(INDEX('Per Invoice'!$J$2:$J$801,$N91)="","",INDEX('Per Invoice'!$J$2:$J$801,$N91)))</f>
        <v/>
      </c>
      <c r="K91" s="5">
        <f>IF($N91="","",IF(INDEX('Per Invoice'!$K$2:$K$801,$N91)="","",INDEX('Per Invoice'!$K$2:$K$801,$N91)))</f>
        <v/>
      </c>
      <c r="L91" s="5">
        <f>IF($N91="","",IF(INDEX('Per Invoice'!$L$2:$L$801,$N91)="","",INDEX('Per Invoice'!$L$2:$L$801,$N91)))</f>
        <v/>
      </c>
      <c r="M91" s="5">
        <f>IF($N91="","",IF(INDEX('Per Invoice'!$M$2:$M$801,$N91)="","",INDEX('Per Invoice'!$M$2:$M$801,$N91)))</f>
        <v/>
      </c>
      <c r="N91">
        <f>IF(ROWS($N$2:$N91)&lt;=COUNT('Per Invoice'!$P$2:$P$801),MATCH(ROWS($N$2:$N91),'Per Invoice'!$P$2:$P$801,0),"")</f>
        <v/>
      </c>
    </row>
    <row r="92">
      <c r="A92">
        <f>IF($N92="","",IF(INDEX('Per Invoice'!$A$2:$A$801,$N92)="","",INDEX('Per Invoice'!$A$2:$A$801,$N92)))</f>
        <v/>
      </c>
      <c r="B92">
        <f>IF($N92="","",IF(INDEX('Per Invoice'!$B$2:$B$801,$N92)="","",INDEX('Per Invoice'!$B$2:$B$801,$N92)))</f>
        <v/>
      </c>
      <c r="C92">
        <f>IF($N92="","",IF(INDEX('Per Invoice'!$C$2:$C$801,$N92)="","",INDEX('Per Invoice'!$C$2:$C$801,$N92)))</f>
        <v/>
      </c>
      <c r="D92">
        <f>IF($N92="","",IF(INDEX('Per Invoice'!$D$2:$D$801,$N92)="","",INDEX('Per Invoice'!$D$2:$D$801,$N92)))</f>
        <v/>
      </c>
      <c r="E92">
        <f>IF($N92="","",IF(INDEX('Per Invoice'!$E$2:$E$801,$N92)="","",INDEX('Per Invoice'!$E$2:$E$801,$N92)))</f>
        <v/>
      </c>
      <c r="F92">
        <f>IF($N92="","",IF(INDEX('Per Invoice'!$F$2:$F$801,$N92)="","",INDEX('Per Invoice'!$F$2:$F$801,$N92)))</f>
        <v/>
      </c>
      <c r="G92">
        <f>IF($N92="","",IF(INDEX('Per Invoice'!$G$2:$G$801,$N92)="","",INDEX('Per Invoice'!$G$2:$G$801,$N92)))</f>
        <v/>
      </c>
      <c r="H92">
        <f>IF($N92="","",IF(INDEX('Per Invoice'!$H$2:$H$801,$N92)="","",INDEX('Per Invoice'!$H$2:$H$801,$N92)))</f>
        <v/>
      </c>
      <c r="I92" s="5">
        <f>IF($N92="","",IF(INDEX('Per Invoice'!$I$2:$I$801,$N92)="","",INDEX('Per Invoice'!$I$2:$I$801,$N92)))</f>
        <v/>
      </c>
      <c r="J92" s="5">
        <f>IF($N92="","",IF(INDEX('Per Invoice'!$J$2:$J$801,$N92)="","",INDEX('Per Invoice'!$J$2:$J$801,$N92)))</f>
        <v/>
      </c>
      <c r="K92" s="5">
        <f>IF($N92="","",IF(INDEX('Per Invoice'!$K$2:$K$801,$N92)="","",INDEX('Per Invoice'!$K$2:$K$801,$N92)))</f>
        <v/>
      </c>
      <c r="L92" s="5">
        <f>IF($N92="","",IF(INDEX('Per Invoice'!$L$2:$L$801,$N92)="","",INDEX('Per Invoice'!$L$2:$L$801,$N92)))</f>
        <v/>
      </c>
      <c r="M92" s="5">
        <f>IF($N92="","",IF(INDEX('Per Invoice'!$M$2:$M$801,$N92)="","",INDEX('Per Invoice'!$M$2:$M$801,$N92)))</f>
        <v/>
      </c>
      <c r="N92">
        <f>IF(ROWS($N$2:$N92)&lt;=COUNT('Per Invoice'!$P$2:$P$801),MATCH(ROWS($N$2:$N92),'Per Invoice'!$P$2:$P$801,0),"")</f>
        <v/>
      </c>
    </row>
    <row r="93">
      <c r="A93">
        <f>IF($N93="","",IF(INDEX('Per Invoice'!$A$2:$A$801,$N93)="","",INDEX('Per Invoice'!$A$2:$A$801,$N93)))</f>
        <v/>
      </c>
      <c r="B93">
        <f>IF($N93="","",IF(INDEX('Per Invoice'!$B$2:$B$801,$N93)="","",INDEX('Per Invoice'!$B$2:$B$801,$N93)))</f>
        <v/>
      </c>
      <c r="C93">
        <f>IF($N93="","",IF(INDEX('Per Invoice'!$C$2:$C$801,$N93)="","",INDEX('Per Invoice'!$C$2:$C$801,$N93)))</f>
        <v/>
      </c>
      <c r="D93">
        <f>IF($N93="","",IF(INDEX('Per Invoice'!$D$2:$D$801,$N93)="","",INDEX('Per Invoice'!$D$2:$D$801,$N93)))</f>
        <v/>
      </c>
      <c r="E93">
        <f>IF($N93="","",IF(INDEX('Per Invoice'!$E$2:$E$801,$N93)="","",INDEX('Per Invoice'!$E$2:$E$801,$N93)))</f>
        <v/>
      </c>
      <c r="F93">
        <f>IF($N93="","",IF(INDEX('Per Invoice'!$F$2:$F$801,$N93)="","",INDEX('Per Invoice'!$F$2:$F$801,$N93)))</f>
        <v/>
      </c>
      <c r="G93">
        <f>IF($N93="","",IF(INDEX('Per Invoice'!$G$2:$G$801,$N93)="","",INDEX('Per Invoice'!$G$2:$G$801,$N93)))</f>
        <v/>
      </c>
      <c r="H93">
        <f>IF($N93="","",IF(INDEX('Per Invoice'!$H$2:$H$801,$N93)="","",INDEX('Per Invoice'!$H$2:$H$801,$N93)))</f>
        <v/>
      </c>
      <c r="I93" s="5">
        <f>IF($N93="","",IF(INDEX('Per Invoice'!$I$2:$I$801,$N93)="","",INDEX('Per Invoice'!$I$2:$I$801,$N93)))</f>
        <v/>
      </c>
      <c r="J93" s="5">
        <f>IF($N93="","",IF(INDEX('Per Invoice'!$J$2:$J$801,$N93)="","",INDEX('Per Invoice'!$J$2:$J$801,$N93)))</f>
        <v/>
      </c>
      <c r="K93" s="5">
        <f>IF($N93="","",IF(INDEX('Per Invoice'!$K$2:$K$801,$N93)="","",INDEX('Per Invoice'!$K$2:$K$801,$N93)))</f>
        <v/>
      </c>
      <c r="L93" s="5">
        <f>IF($N93="","",IF(INDEX('Per Invoice'!$L$2:$L$801,$N93)="","",INDEX('Per Invoice'!$L$2:$L$801,$N93)))</f>
        <v/>
      </c>
      <c r="M93" s="5">
        <f>IF($N93="","",IF(INDEX('Per Invoice'!$M$2:$M$801,$N93)="","",INDEX('Per Invoice'!$M$2:$M$801,$N93)))</f>
        <v/>
      </c>
      <c r="N93">
        <f>IF(ROWS($N$2:$N93)&lt;=COUNT('Per Invoice'!$P$2:$P$801),MATCH(ROWS($N$2:$N93),'Per Invoice'!$P$2:$P$801,0),"")</f>
        <v/>
      </c>
    </row>
    <row r="94">
      <c r="A94">
        <f>IF($N94="","",IF(INDEX('Per Invoice'!$A$2:$A$801,$N94)="","",INDEX('Per Invoice'!$A$2:$A$801,$N94)))</f>
        <v/>
      </c>
      <c r="B94">
        <f>IF($N94="","",IF(INDEX('Per Invoice'!$B$2:$B$801,$N94)="","",INDEX('Per Invoice'!$B$2:$B$801,$N94)))</f>
        <v/>
      </c>
      <c r="C94">
        <f>IF($N94="","",IF(INDEX('Per Invoice'!$C$2:$C$801,$N94)="","",INDEX('Per Invoice'!$C$2:$C$801,$N94)))</f>
        <v/>
      </c>
      <c r="D94">
        <f>IF($N94="","",IF(INDEX('Per Invoice'!$D$2:$D$801,$N94)="","",INDEX('Per Invoice'!$D$2:$D$801,$N94)))</f>
        <v/>
      </c>
      <c r="E94">
        <f>IF($N94="","",IF(INDEX('Per Invoice'!$E$2:$E$801,$N94)="","",INDEX('Per Invoice'!$E$2:$E$801,$N94)))</f>
        <v/>
      </c>
      <c r="F94">
        <f>IF($N94="","",IF(INDEX('Per Invoice'!$F$2:$F$801,$N94)="","",INDEX('Per Invoice'!$F$2:$F$801,$N94)))</f>
        <v/>
      </c>
      <c r="G94">
        <f>IF($N94="","",IF(INDEX('Per Invoice'!$G$2:$G$801,$N94)="","",INDEX('Per Invoice'!$G$2:$G$801,$N94)))</f>
        <v/>
      </c>
      <c r="H94">
        <f>IF($N94="","",IF(INDEX('Per Invoice'!$H$2:$H$801,$N94)="","",INDEX('Per Invoice'!$H$2:$H$801,$N94)))</f>
        <v/>
      </c>
      <c r="I94" s="5">
        <f>IF($N94="","",IF(INDEX('Per Invoice'!$I$2:$I$801,$N94)="","",INDEX('Per Invoice'!$I$2:$I$801,$N94)))</f>
        <v/>
      </c>
      <c r="J94" s="5">
        <f>IF($N94="","",IF(INDEX('Per Invoice'!$J$2:$J$801,$N94)="","",INDEX('Per Invoice'!$J$2:$J$801,$N94)))</f>
        <v/>
      </c>
      <c r="K94" s="5">
        <f>IF($N94="","",IF(INDEX('Per Invoice'!$K$2:$K$801,$N94)="","",INDEX('Per Invoice'!$K$2:$K$801,$N94)))</f>
        <v/>
      </c>
      <c r="L94" s="5">
        <f>IF($N94="","",IF(INDEX('Per Invoice'!$L$2:$L$801,$N94)="","",INDEX('Per Invoice'!$L$2:$L$801,$N94)))</f>
        <v/>
      </c>
      <c r="M94" s="5">
        <f>IF($N94="","",IF(INDEX('Per Invoice'!$M$2:$M$801,$N94)="","",INDEX('Per Invoice'!$M$2:$M$801,$N94)))</f>
        <v/>
      </c>
      <c r="N94">
        <f>IF(ROWS($N$2:$N94)&lt;=COUNT('Per Invoice'!$P$2:$P$801),MATCH(ROWS($N$2:$N94),'Per Invoice'!$P$2:$P$801,0),"")</f>
        <v/>
      </c>
    </row>
    <row r="95">
      <c r="A95">
        <f>IF($N95="","",IF(INDEX('Per Invoice'!$A$2:$A$801,$N95)="","",INDEX('Per Invoice'!$A$2:$A$801,$N95)))</f>
        <v/>
      </c>
      <c r="B95">
        <f>IF($N95="","",IF(INDEX('Per Invoice'!$B$2:$B$801,$N95)="","",INDEX('Per Invoice'!$B$2:$B$801,$N95)))</f>
        <v/>
      </c>
      <c r="C95">
        <f>IF($N95="","",IF(INDEX('Per Invoice'!$C$2:$C$801,$N95)="","",INDEX('Per Invoice'!$C$2:$C$801,$N95)))</f>
        <v/>
      </c>
      <c r="D95">
        <f>IF($N95="","",IF(INDEX('Per Invoice'!$D$2:$D$801,$N95)="","",INDEX('Per Invoice'!$D$2:$D$801,$N95)))</f>
        <v/>
      </c>
      <c r="E95">
        <f>IF($N95="","",IF(INDEX('Per Invoice'!$E$2:$E$801,$N95)="","",INDEX('Per Invoice'!$E$2:$E$801,$N95)))</f>
        <v/>
      </c>
      <c r="F95">
        <f>IF($N95="","",IF(INDEX('Per Invoice'!$F$2:$F$801,$N95)="","",INDEX('Per Invoice'!$F$2:$F$801,$N95)))</f>
        <v/>
      </c>
      <c r="G95">
        <f>IF($N95="","",IF(INDEX('Per Invoice'!$G$2:$G$801,$N95)="","",INDEX('Per Invoice'!$G$2:$G$801,$N95)))</f>
        <v/>
      </c>
      <c r="H95">
        <f>IF($N95="","",IF(INDEX('Per Invoice'!$H$2:$H$801,$N95)="","",INDEX('Per Invoice'!$H$2:$H$801,$N95)))</f>
        <v/>
      </c>
      <c r="I95" s="5">
        <f>IF($N95="","",IF(INDEX('Per Invoice'!$I$2:$I$801,$N95)="","",INDEX('Per Invoice'!$I$2:$I$801,$N95)))</f>
        <v/>
      </c>
      <c r="J95" s="5">
        <f>IF($N95="","",IF(INDEX('Per Invoice'!$J$2:$J$801,$N95)="","",INDEX('Per Invoice'!$J$2:$J$801,$N95)))</f>
        <v/>
      </c>
      <c r="K95" s="5">
        <f>IF($N95="","",IF(INDEX('Per Invoice'!$K$2:$K$801,$N95)="","",INDEX('Per Invoice'!$K$2:$K$801,$N95)))</f>
        <v/>
      </c>
      <c r="L95" s="5">
        <f>IF($N95="","",IF(INDEX('Per Invoice'!$L$2:$L$801,$N95)="","",INDEX('Per Invoice'!$L$2:$L$801,$N95)))</f>
        <v/>
      </c>
      <c r="M95" s="5">
        <f>IF($N95="","",IF(INDEX('Per Invoice'!$M$2:$M$801,$N95)="","",INDEX('Per Invoice'!$M$2:$M$801,$N95)))</f>
        <v/>
      </c>
      <c r="N95">
        <f>IF(ROWS($N$2:$N95)&lt;=COUNT('Per Invoice'!$P$2:$P$801),MATCH(ROWS($N$2:$N95),'Per Invoice'!$P$2:$P$801,0),"")</f>
        <v/>
      </c>
    </row>
    <row r="96">
      <c r="A96">
        <f>IF($N96="","",IF(INDEX('Per Invoice'!$A$2:$A$801,$N96)="","",INDEX('Per Invoice'!$A$2:$A$801,$N96)))</f>
        <v/>
      </c>
      <c r="B96">
        <f>IF($N96="","",IF(INDEX('Per Invoice'!$B$2:$B$801,$N96)="","",INDEX('Per Invoice'!$B$2:$B$801,$N96)))</f>
        <v/>
      </c>
      <c r="C96">
        <f>IF($N96="","",IF(INDEX('Per Invoice'!$C$2:$C$801,$N96)="","",INDEX('Per Invoice'!$C$2:$C$801,$N96)))</f>
        <v/>
      </c>
      <c r="D96">
        <f>IF($N96="","",IF(INDEX('Per Invoice'!$D$2:$D$801,$N96)="","",INDEX('Per Invoice'!$D$2:$D$801,$N96)))</f>
        <v/>
      </c>
      <c r="E96">
        <f>IF($N96="","",IF(INDEX('Per Invoice'!$E$2:$E$801,$N96)="","",INDEX('Per Invoice'!$E$2:$E$801,$N96)))</f>
        <v/>
      </c>
      <c r="F96">
        <f>IF($N96="","",IF(INDEX('Per Invoice'!$F$2:$F$801,$N96)="","",INDEX('Per Invoice'!$F$2:$F$801,$N96)))</f>
        <v/>
      </c>
      <c r="G96">
        <f>IF($N96="","",IF(INDEX('Per Invoice'!$G$2:$G$801,$N96)="","",INDEX('Per Invoice'!$G$2:$G$801,$N96)))</f>
        <v/>
      </c>
      <c r="H96">
        <f>IF($N96="","",IF(INDEX('Per Invoice'!$H$2:$H$801,$N96)="","",INDEX('Per Invoice'!$H$2:$H$801,$N96)))</f>
        <v/>
      </c>
      <c r="I96" s="5">
        <f>IF($N96="","",IF(INDEX('Per Invoice'!$I$2:$I$801,$N96)="","",INDEX('Per Invoice'!$I$2:$I$801,$N96)))</f>
        <v/>
      </c>
      <c r="J96" s="5">
        <f>IF($N96="","",IF(INDEX('Per Invoice'!$J$2:$J$801,$N96)="","",INDEX('Per Invoice'!$J$2:$J$801,$N96)))</f>
        <v/>
      </c>
      <c r="K96" s="5">
        <f>IF($N96="","",IF(INDEX('Per Invoice'!$K$2:$K$801,$N96)="","",INDEX('Per Invoice'!$K$2:$K$801,$N96)))</f>
        <v/>
      </c>
      <c r="L96" s="5">
        <f>IF($N96="","",IF(INDEX('Per Invoice'!$L$2:$L$801,$N96)="","",INDEX('Per Invoice'!$L$2:$L$801,$N96)))</f>
        <v/>
      </c>
      <c r="M96" s="5">
        <f>IF($N96="","",IF(INDEX('Per Invoice'!$M$2:$M$801,$N96)="","",INDEX('Per Invoice'!$M$2:$M$801,$N96)))</f>
        <v/>
      </c>
      <c r="N96">
        <f>IF(ROWS($N$2:$N96)&lt;=COUNT('Per Invoice'!$P$2:$P$801),MATCH(ROWS($N$2:$N96),'Per Invoice'!$P$2:$P$801,0),"")</f>
        <v/>
      </c>
    </row>
    <row r="97">
      <c r="A97">
        <f>IF($N97="","",IF(INDEX('Per Invoice'!$A$2:$A$801,$N97)="","",INDEX('Per Invoice'!$A$2:$A$801,$N97)))</f>
        <v/>
      </c>
      <c r="B97">
        <f>IF($N97="","",IF(INDEX('Per Invoice'!$B$2:$B$801,$N97)="","",INDEX('Per Invoice'!$B$2:$B$801,$N97)))</f>
        <v/>
      </c>
      <c r="C97">
        <f>IF($N97="","",IF(INDEX('Per Invoice'!$C$2:$C$801,$N97)="","",INDEX('Per Invoice'!$C$2:$C$801,$N97)))</f>
        <v/>
      </c>
      <c r="D97">
        <f>IF($N97="","",IF(INDEX('Per Invoice'!$D$2:$D$801,$N97)="","",INDEX('Per Invoice'!$D$2:$D$801,$N97)))</f>
        <v/>
      </c>
      <c r="E97">
        <f>IF($N97="","",IF(INDEX('Per Invoice'!$E$2:$E$801,$N97)="","",INDEX('Per Invoice'!$E$2:$E$801,$N97)))</f>
        <v/>
      </c>
      <c r="F97">
        <f>IF($N97="","",IF(INDEX('Per Invoice'!$F$2:$F$801,$N97)="","",INDEX('Per Invoice'!$F$2:$F$801,$N97)))</f>
        <v/>
      </c>
      <c r="G97">
        <f>IF($N97="","",IF(INDEX('Per Invoice'!$G$2:$G$801,$N97)="","",INDEX('Per Invoice'!$G$2:$G$801,$N97)))</f>
        <v/>
      </c>
      <c r="H97">
        <f>IF($N97="","",IF(INDEX('Per Invoice'!$H$2:$H$801,$N97)="","",INDEX('Per Invoice'!$H$2:$H$801,$N97)))</f>
        <v/>
      </c>
      <c r="I97" s="5">
        <f>IF($N97="","",IF(INDEX('Per Invoice'!$I$2:$I$801,$N97)="","",INDEX('Per Invoice'!$I$2:$I$801,$N97)))</f>
        <v/>
      </c>
      <c r="J97" s="5">
        <f>IF($N97="","",IF(INDEX('Per Invoice'!$J$2:$J$801,$N97)="","",INDEX('Per Invoice'!$J$2:$J$801,$N97)))</f>
        <v/>
      </c>
      <c r="K97" s="5">
        <f>IF($N97="","",IF(INDEX('Per Invoice'!$K$2:$K$801,$N97)="","",INDEX('Per Invoice'!$K$2:$K$801,$N97)))</f>
        <v/>
      </c>
      <c r="L97" s="5">
        <f>IF($N97="","",IF(INDEX('Per Invoice'!$L$2:$L$801,$N97)="","",INDEX('Per Invoice'!$L$2:$L$801,$N97)))</f>
        <v/>
      </c>
      <c r="M97" s="5">
        <f>IF($N97="","",IF(INDEX('Per Invoice'!$M$2:$M$801,$N97)="","",INDEX('Per Invoice'!$M$2:$M$801,$N97)))</f>
        <v/>
      </c>
      <c r="N97">
        <f>IF(ROWS($N$2:$N97)&lt;=COUNT('Per Invoice'!$P$2:$P$801),MATCH(ROWS($N$2:$N97),'Per Invoice'!$P$2:$P$801,0),"")</f>
        <v/>
      </c>
    </row>
    <row r="98">
      <c r="A98">
        <f>IF($N98="","",IF(INDEX('Per Invoice'!$A$2:$A$801,$N98)="","",INDEX('Per Invoice'!$A$2:$A$801,$N98)))</f>
        <v/>
      </c>
      <c r="B98">
        <f>IF($N98="","",IF(INDEX('Per Invoice'!$B$2:$B$801,$N98)="","",INDEX('Per Invoice'!$B$2:$B$801,$N98)))</f>
        <v/>
      </c>
      <c r="C98">
        <f>IF($N98="","",IF(INDEX('Per Invoice'!$C$2:$C$801,$N98)="","",INDEX('Per Invoice'!$C$2:$C$801,$N98)))</f>
        <v/>
      </c>
      <c r="D98">
        <f>IF($N98="","",IF(INDEX('Per Invoice'!$D$2:$D$801,$N98)="","",INDEX('Per Invoice'!$D$2:$D$801,$N98)))</f>
        <v/>
      </c>
      <c r="E98">
        <f>IF($N98="","",IF(INDEX('Per Invoice'!$E$2:$E$801,$N98)="","",INDEX('Per Invoice'!$E$2:$E$801,$N98)))</f>
        <v/>
      </c>
      <c r="F98">
        <f>IF($N98="","",IF(INDEX('Per Invoice'!$F$2:$F$801,$N98)="","",INDEX('Per Invoice'!$F$2:$F$801,$N98)))</f>
        <v/>
      </c>
      <c r="G98">
        <f>IF($N98="","",IF(INDEX('Per Invoice'!$G$2:$G$801,$N98)="","",INDEX('Per Invoice'!$G$2:$G$801,$N98)))</f>
        <v/>
      </c>
      <c r="H98">
        <f>IF($N98="","",IF(INDEX('Per Invoice'!$H$2:$H$801,$N98)="","",INDEX('Per Invoice'!$H$2:$H$801,$N98)))</f>
        <v/>
      </c>
      <c r="I98" s="5">
        <f>IF($N98="","",IF(INDEX('Per Invoice'!$I$2:$I$801,$N98)="","",INDEX('Per Invoice'!$I$2:$I$801,$N98)))</f>
        <v/>
      </c>
      <c r="J98" s="5">
        <f>IF($N98="","",IF(INDEX('Per Invoice'!$J$2:$J$801,$N98)="","",INDEX('Per Invoice'!$J$2:$J$801,$N98)))</f>
        <v/>
      </c>
      <c r="K98" s="5">
        <f>IF($N98="","",IF(INDEX('Per Invoice'!$K$2:$K$801,$N98)="","",INDEX('Per Invoice'!$K$2:$K$801,$N98)))</f>
        <v/>
      </c>
      <c r="L98" s="5">
        <f>IF($N98="","",IF(INDEX('Per Invoice'!$L$2:$L$801,$N98)="","",INDEX('Per Invoice'!$L$2:$L$801,$N98)))</f>
        <v/>
      </c>
      <c r="M98" s="5">
        <f>IF($N98="","",IF(INDEX('Per Invoice'!$M$2:$M$801,$N98)="","",INDEX('Per Invoice'!$M$2:$M$801,$N98)))</f>
        <v/>
      </c>
      <c r="N98">
        <f>IF(ROWS($N$2:$N98)&lt;=COUNT('Per Invoice'!$P$2:$P$801),MATCH(ROWS($N$2:$N98),'Per Invoice'!$P$2:$P$801,0),"")</f>
        <v/>
      </c>
    </row>
    <row r="99">
      <c r="A99">
        <f>IF($N99="","",IF(INDEX('Per Invoice'!$A$2:$A$801,$N99)="","",INDEX('Per Invoice'!$A$2:$A$801,$N99)))</f>
        <v/>
      </c>
      <c r="B99">
        <f>IF($N99="","",IF(INDEX('Per Invoice'!$B$2:$B$801,$N99)="","",INDEX('Per Invoice'!$B$2:$B$801,$N99)))</f>
        <v/>
      </c>
      <c r="C99">
        <f>IF($N99="","",IF(INDEX('Per Invoice'!$C$2:$C$801,$N99)="","",INDEX('Per Invoice'!$C$2:$C$801,$N99)))</f>
        <v/>
      </c>
      <c r="D99">
        <f>IF($N99="","",IF(INDEX('Per Invoice'!$D$2:$D$801,$N99)="","",INDEX('Per Invoice'!$D$2:$D$801,$N99)))</f>
        <v/>
      </c>
      <c r="E99">
        <f>IF($N99="","",IF(INDEX('Per Invoice'!$E$2:$E$801,$N99)="","",INDEX('Per Invoice'!$E$2:$E$801,$N99)))</f>
        <v/>
      </c>
      <c r="F99">
        <f>IF($N99="","",IF(INDEX('Per Invoice'!$F$2:$F$801,$N99)="","",INDEX('Per Invoice'!$F$2:$F$801,$N99)))</f>
        <v/>
      </c>
      <c r="G99">
        <f>IF($N99="","",IF(INDEX('Per Invoice'!$G$2:$G$801,$N99)="","",INDEX('Per Invoice'!$G$2:$G$801,$N99)))</f>
        <v/>
      </c>
      <c r="H99">
        <f>IF($N99="","",IF(INDEX('Per Invoice'!$H$2:$H$801,$N99)="","",INDEX('Per Invoice'!$H$2:$H$801,$N99)))</f>
        <v/>
      </c>
      <c r="I99" s="5">
        <f>IF($N99="","",IF(INDEX('Per Invoice'!$I$2:$I$801,$N99)="","",INDEX('Per Invoice'!$I$2:$I$801,$N99)))</f>
        <v/>
      </c>
      <c r="J99" s="5">
        <f>IF($N99="","",IF(INDEX('Per Invoice'!$J$2:$J$801,$N99)="","",INDEX('Per Invoice'!$J$2:$J$801,$N99)))</f>
        <v/>
      </c>
      <c r="K99" s="5">
        <f>IF($N99="","",IF(INDEX('Per Invoice'!$K$2:$K$801,$N99)="","",INDEX('Per Invoice'!$K$2:$K$801,$N99)))</f>
        <v/>
      </c>
      <c r="L99" s="5">
        <f>IF($N99="","",IF(INDEX('Per Invoice'!$L$2:$L$801,$N99)="","",INDEX('Per Invoice'!$L$2:$L$801,$N99)))</f>
        <v/>
      </c>
      <c r="M99" s="5">
        <f>IF($N99="","",IF(INDEX('Per Invoice'!$M$2:$M$801,$N99)="","",INDEX('Per Invoice'!$M$2:$M$801,$N99)))</f>
        <v/>
      </c>
      <c r="N99">
        <f>IF(ROWS($N$2:$N99)&lt;=COUNT('Per Invoice'!$P$2:$P$801),MATCH(ROWS($N$2:$N99),'Per Invoice'!$P$2:$P$801,0),"")</f>
        <v/>
      </c>
    </row>
    <row r="100">
      <c r="A100">
        <f>IF($N100="","",IF(INDEX('Per Invoice'!$A$2:$A$801,$N100)="","",INDEX('Per Invoice'!$A$2:$A$801,$N100)))</f>
        <v/>
      </c>
      <c r="B100">
        <f>IF($N100="","",IF(INDEX('Per Invoice'!$B$2:$B$801,$N100)="","",INDEX('Per Invoice'!$B$2:$B$801,$N100)))</f>
        <v/>
      </c>
      <c r="C100">
        <f>IF($N100="","",IF(INDEX('Per Invoice'!$C$2:$C$801,$N100)="","",INDEX('Per Invoice'!$C$2:$C$801,$N100)))</f>
        <v/>
      </c>
      <c r="D100">
        <f>IF($N100="","",IF(INDEX('Per Invoice'!$D$2:$D$801,$N100)="","",INDEX('Per Invoice'!$D$2:$D$801,$N100)))</f>
        <v/>
      </c>
      <c r="E100">
        <f>IF($N100="","",IF(INDEX('Per Invoice'!$E$2:$E$801,$N100)="","",INDEX('Per Invoice'!$E$2:$E$801,$N100)))</f>
        <v/>
      </c>
      <c r="F100">
        <f>IF($N100="","",IF(INDEX('Per Invoice'!$F$2:$F$801,$N100)="","",INDEX('Per Invoice'!$F$2:$F$801,$N100)))</f>
        <v/>
      </c>
      <c r="G100">
        <f>IF($N100="","",IF(INDEX('Per Invoice'!$G$2:$G$801,$N100)="","",INDEX('Per Invoice'!$G$2:$G$801,$N100)))</f>
        <v/>
      </c>
      <c r="H100">
        <f>IF($N100="","",IF(INDEX('Per Invoice'!$H$2:$H$801,$N100)="","",INDEX('Per Invoice'!$H$2:$H$801,$N100)))</f>
        <v/>
      </c>
      <c r="I100" s="5">
        <f>IF($N100="","",IF(INDEX('Per Invoice'!$I$2:$I$801,$N100)="","",INDEX('Per Invoice'!$I$2:$I$801,$N100)))</f>
        <v/>
      </c>
      <c r="J100" s="5">
        <f>IF($N100="","",IF(INDEX('Per Invoice'!$J$2:$J$801,$N100)="","",INDEX('Per Invoice'!$J$2:$J$801,$N100)))</f>
        <v/>
      </c>
      <c r="K100" s="5">
        <f>IF($N100="","",IF(INDEX('Per Invoice'!$K$2:$K$801,$N100)="","",INDEX('Per Invoice'!$K$2:$K$801,$N100)))</f>
        <v/>
      </c>
      <c r="L100" s="5">
        <f>IF($N100="","",IF(INDEX('Per Invoice'!$L$2:$L$801,$N100)="","",INDEX('Per Invoice'!$L$2:$L$801,$N100)))</f>
        <v/>
      </c>
      <c r="M100" s="5">
        <f>IF($N100="","",IF(INDEX('Per Invoice'!$M$2:$M$801,$N100)="","",INDEX('Per Invoice'!$M$2:$M$801,$N100)))</f>
        <v/>
      </c>
      <c r="N100">
        <f>IF(ROWS($N$2:$N100)&lt;=COUNT('Per Invoice'!$P$2:$P$801),MATCH(ROWS($N$2:$N100),'Per Invoice'!$P$2:$P$801,0),"")</f>
        <v/>
      </c>
    </row>
    <row r="101">
      <c r="A101">
        <f>IF($N101="","",IF(INDEX('Per Invoice'!$A$2:$A$801,$N101)="","",INDEX('Per Invoice'!$A$2:$A$801,$N101)))</f>
        <v/>
      </c>
      <c r="B101">
        <f>IF($N101="","",IF(INDEX('Per Invoice'!$B$2:$B$801,$N101)="","",INDEX('Per Invoice'!$B$2:$B$801,$N101)))</f>
        <v/>
      </c>
      <c r="C101">
        <f>IF($N101="","",IF(INDEX('Per Invoice'!$C$2:$C$801,$N101)="","",INDEX('Per Invoice'!$C$2:$C$801,$N101)))</f>
        <v/>
      </c>
      <c r="D101">
        <f>IF($N101="","",IF(INDEX('Per Invoice'!$D$2:$D$801,$N101)="","",INDEX('Per Invoice'!$D$2:$D$801,$N101)))</f>
        <v/>
      </c>
      <c r="E101">
        <f>IF($N101="","",IF(INDEX('Per Invoice'!$E$2:$E$801,$N101)="","",INDEX('Per Invoice'!$E$2:$E$801,$N101)))</f>
        <v/>
      </c>
      <c r="F101">
        <f>IF($N101="","",IF(INDEX('Per Invoice'!$F$2:$F$801,$N101)="","",INDEX('Per Invoice'!$F$2:$F$801,$N101)))</f>
        <v/>
      </c>
      <c r="G101">
        <f>IF($N101="","",IF(INDEX('Per Invoice'!$G$2:$G$801,$N101)="","",INDEX('Per Invoice'!$G$2:$G$801,$N101)))</f>
        <v/>
      </c>
      <c r="H101">
        <f>IF($N101="","",IF(INDEX('Per Invoice'!$H$2:$H$801,$N101)="","",INDEX('Per Invoice'!$H$2:$H$801,$N101)))</f>
        <v/>
      </c>
      <c r="I101" s="5">
        <f>IF($N101="","",IF(INDEX('Per Invoice'!$I$2:$I$801,$N101)="","",INDEX('Per Invoice'!$I$2:$I$801,$N101)))</f>
        <v/>
      </c>
      <c r="J101" s="5">
        <f>IF($N101="","",IF(INDEX('Per Invoice'!$J$2:$J$801,$N101)="","",INDEX('Per Invoice'!$J$2:$J$801,$N101)))</f>
        <v/>
      </c>
      <c r="K101" s="5">
        <f>IF($N101="","",IF(INDEX('Per Invoice'!$K$2:$K$801,$N101)="","",INDEX('Per Invoice'!$K$2:$K$801,$N101)))</f>
        <v/>
      </c>
      <c r="L101" s="5">
        <f>IF($N101="","",IF(INDEX('Per Invoice'!$L$2:$L$801,$N101)="","",INDEX('Per Invoice'!$L$2:$L$801,$N101)))</f>
        <v/>
      </c>
      <c r="M101" s="5">
        <f>IF($N101="","",IF(INDEX('Per Invoice'!$M$2:$M$801,$N101)="","",INDEX('Per Invoice'!$M$2:$M$801,$N101)))</f>
        <v/>
      </c>
      <c r="N101">
        <f>IF(ROWS($N$2:$N101)&lt;=COUNT('Per Invoice'!$P$2:$P$801),MATCH(ROWS($N$2:$N101),'Per Invoice'!$P$2:$P$801,0),"")</f>
        <v/>
      </c>
    </row>
    <row r="102">
      <c r="A102">
        <f>IF($N102="","",IF(INDEX('Per Invoice'!$A$2:$A$801,$N102)="","",INDEX('Per Invoice'!$A$2:$A$801,$N102)))</f>
        <v/>
      </c>
      <c r="B102">
        <f>IF($N102="","",IF(INDEX('Per Invoice'!$B$2:$B$801,$N102)="","",INDEX('Per Invoice'!$B$2:$B$801,$N102)))</f>
        <v/>
      </c>
      <c r="C102">
        <f>IF($N102="","",IF(INDEX('Per Invoice'!$C$2:$C$801,$N102)="","",INDEX('Per Invoice'!$C$2:$C$801,$N102)))</f>
        <v/>
      </c>
      <c r="D102">
        <f>IF($N102="","",IF(INDEX('Per Invoice'!$D$2:$D$801,$N102)="","",INDEX('Per Invoice'!$D$2:$D$801,$N102)))</f>
        <v/>
      </c>
      <c r="E102">
        <f>IF($N102="","",IF(INDEX('Per Invoice'!$E$2:$E$801,$N102)="","",INDEX('Per Invoice'!$E$2:$E$801,$N102)))</f>
        <v/>
      </c>
      <c r="F102">
        <f>IF($N102="","",IF(INDEX('Per Invoice'!$F$2:$F$801,$N102)="","",INDEX('Per Invoice'!$F$2:$F$801,$N102)))</f>
        <v/>
      </c>
      <c r="G102">
        <f>IF($N102="","",IF(INDEX('Per Invoice'!$G$2:$G$801,$N102)="","",INDEX('Per Invoice'!$G$2:$G$801,$N102)))</f>
        <v/>
      </c>
      <c r="H102">
        <f>IF($N102="","",IF(INDEX('Per Invoice'!$H$2:$H$801,$N102)="","",INDEX('Per Invoice'!$H$2:$H$801,$N102)))</f>
        <v/>
      </c>
      <c r="I102" s="5">
        <f>IF($N102="","",IF(INDEX('Per Invoice'!$I$2:$I$801,$N102)="","",INDEX('Per Invoice'!$I$2:$I$801,$N102)))</f>
        <v/>
      </c>
      <c r="J102" s="5">
        <f>IF($N102="","",IF(INDEX('Per Invoice'!$J$2:$J$801,$N102)="","",INDEX('Per Invoice'!$J$2:$J$801,$N102)))</f>
        <v/>
      </c>
      <c r="K102" s="5">
        <f>IF($N102="","",IF(INDEX('Per Invoice'!$K$2:$K$801,$N102)="","",INDEX('Per Invoice'!$K$2:$K$801,$N102)))</f>
        <v/>
      </c>
      <c r="L102" s="5">
        <f>IF($N102="","",IF(INDEX('Per Invoice'!$L$2:$L$801,$N102)="","",INDEX('Per Invoice'!$L$2:$L$801,$N102)))</f>
        <v/>
      </c>
      <c r="M102" s="5">
        <f>IF($N102="","",IF(INDEX('Per Invoice'!$M$2:$M$801,$N102)="","",INDEX('Per Invoice'!$M$2:$M$801,$N102)))</f>
        <v/>
      </c>
      <c r="N102">
        <f>IF(ROWS($N$2:$N102)&lt;=COUNT('Per Invoice'!$P$2:$P$801),MATCH(ROWS($N$2:$N102),'Per Invoice'!$P$2:$P$801,0),"")</f>
        <v/>
      </c>
    </row>
    <row r="103">
      <c r="A103">
        <f>IF($N103="","",IF(INDEX('Per Invoice'!$A$2:$A$801,$N103)="","",INDEX('Per Invoice'!$A$2:$A$801,$N103)))</f>
        <v/>
      </c>
      <c r="B103">
        <f>IF($N103="","",IF(INDEX('Per Invoice'!$B$2:$B$801,$N103)="","",INDEX('Per Invoice'!$B$2:$B$801,$N103)))</f>
        <v/>
      </c>
      <c r="C103">
        <f>IF($N103="","",IF(INDEX('Per Invoice'!$C$2:$C$801,$N103)="","",INDEX('Per Invoice'!$C$2:$C$801,$N103)))</f>
        <v/>
      </c>
      <c r="D103">
        <f>IF($N103="","",IF(INDEX('Per Invoice'!$D$2:$D$801,$N103)="","",INDEX('Per Invoice'!$D$2:$D$801,$N103)))</f>
        <v/>
      </c>
      <c r="E103">
        <f>IF($N103="","",IF(INDEX('Per Invoice'!$E$2:$E$801,$N103)="","",INDEX('Per Invoice'!$E$2:$E$801,$N103)))</f>
        <v/>
      </c>
      <c r="F103">
        <f>IF($N103="","",IF(INDEX('Per Invoice'!$F$2:$F$801,$N103)="","",INDEX('Per Invoice'!$F$2:$F$801,$N103)))</f>
        <v/>
      </c>
      <c r="G103">
        <f>IF($N103="","",IF(INDEX('Per Invoice'!$G$2:$G$801,$N103)="","",INDEX('Per Invoice'!$G$2:$G$801,$N103)))</f>
        <v/>
      </c>
      <c r="H103">
        <f>IF($N103="","",IF(INDEX('Per Invoice'!$H$2:$H$801,$N103)="","",INDEX('Per Invoice'!$H$2:$H$801,$N103)))</f>
        <v/>
      </c>
      <c r="I103" s="5">
        <f>IF($N103="","",IF(INDEX('Per Invoice'!$I$2:$I$801,$N103)="","",INDEX('Per Invoice'!$I$2:$I$801,$N103)))</f>
        <v/>
      </c>
      <c r="J103" s="5">
        <f>IF($N103="","",IF(INDEX('Per Invoice'!$J$2:$J$801,$N103)="","",INDEX('Per Invoice'!$J$2:$J$801,$N103)))</f>
        <v/>
      </c>
      <c r="K103" s="5">
        <f>IF($N103="","",IF(INDEX('Per Invoice'!$K$2:$K$801,$N103)="","",INDEX('Per Invoice'!$K$2:$K$801,$N103)))</f>
        <v/>
      </c>
      <c r="L103" s="5">
        <f>IF($N103="","",IF(INDEX('Per Invoice'!$L$2:$L$801,$N103)="","",INDEX('Per Invoice'!$L$2:$L$801,$N103)))</f>
        <v/>
      </c>
      <c r="M103" s="5">
        <f>IF($N103="","",IF(INDEX('Per Invoice'!$M$2:$M$801,$N103)="","",INDEX('Per Invoice'!$M$2:$M$801,$N103)))</f>
        <v/>
      </c>
      <c r="N103">
        <f>IF(ROWS($N$2:$N103)&lt;=COUNT('Per Invoice'!$P$2:$P$801),MATCH(ROWS($N$2:$N103),'Per Invoice'!$P$2:$P$801,0),"")</f>
        <v/>
      </c>
    </row>
    <row r="104">
      <c r="A104">
        <f>IF($N104="","",IF(INDEX('Per Invoice'!$A$2:$A$801,$N104)="","",INDEX('Per Invoice'!$A$2:$A$801,$N104)))</f>
        <v/>
      </c>
      <c r="B104">
        <f>IF($N104="","",IF(INDEX('Per Invoice'!$B$2:$B$801,$N104)="","",INDEX('Per Invoice'!$B$2:$B$801,$N104)))</f>
        <v/>
      </c>
      <c r="C104">
        <f>IF($N104="","",IF(INDEX('Per Invoice'!$C$2:$C$801,$N104)="","",INDEX('Per Invoice'!$C$2:$C$801,$N104)))</f>
        <v/>
      </c>
      <c r="D104">
        <f>IF($N104="","",IF(INDEX('Per Invoice'!$D$2:$D$801,$N104)="","",INDEX('Per Invoice'!$D$2:$D$801,$N104)))</f>
        <v/>
      </c>
      <c r="E104">
        <f>IF($N104="","",IF(INDEX('Per Invoice'!$E$2:$E$801,$N104)="","",INDEX('Per Invoice'!$E$2:$E$801,$N104)))</f>
        <v/>
      </c>
      <c r="F104">
        <f>IF($N104="","",IF(INDEX('Per Invoice'!$F$2:$F$801,$N104)="","",INDEX('Per Invoice'!$F$2:$F$801,$N104)))</f>
        <v/>
      </c>
      <c r="G104">
        <f>IF($N104="","",IF(INDEX('Per Invoice'!$G$2:$G$801,$N104)="","",INDEX('Per Invoice'!$G$2:$G$801,$N104)))</f>
        <v/>
      </c>
      <c r="H104">
        <f>IF($N104="","",IF(INDEX('Per Invoice'!$H$2:$H$801,$N104)="","",INDEX('Per Invoice'!$H$2:$H$801,$N104)))</f>
        <v/>
      </c>
      <c r="I104" s="5">
        <f>IF($N104="","",IF(INDEX('Per Invoice'!$I$2:$I$801,$N104)="","",INDEX('Per Invoice'!$I$2:$I$801,$N104)))</f>
        <v/>
      </c>
      <c r="J104" s="5">
        <f>IF($N104="","",IF(INDEX('Per Invoice'!$J$2:$J$801,$N104)="","",INDEX('Per Invoice'!$J$2:$J$801,$N104)))</f>
        <v/>
      </c>
      <c r="K104" s="5">
        <f>IF($N104="","",IF(INDEX('Per Invoice'!$K$2:$K$801,$N104)="","",INDEX('Per Invoice'!$K$2:$K$801,$N104)))</f>
        <v/>
      </c>
      <c r="L104" s="5">
        <f>IF($N104="","",IF(INDEX('Per Invoice'!$L$2:$L$801,$N104)="","",INDEX('Per Invoice'!$L$2:$L$801,$N104)))</f>
        <v/>
      </c>
      <c r="M104" s="5">
        <f>IF($N104="","",IF(INDEX('Per Invoice'!$M$2:$M$801,$N104)="","",INDEX('Per Invoice'!$M$2:$M$801,$N104)))</f>
        <v/>
      </c>
      <c r="N104">
        <f>IF(ROWS($N$2:$N104)&lt;=COUNT('Per Invoice'!$P$2:$P$801),MATCH(ROWS($N$2:$N104),'Per Invoice'!$P$2:$P$801,0),"")</f>
        <v/>
      </c>
    </row>
    <row r="105">
      <c r="A105">
        <f>IF($N105="","",IF(INDEX('Per Invoice'!$A$2:$A$801,$N105)="","",INDEX('Per Invoice'!$A$2:$A$801,$N105)))</f>
        <v/>
      </c>
      <c r="B105">
        <f>IF($N105="","",IF(INDEX('Per Invoice'!$B$2:$B$801,$N105)="","",INDEX('Per Invoice'!$B$2:$B$801,$N105)))</f>
        <v/>
      </c>
      <c r="C105">
        <f>IF($N105="","",IF(INDEX('Per Invoice'!$C$2:$C$801,$N105)="","",INDEX('Per Invoice'!$C$2:$C$801,$N105)))</f>
        <v/>
      </c>
      <c r="D105">
        <f>IF($N105="","",IF(INDEX('Per Invoice'!$D$2:$D$801,$N105)="","",INDEX('Per Invoice'!$D$2:$D$801,$N105)))</f>
        <v/>
      </c>
      <c r="E105">
        <f>IF($N105="","",IF(INDEX('Per Invoice'!$E$2:$E$801,$N105)="","",INDEX('Per Invoice'!$E$2:$E$801,$N105)))</f>
        <v/>
      </c>
      <c r="F105">
        <f>IF($N105="","",IF(INDEX('Per Invoice'!$F$2:$F$801,$N105)="","",INDEX('Per Invoice'!$F$2:$F$801,$N105)))</f>
        <v/>
      </c>
      <c r="G105">
        <f>IF($N105="","",IF(INDEX('Per Invoice'!$G$2:$G$801,$N105)="","",INDEX('Per Invoice'!$G$2:$G$801,$N105)))</f>
        <v/>
      </c>
      <c r="H105">
        <f>IF($N105="","",IF(INDEX('Per Invoice'!$H$2:$H$801,$N105)="","",INDEX('Per Invoice'!$H$2:$H$801,$N105)))</f>
        <v/>
      </c>
      <c r="I105" s="5">
        <f>IF($N105="","",IF(INDEX('Per Invoice'!$I$2:$I$801,$N105)="","",INDEX('Per Invoice'!$I$2:$I$801,$N105)))</f>
        <v/>
      </c>
      <c r="J105" s="5">
        <f>IF($N105="","",IF(INDEX('Per Invoice'!$J$2:$J$801,$N105)="","",INDEX('Per Invoice'!$J$2:$J$801,$N105)))</f>
        <v/>
      </c>
      <c r="K105" s="5">
        <f>IF($N105="","",IF(INDEX('Per Invoice'!$K$2:$K$801,$N105)="","",INDEX('Per Invoice'!$K$2:$K$801,$N105)))</f>
        <v/>
      </c>
      <c r="L105" s="5">
        <f>IF($N105="","",IF(INDEX('Per Invoice'!$L$2:$L$801,$N105)="","",INDEX('Per Invoice'!$L$2:$L$801,$N105)))</f>
        <v/>
      </c>
      <c r="M105" s="5">
        <f>IF($N105="","",IF(INDEX('Per Invoice'!$M$2:$M$801,$N105)="","",INDEX('Per Invoice'!$M$2:$M$801,$N105)))</f>
        <v/>
      </c>
      <c r="N105">
        <f>IF(ROWS($N$2:$N105)&lt;=COUNT('Per Invoice'!$P$2:$P$801),MATCH(ROWS($N$2:$N105),'Per Invoice'!$P$2:$P$801,0),"")</f>
        <v/>
      </c>
    </row>
    <row r="106">
      <c r="A106">
        <f>IF($N106="","",IF(INDEX('Per Invoice'!$A$2:$A$801,$N106)="","",INDEX('Per Invoice'!$A$2:$A$801,$N106)))</f>
        <v/>
      </c>
      <c r="B106">
        <f>IF($N106="","",IF(INDEX('Per Invoice'!$B$2:$B$801,$N106)="","",INDEX('Per Invoice'!$B$2:$B$801,$N106)))</f>
        <v/>
      </c>
      <c r="C106">
        <f>IF($N106="","",IF(INDEX('Per Invoice'!$C$2:$C$801,$N106)="","",INDEX('Per Invoice'!$C$2:$C$801,$N106)))</f>
        <v/>
      </c>
      <c r="D106">
        <f>IF($N106="","",IF(INDEX('Per Invoice'!$D$2:$D$801,$N106)="","",INDEX('Per Invoice'!$D$2:$D$801,$N106)))</f>
        <v/>
      </c>
      <c r="E106">
        <f>IF($N106="","",IF(INDEX('Per Invoice'!$E$2:$E$801,$N106)="","",INDEX('Per Invoice'!$E$2:$E$801,$N106)))</f>
        <v/>
      </c>
      <c r="F106">
        <f>IF($N106="","",IF(INDEX('Per Invoice'!$F$2:$F$801,$N106)="","",INDEX('Per Invoice'!$F$2:$F$801,$N106)))</f>
        <v/>
      </c>
      <c r="G106">
        <f>IF($N106="","",IF(INDEX('Per Invoice'!$G$2:$G$801,$N106)="","",INDEX('Per Invoice'!$G$2:$G$801,$N106)))</f>
        <v/>
      </c>
      <c r="H106">
        <f>IF($N106="","",IF(INDEX('Per Invoice'!$H$2:$H$801,$N106)="","",INDEX('Per Invoice'!$H$2:$H$801,$N106)))</f>
        <v/>
      </c>
      <c r="I106" s="5">
        <f>IF($N106="","",IF(INDEX('Per Invoice'!$I$2:$I$801,$N106)="","",INDEX('Per Invoice'!$I$2:$I$801,$N106)))</f>
        <v/>
      </c>
      <c r="J106" s="5">
        <f>IF($N106="","",IF(INDEX('Per Invoice'!$J$2:$J$801,$N106)="","",INDEX('Per Invoice'!$J$2:$J$801,$N106)))</f>
        <v/>
      </c>
      <c r="K106" s="5">
        <f>IF($N106="","",IF(INDEX('Per Invoice'!$K$2:$K$801,$N106)="","",INDEX('Per Invoice'!$K$2:$K$801,$N106)))</f>
        <v/>
      </c>
      <c r="L106" s="5">
        <f>IF($N106="","",IF(INDEX('Per Invoice'!$L$2:$L$801,$N106)="","",INDEX('Per Invoice'!$L$2:$L$801,$N106)))</f>
        <v/>
      </c>
      <c r="M106" s="5">
        <f>IF($N106="","",IF(INDEX('Per Invoice'!$M$2:$M$801,$N106)="","",INDEX('Per Invoice'!$M$2:$M$801,$N106)))</f>
        <v/>
      </c>
      <c r="N106">
        <f>IF(ROWS($N$2:$N106)&lt;=COUNT('Per Invoice'!$P$2:$P$801),MATCH(ROWS($N$2:$N106),'Per Invoice'!$P$2:$P$801,0),"")</f>
        <v/>
      </c>
    </row>
    <row r="107">
      <c r="A107">
        <f>IF($N107="","",IF(INDEX('Per Invoice'!$A$2:$A$801,$N107)="","",INDEX('Per Invoice'!$A$2:$A$801,$N107)))</f>
        <v/>
      </c>
      <c r="B107">
        <f>IF($N107="","",IF(INDEX('Per Invoice'!$B$2:$B$801,$N107)="","",INDEX('Per Invoice'!$B$2:$B$801,$N107)))</f>
        <v/>
      </c>
      <c r="C107">
        <f>IF($N107="","",IF(INDEX('Per Invoice'!$C$2:$C$801,$N107)="","",INDEX('Per Invoice'!$C$2:$C$801,$N107)))</f>
        <v/>
      </c>
      <c r="D107">
        <f>IF($N107="","",IF(INDEX('Per Invoice'!$D$2:$D$801,$N107)="","",INDEX('Per Invoice'!$D$2:$D$801,$N107)))</f>
        <v/>
      </c>
      <c r="E107">
        <f>IF($N107="","",IF(INDEX('Per Invoice'!$E$2:$E$801,$N107)="","",INDEX('Per Invoice'!$E$2:$E$801,$N107)))</f>
        <v/>
      </c>
      <c r="F107">
        <f>IF($N107="","",IF(INDEX('Per Invoice'!$F$2:$F$801,$N107)="","",INDEX('Per Invoice'!$F$2:$F$801,$N107)))</f>
        <v/>
      </c>
      <c r="G107">
        <f>IF($N107="","",IF(INDEX('Per Invoice'!$G$2:$G$801,$N107)="","",INDEX('Per Invoice'!$G$2:$G$801,$N107)))</f>
        <v/>
      </c>
      <c r="H107">
        <f>IF($N107="","",IF(INDEX('Per Invoice'!$H$2:$H$801,$N107)="","",INDEX('Per Invoice'!$H$2:$H$801,$N107)))</f>
        <v/>
      </c>
      <c r="I107" s="5">
        <f>IF($N107="","",IF(INDEX('Per Invoice'!$I$2:$I$801,$N107)="","",INDEX('Per Invoice'!$I$2:$I$801,$N107)))</f>
        <v/>
      </c>
      <c r="J107" s="5">
        <f>IF($N107="","",IF(INDEX('Per Invoice'!$J$2:$J$801,$N107)="","",INDEX('Per Invoice'!$J$2:$J$801,$N107)))</f>
        <v/>
      </c>
      <c r="K107" s="5">
        <f>IF($N107="","",IF(INDEX('Per Invoice'!$K$2:$K$801,$N107)="","",INDEX('Per Invoice'!$K$2:$K$801,$N107)))</f>
        <v/>
      </c>
      <c r="L107" s="5">
        <f>IF($N107="","",IF(INDEX('Per Invoice'!$L$2:$L$801,$N107)="","",INDEX('Per Invoice'!$L$2:$L$801,$N107)))</f>
        <v/>
      </c>
      <c r="M107" s="5">
        <f>IF($N107="","",IF(INDEX('Per Invoice'!$M$2:$M$801,$N107)="","",INDEX('Per Invoice'!$M$2:$M$801,$N107)))</f>
        <v/>
      </c>
      <c r="N107">
        <f>IF(ROWS($N$2:$N107)&lt;=COUNT('Per Invoice'!$P$2:$P$801),MATCH(ROWS($N$2:$N107),'Per Invoice'!$P$2:$P$801,0),"")</f>
        <v/>
      </c>
    </row>
    <row r="108">
      <c r="A108">
        <f>IF($N108="","",IF(INDEX('Per Invoice'!$A$2:$A$801,$N108)="","",INDEX('Per Invoice'!$A$2:$A$801,$N108)))</f>
        <v/>
      </c>
      <c r="B108">
        <f>IF($N108="","",IF(INDEX('Per Invoice'!$B$2:$B$801,$N108)="","",INDEX('Per Invoice'!$B$2:$B$801,$N108)))</f>
        <v/>
      </c>
      <c r="C108">
        <f>IF($N108="","",IF(INDEX('Per Invoice'!$C$2:$C$801,$N108)="","",INDEX('Per Invoice'!$C$2:$C$801,$N108)))</f>
        <v/>
      </c>
      <c r="D108">
        <f>IF($N108="","",IF(INDEX('Per Invoice'!$D$2:$D$801,$N108)="","",INDEX('Per Invoice'!$D$2:$D$801,$N108)))</f>
        <v/>
      </c>
      <c r="E108">
        <f>IF($N108="","",IF(INDEX('Per Invoice'!$E$2:$E$801,$N108)="","",INDEX('Per Invoice'!$E$2:$E$801,$N108)))</f>
        <v/>
      </c>
      <c r="F108">
        <f>IF($N108="","",IF(INDEX('Per Invoice'!$F$2:$F$801,$N108)="","",INDEX('Per Invoice'!$F$2:$F$801,$N108)))</f>
        <v/>
      </c>
      <c r="G108">
        <f>IF($N108="","",IF(INDEX('Per Invoice'!$G$2:$G$801,$N108)="","",INDEX('Per Invoice'!$G$2:$G$801,$N108)))</f>
        <v/>
      </c>
      <c r="H108">
        <f>IF($N108="","",IF(INDEX('Per Invoice'!$H$2:$H$801,$N108)="","",INDEX('Per Invoice'!$H$2:$H$801,$N108)))</f>
        <v/>
      </c>
      <c r="I108" s="5">
        <f>IF($N108="","",IF(INDEX('Per Invoice'!$I$2:$I$801,$N108)="","",INDEX('Per Invoice'!$I$2:$I$801,$N108)))</f>
        <v/>
      </c>
      <c r="J108" s="5">
        <f>IF($N108="","",IF(INDEX('Per Invoice'!$J$2:$J$801,$N108)="","",INDEX('Per Invoice'!$J$2:$J$801,$N108)))</f>
        <v/>
      </c>
      <c r="K108" s="5">
        <f>IF($N108="","",IF(INDEX('Per Invoice'!$K$2:$K$801,$N108)="","",INDEX('Per Invoice'!$K$2:$K$801,$N108)))</f>
        <v/>
      </c>
      <c r="L108" s="5">
        <f>IF($N108="","",IF(INDEX('Per Invoice'!$L$2:$L$801,$N108)="","",INDEX('Per Invoice'!$L$2:$L$801,$N108)))</f>
        <v/>
      </c>
      <c r="M108" s="5">
        <f>IF($N108="","",IF(INDEX('Per Invoice'!$M$2:$M$801,$N108)="","",INDEX('Per Invoice'!$M$2:$M$801,$N108)))</f>
        <v/>
      </c>
      <c r="N108">
        <f>IF(ROWS($N$2:$N108)&lt;=COUNT('Per Invoice'!$P$2:$P$801),MATCH(ROWS($N$2:$N108),'Per Invoice'!$P$2:$P$801,0),"")</f>
        <v/>
      </c>
    </row>
    <row r="109">
      <c r="A109">
        <f>IF($N109="","",IF(INDEX('Per Invoice'!$A$2:$A$801,$N109)="","",INDEX('Per Invoice'!$A$2:$A$801,$N109)))</f>
        <v/>
      </c>
      <c r="B109">
        <f>IF($N109="","",IF(INDEX('Per Invoice'!$B$2:$B$801,$N109)="","",INDEX('Per Invoice'!$B$2:$B$801,$N109)))</f>
        <v/>
      </c>
      <c r="C109">
        <f>IF($N109="","",IF(INDEX('Per Invoice'!$C$2:$C$801,$N109)="","",INDEX('Per Invoice'!$C$2:$C$801,$N109)))</f>
        <v/>
      </c>
      <c r="D109">
        <f>IF($N109="","",IF(INDEX('Per Invoice'!$D$2:$D$801,$N109)="","",INDEX('Per Invoice'!$D$2:$D$801,$N109)))</f>
        <v/>
      </c>
      <c r="E109">
        <f>IF($N109="","",IF(INDEX('Per Invoice'!$E$2:$E$801,$N109)="","",INDEX('Per Invoice'!$E$2:$E$801,$N109)))</f>
        <v/>
      </c>
      <c r="F109">
        <f>IF($N109="","",IF(INDEX('Per Invoice'!$F$2:$F$801,$N109)="","",INDEX('Per Invoice'!$F$2:$F$801,$N109)))</f>
        <v/>
      </c>
      <c r="G109">
        <f>IF($N109="","",IF(INDEX('Per Invoice'!$G$2:$G$801,$N109)="","",INDEX('Per Invoice'!$G$2:$G$801,$N109)))</f>
        <v/>
      </c>
      <c r="H109">
        <f>IF($N109="","",IF(INDEX('Per Invoice'!$H$2:$H$801,$N109)="","",INDEX('Per Invoice'!$H$2:$H$801,$N109)))</f>
        <v/>
      </c>
      <c r="I109" s="5">
        <f>IF($N109="","",IF(INDEX('Per Invoice'!$I$2:$I$801,$N109)="","",INDEX('Per Invoice'!$I$2:$I$801,$N109)))</f>
        <v/>
      </c>
      <c r="J109" s="5">
        <f>IF($N109="","",IF(INDEX('Per Invoice'!$J$2:$J$801,$N109)="","",INDEX('Per Invoice'!$J$2:$J$801,$N109)))</f>
        <v/>
      </c>
      <c r="K109" s="5">
        <f>IF($N109="","",IF(INDEX('Per Invoice'!$K$2:$K$801,$N109)="","",INDEX('Per Invoice'!$K$2:$K$801,$N109)))</f>
        <v/>
      </c>
      <c r="L109" s="5">
        <f>IF($N109="","",IF(INDEX('Per Invoice'!$L$2:$L$801,$N109)="","",INDEX('Per Invoice'!$L$2:$L$801,$N109)))</f>
        <v/>
      </c>
      <c r="M109" s="5">
        <f>IF($N109="","",IF(INDEX('Per Invoice'!$M$2:$M$801,$N109)="","",INDEX('Per Invoice'!$M$2:$M$801,$N109)))</f>
        <v/>
      </c>
      <c r="N109">
        <f>IF(ROWS($N$2:$N109)&lt;=COUNT('Per Invoice'!$P$2:$P$801),MATCH(ROWS($N$2:$N109),'Per Invoice'!$P$2:$P$801,0),"")</f>
        <v/>
      </c>
    </row>
    <row r="110">
      <c r="A110">
        <f>IF($N110="","",IF(INDEX('Per Invoice'!$A$2:$A$801,$N110)="","",INDEX('Per Invoice'!$A$2:$A$801,$N110)))</f>
        <v/>
      </c>
      <c r="B110">
        <f>IF($N110="","",IF(INDEX('Per Invoice'!$B$2:$B$801,$N110)="","",INDEX('Per Invoice'!$B$2:$B$801,$N110)))</f>
        <v/>
      </c>
      <c r="C110">
        <f>IF($N110="","",IF(INDEX('Per Invoice'!$C$2:$C$801,$N110)="","",INDEX('Per Invoice'!$C$2:$C$801,$N110)))</f>
        <v/>
      </c>
      <c r="D110">
        <f>IF($N110="","",IF(INDEX('Per Invoice'!$D$2:$D$801,$N110)="","",INDEX('Per Invoice'!$D$2:$D$801,$N110)))</f>
        <v/>
      </c>
      <c r="E110">
        <f>IF($N110="","",IF(INDEX('Per Invoice'!$E$2:$E$801,$N110)="","",INDEX('Per Invoice'!$E$2:$E$801,$N110)))</f>
        <v/>
      </c>
      <c r="F110">
        <f>IF($N110="","",IF(INDEX('Per Invoice'!$F$2:$F$801,$N110)="","",INDEX('Per Invoice'!$F$2:$F$801,$N110)))</f>
        <v/>
      </c>
      <c r="G110">
        <f>IF($N110="","",IF(INDEX('Per Invoice'!$G$2:$G$801,$N110)="","",INDEX('Per Invoice'!$G$2:$G$801,$N110)))</f>
        <v/>
      </c>
      <c r="H110">
        <f>IF($N110="","",IF(INDEX('Per Invoice'!$H$2:$H$801,$N110)="","",INDEX('Per Invoice'!$H$2:$H$801,$N110)))</f>
        <v/>
      </c>
      <c r="I110" s="5">
        <f>IF($N110="","",IF(INDEX('Per Invoice'!$I$2:$I$801,$N110)="","",INDEX('Per Invoice'!$I$2:$I$801,$N110)))</f>
        <v/>
      </c>
      <c r="J110" s="5">
        <f>IF($N110="","",IF(INDEX('Per Invoice'!$J$2:$J$801,$N110)="","",INDEX('Per Invoice'!$J$2:$J$801,$N110)))</f>
        <v/>
      </c>
      <c r="K110" s="5">
        <f>IF($N110="","",IF(INDEX('Per Invoice'!$K$2:$K$801,$N110)="","",INDEX('Per Invoice'!$K$2:$K$801,$N110)))</f>
        <v/>
      </c>
      <c r="L110" s="5">
        <f>IF($N110="","",IF(INDEX('Per Invoice'!$L$2:$L$801,$N110)="","",INDEX('Per Invoice'!$L$2:$L$801,$N110)))</f>
        <v/>
      </c>
      <c r="M110" s="5">
        <f>IF($N110="","",IF(INDEX('Per Invoice'!$M$2:$M$801,$N110)="","",INDEX('Per Invoice'!$M$2:$M$801,$N110)))</f>
        <v/>
      </c>
      <c r="N110">
        <f>IF(ROWS($N$2:$N110)&lt;=COUNT('Per Invoice'!$P$2:$P$801),MATCH(ROWS($N$2:$N110),'Per Invoice'!$P$2:$P$801,0),"")</f>
        <v/>
      </c>
    </row>
    <row r="111">
      <c r="A111">
        <f>IF($N111="","",IF(INDEX('Per Invoice'!$A$2:$A$801,$N111)="","",INDEX('Per Invoice'!$A$2:$A$801,$N111)))</f>
        <v/>
      </c>
      <c r="B111">
        <f>IF($N111="","",IF(INDEX('Per Invoice'!$B$2:$B$801,$N111)="","",INDEX('Per Invoice'!$B$2:$B$801,$N111)))</f>
        <v/>
      </c>
      <c r="C111">
        <f>IF($N111="","",IF(INDEX('Per Invoice'!$C$2:$C$801,$N111)="","",INDEX('Per Invoice'!$C$2:$C$801,$N111)))</f>
        <v/>
      </c>
      <c r="D111">
        <f>IF($N111="","",IF(INDEX('Per Invoice'!$D$2:$D$801,$N111)="","",INDEX('Per Invoice'!$D$2:$D$801,$N111)))</f>
        <v/>
      </c>
      <c r="E111">
        <f>IF($N111="","",IF(INDEX('Per Invoice'!$E$2:$E$801,$N111)="","",INDEX('Per Invoice'!$E$2:$E$801,$N111)))</f>
        <v/>
      </c>
      <c r="F111">
        <f>IF($N111="","",IF(INDEX('Per Invoice'!$F$2:$F$801,$N111)="","",INDEX('Per Invoice'!$F$2:$F$801,$N111)))</f>
        <v/>
      </c>
      <c r="G111">
        <f>IF($N111="","",IF(INDEX('Per Invoice'!$G$2:$G$801,$N111)="","",INDEX('Per Invoice'!$G$2:$G$801,$N111)))</f>
        <v/>
      </c>
      <c r="H111">
        <f>IF($N111="","",IF(INDEX('Per Invoice'!$H$2:$H$801,$N111)="","",INDEX('Per Invoice'!$H$2:$H$801,$N111)))</f>
        <v/>
      </c>
      <c r="I111" s="5">
        <f>IF($N111="","",IF(INDEX('Per Invoice'!$I$2:$I$801,$N111)="","",INDEX('Per Invoice'!$I$2:$I$801,$N111)))</f>
        <v/>
      </c>
      <c r="J111" s="5">
        <f>IF($N111="","",IF(INDEX('Per Invoice'!$J$2:$J$801,$N111)="","",INDEX('Per Invoice'!$J$2:$J$801,$N111)))</f>
        <v/>
      </c>
      <c r="K111" s="5">
        <f>IF($N111="","",IF(INDEX('Per Invoice'!$K$2:$K$801,$N111)="","",INDEX('Per Invoice'!$K$2:$K$801,$N111)))</f>
        <v/>
      </c>
      <c r="L111" s="5">
        <f>IF($N111="","",IF(INDEX('Per Invoice'!$L$2:$L$801,$N111)="","",INDEX('Per Invoice'!$L$2:$L$801,$N111)))</f>
        <v/>
      </c>
      <c r="M111" s="5">
        <f>IF($N111="","",IF(INDEX('Per Invoice'!$M$2:$M$801,$N111)="","",INDEX('Per Invoice'!$M$2:$M$801,$N111)))</f>
        <v/>
      </c>
      <c r="N111">
        <f>IF(ROWS($N$2:$N111)&lt;=COUNT('Per Invoice'!$P$2:$P$801),MATCH(ROWS($N$2:$N111),'Per Invoice'!$P$2:$P$801,0),"")</f>
        <v/>
      </c>
    </row>
    <row r="112">
      <c r="A112">
        <f>IF($N112="","",IF(INDEX('Per Invoice'!$A$2:$A$801,$N112)="","",INDEX('Per Invoice'!$A$2:$A$801,$N112)))</f>
        <v/>
      </c>
      <c r="B112">
        <f>IF($N112="","",IF(INDEX('Per Invoice'!$B$2:$B$801,$N112)="","",INDEX('Per Invoice'!$B$2:$B$801,$N112)))</f>
        <v/>
      </c>
      <c r="C112">
        <f>IF($N112="","",IF(INDEX('Per Invoice'!$C$2:$C$801,$N112)="","",INDEX('Per Invoice'!$C$2:$C$801,$N112)))</f>
        <v/>
      </c>
      <c r="D112">
        <f>IF($N112="","",IF(INDEX('Per Invoice'!$D$2:$D$801,$N112)="","",INDEX('Per Invoice'!$D$2:$D$801,$N112)))</f>
        <v/>
      </c>
      <c r="E112">
        <f>IF($N112="","",IF(INDEX('Per Invoice'!$E$2:$E$801,$N112)="","",INDEX('Per Invoice'!$E$2:$E$801,$N112)))</f>
        <v/>
      </c>
      <c r="F112">
        <f>IF($N112="","",IF(INDEX('Per Invoice'!$F$2:$F$801,$N112)="","",INDEX('Per Invoice'!$F$2:$F$801,$N112)))</f>
        <v/>
      </c>
      <c r="G112">
        <f>IF($N112="","",IF(INDEX('Per Invoice'!$G$2:$G$801,$N112)="","",INDEX('Per Invoice'!$G$2:$G$801,$N112)))</f>
        <v/>
      </c>
      <c r="H112">
        <f>IF($N112="","",IF(INDEX('Per Invoice'!$H$2:$H$801,$N112)="","",INDEX('Per Invoice'!$H$2:$H$801,$N112)))</f>
        <v/>
      </c>
      <c r="I112" s="5">
        <f>IF($N112="","",IF(INDEX('Per Invoice'!$I$2:$I$801,$N112)="","",INDEX('Per Invoice'!$I$2:$I$801,$N112)))</f>
        <v/>
      </c>
      <c r="J112" s="5">
        <f>IF($N112="","",IF(INDEX('Per Invoice'!$J$2:$J$801,$N112)="","",INDEX('Per Invoice'!$J$2:$J$801,$N112)))</f>
        <v/>
      </c>
      <c r="K112" s="5">
        <f>IF($N112="","",IF(INDEX('Per Invoice'!$K$2:$K$801,$N112)="","",INDEX('Per Invoice'!$K$2:$K$801,$N112)))</f>
        <v/>
      </c>
      <c r="L112" s="5">
        <f>IF($N112="","",IF(INDEX('Per Invoice'!$L$2:$L$801,$N112)="","",INDEX('Per Invoice'!$L$2:$L$801,$N112)))</f>
        <v/>
      </c>
      <c r="M112" s="5">
        <f>IF($N112="","",IF(INDEX('Per Invoice'!$M$2:$M$801,$N112)="","",INDEX('Per Invoice'!$M$2:$M$801,$N112)))</f>
        <v/>
      </c>
      <c r="N112">
        <f>IF(ROWS($N$2:$N112)&lt;=COUNT('Per Invoice'!$P$2:$P$801),MATCH(ROWS($N$2:$N112),'Per Invoice'!$P$2:$P$801,0),"")</f>
        <v/>
      </c>
    </row>
    <row r="113">
      <c r="A113">
        <f>IF($N113="","",IF(INDEX('Per Invoice'!$A$2:$A$801,$N113)="","",INDEX('Per Invoice'!$A$2:$A$801,$N113)))</f>
        <v/>
      </c>
      <c r="B113">
        <f>IF($N113="","",IF(INDEX('Per Invoice'!$B$2:$B$801,$N113)="","",INDEX('Per Invoice'!$B$2:$B$801,$N113)))</f>
        <v/>
      </c>
      <c r="C113">
        <f>IF($N113="","",IF(INDEX('Per Invoice'!$C$2:$C$801,$N113)="","",INDEX('Per Invoice'!$C$2:$C$801,$N113)))</f>
        <v/>
      </c>
      <c r="D113">
        <f>IF($N113="","",IF(INDEX('Per Invoice'!$D$2:$D$801,$N113)="","",INDEX('Per Invoice'!$D$2:$D$801,$N113)))</f>
        <v/>
      </c>
      <c r="E113">
        <f>IF($N113="","",IF(INDEX('Per Invoice'!$E$2:$E$801,$N113)="","",INDEX('Per Invoice'!$E$2:$E$801,$N113)))</f>
        <v/>
      </c>
      <c r="F113">
        <f>IF($N113="","",IF(INDEX('Per Invoice'!$F$2:$F$801,$N113)="","",INDEX('Per Invoice'!$F$2:$F$801,$N113)))</f>
        <v/>
      </c>
      <c r="G113">
        <f>IF($N113="","",IF(INDEX('Per Invoice'!$G$2:$G$801,$N113)="","",INDEX('Per Invoice'!$G$2:$G$801,$N113)))</f>
        <v/>
      </c>
      <c r="H113">
        <f>IF($N113="","",IF(INDEX('Per Invoice'!$H$2:$H$801,$N113)="","",INDEX('Per Invoice'!$H$2:$H$801,$N113)))</f>
        <v/>
      </c>
      <c r="I113" s="5">
        <f>IF($N113="","",IF(INDEX('Per Invoice'!$I$2:$I$801,$N113)="","",INDEX('Per Invoice'!$I$2:$I$801,$N113)))</f>
        <v/>
      </c>
      <c r="J113" s="5">
        <f>IF($N113="","",IF(INDEX('Per Invoice'!$J$2:$J$801,$N113)="","",INDEX('Per Invoice'!$J$2:$J$801,$N113)))</f>
        <v/>
      </c>
      <c r="K113" s="5">
        <f>IF($N113="","",IF(INDEX('Per Invoice'!$K$2:$K$801,$N113)="","",INDEX('Per Invoice'!$K$2:$K$801,$N113)))</f>
        <v/>
      </c>
      <c r="L113" s="5">
        <f>IF($N113="","",IF(INDEX('Per Invoice'!$L$2:$L$801,$N113)="","",INDEX('Per Invoice'!$L$2:$L$801,$N113)))</f>
        <v/>
      </c>
      <c r="M113" s="5">
        <f>IF($N113="","",IF(INDEX('Per Invoice'!$M$2:$M$801,$N113)="","",INDEX('Per Invoice'!$M$2:$M$801,$N113)))</f>
        <v/>
      </c>
      <c r="N113">
        <f>IF(ROWS($N$2:$N113)&lt;=COUNT('Per Invoice'!$P$2:$P$801),MATCH(ROWS($N$2:$N113),'Per Invoice'!$P$2:$P$801,0),"")</f>
        <v/>
      </c>
    </row>
    <row r="114">
      <c r="A114">
        <f>IF($N114="","",IF(INDEX('Per Invoice'!$A$2:$A$801,$N114)="","",INDEX('Per Invoice'!$A$2:$A$801,$N114)))</f>
        <v/>
      </c>
      <c r="B114">
        <f>IF($N114="","",IF(INDEX('Per Invoice'!$B$2:$B$801,$N114)="","",INDEX('Per Invoice'!$B$2:$B$801,$N114)))</f>
        <v/>
      </c>
      <c r="C114">
        <f>IF($N114="","",IF(INDEX('Per Invoice'!$C$2:$C$801,$N114)="","",INDEX('Per Invoice'!$C$2:$C$801,$N114)))</f>
        <v/>
      </c>
      <c r="D114">
        <f>IF($N114="","",IF(INDEX('Per Invoice'!$D$2:$D$801,$N114)="","",INDEX('Per Invoice'!$D$2:$D$801,$N114)))</f>
        <v/>
      </c>
      <c r="E114">
        <f>IF($N114="","",IF(INDEX('Per Invoice'!$E$2:$E$801,$N114)="","",INDEX('Per Invoice'!$E$2:$E$801,$N114)))</f>
        <v/>
      </c>
      <c r="F114">
        <f>IF($N114="","",IF(INDEX('Per Invoice'!$F$2:$F$801,$N114)="","",INDEX('Per Invoice'!$F$2:$F$801,$N114)))</f>
        <v/>
      </c>
      <c r="G114">
        <f>IF($N114="","",IF(INDEX('Per Invoice'!$G$2:$G$801,$N114)="","",INDEX('Per Invoice'!$G$2:$G$801,$N114)))</f>
        <v/>
      </c>
      <c r="H114">
        <f>IF($N114="","",IF(INDEX('Per Invoice'!$H$2:$H$801,$N114)="","",INDEX('Per Invoice'!$H$2:$H$801,$N114)))</f>
        <v/>
      </c>
      <c r="I114" s="5">
        <f>IF($N114="","",IF(INDEX('Per Invoice'!$I$2:$I$801,$N114)="","",INDEX('Per Invoice'!$I$2:$I$801,$N114)))</f>
        <v/>
      </c>
      <c r="J114" s="5">
        <f>IF($N114="","",IF(INDEX('Per Invoice'!$J$2:$J$801,$N114)="","",INDEX('Per Invoice'!$J$2:$J$801,$N114)))</f>
        <v/>
      </c>
      <c r="K114" s="5">
        <f>IF($N114="","",IF(INDEX('Per Invoice'!$K$2:$K$801,$N114)="","",INDEX('Per Invoice'!$K$2:$K$801,$N114)))</f>
        <v/>
      </c>
      <c r="L114" s="5">
        <f>IF($N114="","",IF(INDEX('Per Invoice'!$L$2:$L$801,$N114)="","",INDEX('Per Invoice'!$L$2:$L$801,$N114)))</f>
        <v/>
      </c>
      <c r="M114" s="5">
        <f>IF($N114="","",IF(INDEX('Per Invoice'!$M$2:$M$801,$N114)="","",INDEX('Per Invoice'!$M$2:$M$801,$N114)))</f>
        <v/>
      </c>
      <c r="N114">
        <f>IF(ROWS($N$2:$N114)&lt;=COUNT('Per Invoice'!$P$2:$P$801),MATCH(ROWS($N$2:$N114),'Per Invoice'!$P$2:$P$801,0),"")</f>
        <v/>
      </c>
    </row>
    <row r="115">
      <c r="A115">
        <f>IF($N115="","",IF(INDEX('Per Invoice'!$A$2:$A$801,$N115)="","",INDEX('Per Invoice'!$A$2:$A$801,$N115)))</f>
        <v/>
      </c>
      <c r="B115">
        <f>IF($N115="","",IF(INDEX('Per Invoice'!$B$2:$B$801,$N115)="","",INDEX('Per Invoice'!$B$2:$B$801,$N115)))</f>
        <v/>
      </c>
      <c r="C115">
        <f>IF($N115="","",IF(INDEX('Per Invoice'!$C$2:$C$801,$N115)="","",INDEX('Per Invoice'!$C$2:$C$801,$N115)))</f>
        <v/>
      </c>
      <c r="D115">
        <f>IF($N115="","",IF(INDEX('Per Invoice'!$D$2:$D$801,$N115)="","",INDEX('Per Invoice'!$D$2:$D$801,$N115)))</f>
        <v/>
      </c>
      <c r="E115">
        <f>IF($N115="","",IF(INDEX('Per Invoice'!$E$2:$E$801,$N115)="","",INDEX('Per Invoice'!$E$2:$E$801,$N115)))</f>
        <v/>
      </c>
      <c r="F115">
        <f>IF($N115="","",IF(INDEX('Per Invoice'!$F$2:$F$801,$N115)="","",INDEX('Per Invoice'!$F$2:$F$801,$N115)))</f>
        <v/>
      </c>
      <c r="G115">
        <f>IF($N115="","",IF(INDEX('Per Invoice'!$G$2:$G$801,$N115)="","",INDEX('Per Invoice'!$G$2:$G$801,$N115)))</f>
        <v/>
      </c>
      <c r="H115">
        <f>IF($N115="","",IF(INDEX('Per Invoice'!$H$2:$H$801,$N115)="","",INDEX('Per Invoice'!$H$2:$H$801,$N115)))</f>
        <v/>
      </c>
      <c r="I115" s="5">
        <f>IF($N115="","",IF(INDEX('Per Invoice'!$I$2:$I$801,$N115)="","",INDEX('Per Invoice'!$I$2:$I$801,$N115)))</f>
        <v/>
      </c>
      <c r="J115" s="5">
        <f>IF($N115="","",IF(INDEX('Per Invoice'!$J$2:$J$801,$N115)="","",INDEX('Per Invoice'!$J$2:$J$801,$N115)))</f>
        <v/>
      </c>
      <c r="K115" s="5">
        <f>IF($N115="","",IF(INDEX('Per Invoice'!$K$2:$K$801,$N115)="","",INDEX('Per Invoice'!$K$2:$K$801,$N115)))</f>
        <v/>
      </c>
      <c r="L115" s="5">
        <f>IF($N115="","",IF(INDEX('Per Invoice'!$L$2:$L$801,$N115)="","",INDEX('Per Invoice'!$L$2:$L$801,$N115)))</f>
        <v/>
      </c>
      <c r="M115" s="5">
        <f>IF($N115="","",IF(INDEX('Per Invoice'!$M$2:$M$801,$N115)="","",INDEX('Per Invoice'!$M$2:$M$801,$N115)))</f>
        <v/>
      </c>
      <c r="N115">
        <f>IF(ROWS($N$2:$N115)&lt;=COUNT('Per Invoice'!$P$2:$P$801),MATCH(ROWS($N$2:$N115),'Per Invoice'!$P$2:$P$801,0),"")</f>
        <v/>
      </c>
    </row>
    <row r="116">
      <c r="A116">
        <f>IF($N116="","",IF(INDEX('Per Invoice'!$A$2:$A$801,$N116)="","",INDEX('Per Invoice'!$A$2:$A$801,$N116)))</f>
        <v/>
      </c>
      <c r="B116">
        <f>IF($N116="","",IF(INDEX('Per Invoice'!$B$2:$B$801,$N116)="","",INDEX('Per Invoice'!$B$2:$B$801,$N116)))</f>
        <v/>
      </c>
      <c r="C116">
        <f>IF($N116="","",IF(INDEX('Per Invoice'!$C$2:$C$801,$N116)="","",INDEX('Per Invoice'!$C$2:$C$801,$N116)))</f>
        <v/>
      </c>
      <c r="D116">
        <f>IF($N116="","",IF(INDEX('Per Invoice'!$D$2:$D$801,$N116)="","",INDEX('Per Invoice'!$D$2:$D$801,$N116)))</f>
        <v/>
      </c>
      <c r="E116">
        <f>IF($N116="","",IF(INDEX('Per Invoice'!$E$2:$E$801,$N116)="","",INDEX('Per Invoice'!$E$2:$E$801,$N116)))</f>
        <v/>
      </c>
      <c r="F116">
        <f>IF($N116="","",IF(INDEX('Per Invoice'!$F$2:$F$801,$N116)="","",INDEX('Per Invoice'!$F$2:$F$801,$N116)))</f>
        <v/>
      </c>
      <c r="G116">
        <f>IF($N116="","",IF(INDEX('Per Invoice'!$G$2:$G$801,$N116)="","",INDEX('Per Invoice'!$G$2:$G$801,$N116)))</f>
        <v/>
      </c>
      <c r="H116">
        <f>IF($N116="","",IF(INDEX('Per Invoice'!$H$2:$H$801,$N116)="","",INDEX('Per Invoice'!$H$2:$H$801,$N116)))</f>
        <v/>
      </c>
      <c r="I116" s="5">
        <f>IF($N116="","",IF(INDEX('Per Invoice'!$I$2:$I$801,$N116)="","",INDEX('Per Invoice'!$I$2:$I$801,$N116)))</f>
        <v/>
      </c>
      <c r="J116" s="5">
        <f>IF($N116="","",IF(INDEX('Per Invoice'!$J$2:$J$801,$N116)="","",INDEX('Per Invoice'!$J$2:$J$801,$N116)))</f>
        <v/>
      </c>
      <c r="K116" s="5">
        <f>IF($N116="","",IF(INDEX('Per Invoice'!$K$2:$K$801,$N116)="","",INDEX('Per Invoice'!$K$2:$K$801,$N116)))</f>
        <v/>
      </c>
      <c r="L116" s="5">
        <f>IF($N116="","",IF(INDEX('Per Invoice'!$L$2:$L$801,$N116)="","",INDEX('Per Invoice'!$L$2:$L$801,$N116)))</f>
        <v/>
      </c>
      <c r="M116" s="5">
        <f>IF($N116="","",IF(INDEX('Per Invoice'!$M$2:$M$801,$N116)="","",INDEX('Per Invoice'!$M$2:$M$801,$N116)))</f>
        <v/>
      </c>
      <c r="N116">
        <f>IF(ROWS($N$2:$N116)&lt;=COUNT('Per Invoice'!$P$2:$P$801),MATCH(ROWS($N$2:$N116),'Per Invoice'!$P$2:$P$801,0),"")</f>
        <v/>
      </c>
    </row>
    <row r="117">
      <c r="A117">
        <f>IF($N117="","",IF(INDEX('Per Invoice'!$A$2:$A$801,$N117)="","",INDEX('Per Invoice'!$A$2:$A$801,$N117)))</f>
        <v/>
      </c>
      <c r="B117">
        <f>IF($N117="","",IF(INDEX('Per Invoice'!$B$2:$B$801,$N117)="","",INDEX('Per Invoice'!$B$2:$B$801,$N117)))</f>
        <v/>
      </c>
      <c r="C117">
        <f>IF($N117="","",IF(INDEX('Per Invoice'!$C$2:$C$801,$N117)="","",INDEX('Per Invoice'!$C$2:$C$801,$N117)))</f>
        <v/>
      </c>
      <c r="D117">
        <f>IF($N117="","",IF(INDEX('Per Invoice'!$D$2:$D$801,$N117)="","",INDEX('Per Invoice'!$D$2:$D$801,$N117)))</f>
        <v/>
      </c>
      <c r="E117">
        <f>IF($N117="","",IF(INDEX('Per Invoice'!$E$2:$E$801,$N117)="","",INDEX('Per Invoice'!$E$2:$E$801,$N117)))</f>
        <v/>
      </c>
      <c r="F117">
        <f>IF($N117="","",IF(INDEX('Per Invoice'!$F$2:$F$801,$N117)="","",INDEX('Per Invoice'!$F$2:$F$801,$N117)))</f>
        <v/>
      </c>
      <c r="G117">
        <f>IF($N117="","",IF(INDEX('Per Invoice'!$G$2:$G$801,$N117)="","",INDEX('Per Invoice'!$G$2:$G$801,$N117)))</f>
        <v/>
      </c>
      <c r="H117">
        <f>IF($N117="","",IF(INDEX('Per Invoice'!$H$2:$H$801,$N117)="","",INDEX('Per Invoice'!$H$2:$H$801,$N117)))</f>
        <v/>
      </c>
      <c r="I117" s="5">
        <f>IF($N117="","",IF(INDEX('Per Invoice'!$I$2:$I$801,$N117)="","",INDEX('Per Invoice'!$I$2:$I$801,$N117)))</f>
        <v/>
      </c>
      <c r="J117" s="5">
        <f>IF($N117="","",IF(INDEX('Per Invoice'!$J$2:$J$801,$N117)="","",INDEX('Per Invoice'!$J$2:$J$801,$N117)))</f>
        <v/>
      </c>
      <c r="K117" s="5">
        <f>IF($N117="","",IF(INDEX('Per Invoice'!$K$2:$K$801,$N117)="","",INDEX('Per Invoice'!$K$2:$K$801,$N117)))</f>
        <v/>
      </c>
      <c r="L117" s="5">
        <f>IF($N117="","",IF(INDEX('Per Invoice'!$L$2:$L$801,$N117)="","",INDEX('Per Invoice'!$L$2:$L$801,$N117)))</f>
        <v/>
      </c>
      <c r="M117" s="5">
        <f>IF($N117="","",IF(INDEX('Per Invoice'!$M$2:$M$801,$N117)="","",INDEX('Per Invoice'!$M$2:$M$801,$N117)))</f>
        <v/>
      </c>
      <c r="N117">
        <f>IF(ROWS($N$2:$N117)&lt;=COUNT('Per Invoice'!$P$2:$P$801),MATCH(ROWS($N$2:$N117),'Per Invoice'!$P$2:$P$801,0),"")</f>
        <v/>
      </c>
    </row>
    <row r="118">
      <c r="A118">
        <f>IF($N118="","",IF(INDEX('Per Invoice'!$A$2:$A$801,$N118)="","",INDEX('Per Invoice'!$A$2:$A$801,$N118)))</f>
        <v/>
      </c>
      <c r="B118">
        <f>IF($N118="","",IF(INDEX('Per Invoice'!$B$2:$B$801,$N118)="","",INDEX('Per Invoice'!$B$2:$B$801,$N118)))</f>
        <v/>
      </c>
      <c r="C118">
        <f>IF($N118="","",IF(INDEX('Per Invoice'!$C$2:$C$801,$N118)="","",INDEX('Per Invoice'!$C$2:$C$801,$N118)))</f>
        <v/>
      </c>
      <c r="D118">
        <f>IF($N118="","",IF(INDEX('Per Invoice'!$D$2:$D$801,$N118)="","",INDEX('Per Invoice'!$D$2:$D$801,$N118)))</f>
        <v/>
      </c>
      <c r="E118">
        <f>IF($N118="","",IF(INDEX('Per Invoice'!$E$2:$E$801,$N118)="","",INDEX('Per Invoice'!$E$2:$E$801,$N118)))</f>
        <v/>
      </c>
      <c r="F118">
        <f>IF($N118="","",IF(INDEX('Per Invoice'!$F$2:$F$801,$N118)="","",INDEX('Per Invoice'!$F$2:$F$801,$N118)))</f>
        <v/>
      </c>
      <c r="G118">
        <f>IF($N118="","",IF(INDEX('Per Invoice'!$G$2:$G$801,$N118)="","",INDEX('Per Invoice'!$G$2:$G$801,$N118)))</f>
        <v/>
      </c>
      <c r="H118">
        <f>IF($N118="","",IF(INDEX('Per Invoice'!$H$2:$H$801,$N118)="","",INDEX('Per Invoice'!$H$2:$H$801,$N118)))</f>
        <v/>
      </c>
      <c r="I118" s="5">
        <f>IF($N118="","",IF(INDEX('Per Invoice'!$I$2:$I$801,$N118)="","",INDEX('Per Invoice'!$I$2:$I$801,$N118)))</f>
        <v/>
      </c>
      <c r="J118" s="5">
        <f>IF($N118="","",IF(INDEX('Per Invoice'!$J$2:$J$801,$N118)="","",INDEX('Per Invoice'!$J$2:$J$801,$N118)))</f>
        <v/>
      </c>
      <c r="K118" s="5">
        <f>IF($N118="","",IF(INDEX('Per Invoice'!$K$2:$K$801,$N118)="","",INDEX('Per Invoice'!$K$2:$K$801,$N118)))</f>
        <v/>
      </c>
      <c r="L118" s="5">
        <f>IF($N118="","",IF(INDEX('Per Invoice'!$L$2:$L$801,$N118)="","",INDEX('Per Invoice'!$L$2:$L$801,$N118)))</f>
        <v/>
      </c>
      <c r="M118" s="5">
        <f>IF($N118="","",IF(INDEX('Per Invoice'!$M$2:$M$801,$N118)="","",INDEX('Per Invoice'!$M$2:$M$801,$N118)))</f>
        <v/>
      </c>
      <c r="N118">
        <f>IF(ROWS($N$2:$N118)&lt;=COUNT('Per Invoice'!$P$2:$P$801),MATCH(ROWS($N$2:$N118),'Per Invoice'!$P$2:$P$801,0),"")</f>
        <v/>
      </c>
    </row>
    <row r="119">
      <c r="A119">
        <f>IF($N119="","",IF(INDEX('Per Invoice'!$A$2:$A$801,$N119)="","",INDEX('Per Invoice'!$A$2:$A$801,$N119)))</f>
        <v/>
      </c>
      <c r="B119">
        <f>IF($N119="","",IF(INDEX('Per Invoice'!$B$2:$B$801,$N119)="","",INDEX('Per Invoice'!$B$2:$B$801,$N119)))</f>
        <v/>
      </c>
      <c r="C119">
        <f>IF($N119="","",IF(INDEX('Per Invoice'!$C$2:$C$801,$N119)="","",INDEX('Per Invoice'!$C$2:$C$801,$N119)))</f>
        <v/>
      </c>
      <c r="D119">
        <f>IF($N119="","",IF(INDEX('Per Invoice'!$D$2:$D$801,$N119)="","",INDEX('Per Invoice'!$D$2:$D$801,$N119)))</f>
        <v/>
      </c>
      <c r="E119">
        <f>IF($N119="","",IF(INDEX('Per Invoice'!$E$2:$E$801,$N119)="","",INDEX('Per Invoice'!$E$2:$E$801,$N119)))</f>
        <v/>
      </c>
      <c r="F119">
        <f>IF($N119="","",IF(INDEX('Per Invoice'!$F$2:$F$801,$N119)="","",INDEX('Per Invoice'!$F$2:$F$801,$N119)))</f>
        <v/>
      </c>
      <c r="G119">
        <f>IF($N119="","",IF(INDEX('Per Invoice'!$G$2:$G$801,$N119)="","",INDEX('Per Invoice'!$G$2:$G$801,$N119)))</f>
        <v/>
      </c>
      <c r="H119">
        <f>IF($N119="","",IF(INDEX('Per Invoice'!$H$2:$H$801,$N119)="","",INDEX('Per Invoice'!$H$2:$H$801,$N119)))</f>
        <v/>
      </c>
      <c r="I119" s="5">
        <f>IF($N119="","",IF(INDEX('Per Invoice'!$I$2:$I$801,$N119)="","",INDEX('Per Invoice'!$I$2:$I$801,$N119)))</f>
        <v/>
      </c>
      <c r="J119" s="5">
        <f>IF($N119="","",IF(INDEX('Per Invoice'!$J$2:$J$801,$N119)="","",INDEX('Per Invoice'!$J$2:$J$801,$N119)))</f>
        <v/>
      </c>
      <c r="K119" s="5">
        <f>IF($N119="","",IF(INDEX('Per Invoice'!$K$2:$K$801,$N119)="","",INDEX('Per Invoice'!$K$2:$K$801,$N119)))</f>
        <v/>
      </c>
      <c r="L119" s="5">
        <f>IF($N119="","",IF(INDEX('Per Invoice'!$L$2:$L$801,$N119)="","",INDEX('Per Invoice'!$L$2:$L$801,$N119)))</f>
        <v/>
      </c>
      <c r="M119" s="5">
        <f>IF($N119="","",IF(INDEX('Per Invoice'!$M$2:$M$801,$N119)="","",INDEX('Per Invoice'!$M$2:$M$801,$N119)))</f>
        <v/>
      </c>
      <c r="N119">
        <f>IF(ROWS($N$2:$N119)&lt;=COUNT('Per Invoice'!$P$2:$P$801),MATCH(ROWS($N$2:$N119),'Per Invoice'!$P$2:$P$801,0),"")</f>
        <v/>
      </c>
    </row>
    <row r="120">
      <c r="A120">
        <f>IF($N120="","",IF(INDEX('Per Invoice'!$A$2:$A$801,$N120)="","",INDEX('Per Invoice'!$A$2:$A$801,$N120)))</f>
        <v/>
      </c>
      <c r="B120">
        <f>IF($N120="","",IF(INDEX('Per Invoice'!$B$2:$B$801,$N120)="","",INDEX('Per Invoice'!$B$2:$B$801,$N120)))</f>
        <v/>
      </c>
      <c r="C120">
        <f>IF($N120="","",IF(INDEX('Per Invoice'!$C$2:$C$801,$N120)="","",INDEX('Per Invoice'!$C$2:$C$801,$N120)))</f>
        <v/>
      </c>
      <c r="D120">
        <f>IF($N120="","",IF(INDEX('Per Invoice'!$D$2:$D$801,$N120)="","",INDEX('Per Invoice'!$D$2:$D$801,$N120)))</f>
        <v/>
      </c>
      <c r="E120">
        <f>IF($N120="","",IF(INDEX('Per Invoice'!$E$2:$E$801,$N120)="","",INDEX('Per Invoice'!$E$2:$E$801,$N120)))</f>
        <v/>
      </c>
      <c r="F120">
        <f>IF($N120="","",IF(INDEX('Per Invoice'!$F$2:$F$801,$N120)="","",INDEX('Per Invoice'!$F$2:$F$801,$N120)))</f>
        <v/>
      </c>
      <c r="G120">
        <f>IF($N120="","",IF(INDEX('Per Invoice'!$G$2:$G$801,$N120)="","",INDEX('Per Invoice'!$G$2:$G$801,$N120)))</f>
        <v/>
      </c>
      <c r="H120">
        <f>IF($N120="","",IF(INDEX('Per Invoice'!$H$2:$H$801,$N120)="","",INDEX('Per Invoice'!$H$2:$H$801,$N120)))</f>
        <v/>
      </c>
      <c r="I120" s="5">
        <f>IF($N120="","",IF(INDEX('Per Invoice'!$I$2:$I$801,$N120)="","",INDEX('Per Invoice'!$I$2:$I$801,$N120)))</f>
        <v/>
      </c>
      <c r="J120" s="5">
        <f>IF($N120="","",IF(INDEX('Per Invoice'!$J$2:$J$801,$N120)="","",INDEX('Per Invoice'!$J$2:$J$801,$N120)))</f>
        <v/>
      </c>
      <c r="K120" s="5">
        <f>IF($N120="","",IF(INDEX('Per Invoice'!$K$2:$K$801,$N120)="","",INDEX('Per Invoice'!$K$2:$K$801,$N120)))</f>
        <v/>
      </c>
      <c r="L120" s="5">
        <f>IF($N120="","",IF(INDEX('Per Invoice'!$L$2:$L$801,$N120)="","",INDEX('Per Invoice'!$L$2:$L$801,$N120)))</f>
        <v/>
      </c>
      <c r="M120" s="5">
        <f>IF($N120="","",IF(INDEX('Per Invoice'!$M$2:$M$801,$N120)="","",INDEX('Per Invoice'!$M$2:$M$801,$N120)))</f>
        <v/>
      </c>
      <c r="N120">
        <f>IF(ROWS($N$2:$N120)&lt;=COUNT('Per Invoice'!$P$2:$P$801),MATCH(ROWS($N$2:$N120),'Per Invoice'!$P$2:$P$801,0),"")</f>
        <v/>
      </c>
    </row>
    <row r="121">
      <c r="A121">
        <f>IF($N121="","",IF(INDEX('Per Invoice'!$A$2:$A$801,$N121)="","",INDEX('Per Invoice'!$A$2:$A$801,$N121)))</f>
        <v/>
      </c>
      <c r="B121">
        <f>IF($N121="","",IF(INDEX('Per Invoice'!$B$2:$B$801,$N121)="","",INDEX('Per Invoice'!$B$2:$B$801,$N121)))</f>
        <v/>
      </c>
      <c r="C121">
        <f>IF($N121="","",IF(INDEX('Per Invoice'!$C$2:$C$801,$N121)="","",INDEX('Per Invoice'!$C$2:$C$801,$N121)))</f>
        <v/>
      </c>
      <c r="D121">
        <f>IF($N121="","",IF(INDEX('Per Invoice'!$D$2:$D$801,$N121)="","",INDEX('Per Invoice'!$D$2:$D$801,$N121)))</f>
        <v/>
      </c>
      <c r="E121">
        <f>IF($N121="","",IF(INDEX('Per Invoice'!$E$2:$E$801,$N121)="","",INDEX('Per Invoice'!$E$2:$E$801,$N121)))</f>
        <v/>
      </c>
      <c r="F121">
        <f>IF($N121="","",IF(INDEX('Per Invoice'!$F$2:$F$801,$N121)="","",INDEX('Per Invoice'!$F$2:$F$801,$N121)))</f>
        <v/>
      </c>
      <c r="G121">
        <f>IF($N121="","",IF(INDEX('Per Invoice'!$G$2:$G$801,$N121)="","",INDEX('Per Invoice'!$G$2:$G$801,$N121)))</f>
        <v/>
      </c>
      <c r="H121">
        <f>IF($N121="","",IF(INDEX('Per Invoice'!$H$2:$H$801,$N121)="","",INDEX('Per Invoice'!$H$2:$H$801,$N121)))</f>
        <v/>
      </c>
      <c r="I121" s="5">
        <f>IF($N121="","",IF(INDEX('Per Invoice'!$I$2:$I$801,$N121)="","",INDEX('Per Invoice'!$I$2:$I$801,$N121)))</f>
        <v/>
      </c>
      <c r="J121" s="5">
        <f>IF($N121="","",IF(INDEX('Per Invoice'!$J$2:$J$801,$N121)="","",INDEX('Per Invoice'!$J$2:$J$801,$N121)))</f>
        <v/>
      </c>
      <c r="K121" s="5">
        <f>IF($N121="","",IF(INDEX('Per Invoice'!$K$2:$K$801,$N121)="","",INDEX('Per Invoice'!$K$2:$K$801,$N121)))</f>
        <v/>
      </c>
      <c r="L121" s="5">
        <f>IF($N121="","",IF(INDEX('Per Invoice'!$L$2:$L$801,$N121)="","",INDEX('Per Invoice'!$L$2:$L$801,$N121)))</f>
        <v/>
      </c>
      <c r="M121" s="5">
        <f>IF($N121="","",IF(INDEX('Per Invoice'!$M$2:$M$801,$N121)="","",INDEX('Per Invoice'!$M$2:$M$801,$N121)))</f>
        <v/>
      </c>
      <c r="N121">
        <f>IF(ROWS($N$2:$N121)&lt;=COUNT('Per Invoice'!$P$2:$P$801),MATCH(ROWS($N$2:$N121),'Per Invoice'!$P$2:$P$801,0),"")</f>
        <v/>
      </c>
    </row>
    <row r="122">
      <c r="A122">
        <f>IF($N122="","",IF(INDEX('Per Invoice'!$A$2:$A$801,$N122)="","",INDEX('Per Invoice'!$A$2:$A$801,$N122)))</f>
        <v/>
      </c>
      <c r="B122">
        <f>IF($N122="","",IF(INDEX('Per Invoice'!$B$2:$B$801,$N122)="","",INDEX('Per Invoice'!$B$2:$B$801,$N122)))</f>
        <v/>
      </c>
      <c r="C122">
        <f>IF($N122="","",IF(INDEX('Per Invoice'!$C$2:$C$801,$N122)="","",INDEX('Per Invoice'!$C$2:$C$801,$N122)))</f>
        <v/>
      </c>
      <c r="D122">
        <f>IF($N122="","",IF(INDEX('Per Invoice'!$D$2:$D$801,$N122)="","",INDEX('Per Invoice'!$D$2:$D$801,$N122)))</f>
        <v/>
      </c>
      <c r="E122">
        <f>IF($N122="","",IF(INDEX('Per Invoice'!$E$2:$E$801,$N122)="","",INDEX('Per Invoice'!$E$2:$E$801,$N122)))</f>
        <v/>
      </c>
      <c r="F122">
        <f>IF($N122="","",IF(INDEX('Per Invoice'!$F$2:$F$801,$N122)="","",INDEX('Per Invoice'!$F$2:$F$801,$N122)))</f>
        <v/>
      </c>
      <c r="G122">
        <f>IF($N122="","",IF(INDEX('Per Invoice'!$G$2:$G$801,$N122)="","",INDEX('Per Invoice'!$G$2:$G$801,$N122)))</f>
        <v/>
      </c>
      <c r="H122">
        <f>IF($N122="","",IF(INDEX('Per Invoice'!$H$2:$H$801,$N122)="","",INDEX('Per Invoice'!$H$2:$H$801,$N122)))</f>
        <v/>
      </c>
      <c r="I122" s="5">
        <f>IF($N122="","",IF(INDEX('Per Invoice'!$I$2:$I$801,$N122)="","",INDEX('Per Invoice'!$I$2:$I$801,$N122)))</f>
        <v/>
      </c>
      <c r="J122" s="5">
        <f>IF($N122="","",IF(INDEX('Per Invoice'!$J$2:$J$801,$N122)="","",INDEX('Per Invoice'!$J$2:$J$801,$N122)))</f>
        <v/>
      </c>
      <c r="K122" s="5">
        <f>IF($N122="","",IF(INDEX('Per Invoice'!$K$2:$K$801,$N122)="","",INDEX('Per Invoice'!$K$2:$K$801,$N122)))</f>
        <v/>
      </c>
      <c r="L122" s="5">
        <f>IF($N122="","",IF(INDEX('Per Invoice'!$L$2:$L$801,$N122)="","",INDEX('Per Invoice'!$L$2:$L$801,$N122)))</f>
        <v/>
      </c>
      <c r="M122" s="5">
        <f>IF($N122="","",IF(INDEX('Per Invoice'!$M$2:$M$801,$N122)="","",INDEX('Per Invoice'!$M$2:$M$801,$N122)))</f>
        <v/>
      </c>
      <c r="N122">
        <f>IF(ROWS($N$2:$N122)&lt;=COUNT('Per Invoice'!$P$2:$P$801),MATCH(ROWS($N$2:$N122),'Per Invoice'!$P$2:$P$801,0),"")</f>
        <v/>
      </c>
    </row>
    <row r="123">
      <c r="A123">
        <f>IF($N123="","",IF(INDEX('Per Invoice'!$A$2:$A$801,$N123)="","",INDEX('Per Invoice'!$A$2:$A$801,$N123)))</f>
        <v/>
      </c>
      <c r="B123">
        <f>IF($N123="","",IF(INDEX('Per Invoice'!$B$2:$B$801,$N123)="","",INDEX('Per Invoice'!$B$2:$B$801,$N123)))</f>
        <v/>
      </c>
      <c r="C123">
        <f>IF($N123="","",IF(INDEX('Per Invoice'!$C$2:$C$801,$N123)="","",INDEX('Per Invoice'!$C$2:$C$801,$N123)))</f>
        <v/>
      </c>
      <c r="D123">
        <f>IF($N123="","",IF(INDEX('Per Invoice'!$D$2:$D$801,$N123)="","",INDEX('Per Invoice'!$D$2:$D$801,$N123)))</f>
        <v/>
      </c>
      <c r="E123">
        <f>IF($N123="","",IF(INDEX('Per Invoice'!$E$2:$E$801,$N123)="","",INDEX('Per Invoice'!$E$2:$E$801,$N123)))</f>
        <v/>
      </c>
      <c r="F123">
        <f>IF($N123="","",IF(INDEX('Per Invoice'!$F$2:$F$801,$N123)="","",INDEX('Per Invoice'!$F$2:$F$801,$N123)))</f>
        <v/>
      </c>
      <c r="G123">
        <f>IF($N123="","",IF(INDEX('Per Invoice'!$G$2:$G$801,$N123)="","",INDEX('Per Invoice'!$G$2:$G$801,$N123)))</f>
        <v/>
      </c>
      <c r="H123">
        <f>IF($N123="","",IF(INDEX('Per Invoice'!$H$2:$H$801,$N123)="","",INDEX('Per Invoice'!$H$2:$H$801,$N123)))</f>
        <v/>
      </c>
      <c r="I123" s="5">
        <f>IF($N123="","",IF(INDEX('Per Invoice'!$I$2:$I$801,$N123)="","",INDEX('Per Invoice'!$I$2:$I$801,$N123)))</f>
        <v/>
      </c>
      <c r="J123" s="5">
        <f>IF($N123="","",IF(INDEX('Per Invoice'!$J$2:$J$801,$N123)="","",INDEX('Per Invoice'!$J$2:$J$801,$N123)))</f>
        <v/>
      </c>
      <c r="K123" s="5">
        <f>IF($N123="","",IF(INDEX('Per Invoice'!$K$2:$K$801,$N123)="","",INDEX('Per Invoice'!$K$2:$K$801,$N123)))</f>
        <v/>
      </c>
      <c r="L123" s="5">
        <f>IF($N123="","",IF(INDEX('Per Invoice'!$L$2:$L$801,$N123)="","",INDEX('Per Invoice'!$L$2:$L$801,$N123)))</f>
        <v/>
      </c>
      <c r="M123" s="5">
        <f>IF($N123="","",IF(INDEX('Per Invoice'!$M$2:$M$801,$N123)="","",INDEX('Per Invoice'!$M$2:$M$801,$N123)))</f>
        <v/>
      </c>
      <c r="N123">
        <f>IF(ROWS($N$2:$N123)&lt;=COUNT('Per Invoice'!$P$2:$P$801),MATCH(ROWS($N$2:$N123),'Per Invoice'!$P$2:$P$801,0),"")</f>
        <v/>
      </c>
    </row>
    <row r="124">
      <c r="A124">
        <f>IF($N124="","",IF(INDEX('Per Invoice'!$A$2:$A$801,$N124)="","",INDEX('Per Invoice'!$A$2:$A$801,$N124)))</f>
        <v/>
      </c>
      <c r="B124">
        <f>IF($N124="","",IF(INDEX('Per Invoice'!$B$2:$B$801,$N124)="","",INDEX('Per Invoice'!$B$2:$B$801,$N124)))</f>
        <v/>
      </c>
      <c r="C124">
        <f>IF($N124="","",IF(INDEX('Per Invoice'!$C$2:$C$801,$N124)="","",INDEX('Per Invoice'!$C$2:$C$801,$N124)))</f>
        <v/>
      </c>
      <c r="D124">
        <f>IF($N124="","",IF(INDEX('Per Invoice'!$D$2:$D$801,$N124)="","",INDEX('Per Invoice'!$D$2:$D$801,$N124)))</f>
        <v/>
      </c>
      <c r="E124">
        <f>IF($N124="","",IF(INDEX('Per Invoice'!$E$2:$E$801,$N124)="","",INDEX('Per Invoice'!$E$2:$E$801,$N124)))</f>
        <v/>
      </c>
      <c r="F124">
        <f>IF($N124="","",IF(INDEX('Per Invoice'!$F$2:$F$801,$N124)="","",INDEX('Per Invoice'!$F$2:$F$801,$N124)))</f>
        <v/>
      </c>
      <c r="G124">
        <f>IF($N124="","",IF(INDEX('Per Invoice'!$G$2:$G$801,$N124)="","",INDEX('Per Invoice'!$G$2:$G$801,$N124)))</f>
        <v/>
      </c>
      <c r="H124">
        <f>IF($N124="","",IF(INDEX('Per Invoice'!$H$2:$H$801,$N124)="","",INDEX('Per Invoice'!$H$2:$H$801,$N124)))</f>
        <v/>
      </c>
      <c r="I124" s="5">
        <f>IF($N124="","",IF(INDEX('Per Invoice'!$I$2:$I$801,$N124)="","",INDEX('Per Invoice'!$I$2:$I$801,$N124)))</f>
        <v/>
      </c>
      <c r="J124" s="5">
        <f>IF($N124="","",IF(INDEX('Per Invoice'!$J$2:$J$801,$N124)="","",INDEX('Per Invoice'!$J$2:$J$801,$N124)))</f>
        <v/>
      </c>
      <c r="K124" s="5">
        <f>IF($N124="","",IF(INDEX('Per Invoice'!$K$2:$K$801,$N124)="","",INDEX('Per Invoice'!$K$2:$K$801,$N124)))</f>
        <v/>
      </c>
      <c r="L124" s="5">
        <f>IF($N124="","",IF(INDEX('Per Invoice'!$L$2:$L$801,$N124)="","",INDEX('Per Invoice'!$L$2:$L$801,$N124)))</f>
        <v/>
      </c>
      <c r="M124" s="5">
        <f>IF($N124="","",IF(INDEX('Per Invoice'!$M$2:$M$801,$N124)="","",INDEX('Per Invoice'!$M$2:$M$801,$N124)))</f>
        <v/>
      </c>
      <c r="N124">
        <f>IF(ROWS($N$2:$N124)&lt;=COUNT('Per Invoice'!$P$2:$P$801),MATCH(ROWS($N$2:$N124),'Per Invoice'!$P$2:$P$801,0),"")</f>
        <v/>
      </c>
    </row>
    <row r="125">
      <c r="A125">
        <f>IF($N125="","",IF(INDEX('Per Invoice'!$A$2:$A$801,$N125)="","",INDEX('Per Invoice'!$A$2:$A$801,$N125)))</f>
        <v/>
      </c>
      <c r="B125">
        <f>IF($N125="","",IF(INDEX('Per Invoice'!$B$2:$B$801,$N125)="","",INDEX('Per Invoice'!$B$2:$B$801,$N125)))</f>
        <v/>
      </c>
      <c r="C125">
        <f>IF($N125="","",IF(INDEX('Per Invoice'!$C$2:$C$801,$N125)="","",INDEX('Per Invoice'!$C$2:$C$801,$N125)))</f>
        <v/>
      </c>
      <c r="D125">
        <f>IF($N125="","",IF(INDEX('Per Invoice'!$D$2:$D$801,$N125)="","",INDEX('Per Invoice'!$D$2:$D$801,$N125)))</f>
        <v/>
      </c>
      <c r="E125">
        <f>IF($N125="","",IF(INDEX('Per Invoice'!$E$2:$E$801,$N125)="","",INDEX('Per Invoice'!$E$2:$E$801,$N125)))</f>
        <v/>
      </c>
      <c r="F125">
        <f>IF($N125="","",IF(INDEX('Per Invoice'!$F$2:$F$801,$N125)="","",INDEX('Per Invoice'!$F$2:$F$801,$N125)))</f>
        <v/>
      </c>
      <c r="G125">
        <f>IF($N125="","",IF(INDEX('Per Invoice'!$G$2:$G$801,$N125)="","",INDEX('Per Invoice'!$G$2:$G$801,$N125)))</f>
        <v/>
      </c>
      <c r="H125">
        <f>IF($N125="","",IF(INDEX('Per Invoice'!$H$2:$H$801,$N125)="","",INDEX('Per Invoice'!$H$2:$H$801,$N125)))</f>
        <v/>
      </c>
      <c r="I125" s="5">
        <f>IF($N125="","",IF(INDEX('Per Invoice'!$I$2:$I$801,$N125)="","",INDEX('Per Invoice'!$I$2:$I$801,$N125)))</f>
        <v/>
      </c>
      <c r="J125" s="5">
        <f>IF($N125="","",IF(INDEX('Per Invoice'!$J$2:$J$801,$N125)="","",INDEX('Per Invoice'!$J$2:$J$801,$N125)))</f>
        <v/>
      </c>
      <c r="K125" s="5">
        <f>IF($N125="","",IF(INDEX('Per Invoice'!$K$2:$K$801,$N125)="","",INDEX('Per Invoice'!$K$2:$K$801,$N125)))</f>
        <v/>
      </c>
      <c r="L125" s="5">
        <f>IF($N125="","",IF(INDEX('Per Invoice'!$L$2:$L$801,$N125)="","",INDEX('Per Invoice'!$L$2:$L$801,$N125)))</f>
        <v/>
      </c>
      <c r="M125" s="5">
        <f>IF($N125="","",IF(INDEX('Per Invoice'!$M$2:$M$801,$N125)="","",INDEX('Per Invoice'!$M$2:$M$801,$N125)))</f>
        <v/>
      </c>
      <c r="N125">
        <f>IF(ROWS($N$2:$N125)&lt;=COUNT('Per Invoice'!$P$2:$P$801),MATCH(ROWS($N$2:$N125),'Per Invoice'!$P$2:$P$801,0),"")</f>
        <v/>
      </c>
    </row>
    <row r="126">
      <c r="A126">
        <f>IF($N126="","",IF(INDEX('Per Invoice'!$A$2:$A$801,$N126)="","",INDEX('Per Invoice'!$A$2:$A$801,$N126)))</f>
        <v/>
      </c>
      <c r="B126">
        <f>IF($N126="","",IF(INDEX('Per Invoice'!$B$2:$B$801,$N126)="","",INDEX('Per Invoice'!$B$2:$B$801,$N126)))</f>
        <v/>
      </c>
      <c r="C126">
        <f>IF($N126="","",IF(INDEX('Per Invoice'!$C$2:$C$801,$N126)="","",INDEX('Per Invoice'!$C$2:$C$801,$N126)))</f>
        <v/>
      </c>
      <c r="D126">
        <f>IF($N126="","",IF(INDEX('Per Invoice'!$D$2:$D$801,$N126)="","",INDEX('Per Invoice'!$D$2:$D$801,$N126)))</f>
        <v/>
      </c>
      <c r="E126">
        <f>IF($N126="","",IF(INDEX('Per Invoice'!$E$2:$E$801,$N126)="","",INDEX('Per Invoice'!$E$2:$E$801,$N126)))</f>
        <v/>
      </c>
      <c r="F126">
        <f>IF($N126="","",IF(INDEX('Per Invoice'!$F$2:$F$801,$N126)="","",INDEX('Per Invoice'!$F$2:$F$801,$N126)))</f>
        <v/>
      </c>
      <c r="G126">
        <f>IF($N126="","",IF(INDEX('Per Invoice'!$G$2:$G$801,$N126)="","",INDEX('Per Invoice'!$G$2:$G$801,$N126)))</f>
        <v/>
      </c>
      <c r="H126">
        <f>IF($N126="","",IF(INDEX('Per Invoice'!$H$2:$H$801,$N126)="","",INDEX('Per Invoice'!$H$2:$H$801,$N126)))</f>
        <v/>
      </c>
      <c r="I126" s="5">
        <f>IF($N126="","",IF(INDEX('Per Invoice'!$I$2:$I$801,$N126)="","",INDEX('Per Invoice'!$I$2:$I$801,$N126)))</f>
        <v/>
      </c>
      <c r="J126" s="5">
        <f>IF($N126="","",IF(INDEX('Per Invoice'!$J$2:$J$801,$N126)="","",INDEX('Per Invoice'!$J$2:$J$801,$N126)))</f>
        <v/>
      </c>
      <c r="K126" s="5">
        <f>IF($N126="","",IF(INDEX('Per Invoice'!$K$2:$K$801,$N126)="","",INDEX('Per Invoice'!$K$2:$K$801,$N126)))</f>
        <v/>
      </c>
      <c r="L126" s="5">
        <f>IF($N126="","",IF(INDEX('Per Invoice'!$L$2:$L$801,$N126)="","",INDEX('Per Invoice'!$L$2:$L$801,$N126)))</f>
        <v/>
      </c>
      <c r="M126" s="5">
        <f>IF($N126="","",IF(INDEX('Per Invoice'!$M$2:$M$801,$N126)="","",INDEX('Per Invoice'!$M$2:$M$801,$N126)))</f>
        <v/>
      </c>
      <c r="N126">
        <f>IF(ROWS($N$2:$N126)&lt;=COUNT('Per Invoice'!$P$2:$P$801),MATCH(ROWS($N$2:$N126),'Per Invoice'!$P$2:$P$801,0),"")</f>
        <v/>
      </c>
    </row>
    <row r="127">
      <c r="A127">
        <f>IF($N127="","",IF(INDEX('Per Invoice'!$A$2:$A$801,$N127)="","",INDEX('Per Invoice'!$A$2:$A$801,$N127)))</f>
        <v/>
      </c>
      <c r="B127">
        <f>IF($N127="","",IF(INDEX('Per Invoice'!$B$2:$B$801,$N127)="","",INDEX('Per Invoice'!$B$2:$B$801,$N127)))</f>
        <v/>
      </c>
      <c r="C127">
        <f>IF($N127="","",IF(INDEX('Per Invoice'!$C$2:$C$801,$N127)="","",INDEX('Per Invoice'!$C$2:$C$801,$N127)))</f>
        <v/>
      </c>
      <c r="D127">
        <f>IF($N127="","",IF(INDEX('Per Invoice'!$D$2:$D$801,$N127)="","",INDEX('Per Invoice'!$D$2:$D$801,$N127)))</f>
        <v/>
      </c>
      <c r="E127">
        <f>IF($N127="","",IF(INDEX('Per Invoice'!$E$2:$E$801,$N127)="","",INDEX('Per Invoice'!$E$2:$E$801,$N127)))</f>
        <v/>
      </c>
      <c r="F127">
        <f>IF($N127="","",IF(INDEX('Per Invoice'!$F$2:$F$801,$N127)="","",INDEX('Per Invoice'!$F$2:$F$801,$N127)))</f>
        <v/>
      </c>
      <c r="G127">
        <f>IF($N127="","",IF(INDEX('Per Invoice'!$G$2:$G$801,$N127)="","",INDEX('Per Invoice'!$G$2:$G$801,$N127)))</f>
        <v/>
      </c>
      <c r="H127">
        <f>IF($N127="","",IF(INDEX('Per Invoice'!$H$2:$H$801,$N127)="","",INDEX('Per Invoice'!$H$2:$H$801,$N127)))</f>
        <v/>
      </c>
      <c r="I127" s="5">
        <f>IF($N127="","",IF(INDEX('Per Invoice'!$I$2:$I$801,$N127)="","",INDEX('Per Invoice'!$I$2:$I$801,$N127)))</f>
        <v/>
      </c>
      <c r="J127" s="5">
        <f>IF($N127="","",IF(INDEX('Per Invoice'!$J$2:$J$801,$N127)="","",INDEX('Per Invoice'!$J$2:$J$801,$N127)))</f>
        <v/>
      </c>
      <c r="K127" s="5">
        <f>IF($N127="","",IF(INDEX('Per Invoice'!$K$2:$K$801,$N127)="","",INDEX('Per Invoice'!$K$2:$K$801,$N127)))</f>
        <v/>
      </c>
      <c r="L127" s="5">
        <f>IF($N127="","",IF(INDEX('Per Invoice'!$L$2:$L$801,$N127)="","",INDEX('Per Invoice'!$L$2:$L$801,$N127)))</f>
        <v/>
      </c>
      <c r="M127" s="5">
        <f>IF($N127="","",IF(INDEX('Per Invoice'!$M$2:$M$801,$N127)="","",INDEX('Per Invoice'!$M$2:$M$801,$N127)))</f>
        <v/>
      </c>
      <c r="N127">
        <f>IF(ROWS($N$2:$N127)&lt;=COUNT('Per Invoice'!$P$2:$P$801),MATCH(ROWS($N$2:$N127),'Per Invoice'!$P$2:$P$801,0),"")</f>
        <v/>
      </c>
    </row>
    <row r="128">
      <c r="A128">
        <f>IF($N128="","",IF(INDEX('Per Invoice'!$A$2:$A$801,$N128)="","",INDEX('Per Invoice'!$A$2:$A$801,$N128)))</f>
        <v/>
      </c>
      <c r="B128">
        <f>IF($N128="","",IF(INDEX('Per Invoice'!$B$2:$B$801,$N128)="","",INDEX('Per Invoice'!$B$2:$B$801,$N128)))</f>
        <v/>
      </c>
      <c r="C128">
        <f>IF($N128="","",IF(INDEX('Per Invoice'!$C$2:$C$801,$N128)="","",INDEX('Per Invoice'!$C$2:$C$801,$N128)))</f>
        <v/>
      </c>
      <c r="D128">
        <f>IF($N128="","",IF(INDEX('Per Invoice'!$D$2:$D$801,$N128)="","",INDEX('Per Invoice'!$D$2:$D$801,$N128)))</f>
        <v/>
      </c>
      <c r="E128">
        <f>IF($N128="","",IF(INDEX('Per Invoice'!$E$2:$E$801,$N128)="","",INDEX('Per Invoice'!$E$2:$E$801,$N128)))</f>
        <v/>
      </c>
      <c r="F128">
        <f>IF($N128="","",IF(INDEX('Per Invoice'!$F$2:$F$801,$N128)="","",INDEX('Per Invoice'!$F$2:$F$801,$N128)))</f>
        <v/>
      </c>
      <c r="G128">
        <f>IF($N128="","",IF(INDEX('Per Invoice'!$G$2:$G$801,$N128)="","",INDEX('Per Invoice'!$G$2:$G$801,$N128)))</f>
        <v/>
      </c>
      <c r="H128">
        <f>IF($N128="","",IF(INDEX('Per Invoice'!$H$2:$H$801,$N128)="","",INDEX('Per Invoice'!$H$2:$H$801,$N128)))</f>
        <v/>
      </c>
      <c r="I128" s="5">
        <f>IF($N128="","",IF(INDEX('Per Invoice'!$I$2:$I$801,$N128)="","",INDEX('Per Invoice'!$I$2:$I$801,$N128)))</f>
        <v/>
      </c>
      <c r="J128" s="5">
        <f>IF($N128="","",IF(INDEX('Per Invoice'!$J$2:$J$801,$N128)="","",INDEX('Per Invoice'!$J$2:$J$801,$N128)))</f>
        <v/>
      </c>
      <c r="K128" s="5">
        <f>IF($N128="","",IF(INDEX('Per Invoice'!$K$2:$K$801,$N128)="","",INDEX('Per Invoice'!$K$2:$K$801,$N128)))</f>
        <v/>
      </c>
      <c r="L128" s="5">
        <f>IF($N128="","",IF(INDEX('Per Invoice'!$L$2:$L$801,$N128)="","",INDEX('Per Invoice'!$L$2:$L$801,$N128)))</f>
        <v/>
      </c>
      <c r="M128" s="5">
        <f>IF($N128="","",IF(INDEX('Per Invoice'!$M$2:$M$801,$N128)="","",INDEX('Per Invoice'!$M$2:$M$801,$N128)))</f>
        <v/>
      </c>
      <c r="N128">
        <f>IF(ROWS($N$2:$N128)&lt;=COUNT('Per Invoice'!$P$2:$P$801),MATCH(ROWS($N$2:$N128),'Per Invoice'!$P$2:$P$801,0),"")</f>
        <v/>
      </c>
    </row>
    <row r="129">
      <c r="A129">
        <f>IF($N129="","",IF(INDEX('Per Invoice'!$A$2:$A$801,$N129)="","",INDEX('Per Invoice'!$A$2:$A$801,$N129)))</f>
        <v/>
      </c>
      <c r="B129">
        <f>IF($N129="","",IF(INDEX('Per Invoice'!$B$2:$B$801,$N129)="","",INDEX('Per Invoice'!$B$2:$B$801,$N129)))</f>
        <v/>
      </c>
      <c r="C129">
        <f>IF($N129="","",IF(INDEX('Per Invoice'!$C$2:$C$801,$N129)="","",INDEX('Per Invoice'!$C$2:$C$801,$N129)))</f>
        <v/>
      </c>
      <c r="D129">
        <f>IF($N129="","",IF(INDEX('Per Invoice'!$D$2:$D$801,$N129)="","",INDEX('Per Invoice'!$D$2:$D$801,$N129)))</f>
        <v/>
      </c>
      <c r="E129">
        <f>IF($N129="","",IF(INDEX('Per Invoice'!$E$2:$E$801,$N129)="","",INDEX('Per Invoice'!$E$2:$E$801,$N129)))</f>
        <v/>
      </c>
      <c r="F129">
        <f>IF($N129="","",IF(INDEX('Per Invoice'!$F$2:$F$801,$N129)="","",INDEX('Per Invoice'!$F$2:$F$801,$N129)))</f>
        <v/>
      </c>
      <c r="G129">
        <f>IF($N129="","",IF(INDEX('Per Invoice'!$G$2:$G$801,$N129)="","",INDEX('Per Invoice'!$G$2:$G$801,$N129)))</f>
        <v/>
      </c>
      <c r="H129">
        <f>IF($N129="","",IF(INDEX('Per Invoice'!$H$2:$H$801,$N129)="","",INDEX('Per Invoice'!$H$2:$H$801,$N129)))</f>
        <v/>
      </c>
      <c r="I129" s="5">
        <f>IF($N129="","",IF(INDEX('Per Invoice'!$I$2:$I$801,$N129)="","",INDEX('Per Invoice'!$I$2:$I$801,$N129)))</f>
        <v/>
      </c>
      <c r="J129" s="5">
        <f>IF($N129="","",IF(INDEX('Per Invoice'!$J$2:$J$801,$N129)="","",INDEX('Per Invoice'!$J$2:$J$801,$N129)))</f>
        <v/>
      </c>
      <c r="K129" s="5">
        <f>IF($N129="","",IF(INDEX('Per Invoice'!$K$2:$K$801,$N129)="","",INDEX('Per Invoice'!$K$2:$K$801,$N129)))</f>
        <v/>
      </c>
      <c r="L129" s="5">
        <f>IF($N129="","",IF(INDEX('Per Invoice'!$L$2:$L$801,$N129)="","",INDEX('Per Invoice'!$L$2:$L$801,$N129)))</f>
        <v/>
      </c>
      <c r="M129" s="5">
        <f>IF($N129="","",IF(INDEX('Per Invoice'!$M$2:$M$801,$N129)="","",INDEX('Per Invoice'!$M$2:$M$801,$N129)))</f>
        <v/>
      </c>
      <c r="N129">
        <f>IF(ROWS($N$2:$N129)&lt;=COUNT('Per Invoice'!$P$2:$P$801),MATCH(ROWS($N$2:$N129),'Per Invoice'!$P$2:$P$801,0),"")</f>
        <v/>
      </c>
    </row>
    <row r="130">
      <c r="A130">
        <f>IF($N130="","",IF(INDEX('Per Invoice'!$A$2:$A$801,$N130)="","",INDEX('Per Invoice'!$A$2:$A$801,$N130)))</f>
        <v/>
      </c>
      <c r="B130">
        <f>IF($N130="","",IF(INDEX('Per Invoice'!$B$2:$B$801,$N130)="","",INDEX('Per Invoice'!$B$2:$B$801,$N130)))</f>
        <v/>
      </c>
      <c r="C130">
        <f>IF($N130="","",IF(INDEX('Per Invoice'!$C$2:$C$801,$N130)="","",INDEX('Per Invoice'!$C$2:$C$801,$N130)))</f>
        <v/>
      </c>
      <c r="D130">
        <f>IF($N130="","",IF(INDEX('Per Invoice'!$D$2:$D$801,$N130)="","",INDEX('Per Invoice'!$D$2:$D$801,$N130)))</f>
        <v/>
      </c>
      <c r="E130">
        <f>IF($N130="","",IF(INDEX('Per Invoice'!$E$2:$E$801,$N130)="","",INDEX('Per Invoice'!$E$2:$E$801,$N130)))</f>
        <v/>
      </c>
      <c r="F130">
        <f>IF($N130="","",IF(INDEX('Per Invoice'!$F$2:$F$801,$N130)="","",INDEX('Per Invoice'!$F$2:$F$801,$N130)))</f>
        <v/>
      </c>
      <c r="G130">
        <f>IF($N130="","",IF(INDEX('Per Invoice'!$G$2:$G$801,$N130)="","",INDEX('Per Invoice'!$G$2:$G$801,$N130)))</f>
        <v/>
      </c>
      <c r="H130">
        <f>IF($N130="","",IF(INDEX('Per Invoice'!$H$2:$H$801,$N130)="","",INDEX('Per Invoice'!$H$2:$H$801,$N130)))</f>
        <v/>
      </c>
      <c r="I130" s="5">
        <f>IF($N130="","",IF(INDEX('Per Invoice'!$I$2:$I$801,$N130)="","",INDEX('Per Invoice'!$I$2:$I$801,$N130)))</f>
        <v/>
      </c>
      <c r="J130" s="5">
        <f>IF($N130="","",IF(INDEX('Per Invoice'!$J$2:$J$801,$N130)="","",INDEX('Per Invoice'!$J$2:$J$801,$N130)))</f>
        <v/>
      </c>
      <c r="K130" s="5">
        <f>IF($N130="","",IF(INDEX('Per Invoice'!$K$2:$K$801,$N130)="","",INDEX('Per Invoice'!$K$2:$K$801,$N130)))</f>
        <v/>
      </c>
      <c r="L130" s="5">
        <f>IF($N130="","",IF(INDEX('Per Invoice'!$L$2:$L$801,$N130)="","",INDEX('Per Invoice'!$L$2:$L$801,$N130)))</f>
        <v/>
      </c>
      <c r="M130" s="5">
        <f>IF($N130="","",IF(INDEX('Per Invoice'!$M$2:$M$801,$N130)="","",INDEX('Per Invoice'!$M$2:$M$801,$N130)))</f>
        <v/>
      </c>
      <c r="N130">
        <f>IF(ROWS($N$2:$N130)&lt;=COUNT('Per Invoice'!$P$2:$P$801),MATCH(ROWS($N$2:$N130),'Per Invoice'!$P$2:$P$801,0),"")</f>
        <v/>
      </c>
    </row>
    <row r="131">
      <c r="A131">
        <f>IF($N131="","",IF(INDEX('Per Invoice'!$A$2:$A$801,$N131)="","",INDEX('Per Invoice'!$A$2:$A$801,$N131)))</f>
        <v/>
      </c>
      <c r="B131">
        <f>IF($N131="","",IF(INDEX('Per Invoice'!$B$2:$B$801,$N131)="","",INDEX('Per Invoice'!$B$2:$B$801,$N131)))</f>
        <v/>
      </c>
      <c r="C131">
        <f>IF($N131="","",IF(INDEX('Per Invoice'!$C$2:$C$801,$N131)="","",INDEX('Per Invoice'!$C$2:$C$801,$N131)))</f>
        <v/>
      </c>
      <c r="D131">
        <f>IF($N131="","",IF(INDEX('Per Invoice'!$D$2:$D$801,$N131)="","",INDEX('Per Invoice'!$D$2:$D$801,$N131)))</f>
        <v/>
      </c>
      <c r="E131">
        <f>IF($N131="","",IF(INDEX('Per Invoice'!$E$2:$E$801,$N131)="","",INDEX('Per Invoice'!$E$2:$E$801,$N131)))</f>
        <v/>
      </c>
      <c r="F131">
        <f>IF($N131="","",IF(INDEX('Per Invoice'!$F$2:$F$801,$N131)="","",INDEX('Per Invoice'!$F$2:$F$801,$N131)))</f>
        <v/>
      </c>
      <c r="G131">
        <f>IF($N131="","",IF(INDEX('Per Invoice'!$G$2:$G$801,$N131)="","",INDEX('Per Invoice'!$G$2:$G$801,$N131)))</f>
        <v/>
      </c>
      <c r="H131">
        <f>IF($N131="","",IF(INDEX('Per Invoice'!$H$2:$H$801,$N131)="","",INDEX('Per Invoice'!$H$2:$H$801,$N131)))</f>
        <v/>
      </c>
      <c r="I131" s="5">
        <f>IF($N131="","",IF(INDEX('Per Invoice'!$I$2:$I$801,$N131)="","",INDEX('Per Invoice'!$I$2:$I$801,$N131)))</f>
        <v/>
      </c>
      <c r="J131" s="5">
        <f>IF($N131="","",IF(INDEX('Per Invoice'!$J$2:$J$801,$N131)="","",INDEX('Per Invoice'!$J$2:$J$801,$N131)))</f>
        <v/>
      </c>
      <c r="K131" s="5">
        <f>IF($N131="","",IF(INDEX('Per Invoice'!$K$2:$K$801,$N131)="","",INDEX('Per Invoice'!$K$2:$K$801,$N131)))</f>
        <v/>
      </c>
      <c r="L131" s="5">
        <f>IF($N131="","",IF(INDEX('Per Invoice'!$L$2:$L$801,$N131)="","",INDEX('Per Invoice'!$L$2:$L$801,$N131)))</f>
        <v/>
      </c>
      <c r="M131" s="5">
        <f>IF($N131="","",IF(INDEX('Per Invoice'!$M$2:$M$801,$N131)="","",INDEX('Per Invoice'!$M$2:$M$801,$N131)))</f>
        <v/>
      </c>
      <c r="N131">
        <f>IF(ROWS($N$2:$N131)&lt;=COUNT('Per Invoice'!$P$2:$P$801),MATCH(ROWS($N$2:$N131),'Per Invoice'!$P$2:$P$801,0),"")</f>
        <v/>
      </c>
    </row>
    <row r="132">
      <c r="A132">
        <f>IF($N132="","",IF(INDEX('Per Invoice'!$A$2:$A$801,$N132)="","",INDEX('Per Invoice'!$A$2:$A$801,$N132)))</f>
        <v/>
      </c>
      <c r="B132">
        <f>IF($N132="","",IF(INDEX('Per Invoice'!$B$2:$B$801,$N132)="","",INDEX('Per Invoice'!$B$2:$B$801,$N132)))</f>
        <v/>
      </c>
      <c r="C132">
        <f>IF($N132="","",IF(INDEX('Per Invoice'!$C$2:$C$801,$N132)="","",INDEX('Per Invoice'!$C$2:$C$801,$N132)))</f>
        <v/>
      </c>
      <c r="D132">
        <f>IF($N132="","",IF(INDEX('Per Invoice'!$D$2:$D$801,$N132)="","",INDEX('Per Invoice'!$D$2:$D$801,$N132)))</f>
        <v/>
      </c>
      <c r="E132">
        <f>IF($N132="","",IF(INDEX('Per Invoice'!$E$2:$E$801,$N132)="","",INDEX('Per Invoice'!$E$2:$E$801,$N132)))</f>
        <v/>
      </c>
      <c r="F132">
        <f>IF($N132="","",IF(INDEX('Per Invoice'!$F$2:$F$801,$N132)="","",INDEX('Per Invoice'!$F$2:$F$801,$N132)))</f>
        <v/>
      </c>
      <c r="G132">
        <f>IF($N132="","",IF(INDEX('Per Invoice'!$G$2:$G$801,$N132)="","",INDEX('Per Invoice'!$G$2:$G$801,$N132)))</f>
        <v/>
      </c>
      <c r="H132">
        <f>IF($N132="","",IF(INDEX('Per Invoice'!$H$2:$H$801,$N132)="","",INDEX('Per Invoice'!$H$2:$H$801,$N132)))</f>
        <v/>
      </c>
      <c r="I132" s="5">
        <f>IF($N132="","",IF(INDEX('Per Invoice'!$I$2:$I$801,$N132)="","",INDEX('Per Invoice'!$I$2:$I$801,$N132)))</f>
        <v/>
      </c>
      <c r="J132" s="5">
        <f>IF($N132="","",IF(INDEX('Per Invoice'!$J$2:$J$801,$N132)="","",INDEX('Per Invoice'!$J$2:$J$801,$N132)))</f>
        <v/>
      </c>
      <c r="K132" s="5">
        <f>IF($N132="","",IF(INDEX('Per Invoice'!$K$2:$K$801,$N132)="","",INDEX('Per Invoice'!$K$2:$K$801,$N132)))</f>
        <v/>
      </c>
      <c r="L132" s="5">
        <f>IF($N132="","",IF(INDEX('Per Invoice'!$L$2:$L$801,$N132)="","",INDEX('Per Invoice'!$L$2:$L$801,$N132)))</f>
        <v/>
      </c>
      <c r="M132" s="5">
        <f>IF($N132="","",IF(INDEX('Per Invoice'!$M$2:$M$801,$N132)="","",INDEX('Per Invoice'!$M$2:$M$801,$N132)))</f>
        <v/>
      </c>
      <c r="N132">
        <f>IF(ROWS($N$2:$N132)&lt;=COUNT('Per Invoice'!$P$2:$P$801),MATCH(ROWS($N$2:$N132),'Per Invoice'!$P$2:$P$801,0),"")</f>
        <v/>
      </c>
    </row>
    <row r="133">
      <c r="A133">
        <f>IF($N133="","",IF(INDEX('Per Invoice'!$A$2:$A$801,$N133)="","",INDEX('Per Invoice'!$A$2:$A$801,$N133)))</f>
        <v/>
      </c>
      <c r="B133">
        <f>IF($N133="","",IF(INDEX('Per Invoice'!$B$2:$B$801,$N133)="","",INDEX('Per Invoice'!$B$2:$B$801,$N133)))</f>
        <v/>
      </c>
      <c r="C133">
        <f>IF($N133="","",IF(INDEX('Per Invoice'!$C$2:$C$801,$N133)="","",INDEX('Per Invoice'!$C$2:$C$801,$N133)))</f>
        <v/>
      </c>
      <c r="D133">
        <f>IF($N133="","",IF(INDEX('Per Invoice'!$D$2:$D$801,$N133)="","",INDEX('Per Invoice'!$D$2:$D$801,$N133)))</f>
        <v/>
      </c>
      <c r="E133">
        <f>IF($N133="","",IF(INDEX('Per Invoice'!$E$2:$E$801,$N133)="","",INDEX('Per Invoice'!$E$2:$E$801,$N133)))</f>
        <v/>
      </c>
      <c r="F133">
        <f>IF($N133="","",IF(INDEX('Per Invoice'!$F$2:$F$801,$N133)="","",INDEX('Per Invoice'!$F$2:$F$801,$N133)))</f>
        <v/>
      </c>
      <c r="G133">
        <f>IF($N133="","",IF(INDEX('Per Invoice'!$G$2:$G$801,$N133)="","",INDEX('Per Invoice'!$G$2:$G$801,$N133)))</f>
        <v/>
      </c>
      <c r="H133">
        <f>IF($N133="","",IF(INDEX('Per Invoice'!$H$2:$H$801,$N133)="","",INDEX('Per Invoice'!$H$2:$H$801,$N133)))</f>
        <v/>
      </c>
      <c r="I133" s="5">
        <f>IF($N133="","",IF(INDEX('Per Invoice'!$I$2:$I$801,$N133)="","",INDEX('Per Invoice'!$I$2:$I$801,$N133)))</f>
        <v/>
      </c>
      <c r="J133" s="5">
        <f>IF($N133="","",IF(INDEX('Per Invoice'!$J$2:$J$801,$N133)="","",INDEX('Per Invoice'!$J$2:$J$801,$N133)))</f>
        <v/>
      </c>
      <c r="K133" s="5">
        <f>IF($N133="","",IF(INDEX('Per Invoice'!$K$2:$K$801,$N133)="","",INDEX('Per Invoice'!$K$2:$K$801,$N133)))</f>
        <v/>
      </c>
      <c r="L133" s="5">
        <f>IF($N133="","",IF(INDEX('Per Invoice'!$L$2:$L$801,$N133)="","",INDEX('Per Invoice'!$L$2:$L$801,$N133)))</f>
        <v/>
      </c>
      <c r="M133" s="5">
        <f>IF($N133="","",IF(INDEX('Per Invoice'!$M$2:$M$801,$N133)="","",INDEX('Per Invoice'!$M$2:$M$801,$N133)))</f>
        <v/>
      </c>
      <c r="N133">
        <f>IF(ROWS($N$2:$N133)&lt;=COUNT('Per Invoice'!$P$2:$P$801),MATCH(ROWS($N$2:$N133),'Per Invoice'!$P$2:$P$801,0),"")</f>
        <v/>
      </c>
    </row>
    <row r="134">
      <c r="A134">
        <f>IF($N134="","",IF(INDEX('Per Invoice'!$A$2:$A$801,$N134)="","",INDEX('Per Invoice'!$A$2:$A$801,$N134)))</f>
        <v/>
      </c>
      <c r="B134">
        <f>IF($N134="","",IF(INDEX('Per Invoice'!$B$2:$B$801,$N134)="","",INDEX('Per Invoice'!$B$2:$B$801,$N134)))</f>
        <v/>
      </c>
      <c r="C134">
        <f>IF($N134="","",IF(INDEX('Per Invoice'!$C$2:$C$801,$N134)="","",INDEX('Per Invoice'!$C$2:$C$801,$N134)))</f>
        <v/>
      </c>
      <c r="D134">
        <f>IF($N134="","",IF(INDEX('Per Invoice'!$D$2:$D$801,$N134)="","",INDEX('Per Invoice'!$D$2:$D$801,$N134)))</f>
        <v/>
      </c>
      <c r="E134">
        <f>IF($N134="","",IF(INDEX('Per Invoice'!$E$2:$E$801,$N134)="","",INDEX('Per Invoice'!$E$2:$E$801,$N134)))</f>
        <v/>
      </c>
      <c r="F134">
        <f>IF($N134="","",IF(INDEX('Per Invoice'!$F$2:$F$801,$N134)="","",INDEX('Per Invoice'!$F$2:$F$801,$N134)))</f>
        <v/>
      </c>
      <c r="G134">
        <f>IF($N134="","",IF(INDEX('Per Invoice'!$G$2:$G$801,$N134)="","",INDEX('Per Invoice'!$G$2:$G$801,$N134)))</f>
        <v/>
      </c>
      <c r="H134">
        <f>IF($N134="","",IF(INDEX('Per Invoice'!$H$2:$H$801,$N134)="","",INDEX('Per Invoice'!$H$2:$H$801,$N134)))</f>
        <v/>
      </c>
      <c r="I134" s="5">
        <f>IF($N134="","",IF(INDEX('Per Invoice'!$I$2:$I$801,$N134)="","",INDEX('Per Invoice'!$I$2:$I$801,$N134)))</f>
        <v/>
      </c>
      <c r="J134" s="5">
        <f>IF($N134="","",IF(INDEX('Per Invoice'!$J$2:$J$801,$N134)="","",INDEX('Per Invoice'!$J$2:$J$801,$N134)))</f>
        <v/>
      </c>
      <c r="K134" s="5">
        <f>IF($N134="","",IF(INDEX('Per Invoice'!$K$2:$K$801,$N134)="","",INDEX('Per Invoice'!$K$2:$K$801,$N134)))</f>
        <v/>
      </c>
      <c r="L134" s="5">
        <f>IF($N134="","",IF(INDEX('Per Invoice'!$L$2:$L$801,$N134)="","",INDEX('Per Invoice'!$L$2:$L$801,$N134)))</f>
        <v/>
      </c>
      <c r="M134" s="5">
        <f>IF($N134="","",IF(INDEX('Per Invoice'!$M$2:$M$801,$N134)="","",INDEX('Per Invoice'!$M$2:$M$801,$N134)))</f>
        <v/>
      </c>
      <c r="N134">
        <f>IF(ROWS($N$2:$N134)&lt;=COUNT('Per Invoice'!$P$2:$P$801),MATCH(ROWS($N$2:$N134),'Per Invoice'!$P$2:$P$801,0),"")</f>
        <v/>
      </c>
    </row>
    <row r="135">
      <c r="A135">
        <f>IF($N135="","",IF(INDEX('Per Invoice'!$A$2:$A$801,$N135)="","",INDEX('Per Invoice'!$A$2:$A$801,$N135)))</f>
        <v/>
      </c>
      <c r="B135">
        <f>IF($N135="","",IF(INDEX('Per Invoice'!$B$2:$B$801,$N135)="","",INDEX('Per Invoice'!$B$2:$B$801,$N135)))</f>
        <v/>
      </c>
      <c r="C135">
        <f>IF($N135="","",IF(INDEX('Per Invoice'!$C$2:$C$801,$N135)="","",INDEX('Per Invoice'!$C$2:$C$801,$N135)))</f>
        <v/>
      </c>
      <c r="D135">
        <f>IF($N135="","",IF(INDEX('Per Invoice'!$D$2:$D$801,$N135)="","",INDEX('Per Invoice'!$D$2:$D$801,$N135)))</f>
        <v/>
      </c>
      <c r="E135">
        <f>IF($N135="","",IF(INDEX('Per Invoice'!$E$2:$E$801,$N135)="","",INDEX('Per Invoice'!$E$2:$E$801,$N135)))</f>
        <v/>
      </c>
      <c r="F135">
        <f>IF($N135="","",IF(INDEX('Per Invoice'!$F$2:$F$801,$N135)="","",INDEX('Per Invoice'!$F$2:$F$801,$N135)))</f>
        <v/>
      </c>
      <c r="G135">
        <f>IF($N135="","",IF(INDEX('Per Invoice'!$G$2:$G$801,$N135)="","",INDEX('Per Invoice'!$G$2:$G$801,$N135)))</f>
        <v/>
      </c>
      <c r="H135">
        <f>IF($N135="","",IF(INDEX('Per Invoice'!$H$2:$H$801,$N135)="","",INDEX('Per Invoice'!$H$2:$H$801,$N135)))</f>
        <v/>
      </c>
      <c r="I135" s="5">
        <f>IF($N135="","",IF(INDEX('Per Invoice'!$I$2:$I$801,$N135)="","",INDEX('Per Invoice'!$I$2:$I$801,$N135)))</f>
        <v/>
      </c>
      <c r="J135" s="5">
        <f>IF($N135="","",IF(INDEX('Per Invoice'!$J$2:$J$801,$N135)="","",INDEX('Per Invoice'!$J$2:$J$801,$N135)))</f>
        <v/>
      </c>
      <c r="K135" s="5">
        <f>IF($N135="","",IF(INDEX('Per Invoice'!$K$2:$K$801,$N135)="","",INDEX('Per Invoice'!$K$2:$K$801,$N135)))</f>
        <v/>
      </c>
      <c r="L135" s="5">
        <f>IF($N135="","",IF(INDEX('Per Invoice'!$L$2:$L$801,$N135)="","",INDEX('Per Invoice'!$L$2:$L$801,$N135)))</f>
        <v/>
      </c>
      <c r="M135" s="5">
        <f>IF($N135="","",IF(INDEX('Per Invoice'!$M$2:$M$801,$N135)="","",INDEX('Per Invoice'!$M$2:$M$801,$N135)))</f>
        <v/>
      </c>
      <c r="N135">
        <f>IF(ROWS($N$2:$N135)&lt;=COUNT('Per Invoice'!$P$2:$P$801),MATCH(ROWS($N$2:$N135),'Per Invoice'!$P$2:$P$801,0),"")</f>
        <v/>
      </c>
    </row>
    <row r="136">
      <c r="A136">
        <f>IF($N136="","",IF(INDEX('Per Invoice'!$A$2:$A$801,$N136)="","",INDEX('Per Invoice'!$A$2:$A$801,$N136)))</f>
        <v/>
      </c>
      <c r="B136">
        <f>IF($N136="","",IF(INDEX('Per Invoice'!$B$2:$B$801,$N136)="","",INDEX('Per Invoice'!$B$2:$B$801,$N136)))</f>
        <v/>
      </c>
      <c r="C136">
        <f>IF($N136="","",IF(INDEX('Per Invoice'!$C$2:$C$801,$N136)="","",INDEX('Per Invoice'!$C$2:$C$801,$N136)))</f>
        <v/>
      </c>
      <c r="D136">
        <f>IF($N136="","",IF(INDEX('Per Invoice'!$D$2:$D$801,$N136)="","",INDEX('Per Invoice'!$D$2:$D$801,$N136)))</f>
        <v/>
      </c>
      <c r="E136">
        <f>IF($N136="","",IF(INDEX('Per Invoice'!$E$2:$E$801,$N136)="","",INDEX('Per Invoice'!$E$2:$E$801,$N136)))</f>
        <v/>
      </c>
      <c r="F136">
        <f>IF($N136="","",IF(INDEX('Per Invoice'!$F$2:$F$801,$N136)="","",INDEX('Per Invoice'!$F$2:$F$801,$N136)))</f>
        <v/>
      </c>
      <c r="G136">
        <f>IF($N136="","",IF(INDEX('Per Invoice'!$G$2:$G$801,$N136)="","",INDEX('Per Invoice'!$G$2:$G$801,$N136)))</f>
        <v/>
      </c>
      <c r="H136">
        <f>IF($N136="","",IF(INDEX('Per Invoice'!$H$2:$H$801,$N136)="","",INDEX('Per Invoice'!$H$2:$H$801,$N136)))</f>
        <v/>
      </c>
      <c r="I136" s="5">
        <f>IF($N136="","",IF(INDEX('Per Invoice'!$I$2:$I$801,$N136)="","",INDEX('Per Invoice'!$I$2:$I$801,$N136)))</f>
        <v/>
      </c>
      <c r="J136" s="5">
        <f>IF($N136="","",IF(INDEX('Per Invoice'!$J$2:$J$801,$N136)="","",INDEX('Per Invoice'!$J$2:$J$801,$N136)))</f>
        <v/>
      </c>
      <c r="K136" s="5">
        <f>IF($N136="","",IF(INDEX('Per Invoice'!$K$2:$K$801,$N136)="","",INDEX('Per Invoice'!$K$2:$K$801,$N136)))</f>
        <v/>
      </c>
      <c r="L136" s="5">
        <f>IF($N136="","",IF(INDEX('Per Invoice'!$L$2:$L$801,$N136)="","",INDEX('Per Invoice'!$L$2:$L$801,$N136)))</f>
        <v/>
      </c>
      <c r="M136" s="5">
        <f>IF($N136="","",IF(INDEX('Per Invoice'!$M$2:$M$801,$N136)="","",INDEX('Per Invoice'!$M$2:$M$801,$N136)))</f>
        <v/>
      </c>
      <c r="N136">
        <f>IF(ROWS($N$2:$N136)&lt;=COUNT('Per Invoice'!$P$2:$P$801),MATCH(ROWS($N$2:$N136),'Per Invoice'!$P$2:$P$801,0),"")</f>
        <v/>
      </c>
    </row>
    <row r="137">
      <c r="A137">
        <f>IF($N137="","",IF(INDEX('Per Invoice'!$A$2:$A$801,$N137)="","",INDEX('Per Invoice'!$A$2:$A$801,$N137)))</f>
        <v/>
      </c>
      <c r="B137">
        <f>IF($N137="","",IF(INDEX('Per Invoice'!$B$2:$B$801,$N137)="","",INDEX('Per Invoice'!$B$2:$B$801,$N137)))</f>
        <v/>
      </c>
      <c r="C137">
        <f>IF($N137="","",IF(INDEX('Per Invoice'!$C$2:$C$801,$N137)="","",INDEX('Per Invoice'!$C$2:$C$801,$N137)))</f>
        <v/>
      </c>
      <c r="D137">
        <f>IF($N137="","",IF(INDEX('Per Invoice'!$D$2:$D$801,$N137)="","",INDEX('Per Invoice'!$D$2:$D$801,$N137)))</f>
        <v/>
      </c>
      <c r="E137">
        <f>IF($N137="","",IF(INDEX('Per Invoice'!$E$2:$E$801,$N137)="","",INDEX('Per Invoice'!$E$2:$E$801,$N137)))</f>
        <v/>
      </c>
      <c r="F137">
        <f>IF($N137="","",IF(INDEX('Per Invoice'!$F$2:$F$801,$N137)="","",INDEX('Per Invoice'!$F$2:$F$801,$N137)))</f>
        <v/>
      </c>
      <c r="G137">
        <f>IF($N137="","",IF(INDEX('Per Invoice'!$G$2:$G$801,$N137)="","",INDEX('Per Invoice'!$G$2:$G$801,$N137)))</f>
        <v/>
      </c>
      <c r="H137">
        <f>IF($N137="","",IF(INDEX('Per Invoice'!$H$2:$H$801,$N137)="","",INDEX('Per Invoice'!$H$2:$H$801,$N137)))</f>
        <v/>
      </c>
      <c r="I137" s="5">
        <f>IF($N137="","",IF(INDEX('Per Invoice'!$I$2:$I$801,$N137)="","",INDEX('Per Invoice'!$I$2:$I$801,$N137)))</f>
        <v/>
      </c>
      <c r="J137" s="5">
        <f>IF($N137="","",IF(INDEX('Per Invoice'!$J$2:$J$801,$N137)="","",INDEX('Per Invoice'!$J$2:$J$801,$N137)))</f>
        <v/>
      </c>
      <c r="K137" s="5">
        <f>IF($N137="","",IF(INDEX('Per Invoice'!$K$2:$K$801,$N137)="","",INDEX('Per Invoice'!$K$2:$K$801,$N137)))</f>
        <v/>
      </c>
      <c r="L137" s="5">
        <f>IF($N137="","",IF(INDEX('Per Invoice'!$L$2:$L$801,$N137)="","",INDEX('Per Invoice'!$L$2:$L$801,$N137)))</f>
        <v/>
      </c>
      <c r="M137" s="5">
        <f>IF($N137="","",IF(INDEX('Per Invoice'!$M$2:$M$801,$N137)="","",INDEX('Per Invoice'!$M$2:$M$801,$N137)))</f>
        <v/>
      </c>
      <c r="N137">
        <f>IF(ROWS($N$2:$N137)&lt;=COUNT('Per Invoice'!$P$2:$P$801),MATCH(ROWS($N$2:$N137),'Per Invoice'!$P$2:$P$801,0),"")</f>
        <v/>
      </c>
    </row>
    <row r="138">
      <c r="A138">
        <f>IF($N138="","",IF(INDEX('Per Invoice'!$A$2:$A$801,$N138)="","",INDEX('Per Invoice'!$A$2:$A$801,$N138)))</f>
        <v/>
      </c>
      <c r="B138">
        <f>IF($N138="","",IF(INDEX('Per Invoice'!$B$2:$B$801,$N138)="","",INDEX('Per Invoice'!$B$2:$B$801,$N138)))</f>
        <v/>
      </c>
      <c r="C138">
        <f>IF($N138="","",IF(INDEX('Per Invoice'!$C$2:$C$801,$N138)="","",INDEX('Per Invoice'!$C$2:$C$801,$N138)))</f>
        <v/>
      </c>
      <c r="D138">
        <f>IF($N138="","",IF(INDEX('Per Invoice'!$D$2:$D$801,$N138)="","",INDEX('Per Invoice'!$D$2:$D$801,$N138)))</f>
        <v/>
      </c>
      <c r="E138">
        <f>IF($N138="","",IF(INDEX('Per Invoice'!$E$2:$E$801,$N138)="","",INDEX('Per Invoice'!$E$2:$E$801,$N138)))</f>
        <v/>
      </c>
      <c r="F138">
        <f>IF($N138="","",IF(INDEX('Per Invoice'!$F$2:$F$801,$N138)="","",INDEX('Per Invoice'!$F$2:$F$801,$N138)))</f>
        <v/>
      </c>
      <c r="G138">
        <f>IF($N138="","",IF(INDEX('Per Invoice'!$G$2:$G$801,$N138)="","",INDEX('Per Invoice'!$G$2:$G$801,$N138)))</f>
        <v/>
      </c>
      <c r="H138">
        <f>IF($N138="","",IF(INDEX('Per Invoice'!$H$2:$H$801,$N138)="","",INDEX('Per Invoice'!$H$2:$H$801,$N138)))</f>
        <v/>
      </c>
      <c r="I138" s="5">
        <f>IF($N138="","",IF(INDEX('Per Invoice'!$I$2:$I$801,$N138)="","",INDEX('Per Invoice'!$I$2:$I$801,$N138)))</f>
        <v/>
      </c>
      <c r="J138" s="5">
        <f>IF($N138="","",IF(INDEX('Per Invoice'!$J$2:$J$801,$N138)="","",INDEX('Per Invoice'!$J$2:$J$801,$N138)))</f>
        <v/>
      </c>
      <c r="K138" s="5">
        <f>IF($N138="","",IF(INDEX('Per Invoice'!$K$2:$K$801,$N138)="","",INDEX('Per Invoice'!$K$2:$K$801,$N138)))</f>
        <v/>
      </c>
      <c r="L138" s="5">
        <f>IF($N138="","",IF(INDEX('Per Invoice'!$L$2:$L$801,$N138)="","",INDEX('Per Invoice'!$L$2:$L$801,$N138)))</f>
        <v/>
      </c>
      <c r="M138" s="5">
        <f>IF($N138="","",IF(INDEX('Per Invoice'!$M$2:$M$801,$N138)="","",INDEX('Per Invoice'!$M$2:$M$801,$N138)))</f>
        <v/>
      </c>
      <c r="N138">
        <f>IF(ROWS($N$2:$N138)&lt;=COUNT('Per Invoice'!$P$2:$P$801),MATCH(ROWS($N$2:$N138),'Per Invoice'!$P$2:$P$801,0),"")</f>
        <v/>
      </c>
    </row>
    <row r="139">
      <c r="A139">
        <f>IF($N139="","",IF(INDEX('Per Invoice'!$A$2:$A$801,$N139)="","",INDEX('Per Invoice'!$A$2:$A$801,$N139)))</f>
        <v/>
      </c>
      <c r="B139">
        <f>IF($N139="","",IF(INDEX('Per Invoice'!$B$2:$B$801,$N139)="","",INDEX('Per Invoice'!$B$2:$B$801,$N139)))</f>
        <v/>
      </c>
      <c r="C139">
        <f>IF($N139="","",IF(INDEX('Per Invoice'!$C$2:$C$801,$N139)="","",INDEX('Per Invoice'!$C$2:$C$801,$N139)))</f>
        <v/>
      </c>
      <c r="D139">
        <f>IF($N139="","",IF(INDEX('Per Invoice'!$D$2:$D$801,$N139)="","",INDEX('Per Invoice'!$D$2:$D$801,$N139)))</f>
        <v/>
      </c>
      <c r="E139">
        <f>IF($N139="","",IF(INDEX('Per Invoice'!$E$2:$E$801,$N139)="","",INDEX('Per Invoice'!$E$2:$E$801,$N139)))</f>
        <v/>
      </c>
      <c r="F139">
        <f>IF($N139="","",IF(INDEX('Per Invoice'!$F$2:$F$801,$N139)="","",INDEX('Per Invoice'!$F$2:$F$801,$N139)))</f>
        <v/>
      </c>
      <c r="G139">
        <f>IF($N139="","",IF(INDEX('Per Invoice'!$G$2:$G$801,$N139)="","",INDEX('Per Invoice'!$G$2:$G$801,$N139)))</f>
        <v/>
      </c>
      <c r="H139">
        <f>IF($N139="","",IF(INDEX('Per Invoice'!$H$2:$H$801,$N139)="","",INDEX('Per Invoice'!$H$2:$H$801,$N139)))</f>
        <v/>
      </c>
      <c r="I139" s="5">
        <f>IF($N139="","",IF(INDEX('Per Invoice'!$I$2:$I$801,$N139)="","",INDEX('Per Invoice'!$I$2:$I$801,$N139)))</f>
        <v/>
      </c>
      <c r="J139" s="5">
        <f>IF($N139="","",IF(INDEX('Per Invoice'!$J$2:$J$801,$N139)="","",INDEX('Per Invoice'!$J$2:$J$801,$N139)))</f>
        <v/>
      </c>
      <c r="K139" s="5">
        <f>IF($N139="","",IF(INDEX('Per Invoice'!$K$2:$K$801,$N139)="","",INDEX('Per Invoice'!$K$2:$K$801,$N139)))</f>
        <v/>
      </c>
      <c r="L139" s="5">
        <f>IF($N139="","",IF(INDEX('Per Invoice'!$L$2:$L$801,$N139)="","",INDEX('Per Invoice'!$L$2:$L$801,$N139)))</f>
        <v/>
      </c>
      <c r="M139" s="5">
        <f>IF($N139="","",IF(INDEX('Per Invoice'!$M$2:$M$801,$N139)="","",INDEX('Per Invoice'!$M$2:$M$801,$N139)))</f>
        <v/>
      </c>
      <c r="N139">
        <f>IF(ROWS($N$2:$N139)&lt;=COUNT('Per Invoice'!$P$2:$P$801),MATCH(ROWS($N$2:$N139),'Per Invoice'!$P$2:$P$801,0),"")</f>
        <v/>
      </c>
    </row>
    <row r="140">
      <c r="A140">
        <f>IF($N140="","",IF(INDEX('Per Invoice'!$A$2:$A$801,$N140)="","",INDEX('Per Invoice'!$A$2:$A$801,$N140)))</f>
        <v/>
      </c>
      <c r="B140">
        <f>IF($N140="","",IF(INDEX('Per Invoice'!$B$2:$B$801,$N140)="","",INDEX('Per Invoice'!$B$2:$B$801,$N140)))</f>
        <v/>
      </c>
      <c r="C140">
        <f>IF($N140="","",IF(INDEX('Per Invoice'!$C$2:$C$801,$N140)="","",INDEX('Per Invoice'!$C$2:$C$801,$N140)))</f>
        <v/>
      </c>
      <c r="D140">
        <f>IF($N140="","",IF(INDEX('Per Invoice'!$D$2:$D$801,$N140)="","",INDEX('Per Invoice'!$D$2:$D$801,$N140)))</f>
        <v/>
      </c>
      <c r="E140">
        <f>IF($N140="","",IF(INDEX('Per Invoice'!$E$2:$E$801,$N140)="","",INDEX('Per Invoice'!$E$2:$E$801,$N140)))</f>
        <v/>
      </c>
      <c r="F140">
        <f>IF($N140="","",IF(INDEX('Per Invoice'!$F$2:$F$801,$N140)="","",INDEX('Per Invoice'!$F$2:$F$801,$N140)))</f>
        <v/>
      </c>
      <c r="G140">
        <f>IF($N140="","",IF(INDEX('Per Invoice'!$G$2:$G$801,$N140)="","",INDEX('Per Invoice'!$G$2:$G$801,$N140)))</f>
        <v/>
      </c>
      <c r="H140">
        <f>IF($N140="","",IF(INDEX('Per Invoice'!$H$2:$H$801,$N140)="","",INDEX('Per Invoice'!$H$2:$H$801,$N140)))</f>
        <v/>
      </c>
      <c r="I140" s="5">
        <f>IF($N140="","",IF(INDEX('Per Invoice'!$I$2:$I$801,$N140)="","",INDEX('Per Invoice'!$I$2:$I$801,$N140)))</f>
        <v/>
      </c>
      <c r="J140" s="5">
        <f>IF($N140="","",IF(INDEX('Per Invoice'!$J$2:$J$801,$N140)="","",INDEX('Per Invoice'!$J$2:$J$801,$N140)))</f>
        <v/>
      </c>
      <c r="K140" s="5">
        <f>IF($N140="","",IF(INDEX('Per Invoice'!$K$2:$K$801,$N140)="","",INDEX('Per Invoice'!$K$2:$K$801,$N140)))</f>
        <v/>
      </c>
      <c r="L140" s="5">
        <f>IF($N140="","",IF(INDEX('Per Invoice'!$L$2:$L$801,$N140)="","",INDEX('Per Invoice'!$L$2:$L$801,$N140)))</f>
        <v/>
      </c>
      <c r="M140" s="5">
        <f>IF($N140="","",IF(INDEX('Per Invoice'!$M$2:$M$801,$N140)="","",INDEX('Per Invoice'!$M$2:$M$801,$N140)))</f>
        <v/>
      </c>
      <c r="N140">
        <f>IF(ROWS($N$2:$N140)&lt;=COUNT('Per Invoice'!$P$2:$P$801),MATCH(ROWS($N$2:$N140),'Per Invoice'!$P$2:$P$801,0),"")</f>
        <v/>
      </c>
    </row>
    <row r="141">
      <c r="A141">
        <f>IF($N141="","",IF(INDEX('Per Invoice'!$A$2:$A$801,$N141)="","",INDEX('Per Invoice'!$A$2:$A$801,$N141)))</f>
        <v/>
      </c>
      <c r="B141">
        <f>IF($N141="","",IF(INDEX('Per Invoice'!$B$2:$B$801,$N141)="","",INDEX('Per Invoice'!$B$2:$B$801,$N141)))</f>
        <v/>
      </c>
      <c r="C141">
        <f>IF($N141="","",IF(INDEX('Per Invoice'!$C$2:$C$801,$N141)="","",INDEX('Per Invoice'!$C$2:$C$801,$N141)))</f>
        <v/>
      </c>
      <c r="D141">
        <f>IF($N141="","",IF(INDEX('Per Invoice'!$D$2:$D$801,$N141)="","",INDEX('Per Invoice'!$D$2:$D$801,$N141)))</f>
        <v/>
      </c>
      <c r="E141">
        <f>IF($N141="","",IF(INDEX('Per Invoice'!$E$2:$E$801,$N141)="","",INDEX('Per Invoice'!$E$2:$E$801,$N141)))</f>
        <v/>
      </c>
      <c r="F141">
        <f>IF($N141="","",IF(INDEX('Per Invoice'!$F$2:$F$801,$N141)="","",INDEX('Per Invoice'!$F$2:$F$801,$N141)))</f>
        <v/>
      </c>
      <c r="G141">
        <f>IF($N141="","",IF(INDEX('Per Invoice'!$G$2:$G$801,$N141)="","",INDEX('Per Invoice'!$G$2:$G$801,$N141)))</f>
        <v/>
      </c>
      <c r="H141">
        <f>IF($N141="","",IF(INDEX('Per Invoice'!$H$2:$H$801,$N141)="","",INDEX('Per Invoice'!$H$2:$H$801,$N141)))</f>
        <v/>
      </c>
      <c r="I141" s="5">
        <f>IF($N141="","",IF(INDEX('Per Invoice'!$I$2:$I$801,$N141)="","",INDEX('Per Invoice'!$I$2:$I$801,$N141)))</f>
        <v/>
      </c>
      <c r="J141" s="5">
        <f>IF($N141="","",IF(INDEX('Per Invoice'!$J$2:$J$801,$N141)="","",INDEX('Per Invoice'!$J$2:$J$801,$N141)))</f>
        <v/>
      </c>
      <c r="K141" s="5">
        <f>IF($N141="","",IF(INDEX('Per Invoice'!$K$2:$K$801,$N141)="","",INDEX('Per Invoice'!$K$2:$K$801,$N141)))</f>
        <v/>
      </c>
      <c r="L141" s="5">
        <f>IF($N141="","",IF(INDEX('Per Invoice'!$L$2:$L$801,$N141)="","",INDEX('Per Invoice'!$L$2:$L$801,$N141)))</f>
        <v/>
      </c>
      <c r="M141" s="5">
        <f>IF($N141="","",IF(INDEX('Per Invoice'!$M$2:$M$801,$N141)="","",INDEX('Per Invoice'!$M$2:$M$801,$N141)))</f>
        <v/>
      </c>
      <c r="N141">
        <f>IF(ROWS($N$2:$N141)&lt;=COUNT('Per Invoice'!$P$2:$P$801),MATCH(ROWS($N$2:$N141),'Per Invoice'!$P$2:$P$801,0),"")</f>
        <v/>
      </c>
    </row>
    <row r="142">
      <c r="A142">
        <f>IF($N142="","",IF(INDEX('Per Invoice'!$A$2:$A$801,$N142)="","",INDEX('Per Invoice'!$A$2:$A$801,$N142)))</f>
        <v/>
      </c>
      <c r="B142">
        <f>IF($N142="","",IF(INDEX('Per Invoice'!$B$2:$B$801,$N142)="","",INDEX('Per Invoice'!$B$2:$B$801,$N142)))</f>
        <v/>
      </c>
      <c r="C142">
        <f>IF($N142="","",IF(INDEX('Per Invoice'!$C$2:$C$801,$N142)="","",INDEX('Per Invoice'!$C$2:$C$801,$N142)))</f>
        <v/>
      </c>
      <c r="D142">
        <f>IF($N142="","",IF(INDEX('Per Invoice'!$D$2:$D$801,$N142)="","",INDEX('Per Invoice'!$D$2:$D$801,$N142)))</f>
        <v/>
      </c>
      <c r="E142">
        <f>IF($N142="","",IF(INDEX('Per Invoice'!$E$2:$E$801,$N142)="","",INDEX('Per Invoice'!$E$2:$E$801,$N142)))</f>
        <v/>
      </c>
      <c r="F142">
        <f>IF($N142="","",IF(INDEX('Per Invoice'!$F$2:$F$801,$N142)="","",INDEX('Per Invoice'!$F$2:$F$801,$N142)))</f>
        <v/>
      </c>
      <c r="G142">
        <f>IF($N142="","",IF(INDEX('Per Invoice'!$G$2:$G$801,$N142)="","",INDEX('Per Invoice'!$G$2:$G$801,$N142)))</f>
        <v/>
      </c>
      <c r="H142">
        <f>IF($N142="","",IF(INDEX('Per Invoice'!$H$2:$H$801,$N142)="","",INDEX('Per Invoice'!$H$2:$H$801,$N142)))</f>
        <v/>
      </c>
      <c r="I142" s="5">
        <f>IF($N142="","",IF(INDEX('Per Invoice'!$I$2:$I$801,$N142)="","",INDEX('Per Invoice'!$I$2:$I$801,$N142)))</f>
        <v/>
      </c>
      <c r="J142" s="5">
        <f>IF($N142="","",IF(INDEX('Per Invoice'!$J$2:$J$801,$N142)="","",INDEX('Per Invoice'!$J$2:$J$801,$N142)))</f>
        <v/>
      </c>
      <c r="K142" s="5">
        <f>IF($N142="","",IF(INDEX('Per Invoice'!$K$2:$K$801,$N142)="","",INDEX('Per Invoice'!$K$2:$K$801,$N142)))</f>
        <v/>
      </c>
      <c r="L142" s="5">
        <f>IF($N142="","",IF(INDEX('Per Invoice'!$L$2:$L$801,$N142)="","",INDEX('Per Invoice'!$L$2:$L$801,$N142)))</f>
        <v/>
      </c>
      <c r="M142" s="5">
        <f>IF($N142="","",IF(INDEX('Per Invoice'!$M$2:$M$801,$N142)="","",INDEX('Per Invoice'!$M$2:$M$801,$N142)))</f>
        <v/>
      </c>
      <c r="N142">
        <f>IF(ROWS($N$2:$N142)&lt;=COUNT('Per Invoice'!$P$2:$P$801),MATCH(ROWS($N$2:$N142),'Per Invoice'!$P$2:$P$801,0),"")</f>
        <v/>
      </c>
    </row>
    <row r="143">
      <c r="A143">
        <f>IF($N143="","",IF(INDEX('Per Invoice'!$A$2:$A$801,$N143)="","",INDEX('Per Invoice'!$A$2:$A$801,$N143)))</f>
        <v/>
      </c>
      <c r="B143">
        <f>IF($N143="","",IF(INDEX('Per Invoice'!$B$2:$B$801,$N143)="","",INDEX('Per Invoice'!$B$2:$B$801,$N143)))</f>
        <v/>
      </c>
      <c r="C143">
        <f>IF($N143="","",IF(INDEX('Per Invoice'!$C$2:$C$801,$N143)="","",INDEX('Per Invoice'!$C$2:$C$801,$N143)))</f>
        <v/>
      </c>
      <c r="D143">
        <f>IF($N143="","",IF(INDEX('Per Invoice'!$D$2:$D$801,$N143)="","",INDEX('Per Invoice'!$D$2:$D$801,$N143)))</f>
        <v/>
      </c>
      <c r="E143">
        <f>IF($N143="","",IF(INDEX('Per Invoice'!$E$2:$E$801,$N143)="","",INDEX('Per Invoice'!$E$2:$E$801,$N143)))</f>
        <v/>
      </c>
      <c r="F143">
        <f>IF($N143="","",IF(INDEX('Per Invoice'!$F$2:$F$801,$N143)="","",INDEX('Per Invoice'!$F$2:$F$801,$N143)))</f>
        <v/>
      </c>
      <c r="G143">
        <f>IF($N143="","",IF(INDEX('Per Invoice'!$G$2:$G$801,$N143)="","",INDEX('Per Invoice'!$G$2:$G$801,$N143)))</f>
        <v/>
      </c>
      <c r="H143">
        <f>IF($N143="","",IF(INDEX('Per Invoice'!$H$2:$H$801,$N143)="","",INDEX('Per Invoice'!$H$2:$H$801,$N143)))</f>
        <v/>
      </c>
      <c r="I143" s="5">
        <f>IF($N143="","",IF(INDEX('Per Invoice'!$I$2:$I$801,$N143)="","",INDEX('Per Invoice'!$I$2:$I$801,$N143)))</f>
        <v/>
      </c>
      <c r="J143" s="5">
        <f>IF($N143="","",IF(INDEX('Per Invoice'!$J$2:$J$801,$N143)="","",INDEX('Per Invoice'!$J$2:$J$801,$N143)))</f>
        <v/>
      </c>
      <c r="K143" s="5">
        <f>IF($N143="","",IF(INDEX('Per Invoice'!$K$2:$K$801,$N143)="","",INDEX('Per Invoice'!$K$2:$K$801,$N143)))</f>
        <v/>
      </c>
      <c r="L143" s="5">
        <f>IF($N143="","",IF(INDEX('Per Invoice'!$L$2:$L$801,$N143)="","",INDEX('Per Invoice'!$L$2:$L$801,$N143)))</f>
        <v/>
      </c>
      <c r="M143" s="5">
        <f>IF($N143="","",IF(INDEX('Per Invoice'!$M$2:$M$801,$N143)="","",INDEX('Per Invoice'!$M$2:$M$801,$N143)))</f>
        <v/>
      </c>
      <c r="N143">
        <f>IF(ROWS($N$2:$N143)&lt;=COUNT('Per Invoice'!$P$2:$P$801),MATCH(ROWS($N$2:$N143),'Per Invoice'!$P$2:$P$801,0),"")</f>
        <v/>
      </c>
    </row>
    <row r="144">
      <c r="A144">
        <f>IF($N144="","",IF(INDEX('Per Invoice'!$A$2:$A$801,$N144)="","",INDEX('Per Invoice'!$A$2:$A$801,$N144)))</f>
        <v/>
      </c>
      <c r="B144">
        <f>IF($N144="","",IF(INDEX('Per Invoice'!$B$2:$B$801,$N144)="","",INDEX('Per Invoice'!$B$2:$B$801,$N144)))</f>
        <v/>
      </c>
      <c r="C144">
        <f>IF($N144="","",IF(INDEX('Per Invoice'!$C$2:$C$801,$N144)="","",INDEX('Per Invoice'!$C$2:$C$801,$N144)))</f>
        <v/>
      </c>
      <c r="D144">
        <f>IF($N144="","",IF(INDEX('Per Invoice'!$D$2:$D$801,$N144)="","",INDEX('Per Invoice'!$D$2:$D$801,$N144)))</f>
        <v/>
      </c>
      <c r="E144">
        <f>IF($N144="","",IF(INDEX('Per Invoice'!$E$2:$E$801,$N144)="","",INDEX('Per Invoice'!$E$2:$E$801,$N144)))</f>
        <v/>
      </c>
      <c r="F144">
        <f>IF($N144="","",IF(INDEX('Per Invoice'!$F$2:$F$801,$N144)="","",INDEX('Per Invoice'!$F$2:$F$801,$N144)))</f>
        <v/>
      </c>
      <c r="G144">
        <f>IF($N144="","",IF(INDEX('Per Invoice'!$G$2:$G$801,$N144)="","",INDEX('Per Invoice'!$G$2:$G$801,$N144)))</f>
        <v/>
      </c>
      <c r="H144">
        <f>IF($N144="","",IF(INDEX('Per Invoice'!$H$2:$H$801,$N144)="","",INDEX('Per Invoice'!$H$2:$H$801,$N144)))</f>
        <v/>
      </c>
      <c r="I144" s="5">
        <f>IF($N144="","",IF(INDEX('Per Invoice'!$I$2:$I$801,$N144)="","",INDEX('Per Invoice'!$I$2:$I$801,$N144)))</f>
        <v/>
      </c>
      <c r="J144" s="5">
        <f>IF($N144="","",IF(INDEX('Per Invoice'!$J$2:$J$801,$N144)="","",INDEX('Per Invoice'!$J$2:$J$801,$N144)))</f>
        <v/>
      </c>
      <c r="K144" s="5">
        <f>IF($N144="","",IF(INDEX('Per Invoice'!$K$2:$K$801,$N144)="","",INDEX('Per Invoice'!$K$2:$K$801,$N144)))</f>
        <v/>
      </c>
      <c r="L144" s="5">
        <f>IF($N144="","",IF(INDEX('Per Invoice'!$L$2:$L$801,$N144)="","",INDEX('Per Invoice'!$L$2:$L$801,$N144)))</f>
        <v/>
      </c>
      <c r="M144" s="5">
        <f>IF($N144="","",IF(INDEX('Per Invoice'!$M$2:$M$801,$N144)="","",INDEX('Per Invoice'!$M$2:$M$801,$N144)))</f>
        <v/>
      </c>
      <c r="N144">
        <f>IF(ROWS($N$2:$N144)&lt;=COUNT('Per Invoice'!$P$2:$P$801),MATCH(ROWS($N$2:$N144),'Per Invoice'!$P$2:$P$801,0),"")</f>
        <v/>
      </c>
    </row>
    <row r="145">
      <c r="A145">
        <f>IF($N145="","",IF(INDEX('Per Invoice'!$A$2:$A$801,$N145)="","",INDEX('Per Invoice'!$A$2:$A$801,$N145)))</f>
        <v/>
      </c>
      <c r="B145">
        <f>IF($N145="","",IF(INDEX('Per Invoice'!$B$2:$B$801,$N145)="","",INDEX('Per Invoice'!$B$2:$B$801,$N145)))</f>
        <v/>
      </c>
      <c r="C145">
        <f>IF($N145="","",IF(INDEX('Per Invoice'!$C$2:$C$801,$N145)="","",INDEX('Per Invoice'!$C$2:$C$801,$N145)))</f>
        <v/>
      </c>
      <c r="D145">
        <f>IF($N145="","",IF(INDEX('Per Invoice'!$D$2:$D$801,$N145)="","",INDEX('Per Invoice'!$D$2:$D$801,$N145)))</f>
        <v/>
      </c>
      <c r="E145">
        <f>IF($N145="","",IF(INDEX('Per Invoice'!$E$2:$E$801,$N145)="","",INDEX('Per Invoice'!$E$2:$E$801,$N145)))</f>
        <v/>
      </c>
      <c r="F145">
        <f>IF($N145="","",IF(INDEX('Per Invoice'!$F$2:$F$801,$N145)="","",INDEX('Per Invoice'!$F$2:$F$801,$N145)))</f>
        <v/>
      </c>
      <c r="G145">
        <f>IF($N145="","",IF(INDEX('Per Invoice'!$G$2:$G$801,$N145)="","",INDEX('Per Invoice'!$G$2:$G$801,$N145)))</f>
        <v/>
      </c>
      <c r="H145">
        <f>IF($N145="","",IF(INDEX('Per Invoice'!$H$2:$H$801,$N145)="","",INDEX('Per Invoice'!$H$2:$H$801,$N145)))</f>
        <v/>
      </c>
      <c r="I145" s="5">
        <f>IF($N145="","",IF(INDEX('Per Invoice'!$I$2:$I$801,$N145)="","",INDEX('Per Invoice'!$I$2:$I$801,$N145)))</f>
        <v/>
      </c>
      <c r="J145" s="5">
        <f>IF($N145="","",IF(INDEX('Per Invoice'!$J$2:$J$801,$N145)="","",INDEX('Per Invoice'!$J$2:$J$801,$N145)))</f>
        <v/>
      </c>
      <c r="K145" s="5">
        <f>IF($N145="","",IF(INDEX('Per Invoice'!$K$2:$K$801,$N145)="","",INDEX('Per Invoice'!$K$2:$K$801,$N145)))</f>
        <v/>
      </c>
      <c r="L145" s="5">
        <f>IF($N145="","",IF(INDEX('Per Invoice'!$L$2:$L$801,$N145)="","",INDEX('Per Invoice'!$L$2:$L$801,$N145)))</f>
        <v/>
      </c>
      <c r="M145" s="5">
        <f>IF($N145="","",IF(INDEX('Per Invoice'!$M$2:$M$801,$N145)="","",INDEX('Per Invoice'!$M$2:$M$801,$N145)))</f>
        <v/>
      </c>
      <c r="N145">
        <f>IF(ROWS($N$2:$N145)&lt;=COUNT('Per Invoice'!$P$2:$P$801),MATCH(ROWS($N$2:$N145),'Per Invoice'!$P$2:$P$801,0),"")</f>
        <v/>
      </c>
    </row>
    <row r="146">
      <c r="A146">
        <f>IF($N146="","",IF(INDEX('Per Invoice'!$A$2:$A$801,$N146)="","",INDEX('Per Invoice'!$A$2:$A$801,$N146)))</f>
        <v/>
      </c>
      <c r="B146">
        <f>IF($N146="","",IF(INDEX('Per Invoice'!$B$2:$B$801,$N146)="","",INDEX('Per Invoice'!$B$2:$B$801,$N146)))</f>
        <v/>
      </c>
      <c r="C146">
        <f>IF($N146="","",IF(INDEX('Per Invoice'!$C$2:$C$801,$N146)="","",INDEX('Per Invoice'!$C$2:$C$801,$N146)))</f>
        <v/>
      </c>
      <c r="D146">
        <f>IF($N146="","",IF(INDEX('Per Invoice'!$D$2:$D$801,$N146)="","",INDEX('Per Invoice'!$D$2:$D$801,$N146)))</f>
        <v/>
      </c>
      <c r="E146">
        <f>IF($N146="","",IF(INDEX('Per Invoice'!$E$2:$E$801,$N146)="","",INDEX('Per Invoice'!$E$2:$E$801,$N146)))</f>
        <v/>
      </c>
      <c r="F146">
        <f>IF($N146="","",IF(INDEX('Per Invoice'!$F$2:$F$801,$N146)="","",INDEX('Per Invoice'!$F$2:$F$801,$N146)))</f>
        <v/>
      </c>
      <c r="G146">
        <f>IF($N146="","",IF(INDEX('Per Invoice'!$G$2:$G$801,$N146)="","",INDEX('Per Invoice'!$G$2:$G$801,$N146)))</f>
        <v/>
      </c>
      <c r="H146">
        <f>IF($N146="","",IF(INDEX('Per Invoice'!$H$2:$H$801,$N146)="","",INDEX('Per Invoice'!$H$2:$H$801,$N146)))</f>
        <v/>
      </c>
      <c r="I146" s="5">
        <f>IF($N146="","",IF(INDEX('Per Invoice'!$I$2:$I$801,$N146)="","",INDEX('Per Invoice'!$I$2:$I$801,$N146)))</f>
        <v/>
      </c>
      <c r="J146" s="5">
        <f>IF($N146="","",IF(INDEX('Per Invoice'!$J$2:$J$801,$N146)="","",INDEX('Per Invoice'!$J$2:$J$801,$N146)))</f>
        <v/>
      </c>
      <c r="K146" s="5">
        <f>IF($N146="","",IF(INDEX('Per Invoice'!$K$2:$K$801,$N146)="","",INDEX('Per Invoice'!$K$2:$K$801,$N146)))</f>
        <v/>
      </c>
      <c r="L146" s="5">
        <f>IF($N146="","",IF(INDEX('Per Invoice'!$L$2:$L$801,$N146)="","",INDEX('Per Invoice'!$L$2:$L$801,$N146)))</f>
        <v/>
      </c>
      <c r="M146" s="5">
        <f>IF($N146="","",IF(INDEX('Per Invoice'!$M$2:$M$801,$N146)="","",INDEX('Per Invoice'!$M$2:$M$801,$N146)))</f>
        <v/>
      </c>
      <c r="N146">
        <f>IF(ROWS($N$2:$N146)&lt;=COUNT('Per Invoice'!$P$2:$P$801),MATCH(ROWS($N$2:$N146),'Per Invoice'!$P$2:$P$801,0),"")</f>
        <v/>
      </c>
    </row>
    <row r="147">
      <c r="A147">
        <f>IF($N147="","",IF(INDEX('Per Invoice'!$A$2:$A$801,$N147)="","",INDEX('Per Invoice'!$A$2:$A$801,$N147)))</f>
        <v/>
      </c>
      <c r="B147">
        <f>IF($N147="","",IF(INDEX('Per Invoice'!$B$2:$B$801,$N147)="","",INDEX('Per Invoice'!$B$2:$B$801,$N147)))</f>
        <v/>
      </c>
      <c r="C147">
        <f>IF($N147="","",IF(INDEX('Per Invoice'!$C$2:$C$801,$N147)="","",INDEX('Per Invoice'!$C$2:$C$801,$N147)))</f>
        <v/>
      </c>
      <c r="D147">
        <f>IF($N147="","",IF(INDEX('Per Invoice'!$D$2:$D$801,$N147)="","",INDEX('Per Invoice'!$D$2:$D$801,$N147)))</f>
        <v/>
      </c>
      <c r="E147">
        <f>IF($N147="","",IF(INDEX('Per Invoice'!$E$2:$E$801,$N147)="","",INDEX('Per Invoice'!$E$2:$E$801,$N147)))</f>
        <v/>
      </c>
      <c r="F147">
        <f>IF($N147="","",IF(INDEX('Per Invoice'!$F$2:$F$801,$N147)="","",INDEX('Per Invoice'!$F$2:$F$801,$N147)))</f>
        <v/>
      </c>
      <c r="G147">
        <f>IF($N147="","",IF(INDEX('Per Invoice'!$G$2:$G$801,$N147)="","",INDEX('Per Invoice'!$G$2:$G$801,$N147)))</f>
        <v/>
      </c>
      <c r="H147">
        <f>IF($N147="","",IF(INDEX('Per Invoice'!$H$2:$H$801,$N147)="","",INDEX('Per Invoice'!$H$2:$H$801,$N147)))</f>
        <v/>
      </c>
      <c r="I147" s="5">
        <f>IF($N147="","",IF(INDEX('Per Invoice'!$I$2:$I$801,$N147)="","",INDEX('Per Invoice'!$I$2:$I$801,$N147)))</f>
        <v/>
      </c>
      <c r="J147" s="5">
        <f>IF($N147="","",IF(INDEX('Per Invoice'!$J$2:$J$801,$N147)="","",INDEX('Per Invoice'!$J$2:$J$801,$N147)))</f>
        <v/>
      </c>
      <c r="K147" s="5">
        <f>IF($N147="","",IF(INDEX('Per Invoice'!$K$2:$K$801,$N147)="","",INDEX('Per Invoice'!$K$2:$K$801,$N147)))</f>
        <v/>
      </c>
      <c r="L147" s="5">
        <f>IF($N147="","",IF(INDEX('Per Invoice'!$L$2:$L$801,$N147)="","",INDEX('Per Invoice'!$L$2:$L$801,$N147)))</f>
        <v/>
      </c>
      <c r="M147" s="5">
        <f>IF($N147="","",IF(INDEX('Per Invoice'!$M$2:$M$801,$N147)="","",INDEX('Per Invoice'!$M$2:$M$801,$N147)))</f>
        <v/>
      </c>
      <c r="N147">
        <f>IF(ROWS($N$2:$N147)&lt;=COUNT('Per Invoice'!$P$2:$P$801),MATCH(ROWS($N$2:$N147),'Per Invoice'!$P$2:$P$801,0),"")</f>
        <v/>
      </c>
    </row>
    <row r="148">
      <c r="A148">
        <f>IF($N148="","",IF(INDEX('Per Invoice'!$A$2:$A$801,$N148)="","",INDEX('Per Invoice'!$A$2:$A$801,$N148)))</f>
        <v/>
      </c>
      <c r="B148">
        <f>IF($N148="","",IF(INDEX('Per Invoice'!$B$2:$B$801,$N148)="","",INDEX('Per Invoice'!$B$2:$B$801,$N148)))</f>
        <v/>
      </c>
      <c r="C148">
        <f>IF($N148="","",IF(INDEX('Per Invoice'!$C$2:$C$801,$N148)="","",INDEX('Per Invoice'!$C$2:$C$801,$N148)))</f>
        <v/>
      </c>
      <c r="D148">
        <f>IF($N148="","",IF(INDEX('Per Invoice'!$D$2:$D$801,$N148)="","",INDEX('Per Invoice'!$D$2:$D$801,$N148)))</f>
        <v/>
      </c>
      <c r="E148">
        <f>IF($N148="","",IF(INDEX('Per Invoice'!$E$2:$E$801,$N148)="","",INDEX('Per Invoice'!$E$2:$E$801,$N148)))</f>
        <v/>
      </c>
      <c r="F148">
        <f>IF($N148="","",IF(INDEX('Per Invoice'!$F$2:$F$801,$N148)="","",INDEX('Per Invoice'!$F$2:$F$801,$N148)))</f>
        <v/>
      </c>
      <c r="G148">
        <f>IF($N148="","",IF(INDEX('Per Invoice'!$G$2:$G$801,$N148)="","",INDEX('Per Invoice'!$G$2:$G$801,$N148)))</f>
        <v/>
      </c>
      <c r="H148">
        <f>IF($N148="","",IF(INDEX('Per Invoice'!$H$2:$H$801,$N148)="","",INDEX('Per Invoice'!$H$2:$H$801,$N148)))</f>
        <v/>
      </c>
      <c r="I148" s="5">
        <f>IF($N148="","",IF(INDEX('Per Invoice'!$I$2:$I$801,$N148)="","",INDEX('Per Invoice'!$I$2:$I$801,$N148)))</f>
        <v/>
      </c>
      <c r="J148" s="5">
        <f>IF($N148="","",IF(INDEX('Per Invoice'!$J$2:$J$801,$N148)="","",INDEX('Per Invoice'!$J$2:$J$801,$N148)))</f>
        <v/>
      </c>
      <c r="K148" s="5">
        <f>IF($N148="","",IF(INDEX('Per Invoice'!$K$2:$K$801,$N148)="","",INDEX('Per Invoice'!$K$2:$K$801,$N148)))</f>
        <v/>
      </c>
      <c r="L148" s="5">
        <f>IF($N148="","",IF(INDEX('Per Invoice'!$L$2:$L$801,$N148)="","",INDEX('Per Invoice'!$L$2:$L$801,$N148)))</f>
        <v/>
      </c>
      <c r="M148" s="5">
        <f>IF($N148="","",IF(INDEX('Per Invoice'!$M$2:$M$801,$N148)="","",INDEX('Per Invoice'!$M$2:$M$801,$N148)))</f>
        <v/>
      </c>
      <c r="N148">
        <f>IF(ROWS($N$2:$N148)&lt;=COUNT('Per Invoice'!$P$2:$P$801),MATCH(ROWS($N$2:$N148),'Per Invoice'!$P$2:$P$801,0),"")</f>
        <v/>
      </c>
    </row>
    <row r="149">
      <c r="A149">
        <f>IF($N149="","",IF(INDEX('Per Invoice'!$A$2:$A$801,$N149)="","",INDEX('Per Invoice'!$A$2:$A$801,$N149)))</f>
        <v/>
      </c>
      <c r="B149">
        <f>IF($N149="","",IF(INDEX('Per Invoice'!$B$2:$B$801,$N149)="","",INDEX('Per Invoice'!$B$2:$B$801,$N149)))</f>
        <v/>
      </c>
      <c r="C149">
        <f>IF($N149="","",IF(INDEX('Per Invoice'!$C$2:$C$801,$N149)="","",INDEX('Per Invoice'!$C$2:$C$801,$N149)))</f>
        <v/>
      </c>
      <c r="D149">
        <f>IF($N149="","",IF(INDEX('Per Invoice'!$D$2:$D$801,$N149)="","",INDEX('Per Invoice'!$D$2:$D$801,$N149)))</f>
        <v/>
      </c>
      <c r="E149">
        <f>IF($N149="","",IF(INDEX('Per Invoice'!$E$2:$E$801,$N149)="","",INDEX('Per Invoice'!$E$2:$E$801,$N149)))</f>
        <v/>
      </c>
      <c r="F149">
        <f>IF($N149="","",IF(INDEX('Per Invoice'!$F$2:$F$801,$N149)="","",INDEX('Per Invoice'!$F$2:$F$801,$N149)))</f>
        <v/>
      </c>
      <c r="G149">
        <f>IF($N149="","",IF(INDEX('Per Invoice'!$G$2:$G$801,$N149)="","",INDEX('Per Invoice'!$G$2:$G$801,$N149)))</f>
        <v/>
      </c>
      <c r="H149">
        <f>IF($N149="","",IF(INDEX('Per Invoice'!$H$2:$H$801,$N149)="","",INDEX('Per Invoice'!$H$2:$H$801,$N149)))</f>
        <v/>
      </c>
      <c r="I149" s="5">
        <f>IF($N149="","",IF(INDEX('Per Invoice'!$I$2:$I$801,$N149)="","",INDEX('Per Invoice'!$I$2:$I$801,$N149)))</f>
        <v/>
      </c>
      <c r="J149" s="5">
        <f>IF($N149="","",IF(INDEX('Per Invoice'!$J$2:$J$801,$N149)="","",INDEX('Per Invoice'!$J$2:$J$801,$N149)))</f>
        <v/>
      </c>
      <c r="K149" s="5">
        <f>IF($N149="","",IF(INDEX('Per Invoice'!$K$2:$K$801,$N149)="","",INDEX('Per Invoice'!$K$2:$K$801,$N149)))</f>
        <v/>
      </c>
      <c r="L149" s="5">
        <f>IF($N149="","",IF(INDEX('Per Invoice'!$L$2:$L$801,$N149)="","",INDEX('Per Invoice'!$L$2:$L$801,$N149)))</f>
        <v/>
      </c>
      <c r="M149" s="5">
        <f>IF($N149="","",IF(INDEX('Per Invoice'!$M$2:$M$801,$N149)="","",INDEX('Per Invoice'!$M$2:$M$801,$N149)))</f>
        <v/>
      </c>
      <c r="N149">
        <f>IF(ROWS($N$2:$N149)&lt;=COUNT('Per Invoice'!$P$2:$P$801),MATCH(ROWS($N$2:$N149),'Per Invoice'!$P$2:$P$801,0),"")</f>
        <v/>
      </c>
    </row>
    <row r="150">
      <c r="A150">
        <f>IF($N150="","",IF(INDEX('Per Invoice'!$A$2:$A$801,$N150)="","",INDEX('Per Invoice'!$A$2:$A$801,$N150)))</f>
        <v/>
      </c>
      <c r="B150">
        <f>IF($N150="","",IF(INDEX('Per Invoice'!$B$2:$B$801,$N150)="","",INDEX('Per Invoice'!$B$2:$B$801,$N150)))</f>
        <v/>
      </c>
      <c r="C150">
        <f>IF($N150="","",IF(INDEX('Per Invoice'!$C$2:$C$801,$N150)="","",INDEX('Per Invoice'!$C$2:$C$801,$N150)))</f>
        <v/>
      </c>
      <c r="D150">
        <f>IF($N150="","",IF(INDEX('Per Invoice'!$D$2:$D$801,$N150)="","",INDEX('Per Invoice'!$D$2:$D$801,$N150)))</f>
        <v/>
      </c>
      <c r="E150">
        <f>IF($N150="","",IF(INDEX('Per Invoice'!$E$2:$E$801,$N150)="","",INDEX('Per Invoice'!$E$2:$E$801,$N150)))</f>
        <v/>
      </c>
      <c r="F150">
        <f>IF($N150="","",IF(INDEX('Per Invoice'!$F$2:$F$801,$N150)="","",INDEX('Per Invoice'!$F$2:$F$801,$N150)))</f>
        <v/>
      </c>
      <c r="G150">
        <f>IF($N150="","",IF(INDEX('Per Invoice'!$G$2:$G$801,$N150)="","",INDEX('Per Invoice'!$G$2:$G$801,$N150)))</f>
        <v/>
      </c>
      <c r="H150">
        <f>IF($N150="","",IF(INDEX('Per Invoice'!$H$2:$H$801,$N150)="","",INDEX('Per Invoice'!$H$2:$H$801,$N150)))</f>
        <v/>
      </c>
      <c r="I150" s="5">
        <f>IF($N150="","",IF(INDEX('Per Invoice'!$I$2:$I$801,$N150)="","",INDEX('Per Invoice'!$I$2:$I$801,$N150)))</f>
        <v/>
      </c>
      <c r="J150" s="5">
        <f>IF($N150="","",IF(INDEX('Per Invoice'!$J$2:$J$801,$N150)="","",INDEX('Per Invoice'!$J$2:$J$801,$N150)))</f>
        <v/>
      </c>
      <c r="K150" s="5">
        <f>IF($N150="","",IF(INDEX('Per Invoice'!$K$2:$K$801,$N150)="","",INDEX('Per Invoice'!$K$2:$K$801,$N150)))</f>
        <v/>
      </c>
      <c r="L150" s="5">
        <f>IF($N150="","",IF(INDEX('Per Invoice'!$L$2:$L$801,$N150)="","",INDEX('Per Invoice'!$L$2:$L$801,$N150)))</f>
        <v/>
      </c>
      <c r="M150" s="5">
        <f>IF($N150="","",IF(INDEX('Per Invoice'!$M$2:$M$801,$N150)="","",INDEX('Per Invoice'!$M$2:$M$801,$N150)))</f>
        <v/>
      </c>
      <c r="N150">
        <f>IF(ROWS($N$2:$N150)&lt;=COUNT('Per Invoice'!$P$2:$P$801),MATCH(ROWS($N$2:$N150),'Per Invoice'!$P$2:$P$801,0),"")</f>
        <v/>
      </c>
    </row>
    <row r="151">
      <c r="A151">
        <f>IF($N151="","",IF(INDEX('Per Invoice'!$A$2:$A$801,$N151)="","",INDEX('Per Invoice'!$A$2:$A$801,$N151)))</f>
        <v/>
      </c>
      <c r="B151">
        <f>IF($N151="","",IF(INDEX('Per Invoice'!$B$2:$B$801,$N151)="","",INDEX('Per Invoice'!$B$2:$B$801,$N151)))</f>
        <v/>
      </c>
      <c r="C151">
        <f>IF($N151="","",IF(INDEX('Per Invoice'!$C$2:$C$801,$N151)="","",INDEX('Per Invoice'!$C$2:$C$801,$N151)))</f>
        <v/>
      </c>
      <c r="D151">
        <f>IF($N151="","",IF(INDEX('Per Invoice'!$D$2:$D$801,$N151)="","",INDEX('Per Invoice'!$D$2:$D$801,$N151)))</f>
        <v/>
      </c>
      <c r="E151">
        <f>IF($N151="","",IF(INDEX('Per Invoice'!$E$2:$E$801,$N151)="","",INDEX('Per Invoice'!$E$2:$E$801,$N151)))</f>
        <v/>
      </c>
      <c r="F151">
        <f>IF($N151="","",IF(INDEX('Per Invoice'!$F$2:$F$801,$N151)="","",INDEX('Per Invoice'!$F$2:$F$801,$N151)))</f>
        <v/>
      </c>
      <c r="G151">
        <f>IF($N151="","",IF(INDEX('Per Invoice'!$G$2:$G$801,$N151)="","",INDEX('Per Invoice'!$G$2:$G$801,$N151)))</f>
        <v/>
      </c>
      <c r="H151">
        <f>IF($N151="","",IF(INDEX('Per Invoice'!$H$2:$H$801,$N151)="","",INDEX('Per Invoice'!$H$2:$H$801,$N151)))</f>
        <v/>
      </c>
      <c r="I151" s="5">
        <f>IF($N151="","",IF(INDEX('Per Invoice'!$I$2:$I$801,$N151)="","",INDEX('Per Invoice'!$I$2:$I$801,$N151)))</f>
        <v/>
      </c>
      <c r="J151" s="5">
        <f>IF($N151="","",IF(INDEX('Per Invoice'!$J$2:$J$801,$N151)="","",INDEX('Per Invoice'!$J$2:$J$801,$N151)))</f>
        <v/>
      </c>
      <c r="K151" s="5">
        <f>IF($N151="","",IF(INDEX('Per Invoice'!$K$2:$K$801,$N151)="","",INDEX('Per Invoice'!$K$2:$K$801,$N151)))</f>
        <v/>
      </c>
      <c r="L151" s="5">
        <f>IF($N151="","",IF(INDEX('Per Invoice'!$L$2:$L$801,$N151)="","",INDEX('Per Invoice'!$L$2:$L$801,$N151)))</f>
        <v/>
      </c>
      <c r="M151" s="5">
        <f>IF($N151="","",IF(INDEX('Per Invoice'!$M$2:$M$801,$N151)="","",INDEX('Per Invoice'!$M$2:$M$801,$N151)))</f>
        <v/>
      </c>
      <c r="N151">
        <f>IF(ROWS($N$2:$N151)&lt;=COUNT('Per Invoice'!$P$2:$P$801),MATCH(ROWS($N$2:$N151),'Per Invoice'!$P$2:$P$801,0),"")</f>
        <v/>
      </c>
    </row>
    <row r="152">
      <c r="A152">
        <f>IF($N152="","",IF(INDEX('Per Invoice'!$A$2:$A$801,$N152)="","",INDEX('Per Invoice'!$A$2:$A$801,$N152)))</f>
        <v/>
      </c>
      <c r="B152">
        <f>IF($N152="","",IF(INDEX('Per Invoice'!$B$2:$B$801,$N152)="","",INDEX('Per Invoice'!$B$2:$B$801,$N152)))</f>
        <v/>
      </c>
      <c r="C152">
        <f>IF($N152="","",IF(INDEX('Per Invoice'!$C$2:$C$801,$N152)="","",INDEX('Per Invoice'!$C$2:$C$801,$N152)))</f>
        <v/>
      </c>
      <c r="D152">
        <f>IF($N152="","",IF(INDEX('Per Invoice'!$D$2:$D$801,$N152)="","",INDEX('Per Invoice'!$D$2:$D$801,$N152)))</f>
        <v/>
      </c>
      <c r="E152">
        <f>IF($N152="","",IF(INDEX('Per Invoice'!$E$2:$E$801,$N152)="","",INDEX('Per Invoice'!$E$2:$E$801,$N152)))</f>
        <v/>
      </c>
      <c r="F152">
        <f>IF($N152="","",IF(INDEX('Per Invoice'!$F$2:$F$801,$N152)="","",INDEX('Per Invoice'!$F$2:$F$801,$N152)))</f>
        <v/>
      </c>
      <c r="G152">
        <f>IF($N152="","",IF(INDEX('Per Invoice'!$G$2:$G$801,$N152)="","",INDEX('Per Invoice'!$G$2:$G$801,$N152)))</f>
        <v/>
      </c>
      <c r="H152">
        <f>IF($N152="","",IF(INDEX('Per Invoice'!$H$2:$H$801,$N152)="","",INDEX('Per Invoice'!$H$2:$H$801,$N152)))</f>
        <v/>
      </c>
      <c r="I152" s="5">
        <f>IF($N152="","",IF(INDEX('Per Invoice'!$I$2:$I$801,$N152)="","",INDEX('Per Invoice'!$I$2:$I$801,$N152)))</f>
        <v/>
      </c>
      <c r="J152" s="5">
        <f>IF($N152="","",IF(INDEX('Per Invoice'!$J$2:$J$801,$N152)="","",INDEX('Per Invoice'!$J$2:$J$801,$N152)))</f>
        <v/>
      </c>
      <c r="K152" s="5">
        <f>IF($N152="","",IF(INDEX('Per Invoice'!$K$2:$K$801,$N152)="","",INDEX('Per Invoice'!$K$2:$K$801,$N152)))</f>
        <v/>
      </c>
      <c r="L152" s="5">
        <f>IF($N152="","",IF(INDEX('Per Invoice'!$L$2:$L$801,$N152)="","",INDEX('Per Invoice'!$L$2:$L$801,$N152)))</f>
        <v/>
      </c>
      <c r="M152" s="5">
        <f>IF($N152="","",IF(INDEX('Per Invoice'!$M$2:$M$801,$N152)="","",INDEX('Per Invoice'!$M$2:$M$801,$N152)))</f>
        <v/>
      </c>
      <c r="N152">
        <f>IF(ROWS($N$2:$N152)&lt;=COUNT('Per Invoice'!$P$2:$P$801),MATCH(ROWS($N$2:$N152),'Per Invoice'!$P$2:$P$801,0),"")</f>
        <v/>
      </c>
    </row>
    <row r="153">
      <c r="A153">
        <f>IF($N153="","",IF(INDEX('Per Invoice'!$A$2:$A$801,$N153)="","",INDEX('Per Invoice'!$A$2:$A$801,$N153)))</f>
        <v/>
      </c>
      <c r="B153">
        <f>IF($N153="","",IF(INDEX('Per Invoice'!$B$2:$B$801,$N153)="","",INDEX('Per Invoice'!$B$2:$B$801,$N153)))</f>
        <v/>
      </c>
      <c r="C153">
        <f>IF($N153="","",IF(INDEX('Per Invoice'!$C$2:$C$801,$N153)="","",INDEX('Per Invoice'!$C$2:$C$801,$N153)))</f>
        <v/>
      </c>
      <c r="D153">
        <f>IF($N153="","",IF(INDEX('Per Invoice'!$D$2:$D$801,$N153)="","",INDEX('Per Invoice'!$D$2:$D$801,$N153)))</f>
        <v/>
      </c>
      <c r="E153">
        <f>IF($N153="","",IF(INDEX('Per Invoice'!$E$2:$E$801,$N153)="","",INDEX('Per Invoice'!$E$2:$E$801,$N153)))</f>
        <v/>
      </c>
      <c r="F153">
        <f>IF($N153="","",IF(INDEX('Per Invoice'!$F$2:$F$801,$N153)="","",INDEX('Per Invoice'!$F$2:$F$801,$N153)))</f>
        <v/>
      </c>
      <c r="G153">
        <f>IF($N153="","",IF(INDEX('Per Invoice'!$G$2:$G$801,$N153)="","",INDEX('Per Invoice'!$G$2:$G$801,$N153)))</f>
        <v/>
      </c>
      <c r="H153">
        <f>IF($N153="","",IF(INDEX('Per Invoice'!$H$2:$H$801,$N153)="","",INDEX('Per Invoice'!$H$2:$H$801,$N153)))</f>
        <v/>
      </c>
      <c r="I153" s="5">
        <f>IF($N153="","",IF(INDEX('Per Invoice'!$I$2:$I$801,$N153)="","",INDEX('Per Invoice'!$I$2:$I$801,$N153)))</f>
        <v/>
      </c>
      <c r="J153" s="5">
        <f>IF($N153="","",IF(INDEX('Per Invoice'!$J$2:$J$801,$N153)="","",INDEX('Per Invoice'!$J$2:$J$801,$N153)))</f>
        <v/>
      </c>
      <c r="K153" s="5">
        <f>IF($N153="","",IF(INDEX('Per Invoice'!$K$2:$K$801,$N153)="","",INDEX('Per Invoice'!$K$2:$K$801,$N153)))</f>
        <v/>
      </c>
      <c r="L153" s="5">
        <f>IF($N153="","",IF(INDEX('Per Invoice'!$L$2:$L$801,$N153)="","",INDEX('Per Invoice'!$L$2:$L$801,$N153)))</f>
        <v/>
      </c>
      <c r="M153" s="5">
        <f>IF($N153="","",IF(INDEX('Per Invoice'!$M$2:$M$801,$N153)="","",INDEX('Per Invoice'!$M$2:$M$801,$N153)))</f>
        <v/>
      </c>
      <c r="N153">
        <f>IF(ROWS($N$2:$N153)&lt;=COUNT('Per Invoice'!$P$2:$P$801),MATCH(ROWS($N$2:$N153),'Per Invoice'!$P$2:$P$801,0),"")</f>
        <v/>
      </c>
    </row>
    <row r="154">
      <c r="A154">
        <f>IF($N154="","",IF(INDEX('Per Invoice'!$A$2:$A$801,$N154)="","",INDEX('Per Invoice'!$A$2:$A$801,$N154)))</f>
        <v/>
      </c>
      <c r="B154">
        <f>IF($N154="","",IF(INDEX('Per Invoice'!$B$2:$B$801,$N154)="","",INDEX('Per Invoice'!$B$2:$B$801,$N154)))</f>
        <v/>
      </c>
      <c r="C154">
        <f>IF($N154="","",IF(INDEX('Per Invoice'!$C$2:$C$801,$N154)="","",INDEX('Per Invoice'!$C$2:$C$801,$N154)))</f>
        <v/>
      </c>
      <c r="D154">
        <f>IF($N154="","",IF(INDEX('Per Invoice'!$D$2:$D$801,$N154)="","",INDEX('Per Invoice'!$D$2:$D$801,$N154)))</f>
        <v/>
      </c>
      <c r="E154">
        <f>IF($N154="","",IF(INDEX('Per Invoice'!$E$2:$E$801,$N154)="","",INDEX('Per Invoice'!$E$2:$E$801,$N154)))</f>
        <v/>
      </c>
      <c r="F154">
        <f>IF($N154="","",IF(INDEX('Per Invoice'!$F$2:$F$801,$N154)="","",INDEX('Per Invoice'!$F$2:$F$801,$N154)))</f>
        <v/>
      </c>
      <c r="G154">
        <f>IF($N154="","",IF(INDEX('Per Invoice'!$G$2:$G$801,$N154)="","",INDEX('Per Invoice'!$G$2:$G$801,$N154)))</f>
        <v/>
      </c>
      <c r="H154">
        <f>IF($N154="","",IF(INDEX('Per Invoice'!$H$2:$H$801,$N154)="","",INDEX('Per Invoice'!$H$2:$H$801,$N154)))</f>
        <v/>
      </c>
      <c r="I154" s="5">
        <f>IF($N154="","",IF(INDEX('Per Invoice'!$I$2:$I$801,$N154)="","",INDEX('Per Invoice'!$I$2:$I$801,$N154)))</f>
        <v/>
      </c>
      <c r="J154" s="5">
        <f>IF($N154="","",IF(INDEX('Per Invoice'!$J$2:$J$801,$N154)="","",INDEX('Per Invoice'!$J$2:$J$801,$N154)))</f>
        <v/>
      </c>
      <c r="K154" s="5">
        <f>IF($N154="","",IF(INDEX('Per Invoice'!$K$2:$K$801,$N154)="","",INDEX('Per Invoice'!$K$2:$K$801,$N154)))</f>
        <v/>
      </c>
      <c r="L154" s="5">
        <f>IF($N154="","",IF(INDEX('Per Invoice'!$L$2:$L$801,$N154)="","",INDEX('Per Invoice'!$L$2:$L$801,$N154)))</f>
        <v/>
      </c>
      <c r="M154" s="5">
        <f>IF($N154="","",IF(INDEX('Per Invoice'!$M$2:$M$801,$N154)="","",INDEX('Per Invoice'!$M$2:$M$801,$N154)))</f>
        <v/>
      </c>
      <c r="N154">
        <f>IF(ROWS($N$2:$N154)&lt;=COUNT('Per Invoice'!$P$2:$P$801),MATCH(ROWS($N$2:$N154),'Per Invoice'!$P$2:$P$801,0),"")</f>
        <v/>
      </c>
    </row>
    <row r="155">
      <c r="A155">
        <f>IF($N155="","",IF(INDEX('Per Invoice'!$A$2:$A$801,$N155)="","",INDEX('Per Invoice'!$A$2:$A$801,$N155)))</f>
        <v/>
      </c>
      <c r="B155">
        <f>IF($N155="","",IF(INDEX('Per Invoice'!$B$2:$B$801,$N155)="","",INDEX('Per Invoice'!$B$2:$B$801,$N155)))</f>
        <v/>
      </c>
      <c r="C155">
        <f>IF($N155="","",IF(INDEX('Per Invoice'!$C$2:$C$801,$N155)="","",INDEX('Per Invoice'!$C$2:$C$801,$N155)))</f>
        <v/>
      </c>
      <c r="D155">
        <f>IF($N155="","",IF(INDEX('Per Invoice'!$D$2:$D$801,$N155)="","",INDEX('Per Invoice'!$D$2:$D$801,$N155)))</f>
        <v/>
      </c>
      <c r="E155">
        <f>IF($N155="","",IF(INDEX('Per Invoice'!$E$2:$E$801,$N155)="","",INDEX('Per Invoice'!$E$2:$E$801,$N155)))</f>
        <v/>
      </c>
      <c r="F155">
        <f>IF($N155="","",IF(INDEX('Per Invoice'!$F$2:$F$801,$N155)="","",INDEX('Per Invoice'!$F$2:$F$801,$N155)))</f>
        <v/>
      </c>
      <c r="G155">
        <f>IF($N155="","",IF(INDEX('Per Invoice'!$G$2:$G$801,$N155)="","",INDEX('Per Invoice'!$G$2:$G$801,$N155)))</f>
        <v/>
      </c>
      <c r="H155">
        <f>IF($N155="","",IF(INDEX('Per Invoice'!$H$2:$H$801,$N155)="","",INDEX('Per Invoice'!$H$2:$H$801,$N155)))</f>
        <v/>
      </c>
      <c r="I155" s="5">
        <f>IF($N155="","",IF(INDEX('Per Invoice'!$I$2:$I$801,$N155)="","",INDEX('Per Invoice'!$I$2:$I$801,$N155)))</f>
        <v/>
      </c>
      <c r="J155" s="5">
        <f>IF($N155="","",IF(INDEX('Per Invoice'!$J$2:$J$801,$N155)="","",INDEX('Per Invoice'!$J$2:$J$801,$N155)))</f>
        <v/>
      </c>
      <c r="K155" s="5">
        <f>IF($N155="","",IF(INDEX('Per Invoice'!$K$2:$K$801,$N155)="","",INDEX('Per Invoice'!$K$2:$K$801,$N155)))</f>
        <v/>
      </c>
      <c r="L155" s="5">
        <f>IF($N155="","",IF(INDEX('Per Invoice'!$L$2:$L$801,$N155)="","",INDEX('Per Invoice'!$L$2:$L$801,$N155)))</f>
        <v/>
      </c>
      <c r="M155" s="5">
        <f>IF($N155="","",IF(INDEX('Per Invoice'!$M$2:$M$801,$N155)="","",INDEX('Per Invoice'!$M$2:$M$801,$N155)))</f>
        <v/>
      </c>
      <c r="N155">
        <f>IF(ROWS($N$2:$N155)&lt;=COUNT('Per Invoice'!$P$2:$P$801),MATCH(ROWS($N$2:$N155),'Per Invoice'!$P$2:$P$801,0),"")</f>
        <v/>
      </c>
    </row>
    <row r="156">
      <c r="A156">
        <f>IF($N156="","",IF(INDEX('Per Invoice'!$A$2:$A$801,$N156)="","",INDEX('Per Invoice'!$A$2:$A$801,$N156)))</f>
        <v/>
      </c>
      <c r="B156">
        <f>IF($N156="","",IF(INDEX('Per Invoice'!$B$2:$B$801,$N156)="","",INDEX('Per Invoice'!$B$2:$B$801,$N156)))</f>
        <v/>
      </c>
      <c r="C156">
        <f>IF($N156="","",IF(INDEX('Per Invoice'!$C$2:$C$801,$N156)="","",INDEX('Per Invoice'!$C$2:$C$801,$N156)))</f>
        <v/>
      </c>
      <c r="D156">
        <f>IF($N156="","",IF(INDEX('Per Invoice'!$D$2:$D$801,$N156)="","",INDEX('Per Invoice'!$D$2:$D$801,$N156)))</f>
        <v/>
      </c>
      <c r="E156">
        <f>IF($N156="","",IF(INDEX('Per Invoice'!$E$2:$E$801,$N156)="","",INDEX('Per Invoice'!$E$2:$E$801,$N156)))</f>
        <v/>
      </c>
      <c r="F156">
        <f>IF($N156="","",IF(INDEX('Per Invoice'!$F$2:$F$801,$N156)="","",INDEX('Per Invoice'!$F$2:$F$801,$N156)))</f>
        <v/>
      </c>
      <c r="G156">
        <f>IF($N156="","",IF(INDEX('Per Invoice'!$G$2:$G$801,$N156)="","",INDEX('Per Invoice'!$G$2:$G$801,$N156)))</f>
        <v/>
      </c>
      <c r="H156">
        <f>IF($N156="","",IF(INDEX('Per Invoice'!$H$2:$H$801,$N156)="","",INDEX('Per Invoice'!$H$2:$H$801,$N156)))</f>
        <v/>
      </c>
      <c r="I156" s="5">
        <f>IF($N156="","",IF(INDEX('Per Invoice'!$I$2:$I$801,$N156)="","",INDEX('Per Invoice'!$I$2:$I$801,$N156)))</f>
        <v/>
      </c>
      <c r="J156" s="5">
        <f>IF($N156="","",IF(INDEX('Per Invoice'!$J$2:$J$801,$N156)="","",INDEX('Per Invoice'!$J$2:$J$801,$N156)))</f>
        <v/>
      </c>
      <c r="K156" s="5">
        <f>IF($N156="","",IF(INDEX('Per Invoice'!$K$2:$K$801,$N156)="","",INDEX('Per Invoice'!$K$2:$K$801,$N156)))</f>
        <v/>
      </c>
      <c r="L156" s="5">
        <f>IF($N156="","",IF(INDEX('Per Invoice'!$L$2:$L$801,$N156)="","",INDEX('Per Invoice'!$L$2:$L$801,$N156)))</f>
        <v/>
      </c>
      <c r="M156" s="5">
        <f>IF($N156="","",IF(INDEX('Per Invoice'!$M$2:$M$801,$N156)="","",INDEX('Per Invoice'!$M$2:$M$801,$N156)))</f>
        <v/>
      </c>
      <c r="N156">
        <f>IF(ROWS($N$2:$N156)&lt;=COUNT('Per Invoice'!$P$2:$P$801),MATCH(ROWS($N$2:$N156),'Per Invoice'!$P$2:$P$801,0),"")</f>
        <v/>
      </c>
    </row>
    <row r="157">
      <c r="A157">
        <f>IF($N157="","",IF(INDEX('Per Invoice'!$A$2:$A$801,$N157)="","",INDEX('Per Invoice'!$A$2:$A$801,$N157)))</f>
        <v/>
      </c>
      <c r="B157">
        <f>IF($N157="","",IF(INDEX('Per Invoice'!$B$2:$B$801,$N157)="","",INDEX('Per Invoice'!$B$2:$B$801,$N157)))</f>
        <v/>
      </c>
      <c r="C157">
        <f>IF($N157="","",IF(INDEX('Per Invoice'!$C$2:$C$801,$N157)="","",INDEX('Per Invoice'!$C$2:$C$801,$N157)))</f>
        <v/>
      </c>
      <c r="D157">
        <f>IF($N157="","",IF(INDEX('Per Invoice'!$D$2:$D$801,$N157)="","",INDEX('Per Invoice'!$D$2:$D$801,$N157)))</f>
        <v/>
      </c>
      <c r="E157">
        <f>IF($N157="","",IF(INDEX('Per Invoice'!$E$2:$E$801,$N157)="","",INDEX('Per Invoice'!$E$2:$E$801,$N157)))</f>
        <v/>
      </c>
      <c r="F157">
        <f>IF($N157="","",IF(INDEX('Per Invoice'!$F$2:$F$801,$N157)="","",INDEX('Per Invoice'!$F$2:$F$801,$N157)))</f>
        <v/>
      </c>
      <c r="G157">
        <f>IF($N157="","",IF(INDEX('Per Invoice'!$G$2:$G$801,$N157)="","",INDEX('Per Invoice'!$G$2:$G$801,$N157)))</f>
        <v/>
      </c>
      <c r="H157">
        <f>IF($N157="","",IF(INDEX('Per Invoice'!$H$2:$H$801,$N157)="","",INDEX('Per Invoice'!$H$2:$H$801,$N157)))</f>
        <v/>
      </c>
      <c r="I157" s="5">
        <f>IF($N157="","",IF(INDEX('Per Invoice'!$I$2:$I$801,$N157)="","",INDEX('Per Invoice'!$I$2:$I$801,$N157)))</f>
        <v/>
      </c>
      <c r="J157" s="5">
        <f>IF($N157="","",IF(INDEX('Per Invoice'!$J$2:$J$801,$N157)="","",INDEX('Per Invoice'!$J$2:$J$801,$N157)))</f>
        <v/>
      </c>
      <c r="K157" s="5">
        <f>IF($N157="","",IF(INDEX('Per Invoice'!$K$2:$K$801,$N157)="","",INDEX('Per Invoice'!$K$2:$K$801,$N157)))</f>
        <v/>
      </c>
      <c r="L157" s="5">
        <f>IF($N157="","",IF(INDEX('Per Invoice'!$L$2:$L$801,$N157)="","",INDEX('Per Invoice'!$L$2:$L$801,$N157)))</f>
        <v/>
      </c>
      <c r="M157" s="5">
        <f>IF($N157="","",IF(INDEX('Per Invoice'!$M$2:$M$801,$N157)="","",INDEX('Per Invoice'!$M$2:$M$801,$N157)))</f>
        <v/>
      </c>
      <c r="N157">
        <f>IF(ROWS($N$2:$N157)&lt;=COUNT('Per Invoice'!$P$2:$P$801),MATCH(ROWS($N$2:$N157),'Per Invoice'!$P$2:$P$801,0),"")</f>
        <v/>
      </c>
    </row>
    <row r="158">
      <c r="A158">
        <f>IF($N158="","",IF(INDEX('Per Invoice'!$A$2:$A$801,$N158)="","",INDEX('Per Invoice'!$A$2:$A$801,$N158)))</f>
        <v/>
      </c>
      <c r="B158">
        <f>IF($N158="","",IF(INDEX('Per Invoice'!$B$2:$B$801,$N158)="","",INDEX('Per Invoice'!$B$2:$B$801,$N158)))</f>
        <v/>
      </c>
      <c r="C158">
        <f>IF($N158="","",IF(INDEX('Per Invoice'!$C$2:$C$801,$N158)="","",INDEX('Per Invoice'!$C$2:$C$801,$N158)))</f>
        <v/>
      </c>
      <c r="D158">
        <f>IF($N158="","",IF(INDEX('Per Invoice'!$D$2:$D$801,$N158)="","",INDEX('Per Invoice'!$D$2:$D$801,$N158)))</f>
        <v/>
      </c>
      <c r="E158">
        <f>IF($N158="","",IF(INDEX('Per Invoice'!$E$2:$E$801,$N158)="","",INDEX('Per Invoice'!$E$2:$E$801,$N158)))</f>
        <v/>
      </c>
      <c r="F158">
        <f>IF($N158="","",IF(INDEX('Per Invoice'!$F$2:$F$801,$N158)="","",INDEX('Per Invoice'!$F$2:$F$801,$N158)))</f>
        <v/>
      </c>
      <c r="G158">
        <f>IF($N158="","",IF(INDEX('Per Invoice'!$G$2:$G$801,$N158)="","",INDEX('Per Invoice'!$G$2:$G$801,$N158)))</f>
        <v/>
      </c>
      <c r="H158">
        <f>IF($N158="","",IF(INDEX('Per Invoice'!$H$2:$H$801,$N158)="","",INDEX('Per Invoice'!$H$2:$H$801,$N158)))</f>
        <v/>
      </c>
      <c r="I158" s="5">
        <f>IF($N158="","",IF(INDEX('Per Invoice'!$I$2:$I$801,$N158)="","",INDEX('Per Invoice'!$I$2:$I$801,$N158)))</f>
        <v/>
      </c>
      <c r="J158" s="5">
        <f>IF($N158="","",IF(INDEX('Per Invoice'!$J$2:$J$801,$N158)="","",INDEX('Per Invoice'!$J$2:$J$801,$N158)))</f>
        <v/>
      </c>
      <c r="K158" s="5">
        <f>IF($N158="","",IF(INDEX('Per Invoice'!$K$2:$K$801,$N158)="","",INDEX('Per Invoice'!$K$2:$K$801,$N158)))</f>
        <v/>
      </c>
      <c r="L158" s="5">
        <f>IF($N158="","",IF(INDEX('Per Invoice'!$L$2:$L$801,$N158)="","",INDEX('Per Invoice'!$L$2:$L$801,$N158)))</f>
        <v/>
      </c>
      <c r="M158" s="5">
        <f>IF($N158="","",IF(INDEX('Per Invoice'!$M$2:$M$801,$N158)="","",INDEX('Per Invoice'!$M$2:$M$801,$N158)))</f>
        <v/>
      </c>
      <c r="N158">
        <f>IF(ROWS($N$2:$N158)&lt;=COUNT('Per Invoice'!$P$2:$P$801),MATCH(ROWS($N$2:$N158),'Per Invoice'!$P$2:$P$801,0),"")</f>
        <v/>
      </c>
    </row>
    <row r="159">
      <c r="A159">
        <f>IF($N159="","",IF(INDEX('Per Invoice'!$A$2:$A$801,$N159)="","",INDEX('Per Invoice'!$A$2:$A$801,$N159)))</f>
        <v/>
      </c>
      <c r="B159">
        <f>IF($N159="","",IF(INDEX('Per Invoice'!$B$2:$B$801,$N159)="","",INDEX('Per Invoice'!$B$2:$B$801,$N159)))</f>
        <v/>
      </c>
      <c r="C159">
        <f>IF($N159="","",IF(INDEX('Per Invoice'!$C$2:$C$801,$N159)="","",INDEX('Per Invoice'!$C$2:$C$801,$N159)))</f>
        <v/>
      </c>
      <c r="D159">
        <f>IF($N159="","",IF(INDEX('Per Invoice'!$D$2:$D$801,$N159)="","",INDEX('Per Invoice'!$D$2:$D$801,$N159)))</f>
        <v/>
      </c>
      <c r="E159">
        <f>IF($N159="","",IF(INDEX('Per Invoice'!$E$2:$E$801,$N159)="","",INDEX('Per Invoice'!$E$2:$E$801,$N159)))</f>
        <v/>
      </c>
      <c r="F159">
        <f>IF($N159="","",IF(INDEX('Per Invoice'!$F$2:$F$801,$N159)="","",INDEX('Per Invoice'!$F$2:$F$801,$N159)))</f>
        <v/>
      </c>
      <c r="G159">
        <f>IF($N159="","",IF(INDEX('Per Invoice'!$G$2:$G$801,$N159)="","",INDEX('Per Invoice'!$G$2:$G$801,$N159)))</f>
        <v/>
      </c>
      <c r="H159">
        <f>IF($N159="","",IF(INDEX('Per Invoice'!$H$2:$H$801,$N159)="","",INDEX('Per Invoice'!$H$2:$H$801,$N159)))</f>
        <v/>
      </c>
      <c r="I159" s="5">
        <f>IF($N159="","",IF(INDEX('Per Invoice'!$I$2:$I$801,$N159)="","",INDEX('Per Invoice'!$I$2:$I$801,$N159)))</f>
        <v/>
      </c>
      <c r="J159" s="5">
        <f>IF($N159="","",IF(INDEX('Per Invoice'!$J$2:$J$801,$N159)="","",INDEX('Per Invoice'!$J$2:$J$801,$N159)))</f>
        <v/>
      </c>
      <c r="K159" s="5">
        <f>IF($N159="","",IF(INDEX('Per Invoice'!$K$2:$K$801,$N159)="","",INDEX('Per Invoice'!$K$2:$K$801,$N159)))</f>
        <v/>
      </c>
      <c r="L159" s="5">
        <f>IF($N159="","",IF(INDEX('Per Invoice'!$L$2:$L$801,$N159)="","",INDEX('Per Invoice'!$L$2:$L$801,$N159)))</f>
        <v/>
      </c>
      <c r="M159" s="5">
        <f>IF($N159="","",IF(INDEX('Per Invoice'!$M$2:$M$801,$N159)="","",INDEX('Per Invoice'!$M$2:$M$801,$N159)))</f>
        <v/>
      </c>
      <c r="N159">
        <f>IF(ROWS($N$2:$N159)&lt;=COUNT('Per Invoice'!$P$2:$P$801),MATCH(ROWS($N$2:$N159),'Per Invoice'!$P$2:$P$801,0),"")</f>
        <v/>
      </c>
    </row>
    <row r="160">
      <c r="A160">
        <f>IF($N160="","",IF(INDEX('Per Invoice'!$A$2:$A$801,$N160)="","",INDEX('Per Invoice'!$A$2:$A$801,$N160)))</f>
        <v/>
      </c>
      <c r="B160">
        <f>IF($N160="","",IF(INDEX('Per Invoice'!$B$2:$B$801,$N160)="","",INDEX('Per Invoice'!$B$2:$B$801,$N160)))</f>
        <v/>
      </c>
      <c r="C160">
        <f>IF($N160="","",IF(INDEX('Per Invoice'!$C$2:$C$801,$N160)="","",INDEX('Per Invoice'!$C$2:$C$801,$N160)))</f>
        <v/>
      </c>
      <c r="D160">
        <f>IF($N160="","",IF(INDEX('Per Invoice'!$D$2:$D$801,$N160)="","",INDEX('Per Invoice'!$D$2:$D$801,$N160)))</f>
        <v/>
      </c>
      <c r="E160">
        <f>IF($N160="","",IF(INDEX('Per Invoice'!$E$2:$E$801,$N160)="","",INDEX('Per Invoice'!$E$2:$E$801,$N160)))</f>
        <v/>
      </c>
      <c r="F160">
        <f>IF($N160="","",IF(INDEX('Per Invoice'!$F$2:$F$801,$N160)="","",INDEX('Per Invoice'!$F$2:$F$801,$N160)))</f>
        <v/>
      </c>
      <c r="G160">
        <f>IF($N160="","",IF(INDEX('Per Invoice'!$G$2:$G$801,$N160)="","",INDEX('Per Invoice'!$G$2:$G$801,$N160)))</f>
        <v/>
      </c>
      <c r="H160">
        <f>IF($N160="","",IF(INDEX('Per Invoice'!$H$2:$H$801,$N160)="","",INDEX('Per Invoice'!$H$2:$H$801,$N160)))</f>
        <v/>
      </c>
      <c r="I160" s="5">
        <f>IF($N160="","",IF(INDEX('Per Invoice'!$I$2:$I$801,$N160)="","",INDEX('Per Invoice'!$I$2:$I$801,$N160)))</f>
        <v/>
      </c>
      <c r="J160" s="5">
        <f>IF($N160="","",IF(INDEX('Per Invoice'!$J$2:$J$801,$N160)="","",INDEX('Per Invoice'!$J$2:$J$801,$N160)))</f>
        <v/>
      </c>
      <c r="K160" s="5">
        <f>IF($N160="","",IF(INDEX('Per Invoice'!$K$2:$K$801,$N160)="","",INDEX('Per Invoice'!$K$2:$K$801,$N160)))</f>
        <v/>
      </c>
      <c r="L160" s="5">
        <f>IF($N160="","",IF(INDEX('Per Invoice'!$L$2:$L$801,$N160)="","",INDEX('Per Invoice'!$L$2:$L$801,$N160)))</f>
        <v/>
      </c>
      <c r="M160" s="5">
        <f>IF($N160="","",IF(INDEX('Per Invoice'!$M$2:$M$801,$N160)="","",INDEX('Per Invoice'!$M$2:$M$801,$N160)))</f>
        <v/>
      </c>
      <c r="N160">
        <f>IF(ROWS($N$2:$N160)&lt;=COUNT('Per Invoice'!$P$2:$P$801),MATCH(ROWS($N$2:$N160),'Per Invoice'!$P$2:$P$801,0),"")</f>
        <v/>
      </c>
    </row>
    <row r="161">
      <c r="A161">
        <f>IF($N161="","",IF(INDEX('Per Invoice'!$A$2:$A$801,$N161)="","",INDEX('Per Invoice'!$A$2:$A$801,$N161)))</f>
        <v/>
      </c>
      <c r="B161">
        <f>IF($N161="","",IF(INDEX('Per Invoice'!$B$2:$B$801,$N161)="","",INDEX('Per Invoice'!$B$2:$B$801,$N161)))</f>
        <v/>
      </c>
      <c r="C161">
        <f>IF($N161="","",IF(INDEX('Per Invoice'!$C$2:$C$801,$N161)="","",INDEX('Per Invoice'!$C$2:$C$801,$N161)))</f>
        <v/>
      </c>
      <c r="D161">
        <f>IF($N161="","",IF(INDEX('Per Invoice'!$D$2:$D$801,$N161)="","",INDEX('Per Invoice'!$D$2:$D$801,$N161)))</f>
        <v/>
      </c>
      <c r="E161">
        <f>IF($N161="","",IF(INDEX('Per Invoice'!$E$2:$E$801,$N161)="","",INDEX('Per Invoice'!$E$2:$E$801,$N161)))</f>
        <v/>
      </c>
      <c r="F161">
        <f>IF($N161="","",IF(INDEX('Per Invoice'!$F$2:$F$801,$N161)="","",INDEX('Per Invoice'!$F$2:$F$801,$N161)))</f>
        <v/>
      </c>
      <c r="G161">
        <f>IF($N161="","",IF(INDEX('Per Invoice'!$G$2:$G$801,$N161)="","",INDEX('Per Invoice'!$G$2:$G$801,$N161)))</f>
        <v/>
      </c>
      <c r="H161">
        <f>IF($N161="","",IF(INDEX('Per Invoice'!$H$2:$H$801,$N161)="","",INDEX('Per Invoice'!$H$2:$H$801,$N161)))</f>
        <v/>
      </c>
      <c r="I161" s="5">
        <f>IF($N161="","",IF(INDEX('Per Invoice'!$I$2:$I$801,$N161)="","",INDEX('Per Invoice'!$I$2:$I$801,$N161)))</f>
        <v/>
      </c>
      <c r="J161" s="5">
        <f>IF($N161="","",IF(INDEX('Per Invoice'!$J$2:$J$801,$N161)="","",INDEX('Per Invoice'!$J$2:$J$801,$N161)))</f>
        <v/>
      </c>
      <c r="K161" s="5">
        <f>IF($N161="","",IF(INDEX('Per Invoice'!$K$2:$K$801,$N161)="","",INDEX('Per Invoice'!$K$2:$K$801,$N161)))</f>
        <v/>
      </c>
      <c r="L161" s="5">
        <f>IF($N161="","",IF(INDEX('Per Invoice'!$L$2:$L$801,$N161)="","",INDEX('Per Invoice'!$L$2:$L$801,$N161)))</f>
        <v/>
      </c>
      <c r="M161" s="5">
        <f>IF($N161="","",IF(INDEX('Per Invoice'!$M$2:$M$801,$N161)="","",INDEX('Per Invoice'!$M$2:$M$801,$N161)))</f>
        <v/>
      </c>
      <c r="N161">
        <f>IF(ROWS($N$2:$N161)&lt;=COUNT('Per Invoice'!$P$2:$P$801),MATCH(ROWS($N$2:$N161),'Per Invoice'!$P$2:$P$801,0),"")</f>
        <v/>
      </c>
    </row>
    <row r="162">
      <c r="A162">
        <f>IF($N162="","",IF(INDEX('Per Invoice'!$A$2:$A$801,$N162)="","",INDEX('Per Invoice'!$A$2:$A$801,$N162)))</f>
        <v/>
      </c>
      <c r="B162">
        <f>IF($N162="","",IF(INDEX('Per Invoice'!$B$2:$B$801,$N162)="","",INDEX('Per Invoice'!$B$2:$B$801,$N162)))</f>
        <v/>
      </c>
      <c r="C162">
        <f>IF($N162="","",IF(INDEX('Per Invoice'!$C$2:$C$801,$N162)="","",INDEX('Per Invoice'!$C$2:$C$801,$N162)))</f>
        <v/>
      </c>
      <c r="D162">
        <f>IF($N162="","",IF(INDEX('Per Invoice'!$D$2:$D$801,$N162)="","",INDEX('Per Invoice'!$D$2:$D$801,$N162)))</f>
        <v/>
      </c>
      <c r="E162">
        <f>IF($N162="","",IF(INDEX('Per Invoice'!$E$2:$E$801,$N162)="","",INDEX('Per Invoice'!$E$2:$E$801,$N162)))</f>
        <v/>
      </c>
      <c r="F162">
        <f>IF($N162="","",IF(INDEX('Per Invoice'!$F$2:$F$801,$N162)="","",INDEX('Per Invoice'!$F$2:$F$801,$N162)))</f>
        <v/>
      </c>
      <c r="G162">
        <f>IF($N162="","",IF(INDEX('Per Invoice'!$G$2:$G$801,$N162)="","",INDEX('Per Invoice'!$G$2:$G$801,$N162)))</f>
        <v/>
      </c>
      <c r="H162">
        <f>IF($N162="","",IF(INDEX('Per Invoice'!$H$2:$H$801,$N162)="","",INDEX('Per Invoice'!$H$2:$H$801,$N162)))</f>
        <v/>
      </c>
      <c r="I162" s="5">
        <f>IF($N162="","",IF(INDEX('Per Invoice'!$I$2:$I$801,$N162)="","",INDEX('Per Invoice'!$I$2:$I$801,$N162)))</f>
        <v/>
      </c>
      <c r="J162" s="5">
        <f>IF($N162="","",IF(INDEX('Per Invoice'!$J$2:$J$801,$N162)="","",INDEX('Per Invoice'!$J$2:$J$801,$N162)))</f>
        <v/>
      </c>
      <c r="K162" s="5">
        <f>IF($N162="","",IF(INDEX('Per Invoice'!$K$2:$K$801,$N162)="","",INDEX('Per Invoice'!$K$2:$K$801,$N162)))</f>
        <v/>
      </c>
      <c r="L162" s="5">
        <f>IF($N162="","",IF(INDEX('Per Invoice'!$L$2:$L$801,$N162)="","",INDEX('Per Invoice'!$L$2:$L$801,$N162)))</f>
        <v/>
      </c>
      <c r="M162" s="5">
        <f>IF($N162="","",IF(INDEX('Per Invoice'!$M$2:$M$801,$N162)="","",INDEX('Per Invoice'!$M$2:$M$801,$N162)))</f>
        <v/>
      </c>
      <c r="N162">
        <f>IF(ROWS($N$2:$N162)&lt;=COUNT('Per Invoice'!$P$2:$P$801),MATCH(ROWS($N$2:$N162),'Per Invoice'!$P$2:$P$801,0),"")</f>
        <v/>
      </c>
    </row>
    <row r="163">
      <c r="A163">
        <f>IF($N163="","",IF(INDEX('Per Invoice'!$A$2:$A$801,$N163)="","",INDEX('Per Invoice'!$A$2:$A$801,$N163)))</f>
        <v/>
      </c>
      <c r="B163">
        <f>IF($N163="","",IF(INDEX('Per Invoice'!$B$2:$B$801,$N163)="","",INDEX('Per Invoice'!$B$2:$B$801,$N163)))</f>
        <v/>
      </c>
      <c r="C163">
        <f>IF($N163="","",IF(INDEX('Per Invoice'!$C$2:$C$801,$N163)="","",INDEX('Per Invoice'!$C$2:$C$801,$N163)))</f>
        <v/>
      </c>
      <c r="D163">
        <f>IF($N163="","",IF(INDEX('Per Invoice'!$D$2:$D$801,$N163)="","",INDEX('Per Invoice'!$D$2:$D$801,$N163)))</f>
        <v/>
      </c>
      <c r="E163">
        <f>IF($N163="","",IF(INDEX('Per Invoice'!$E$2:$E$801,$N163)="","",INDEX('Per Invoice'!$E$2:$E$801,$N163)))</f>
        <v/>
      </c>
      <c r="F163">
        <f>IF($N163="","",IF(INDEX('Per Invoice'!$F$2:$F$801,$N163)="","",INDEX('Per Invoice'!$F$2:$F$801,$N163)))</f>
        <v/>
      </c>
      <c r="G163">
        <f>IF($N163="","",IF(INDEX('Per Invoice'!$G$2:$G$801,$N163)="","",INDEX('Per Invoice'!$G$2:$G$801,$N163)))</f>
        <v/>
      </c>
      <c r="H163">
        <f>IF($N163="","",IF(INDEX('Per Invoice'!$H$2:$H$801,$N163)="","",INDEX('Per Invoice'!$H$2:$H$801,$N163)))</f>
        <v/>
      </c>
      <c r="I163" s="5">
        <f>IF($N163="","",IF(INDEX('Per Invoice'!$I$2:$I$801,$N163)="","",INDEX('Per Invoice'!$I$2:$I$801,$N163)))</f>
        <v/>
      </c>
      <c r="J163" s="5">
        <f>IF($N163="","",IF(INDEX('Per Invoice'!$J$2:$J$801,$N163)="","",INDEX('Per Invoice'!$J$2:$J$801,$N163)))</f>
        <v/>
      </c>
      <c r="K163" s="5">
        <f>IF($N163="","",IF(INDEX('Per Invoice'!$K$2:$K$801,$N163)="","",INDEX('Per Invoice'!$K$2:$K$801,$N163)))</f>
        <v/>
      </c>
      <c r="L163" s="5">
        <f>IF($N163="","",IF(INDEX('Per Invoice'!$L$2:$L$801,$N163)="","",INDEX('Per Invoice'!$L$2:$L$801,$N163)))</f>
        <v/>
      </c>
      <c r="M163" s="5">
        <f>IF($N163="","",IF(INDEX('Per Invoice'!$M$2:$M$801,$N163)="","",INDEX('Per Invoice'!$M$2:$M$801,$N163)))</f>
        <v/>
      </c>
      <c r="N163">
        <f>IF(ROWS($N$2:$N163)&lt;=COUNT('Per Invoice'!$P$2:$P$801),MATCH(ROWS($N$2:$N163),'Per Invoice'!$P$2:$P$801,0),"")</f>
        <v/>
      </c>
    </row>
    <row r="164">
      <c r="A164">
        <f>IF($N164="","",IF(INDEX('Per Invoice'!$A$2:$A$801,$N164)="","",INDEX('Per Invoice'!$A$2:$A$801,$N164)))</f>
        <v/>
      </c>
      <c r="B164">
        <f>IF($N164="","",IF(INDEX('Per Invoice'!$B$2:$B$801,$N164)="","",INDEX('Per Invoice'!$B$2:$B$801,$N164)))</f>
        <v/>
      </c>
      <c r="C164">
        <f>IF($N164="","",IF(INDEX('Per Invoice'!$C$2:$C$801,$N164)="","",INDEX('Per Invoice'!$C$2:$C$801,$N164)))</f>
        <v/>
      </c>
      <c r="D164">
        <f>IF($N164="","",IF(INDEX('Per Invoice'!$D$2:$D$801,$N164)="","",INDEX('Per Invoice'!$D$2:$D$801,$N164)))</f>
        <v/>
      </c>
      <c r="E164">
        <f>IF($N164="","",IF(INDEX('Per Invoice'!$E$2:$E$801,$N164)="","",INDEX('Per Invoice'!$E$2:$E$801,$N164)))</f>
        <v/>
      </c>
      <c r="F164">
        <f>IF($N164="","",IF(INDEX('Per Invoice'!$F$2:$F$801,$N164)="","",INDEX('Per Invoice'!$F$2:$F$801,$N164)))</f>
        <v/>
      </c>
      <c r="G164">
        <f>IF($N164="","",IF(INDEX('Per Invoice'!$G$2:$G$801,$N164)="","",INDEX('Per Invoice'!$G$2:$G$801,$N164)))</f>
        <v/>
      </c>
      <c r="H164">
        <f>IF($N164="","",IF(INDEX('Per Invoice'!$H$2:$H$801,$N164)="","",INDEX('Per Invoice'!$H$2:$H$801,$N164)))</f>
        <v/>
      </c>
      <c r="I164" s="5">
        <f>IF($N164="","",IF(INDEX('Per Invoice'!$I$2:$I$801,$N164)="","",INDEX('Per Invoice'!$I$2:$I$801,$N164)))</f>
        <v/>
      </c>
      <c r="J164" s="5">
        <f>IF($N164="","",IF(INDEX('Per Invoice'!$J$2:$J$801,$N164)="","",INDEX('Per Invoice'!$J$2:$J$801,$N164)))</f>
        <v/>
      </c>
      <c r="K164" s="5">
        <f>IF($N164="","",IF(INDEX('Per Invoice'!$K$2:$K$801,$N164)="","",INDEX('Per Invoice'!$K$2:$K$801,$N164)))</f>
        <v/>
      </c>
      <c r="L164" s="5">
        <f>IF($N164="","",IF(INDEX('Per Invoice'!$L$2:$L$801,$N164)="","",INDEX('Per Invoice'!$L$2:$L$801,$N164)))</f>
        <v/>
      </c>
      <c r="M164" s="5">
        <f>IF($N164="","",IF(INDEX('Per Invoice'!$M$2:$M$801,$N164)="","",INDEX('Per Invoice'!$M$2:$M$801,$N164)))</f>
        <v/>
      </c>
      <c r="N164">
        <f>IF(ROWS($N$2:$N164)&lt;=COUNT('Per Invoice'!$P$2:$P$801),MATCH(ROWS($N$2:$N164),'Per Invoice'!$P$2:$P$801,0),"")</f>
        <v/>
      </c>
    </row>
    <row r="165">
      <c r="A165">
        <f>IF($N165="","",IF(INDEX('Per Invoice'!$A$2:$A$801,$N165)="","",INDEX('Per Invoice'!$A$2:$A$801,$N165)))</f>
        <v/>
      </c>
      <c r="B165">
        <f>IF($N165="","",IF(INDEX('Per Invoice'!$B$2:$B$801,$N165)="","",INDEX('Per Invoice'!$B$2:$B$801,$N165)))</f>
        <v/>
      </c>
      <c r="C165">
        <f>IF($N165="","",IF(INDEX('Per Invoice'!$C$2:$C$801,$N165)="","",INDEX('Per Invoice'!$C$2:$C$801,$N165)))</f>
        <v/>
      </c>
      <c r="D165">
        <f>IF($N165="","",IF(INDEX('Per Invoice'!$D$2:$D$801,$N165)="","",INDEX('Per Invoice'!$D$2:$D$801,$N165)))</f>
        <v/>
      </c>
      <c r="E165">
        <f>IF($N165="","",IF(INDEX('Per Invoice'!$E$2:$E$801,$N165)="","",INDEX('Per Invoice'!$E$2:$E$801,$N165)))</f>
        <v/>
      </c>
      <c r="F165">
        <f>IF($N165="","",IF(INDEX('Per Invoice'!$F$2:$F$801,$N165)="","",INDEX('Per Invoice'!$F$2:$F$801,$N165)))</f>
        <v/>
      </c>
      <c r="G165">
        <f>IF($N165="","",IF(INDEX('Per Invoice'!$G$2:$G$801,$N165)="","",INDEX('Per Invoice'!$G$2:$G$801,$N165)))</f>
        <v/>
      </c>
      <c r="H165">
        <f>IF($N165="","",IF(INDEX('Per Invoice'!$H$2:$H$801,$N165)="","",INDEX('Per Invoice'!$H$2:$H$801,$N165)))</f>
        <v/>
      </c>
      <c r="I165" s="5">
        <f>IF($N165="","",IF(INDEX('Per Invoice'!$I$2:$I$801,$N165)="","",INDEX('Per Invoice'!$I$2:$I$801,$N165)))</f>
        <v/>
      </c>
      <c r="J165" s="5">
        <f>IF($N165="","",IF(INDEX('Per Invoice'!$J$2:$J$801,$N165)="","",INDEX('Per Invoice'!$J$2:$J$801,$N165)))</f>
        <v/>
      </c>
      <c r="K165" s="5">
        <f>IF($N165="","",IF(INDEX('Per Invoice'!$K$2:$K$801,$N165)="","",INDEX('Per Invoice'!$K$2:$K$801,$N165)))</f>
        <v/>
      </c>
      <c r="L165" s="5">
        <f>IF($N165="","",IF(INDEX('Per Invoice'!$L$2:$L$801,$N165)="","",INDEX('Per Invoice'!$L$2:$L$801,$N165)))</f>
        <v/>
      </c>
      <c r="M165" s="5">
        <f>IF($N165="","",IF(INDEX('Per Invoice'!$M$2:$M$801,$N165)="","",INDEX('Per Invoice'!$M$2:$M$801,$N165)))</f>
        <v/>
      </c>
      <c r="N165">
        <f>IF(ROWS($N$2:$N165)&lt;=COUNT('Per Invoice'!$P$2:$P$801),MATCH(ROWS($N$2:$N165),'Per Invoice'!$P$2:$P$801,0),"")</f>
        <v/>
      </c>
    </row>
    <row r="166">
      <c r="A166">
        <f>IF($N166="","",IF(INDEX('Per Invoice'!$A$2:$A$801,$N166)="","",INDEX('Per Invoice'!$A$2:$A$801,$N166)))</f>
        <v/>
      </c>
      <c r="B166">
        <f>IF($N166="","",IF(INDEX('Per Invoice'!$B$2:$B$801,$N166)="","",INDEX('Per Invoice'!$B$2:$B$801,$N166)))</f>
        <v/>
      </c>
      <c r="C166">
        <f>IF($N166="","",IF(INDEX('Per Invoice'!$C$2:$C$801,$N166)="","",INDEX('Per Invoice'!$C$2:$C$801,$N166)))</f>
        <v/>
      </c>
      <c r="D166">
        <f>IF($N166="","",IF(INDEX('Per Invoice'!$D$2:$D$801,$N166)="","",INDEX('Per Invoice'!$D$2:$D$801,$N166)))</f>
        <v/>
      </c>
      <c r="E166">
        <f>IF($N166="","",IF(INDEX('Per Invoice'!$E$2:$E$801,$N166)="","",INDEX('Per Invoice'!$E$2:$E$801,$N166)))</f>
        <v/>
      </c>
      <c r="F166">
        <f>IF($N166="","",IF(INDEX('Per Invoice'!$F$2:$F$801,$N166)="","",INDEX('Per Invoice'!$F$2:$F$801,$N166)))</f>
        <v/>
      </c>
      <c r="G166">
        <f>IF($N166="","",IF(INDEX('Per Invoice'!$G$2:$G$801,$N166)="","",INDEX('Per Invoice'!$G$2:$G$801,$N166)))</f>
        <v/>
      </c>
      <c r="H166">
        <f>IF($N166="","",IF(INDEX('Per Invoice'!$H$2:$H$801,$N166)="","",INDEX('Per Invoice'!$H$2:$H$801,$N166)))</f>
        <v/>
      </c>
      <c r="I166" s="5">
        <f>IF($N166="","",IF(INDEX('Per Invoice'!$I$2:$I$801,$N166)="","",INDEX('Per Invoice'!$I$2:$I$801,$N166)))</f>
        <v/>
      </c>
      <c r="J166" s="5">
        <f>IF($N166="","",IF(INDEX('Per Invoice'!$J$2:$J$801,$N166)="","",INDEX('Per Invoice'!$J$2:$J$801,$N166)))</f>
        <v/>
      </c>
      <c r="K166" s="5">
        <f>IF($N166="","",IF(INDEX('Per Invoice'!$K$2:$K$801,$N166)="","",INDEX('Per Invoice'!$K$2:$K$801,$N166)))</f>
        <v/>
      </c>
      <c r="L166" s="5">
        <f>IF($N166="","",IF(INDEX('Per Invoice'!$L$2:$L$801,$N166)="","",INDEX('Per Invoice'!$L$2:$L$801,$N166)))</f>
        <v/>
      </c>
      <c r="M166" s="5">
        <f>IF($N166="","",IF(INDEX('Per Invoice'!$M$2:$M$801,$N166)="","",INDEX('Per Invoice'!$M$2:$M$801,$N166)))</f>
        <v/>
      </c>
      <c r="N166">
        <f>IF(ROWS($N$2:$N166)&lt;=COUNT('Per Invoice'!$P$2:$P$801),MATCH(ROWS($N$2:$N166),'Per Invoice'!$P$2:$P$801,0),"")</f>
        <v/>
      </c>
    </row>
    <row r="167">
      <c r="A167">
        <f>IF($N167="","",IF(INDEX('Per Invoice'!$A$2:$A$801,$N167)="","",INDEX('Per Invoice'!$A$2:$A$801,$N167)))</f>
        <v/>
      </c>
      <c r="B167">
        <f>IF($N167="","",IF(INDEX('Per Invoice'!$B$2:$B$801,$N167)="","",INDEX('Per Invoice'!$B$2:$B$801,$N167)))</f>
        <v/>
      </c>
      <c r="C167">
        <f>IF($N167="","",IF(INDEX('Per Invoice'!$C$2:$C$801,$N167)="","",INDEX('Per Invoice'!$C$2:$C$801,$N167)))</f>
        <v/>
      </c>
      <c r="D167">
        <f>IF($N167="","",IF(INDEX('Per Invoice'!$D$2:$D$801,$N167)="","",INDEX('Per Invoice'!$D$2:$D$801,$N167)))</f>
        <v/>
      </c>
      <c r="E167">
        <f>IF($N167="","",IF(INDEX('Per Invoice'!$E$2:$E$801,$N167)="","",INDEX('Per Invoice'!$E$2:$E$801,$N167)))</f>
        <v/>
      </c>
      <c r="F167">
        <f>IF($N167="","",IF(INDEX('Per Invoice'!$F$2:$F$801,$N167)="","",INDEX('Per Invoice'!$F$2:$F$801,$N167)))</f>
        <v/>
      </c>
      <c r="G167">
        <f>IF($N167="","",IF(INDEX('Per Invoice'!$G$2:$G$801,$N167)="","",INDEX('Per Invoice'!$G$2:$G$801,$N167)))</f>
        <v/>
      </c>
      <c r="H167">
        <f>IF($N167="","",IF(INDEX('Per Invoice'!$H$2:$H$801,$N167)="","",INDEX('Per Invoice'!$H$2:$H$801,$N167)))</f>
        <v/>
      </c>
      <c r="I167" s="5">
        <f>IF($N167="","",IF(INDEX('Per Invoice'!$I$2:$I$801,$N167)="","",INDEX('Per Invoice'!$I$2:$I$801,$N167)))</f>
        <v/>
      </c>
      <c r="J167" s="5">
        <f>IF($N167="","",IF(INDEX('Per Invoice'!$J$2:$J$801,$N167)="","",INDEX('Per Invoice'!$J$2:$J$801,$N167)))</f>
        <v/>
      </c>
      <c r="K167" s="5">
        <f>IF($N167="","",IF(INDEX('Per Invoice'!$K$2:$K$801,$N167)="","",INDEX('Per Invoice'!$K$2:$K$801,$N167)))</f>
        <v/>
      </c>
      <c r="L167" s="5">
        <f>IF($N167="","",IF(INDEX('Per Invoice'!$L$2:$L$801,$N167)="","",INDEX('Per Invoice'!$L$2:$L$801,$N167)))</f>
        <v/>
      </c>
      <c r="M167" s="5">
        <f>IF($N167="","",IF(INDEX('Per Invoice'!$M$2:$M$801,$N167)="","",INDEX('Per Invoice'!$M$2:$M$801,$N167)))</f>
        <v/>
      </c>
      <c r="N167">
        <f>IF(ROWS($N$2:$N167)&lt;=COUNT('Per Invoice'!$P$2:$P$801),MATCH(ROWS($N$2:$N167),'Per Invoice'!$P$2:$P$801,0),"")</f>
        <v/>
      </c>
    </row>
    <row r="168">
      <c r="A168">
        <f>IF($N168="","",IF(INDEX('Per Invoice'!$A$2:$A$801,$N168)="","",INDEX('Per Invoice'!$A$2:$A$801,$N168)))</f>
        <v/>
      </c>
      <c r="B168">
        <f>IF($N168="","",IF(INDEX('Per Invoice'!$B$2:$B$801,$N168)="","",INDEX('Per Invoice'!$B$2:$B$801,$N168)))</f>
        <v/>
      </c>
      <c r="C168">
        <f>IF($N168="","",IF(INDEX('Per Invoice'!$C$2:$C$801,$N168)="","",INDEX('Per Invoice'!$C$2:$C$801,$N168)))</f>
        <v/>
      </c>
      <c r="D168">
        <f>IF($N168="","",IF(INDEX('Per Invoice'!$D$2:$D$801,$N168)="","",INDEX('Per Invoice'!$D$2:$D$801,$N168)))</f>
        <v/>
      </c>
      <c r="E168">
        <f>IF($N168="","",IF(INDEX('Per Invoice'!$E$2:$E$801,$N168)="","",INDEX('Per Invoice'!$E$2:$E$801,$N168)))</f>
        <v/>
      </c>
      <c r="F168">
        <f>IF($N168="","",IF(INDEX('Per Invoice'!$F$2:$F$801,$N168)="","",INDEX('Per Invoice'!$F$2:$F$801,$N168)))</f>
        <v/>
      </c>
      <c r="G168">
        <f>IF($N168="","",IF(INDEX('Per Invoice'!$G$2:$G$801,$N168)="","",INDEX('Per Invoice'!$G$2:$G$801,$N168)))</f>
        <v/>
      </c>
      <c r="H168">
        <f>IF($N168="","",IF(INDEX('Per Invoice'!$H$2:$H$801,$N168)="","",INDEX('Per Invoice'!$H$2:$H$801,$N168)))</f>
        <v/>
      </c>
      <c r="I168" s="5">
        <f>IF($N168="","",IF(INDEX('Per Invoice'!$I$2:$I$801,$N168)="","",INDEX('Per Invoice'!$I$2:$I$801,$N168)))</f>
        <v/>
      </c>
      <c r="J168" s="5">
        <f>IF($N168="","",IF(INDEX('Per Invoice'!$J$2:$J$801,$N168)="","",INDEX('Per Invoice'!$J$2:$J$801,$N168)))</f>
        <v/>
      </c>
      <c r="K168" s="5">
        <f>IF($N168="","",IF(INDEX('Per Invoice'!$K$2:$K$801,$N168)="","",INDEX('Per Invoice'!$K$2:$K$801,$N168)))</f>
        <v/>
      </c>
      <c r="L168" s="5">
        <f>IF($N168="","",IF(INDEX('Per Invoice'!$L$2:$L$801,$N168)="","",INDEX('Per Invoice'!$L$2:$L$801,$N168)))</f>
        <v/>
      </c>
      <c r="M168" s="5">
        <f>IF($N168="","",IF(INDEX('Per Invoice'!$M$2:$M$801,$N168)="","",INDEX('Per Invoice'!$M$2:$M$801,$N168)))</f>
        <v/>
      </c>
      <c r="N168">
        <f>IF(ROWS($N$2:$N168)&lt;=COUNT('Per Invoice'!$P$2:$P$801),MATCH(ROWS($N$2:$N168),'Per Invoice'!$P$2:$P$801,0),"")</f>
        <v/>
      </c>
    </row>
    <row r="169">
      <c r="A169">
        <f>IF($N169="","",IF(INDEX('Per Invoice'!$A$2:$A$801,$N169)="","",INDEX('Per Invoice'!$A$2:$A$801,$N169)))</f>
        <v/>
      </c>
      <c r="B169">
        <f>IF($N169="","",IF(INDEX('Per Invoice'!$B$2:$B$801,$N169)="","",INDEX('Per Invoice'!$B$2:$B$801,$N169)))</f>
        <v/>
      </c>
      <c r="C169">
        <f>IF($N169="","",IF(INDEX('Per Invoice'!$C$2:$C$801,$N169)="","",INDEX('Per Invoice'!$C$2:$C$801,$N169)))</f>
        <v/>
      </c>
      <c r="D169">
        <f>IF($N169="","",IF(INDEX('Per Invoice'!$D$2:$D$801,$N169)="","",INDEX('Per Invoice'!$D$2:$D$801,$N169)))</f>
        <v/>
      </c>
      <c r="E169">
        <f>IF($N169="","",IF(INDEX('Per Invoice'!$E$2:$E$801,$N169)="","",INDEX('Per Invoice'!$E$2:$E$801,$N169)))</f>
        <v/>
      </c>
      <c r="F169">
        <f>IF($N169="","",IF(INDEX('Per Invoice'!$F$2:$F$801,$N169)="","",INDEX('Per Invoice'!$F$2:$F$801,$N169)))</f>
        <v/>
      </c>
      <c r="G169">
        <f>IF($N169="","",IF(INDEX('Per Invoice'!$G$2:$G$801,$N169)="","",INDEX('Per Invoice'!$G$2:$G$801,$N169)))</f>
        <v/>
      </c>
      <c r="H169">
        <f>IF($N169="","",IF(INDEX('Per Invoice'!$H$2:$H$801,$N169)="","",INDEX('Per Invoice'!$H$2:$H$801,$N169)))</f>
        <v/>
      </c>
      <c r="I169" s="5">
        <f>IF($N169="","",IF(INDEX('Per Invoice'!$I$2:$I$801,$N169)="","",INDEX('Per Invoice'!$I$2:$I$801,$N169)))</f>
        <v/>
      </c>
      <c r="J169" s="5">
        <f>IF($N169="","",IF(INDEX('Per Invoice'!$J$2:$J$801,$N169)="","",INDEX('Per Invoice'!$J$2:$J$801,$N169)))</f>
        <v/>
      </c>
      <c r="K169" s="5">
        <f>IF($N169="","",IF(INDEX('Per Invoice'!$K$2:$K$801,$N169)="","",INDEX('Per Invoice'!$K$2:$K$801,$N169)))</f>
        <v/>
      </c>
      <c r="L169" s="5">
        <f>IF($N169="","",IF(INDEX('Per Invoice'!$L$2:$L$801,$N169)="","",INDEX('Per Invoice'!$L$2:$L$801,$N169)))</f>
        <v/>
      </c>
      <c r="M169" s="5">
        <f>IF($N169="","",IF(INDEX('Per Invoice'!$M$2:$M$801,$N169)="","",INDEX('Per Invoice'!$M$2:$M$801,$N169)))</f>
        <v/>
      </c>
      <c r="N169">
        <f>IF(ROWS($N$2:$N169)&lt;=COUNT('Per Invoice'!$P$2:$P$801),MATCH(ROWS($N$2:$N169),'Per Invoice'!$P$2:$P$801,0),"")</f>
        <v/>
      </c>
    </row>
    <row r="170">
      <c r="A170">
        <f>IF($N170="","",IF(INDEX('Per Invoice'!$A$2:$A$801,$N170)="","",INDEX('Per Invoice'!$A$2:$A$801,$N170)))</f>
        <v/>
      </c>
      <c r="B170">
        <f>IF($N170="","",IF(INDEX('Per Invoice'!$B$2:$B$801,$N170)="","",INDEX('Per Invoice'!$B$2:$B$801,$N170)))</f>
        <v/>
      </c>
      <c r="C170">
        <f>IF($N170="","",IF(INDEX('Per Invoice'!$C$2:$C$801,$N170)="","",INDEX('Per Invoice'!$C$2:$C$801,$N170)))</f>
        <v/>
      </c>
      <c r="D170">
        <f>IF($N170="","",IF(INDEX('Per Invoice'!$D$2:$D$801,$N170)="","",INDEX('Per Invoice'!$D$2:$D$801,$N170)))</f>
        <v/>
      </c>
      <c r="E170">
        <f>IF($N170="","",IF(INDEX('Per Invoice'!$E$2:$E$801,$N170)="","",INDEX('Per Invoice'!$E$2:$E$801,$N170)))</f>
        <v/>
      </c>
      <c r="F170">
        <f>IF($N170="","",IF(INDEX('Per Invoice'!$F$2:$F$801,$N170)="","",INDEX('Per Invoice'!$F$2:$F$801,$N170)))</f>
        <v/>
      </c>
      <c r="G170">
        <f>IF($N170="","",IF(INDEX('Per Invoice'!$G$2:$G$801,$N170)="","",INDEX('Per Invoice'!$G$2:$G$801,$N170)))</f>
        <v/>
      </c>
      <c r="H170">
        <f>IF($N170="","",IF(INDEX('Per Invoice'!$H$2:$H$801,$N170)="","",INDEX('Per Invoice'!$H$2:$H$801,$N170)))</f>
        <v/>
      </c>
      <c r="I170" s="5">
        <f>IF($N170="","",IF(INDEX('Per Invoice'!$I$2:$I$801,$N170)="","",INDEX('Per Invoice'!$I$2:$I$801,$N170)))</f>
        <v/>
      </c>
      <c r="J170" s="5">
        <f>IF($N170="","",IF(INDEX('Per Invoice'!$J$2:$J$801,$N170)="","",INDEX('Per Invoice'!$J$2:$J$801,$N170)))</f>
        <v/>
      </c>
      <c r="K170" s="5">
        <f>IF($N170="","",IF(INDEX('Per Invoice'!$K$2:$K$801,$N170)="","",INDEX('Per Invoice'!$K$2:$K$801,$N170)))</f>
        <v/>
      </c>
      <c r="L170" s="5">
        <f>IF($N170="","",IF(INDEX('Per Invoice'!$L$2:$L$801,$N170)="","",INDEX('Per Invoice'!$L$2:$L$801,$N170)))</f>
        <v/>
      </c>
      <c r="M170" s="5">
        <f>IF($N170="","",IF(INDEX('Per Invoice'!$M$2:$M$801,$N170)="","",INDEX('Per Invoice'!$M$2:$M$801,$N170)))</f>
        <v/>
      </c>
      <c r="N170">
        <f>IF(ROWS($N$2:$N170)&lt;=COUNT('Per Invoice'!$P$2:$P$801),MATCH(ROWS($N$2:$N170),'Per Invoice'!$P$2:$P$801,0),"")</f>
        <v/>
      </c>
    </row>
    <row r="171">
      <c r="A171">
        <f>IF($N171="","",IF(INDEX('Per Invoice'!$A$2:$A$801,$N171)="","",INDEX('Per Invoice'!$A$2:$A$801,$N171)))</f>
        <v/>
      </c>
      <c r="B171">
        <f>IF($N171="","",IF(INDEX('Per Invoice'!$B$2:$B$801,$N171)="","",INDEX('Per Invoice'!$B$2:$B$801,$N171)))</f>
        <v/>
      </c>
      <c r="C171">
        <f>IF($N171="","",IF(INDEX('Per Invoice'!$C$2:$C$801,$N171)="","",INDEX('Per Invoice'!$C$2:$C$801,$N171)))</f>
        <v/>
      </c>
      <c r="D171">
        <f>IF($N171="","",IF(INDEX('Per Invoice'!$D$2:$D$801,$N171)="","",INDEX('Per Invoice'!$D$2:$D$801,$N171)))</f>
        <v/>
      </c>
      <c r="E171">
        <f>IF($N171="","",IF(INDEX('Per Invoice'!$E$2:$E$801,$N171)="","",INDEX('Per Invoice'!$E$2:$E$801,$N171)))</f>
        <v/>
      </c>
      <c r="F171">
        <f>IF($N171="","",IF(INDEX('Per Invoice'!$F$2:$F$801,$N171)="","",INDEX('Per Invoice'!$F$2:$F$801,$N171)))</f>
        <v/>
      </c>
      <c r="G171">
        <f>IF($N171="","",IF(INDEX('Per Invoice'!$G$2:$G$801,$N171)="","",INDEX('Per Invoice'!$G$2:$G$801,$N171)))</f>
        <v/>
      </c>
      <c r="H171">
        <f>IF($N171="","",IF(INDEX('Per Invoice'!$H$2:$H$801,$N171)="","",INDEX('Per Invoice'!$H$2:$H$801,$N171)))</f>
        <v/>
      </c>
      <c r="I171" s="5">
        <f>IF($N171="","",IF(INDEX('Per Invoice'!$I$2:$I$801,$N171)="","",INDEX('Per Invoice'!$I$2:$I$801,$N171)))</f>
        <v/>
      </c>
      <c r="J171" s="5">
        <f>IF($N171="","",IF(INDEX('Per Invoice'!$J$2:$J$801,$N171)="","",INDEX('Per Invoice'!$J$2:$J$801,$N171)))</f>
        <v/>
      </c>
      <c r="K171" s="5">
        <f>IF($N171="","",IF(INDEX('Per Invoice'!$K$2:$K$801,$N171)="","",INDEX('Per Invoice'!$K$2:$K$801,$N171)))</f>
        <v/>
      </c>
      <c r="L171" s="5">
        <f>IF($N171="","",IF(INDEX('Per Invoice'!$L$2:$L$801,$N171)="","",INDEX('Per Invoice'!$L$2:$L$801,$N171)))</f>
        <v/>
      </c>
      <c r="M171" s="5">
        <f>IF($N171="","",IF(INDEX('Per Invoice'!$M$2:$M$801,$N171)="","",INDEX('Per Invoice'!$M$2:$M$801,$N171)))</f>
        <v/>
      </c>
      <c r="N171">
        <f>IF(ROWS($N$2:$N171)&lt;=COUNT('Per Invoice'!$P$2:$P$801),MATCH(ROWS($N$2:$N171),'Per Invoice'!$P$2:$P$801,0),"")</f>
        <v/>
      </c>
    </row>
    <row r="172">
      <c r="A172">
        <f>IF($N172="","",IF(INDEX('Per Invoice'!$A$2:$A$801,$N172)="","",INDEX('Per Invoice'!$A$2:$A$801,$N172)))</f>
        <v/>
      </c>
      <c r="B172">
        <f>IF($N172="","",IF(INDEX('Per Invoice'!$B$2:$B$801,$N172)="","",INDEX('Per Invoice'!$B$2:$B$801,$N172)))</f>
        <v/>
      </c>
      <c r="C172">
        <f>IF($N172="","",IF(INDEX('Per Invoice'!$C$2:$C$801,$N172)="","",INDEX('Per Invoice'!$C$2:$C$801,$N172)))</f>
        <v/>
      </c>
      <c r="D172">
        <f>IF($N172="","",IF(INDEX('Per Invoice'!$D$2:$D$801,$N172)="","",INDEX('Per Invoice'!$D$2:$D$801,$N172)))</f>
        <v/>
      </c>
      <c r="E172">
        <f>IF($N172="","",IF(INDEX('Per Invoice'!$E$2:$E$801,$N172)="","",INDEX('Per Invoice'!$E$2:$E$801,$N172)))</f>
        <v/>
      </c>
      <c r="F172">
        <f>IF($N172="","",IF(INDEX('Per Invoice'!$F$2:$F$801,$N172)="","",INDEX('Per Invoice'!$F$2:$F$801,$N172)))</f>
        <v/>
      </c>
      <c r="G172">
        <f>IF($N172="","",IF(INDEX('Per Invoice'!$G$2:$G$801,$N172)="","",INDEX('Per Invoice'!$G$2:$G$801,$N172)))</f>
        <v/>
      </c>
      <c r="H172">
        <f>IF($N172="","",IF(INDEX('Per Invoice'!$H$2:$H$801,$N172)="","",INDEX('Per Invoice'!$H$2:$H$801,$N172)))</f>
        <v/>
      </c>
      <c r="I172" s="5">
        <f>IF($N172="","",IF(INDEX('Per Invoice'!$I$2:$I$801,$N172)="","",INDEX('Per Invoice'!$I$2:$I$801,$N172)))</f>
        <v/>
      </c>
      <c r="J172" s="5">
        <f>IF($N172="","",IF(INDEX('Per Invoice'!$J$2:$J$801,$N172)="","",INDEX('Per Invoice'!$J$2:$J$801,$N172)))</f>
        <v/>
      </c>
      <c r="K172" s="5">
        <f>IF($N172="","",IF(INDEX('Per Invoice'!$K$2:$K$801,$N172)="","",INDEX('Per Invoice'!$K$2:$K$801,$N172)))</f>
        <v/>
      </c>
      <c r="L172" s="5">
        <f>IF($N172="","",IF(INDEX('Per Invoice'!$L$2:$L$801,$N172)="","",INDEX('Per Invoice'!$L$2:$L$801,$N172)))</f>
        <v/>
      </c>
      <c r="M172" s="5">
        <f>IF($N172="","",IF(INDEX('Per Invoice'!$M$2:$M$801,$N172)="","",INDEX('Per Invoice'!$M$2:$M$801,$N172)))</f>
        <v/>
      </c>
      <c r="N172">
        <f>IF(ROWS($N$2:$N172)&lt;=COUNT('Per Invoice'!$P$2:$P$801),MATCH(ROWS($N$2:$N172),'Per Invoice'!$P$2:$P$801,0),"")</f>
        <v/>
      </c>
    </row>
    <row r="173">
      <c r="A173">
        <f>IF($N173="","",IF(INDEX('Per Invoice'!$A$2:$A$801,$N173)="","",INDEX('Per Invoice'!$A$2:$A$801,$N173)))</f>
        <v/>
      </c>
      <c r="B173">
        <f>IF($N173="","",IF(INDEX('Per Invoice'!$B$2:$B$801,$N173)="","",INDEX('Per Invoice'!$B$2:$B$801,$N173)))</f>
        <v/>
      </c>
      <c r="C173">
        <f>IF($N173="","",IF(INDEX('Per Invoice'!$C$2:$C$801,$N173)="","",INDEX('Per Invoice'!$C$2:$C$801,$N173)))</f>
        <v/>
      </c>
      <c r="D173">
        <f>IF($N173="","",IF(INDEX('Per Invoice'!$D$2:$D$801,$N173)="","",INDEX('Per Invoice'!$D$2:$D$801,$N173)))</f>
        <v/>
      </c>
      <c r="E173">
        <f>IF($N173="","",IF(INDEX('Per Invoice'!$E$2:$E$801,$N173)="","",INDEX('Per Invoice'!$E$2:$E$801,$N173)))</f>
        <v/>
      </c>
      <c r="F173">
        <f>IF($N173="","",IF(INDEX('Per Invoice'!$F$2:$F$801,$N173)="","",INDEX('Per Invoice'!$F$2:$F$801,$N173)))</f>
        <v/>
      </c>
      <c r="G173">
        <f>IF($N173="","",IF(INDEX('Per Invoice'!$G$2:$G$801,$N173)="","",INDEX('Per Invoice'!$G$2:$G$801,$N173)))</f>
        <v/>
      </c>
      <c r="H173">
        <f>IF($N173="","",IF(INDEX('Per Invoice'!$H$2:$H$801,$N173)="","",INDEX('Per Invoice'!$H$2:$H$801,$N173)))</f>
        <v/>
      </c>
      <c r="I173" s="5">
        <f>IF($N173="","",IF(INDEX('Per Invoice'!$I$2:$I$801,$N173)="","",INDEX('Per Invoice'!$I$2:$I$801,$N173)))</f>
        <v/>
      </c>
      <c r="J173" s="5">
        <f>IF($N173="","",IF(INDEX('Per Invoice'!$J$2:$J$801,$N173)="","",INDEX('Per Invoice'!$J$2:$J$801,$N173)))</f>
        <v/>
      </c>
      <c r="K173" s="5">
        <f>IF($N173="","",IF(INDEX('Per Invoice'!$K$2:$K$801,$N173)="","",INDEX('Per Invoice'!$K$2:$K$801,$N173)))</f>
        <v/>
      </c>
      <c r="L173" s="5">
        <f>IF($N173="","",IF(INDEX('Per Invoice'!$L$2:$L$801,$N173)="","",INDEX('Per Invoice'!$L$2:$L$801,$N173)))</f>
        <v/>
      </c>
      <c r="M173" s="5">
        <f>IF($N173="","",IF(INDEX('Per Invoice'!$M$2:$M$801,$N173)="","",INDEX('Per Invoice'!$M$2:$M$801,$N173)))</f>
        <v/>
      </c>
      <c r="N173">
        <f>IF(ROWS($N$2:$N173)&lt;=COUNT('Per Invoice'!$P$2:$P$801),MATCH(ROWS($N$2:$N173),'Per Invoice'!$P$2:$P$801,0),"")</f>
        <v/>
      </c>
    </row>
    <row r="174">
      <c r="A174">
        <f>IF($N174="","",IF(INDEX('Per Invoice'!$A$2:$A$801,$N174)="","",INDEX('Per Invoice'!$A$2:$A$801,$N174)))</f>
        <v/>
      </c>
      <c r="B174">
        <f>IF($N174="","",IF(INDEX('Per Invoice'!$B$2:$B$801,$N174)="","",INDEX('Per Invoice'!$B$2:$B$801,$N174)))</f>
        <v/>
      </c>
      <c r="C174">
        <f>IF($N174="","",IF(INDEX('Per Invoice'!$C$2:$C$801,$N174)="","",INDEX('Per Invoice'!$C$2:$C$801,$N174)))</f>
        <v/>
      </c>
      <c r="D174">
        <f>IF($N174="","",IF(INDEX('Per Invoice'!$D$2:$D$801,$N174)="","",INDEX('Per Invoice'!$D$2:$D$801,$N174)))</f>
        <v/>
      </c>
      <c r="E174">
        <f>IF($N174="","",IF(INDEX('Per Invoice'!$E$2:$E$801,$N174)="","",INDEX('Per Invoice'!$E$2:$E$801,$N174)))</f>
        <v/>
      </c>
      <c r="F174">
        <f>IF($N174="","",IF(INDEX('Per Invoice'!$F$2:$F$801,$N174)="","",INDEX('Per Invoice'!$F$2:$F$801,$N174)))</f>
        <v/>
      </c>
      <c r="G174">
        <f>IF($N174="","",IF(INDEX('Per Invoice'!$G$2:$G$801,$N174)="","",INDEX('Per Invoice'!$G$2:$G$801,$N174)))</f>
        <v/>
      </c>
      <c r="H174">
        <f>IF($N174="","",IF(INDEX('Per Invoice'!$H$2:$H$801,$N174)="","",INDEX('Per Invoice'!$H$2:$H$801,$N174)))</f>
        <v/>
      </c>
      <c r="I174" s="5">
        <f>IF($N174="","",IF(INDEX('Per Invoice'!$I$2:$I$801,$N174)="","",INDEX('Per Invoice'!$I$2:$I$801,$N174)))</f>
        <v/>
      </c>
      <c r="J174" s="5">
        <f>IF($N174="","",IF(INDEX('Per Invoice'!$J$2:$J$801,$N174)="","",INDEX('Per Invoice'!$J$2:$J$801,$N174)))</f>
        <v/>
      </c>
      <c r="K174" s="5">
        <f>IF($N174="","",IF(INDEX('Per Invoice'!$K$2:$K$801,$N174)="","",INDEX('Per Invoice'!$K$2:$K$801,$N174)))</f>
        <v/>
      </c>
      <c r="L174" s="5">
        <f>IF($N174="","",IF(INDEX('Per Invoice'!$L$2:$L$801,$N174)="","",INDEX('Per Invoice'!$L$2:$L$801,$N174)))</f>
        <v/>
      </c>
      <c r="M174" s="5">
        <f>IF($N174="","",IF(INDEX('Per Invoice'!$M$2:$M$801,$N174)="","",INDEX('Per Invoice'!$M$2:$M$801,$N174)))</f>
        <v/>
      </c>
      <c r="N174">
        <f>IF(ROWS($N$2:$N174)&lt;=COUNT('Per Invoice'!$P$2:$P$801),MATCH(ROWS($N$2:$N174),'Per Invoice'!$P$2:$P$801,0),"")</f>
        <v/>
      </c>
    </row>
    <row r="175">
      <c r="A175">
        <f>IF($N175="","",IF(INDEX('Per Invoice'!$A$2:$A$801,$N175)="","",INDEX('Per Invoice'!$A$2:$A$801,$N175)))</f>
        <v/>
      </c>
      <c r="B175">
        <f>IF($N175="","",IF(INDEX('Per Invoice'!$B$2:$B$801,$N175)="","",INDEX('Per Invoice'!$B$2:$B$801,$N175)))</f>
        <v/>
      </c>
      <c r="C175">
        <f>IF($N175="","",IF(INDEX('Per Invoice'!$C$2:$C$801,$N175)="","",INDEX('Per Invoice'!$C$2:$C$801,$N175)))</f>
        <v/>
      </c>
      <c r="D175">
        <f>IF($N175="","",IF(INDEX('Per Invoice'!$D$2:$D$801,$N175)="","",INDEX('Per Invoice'!$D$2:$D$801,$N175)))</f>
        <v/>
      </c>
      <c r="E175">
        <f>IF($N175="","",IF(INDEX('Per Invoice'!$E$2:$E$801,$N175)="","",INDEX('Per Invoice'!$E$2:$E$801,$N175)))</f>
        <v/>
      </c>
      <c r="F175">
        <f>IF($N175="","",IF(INDEX('Per Invoice'!$F$2:$F$801,$N175)="","",INDEX('Per Invoice'!$F$2:$F$801,$N175)))</f>
        <v/>
      </c>
      <c r="G175">
        <f>IF($N175="","",IF(INDEX('Per Invoice'!$G$2:$G$801,$N175)="","",INDEX('Per Invoice'!$G$2:$G$801,$N175)))</f>
        <v/>
      </c>
      <c r="H175">
        <f>IF($N175="","",IF(INDEX('Per Invoice'!$H$2:$H$801,$N175)="","",INDEX('Per Invoice'!$H$2:$H$801,$N175)))</f>
        <v/>
      </c>
      <c r="I175" s="5">
        <f>IF($N175="","",IF(INDEX('Per Invoice'!$I$2:$I$801,$N175)="","",INDEX('Per Invoice'!$I$2:$I$801,$N175)))</f>
        <v/>
      </c>
      <c r="J175" s="5">
        <f>IF($N175="","",IF(INDEX('Per Invoice'!$J$2:$J$801,$N175)="","",INDEX('Per Invoice'!$J$2:$J$801,$N175)))</f>
        <v/>
      </c>
      <c r="K175" s="5">
        <f>IF($N175="","",IF(INDEX('Per Invoice'!$K$2:$K$801,$N175)="","",INDEX('Per Invoice'!$K$2:$K$801,$N175)))</f>
        <v/>
      </c>
      <c r="L175" s="5">
        <f>IF($N175="","",IF(INDEX('Per Invoice'!$L$2:$L$801,$N175)="","",INDEX('Per Invoice'!$L$2:$L$801,$N175)))</f>
        <v/>
      </c>
      <c r="M175" s="5">
        <f>IF($N175="","",IF(INDEX('Per Invoice'!$M$2:$M$801,$N175)="","",INDEX('Per Invoice'!$M$2:$M$801,$N175)))</f>
        <v/>
      </c>
      <c r="N175">
        <f>IF(ROWS($N$2:$N175)&lt;=COUNT('Per Invoice'!$P$2:$P$801),MATCH(ROWS($N$2:$N175),'Per Invoice'!$P$2:$P$801,0),"")</f>
        <v/>
      </c>
    </row>
    <row r="176">
      <c r="A176">
        <f>IF($N176="","",IF(INDEX('Per Invoice'!$A$2:$A$801,$N176)="","",INDEX('Per Invoice'!$A$2:$A$801,$N176)))</f>
        <v/>
      </c>
      <c r="B176">
        <f>IF($N176="","",IF(INDEX('Per Invoice'!$B$2:$B$801,$N176)="","",INDEX('Per Invoice'!$B$2:$B$801,$N176)))</f>
        <v/>
      </c>
      <c r="C176">
        <f>IF($N176="","",IF(INDEX('Per Invoice'!$C$2:$C$801,$N176)="","",INDEX('Per Invoice'!$C$2:$C$801,$N176)))</f>
        <v/>
      </c>
      <c r="D176">
        <f>IF($N176="","",IF(INDEX('Per Invoice'!$D$2:$D$801,$N176)="","",INDEX('Per Invoice'!$D$2:$D$801,$N176)))</f>
        <v/>
      </c>
      <c r="E176">
        <f>IF($N176="","",IF(INDEX('Per Invoice'!$E$2:$E$801,$N176)="","",INDEX('Per Invoice'!$E$2:$E$801,$N176)))</f>
        <v/>
      </c>
      <c r="F176">
        <f>IF($N176="","",IF(INDEX('Per Invoice'!$F$2:$F$801,$N176)="","",INDEX('Per Invoice'!$F$2:$F$801,$N176)))</f>
        <v/>
      </c>
      <c r="G176">
        <f>IF($N176="","",IF(INDEX('Per Invoice'!$G$2:$G$801,$N176)="","",INDEX('Per Invoice'!$G$2:$G$801,$N176)))</f>
        <v/>
      </c>
      <c r="H176">
        <f>IF($N176="","",IF(INDEX('Per Invoice'!$H$2:$H$801,$N176)="","",INDEX('Per Invoice'!$H$2:$H$801,$N176)))</f>
        <v/>
      </c>
      <c r="I176" s="5">
        <f>IF($N176="","",IF(INDEX('Per Invoice'!$I$2:$I$801,$N176)="","",INDEX('Per Invoice'!$I$2:$I$801,$N176)))</f>
        <v/>
      </c>
      <c r="J176" s="5">
        <f>IF($N176="","",IF(INDEX('Per Invoice'!$J$2:$J$801,$N176)="","",INDEX('Per Invoice'!$J$2:$J$801,$N176)))</f>
        <v/>
      </c>
      <c r="K176" s="5">
        <f>IF($N176="","",IF(INDEX('Per Invoice'!$K$2:$K$801,$N176)="","",INDEX('Per Invoice'!$K$2:$K$801,$N176)))</f>
        <v/>
      </c>
      <c r="L176" s="5">
        <f>IF($N176="","",IF(INDEX('Per Invoice'!$L$2:$L$801,$N176)="","",INDEX('Per Invoice'!$L$2:$L$801,$N176)))</f>
        <v/>
      </c>
      <c r="M176" s="5">
        <f>IF($N176="","",IF(INDEX('Per Invoice'!$M$2:$M$801,$N176)="","",INDEX('Per Invoice'!$M$2:$M$801,$N176)))</f>
        <v/>
      </c>
      <c r="N176">
        <f>IF(ROWS($N$2:$N176)&lt;=COUNT('Per Invoice'!$P$2:$P$801),MATCH(ROWS($N$2:$N176),'Per Invoice'!$P$2:$P$801,0),"")</f>
        <v/>
      </c>
    </row>
    <row r="177">
      <c r="A177">
        <f>IF($N177="","",IF(INDEX('Per Invoice'!$A$2:$A$801,$N177)="","",INDEX('Per Invoice'!$A$2:$A$801,$N177)))</f>
        <v/>
      </c>
      <c r="B177">
        <f>IF($N177="","",IF(INDEX('Per Invoice'!$B$2:$B$801,$N177)="","",INDEX('Per Invoice'!$B$2:$B$801,$N177)))</f>
        <v/>
      </c>
      <c r="C177">
        <f>IF($N177="","",IF(INDEX('Per Invoice'!$C$2:$C$801,$N177)="","",INDEX('Per Invoice'!$C$2:$C$801,$N177)))</f>
        <v/>
      </c>
      <c r="D177">
        <f>IF($N177="","",IF(INDEX('Per Invoice'!$D$2:$D$801,$N177)="","",INDEX('Per Invoice'!$D$2:$D$801,$N177)))</f>
        <v/>
      </c>
      <c r="E177">
        <f>IF($N177="","",IF(INDEX('Per Invoice'!$E$2:$E$801,$N177)="","",INDEX('Per Invoice'!$E$2:$E$801,$N177)))</f>
        <v/>
      </c>
      <c r="F177">
        <f>IF($N177="","",IF(INDEX('Per Invoice'!$F$2:$F$801,$N177)="","",INDEX('Per Invoice'!$F$2:$F$801,$N177)))</f>
        <v/>
      </c>
      <c r="G177">
        <f>IF($N177="","",IF(INDEX('Per Invoice'!$G$2:$G$801,$N177)="","",INDEX('Per Invoice'!$G$2:$G$801,$N177)))</f>
        <v/>
      </c>
      <c r="H177">
        <f>IF($N177="","",IF(INDEX('Per Invoice'!$H$2:$H$801,$N177)="","",INDEX('Per Invoice'!$H$2:$H$801,$N177)))</f>
        <v/>
      </c>
      <c r="I177" s="5">
        <f>IF($N177="","",IF(INDEX('Per Invoice'!$I$2:$I$801,$N177)="","",INDEX('Per Invoice'!$I$2:$I$801,$N177)))</f>
        <v/>
      </c>
      <c r="J177" s="5">
        <f>IF($N177="","",IF(INDEX('Per Invoice'!$J$2:$J$801,$N177)="","",INDEX('Per Invoice'!$J$2:$J$801,$N177)))</f>
        <v/>
      </c>
      <c r="K177" s="5">
        <f>IF($N177="","",IF(INDEX('Per Invoice'!$K$2:$K$801,$N177)="","",INDEX('Per Invoice'!$K$2:$K$801,$N177)))</f>
        <v/>
      </c>
      <c r="L177" s="5">
        <f>IF($N177="","",IF(INDEX('Per Invoice'!$L$2:$L$801,$N177)="","",INDEX('Per Invoice'!$L$2:$L$801,$N177)))</f>
        <v/>
      </c>
      <c r="M177" s="5">
        <f>IF($N177="","",IF(INDEX('Per Invoice'!$M$2:$M$801,$N177)="","",INDEX('Per Invoice'!$M$2:$M$801,$N177)))</f>
        <v/>
      </c>
      <c r="N177">
        <f>IF(ROWS($N$2:$N177)&lt;=COUNT('Per Invoice'!$P$2:$P$801),MATCH(ROWS($N$2:$N177),'Per Invoice'!$P$2:$P$801,0),"")</f>
        <v/>
      </c>
    </row>
    <row r="178">
      <c r="A178">
        <f>IF($N178="","",IF(INDEX('Per Invoice'!$A$2:$A$801,$N178)="","",INDEX('Per Invoice'!$A$2:$A$801,$N178)))</f>
        <v/>
      </c>
      <c r="B178">
        <f>IF($N178="","",IF(INDEX('Per Invoice'!$B$2:$B$801,$N178)="","",INDEX('Per Invoice'!$B$2:$B$801,$N178)))</f>
        <v/>
      </c>
      <c r="C178">
        <f>IF($N178="","",IF(INDEX('Per Invoice'!$C$2:$C$801,$N178)="","",INDEX('Per Invoice'!$C$2:$C$801,$N178)))</f>
        <v/>
      </c>
      <c r="D178">
        <f>IF($N178="","",IF(INDEX('Per Invoice'!$D$2:$D$801,$N178)="","",INDEX('Per Invoice'!$D$2:$D$801,$N178)))</f>
        <v/>
      </c>
      <c r="E178">
        <f>IF($N178="","",IF(INDEX('Per Invoice'!$E$2:$E$801,$N178)="","",INDEX('Per Invoice'!$E$2:$E$801,$N178)))</f>
        <v/>
      </c>
      <c r="F178">
        <f>IF($N178="","",IF(INDEX('Per Invoice'!$F$2:$F$801,$N178)="","",INDEX('Per Invoice'!$F$2:$F$801,$N178)))</f>
        <v/>
      </c>
      <c r="G178">
        <f>IF($N178="","",IF(INDEX('Per Invoice'!$G$2:$G$801,$N178)="","",INDEX('Per Invoice'!$G$2:$G$801,$N178)))</f>
        <v/>
      </c>
      <c r="H178">
        <f>IF($N178="","",IF(INDEX('Per Invoice'!$H$2:$H$801,$N178)="","",INDEX('Per Invoice'!$H$2:$H$801,$N178)))</f>
        <v/>
      </c>
      <c r="I178" s="5">
        <f>IF($N178="","",IF(INDEX('Per Invoice'!$I$2:$I$801,$N178)="","",INDEX('Per Invoice'!$I$2:$I$801,$N178)))</f>
        <v/>
      </c>
      <c r="J178" s="5">
        <f>IF($N178="","",IF(INDEX('Per Invoice'!$J$2:$J$801,$N178)="","",INDEX('Per Invoice'!$J$2:$J$801,$N178)))</f>
        <v/>
      </c>
      <c r="K178" s="5">
        <f>IF($N178="","",IF(INDEX('Per Invoice'!$K$2:$K$801,$N178)="","",INDEX('Per Invoice'!$K$2:$K$801,$N178)))</f>
        <v/>
      </c>
      <c r="L178" s="5">
        <f>IF($N178="","",IF(INDEX('Per Invoice'!$L$2:$L$801,$N178)="","",INDEX('Per Invoice'!$L$2:$L$801,$N178)))</f>
        <v/>
      </c>
      <c r="M178" s="5">
        <f>IF($N178="","",IF(INDEX('Per Invoice'!$M$2:$M$801,$N178)="","",INDEX('Per Invoice'!$M$2:$M$801,$N178)))</f>
        <v/>
      </c>
      <c r="N178">
        <f>IF(ROWS($N$2:$N178)&lt;=COUNT('Per Invoice'!$P$2:$P$801),MATCH(ROWS($N$2:$N178),'Per Invoice'!$P$2:$P$801,0),"")</f>
        <v/>
      </c>
    </row>
    <row r="179">
      <c r="A179">
        <f>IF($N179="","",IF(INDEX('Per Invoice'!$A$2:$A$801,$N179)="","",INDEX('Per Invoice'!$A$2:$A$801,$N179)))</f>
        <v/>
      </c>
      <c r="B179">
        <f>IF($N179="","",IF(INDEX('Per Invoice'!$B$2:$B$801,$N179)="","",INDEX('Per Invoice'!$B$2:$B$801,$N179)))</f>
        <v/>
      </c>
      <c r="C179">
        <f>IF($N179="","",IF(INDEX('Per Invoice'!$C$2:$C$801,$N179)="","",INDEX('Per Invoice'!$C$2:$C$801,$N179)))</f>
        <v/>
      </c>
      <c r="D179">
        <f>IF($N179="","",IF(INDEX('Per Invoice'!$D$2:$D$801,$N179)="","",INDEX('Per Invoice'!$D$2:$D$801,$N179)))</f>
        <v/>
      </c>
      <c r="E179">
        <f>IF($N179="","",IF(INDEX('Per Invoice'!$E$2:$E$801,$N179)="","",INDEX('Per Invoice'!$E$2:$E$801,$N179)))</f>
        <v/>
      </c>
      <c r="F179">
        <f>IF($N179="","",IF(INDEX('Per Invoice'!$F$2:$F$801,$N179)="","",INDEX('Per Invoice'!$F$2:$F$801,$N179)))</f>
        <v/>
      </c>
      <c r="G179">
        <f>IF($N179="","",IF(INDEX('Per Invoice'!$G$2:$G$801,$N179)="","",INDEX('Per Invoice'!$G$2:$G$801,$N179)))</f>
        <v/>
      </c>
      <c r="H179">
        <f>IF($N179="","",IF(INDEX('Per Invoice'!$H$2:$H$801,$N179)="","",INDEX('Per Invoice'!$H$2:$H$801,$N179)))</f>
        <v/>
      </c>
      <c r="I179" s="5">
        <f>IF($N179="","",IF(INDEX('Per Invoice'!$I$2:$I$801,$N179)="","",INDEX('Per Invoice'!$I$2:$I$801,$N179)))</f>
        <v/>
      </c>
      <c r="J179" s="5">
        <f>IF($N179="","",IF(INDEX('Per Invoice'!$J$2:$J$801,$N179)="","",INDEX('Per Invoice'!$J$2:$J$801,$N179)))</f>
        <v/>
      </c>
      <c r="K179" s="5">
        <f>IF($N179="","",IF(INDEX('Per Invoice'!$K$2:$K$801,$N179)="","",INDEX('Per Invoice'!$K$2:$K$801,$N179)))</f>
        <v/>
      </c>
      <c r="L179" s="5">
        <f>IF($N179="","",IF(INDEX('Per Invoice'!$L$2:$L$801,$N179)="","",INDEX('Per Invoice'!$L$2:$L$801,$N179)))</f>
        <v/>
      </c>
      <c r="M179" s="5">
        <f>IF($N179="","",IF(INDEX('Per Invoice'!$M$2:$M$801,$N179)="","",INDEX('Per Invoice'!$M$2:$M$801,$N179)))</f>
        <v/>
      </c>
      <c r="N179">
        <f>IF(ROWS($N$2:$N179)&lt;=COUNT('Per Invoice'!$P$2:$P$801),MATCH(ROWS($N$2:$N179),'Per Invoice'!$P$2:$P$801,0),"")</f>
        <v/>
      </c>
    </row>
    <row r="180">
      <c r="A180">
        <f>IF($N180="","",IF(INDEX('Per Invoice'!$A$2:$A$801,$N180)="","",INDEX('Per Invoice'!$A$2:$A$801,$N180)))</f>
        <v/>
      </c>
      <c r="B180">
        <f>IF($N180="","",IF(INDEX('Per Invoice'!$B$2:$B$801,$N180)="","",INDEX('Per Invoice'!$B$2:$B$801,$N180)))</f>
        <v/>
      </c>
      <c r="C180">
        <f>IF($N180="","",IF(INDEX('Per Invoice'!$C$2:$C$801,$N180)="","",INDEX('Per Invoice'!$C$2:$C$801,$N180)))</f>
        <v/>
      </c>
      <c r="D180">
        <f>IF($N180="","",IF(INDEX('Per Invoice'!$D$2:$D$801,$N180)="","",INDEX('Per Invoice'!$D$2:$D$801,$N180)))</f>
        <v/>
      </c>
      <c r="E180">
        <f>IF($N180="","",IF(INDEX('Per Invoice'!$E$2:$E$801,$N180)="","",INDEX('Per Invoice'!$E$2:$E$801,$N180)))</f>
        <v/>
      </c>
      <c r="F180">
        <f>IF($N180="","",IF(INDEX('Per Invoice'!$F$2:$F$801,$N180)="","",INDEX('Per Invoice'!$F$2:$F$801,$N180)))</f>
        <v/>
      </c>
      <c r="G180">
        <f>IF($N180="","",IF(INDEX('Per Invoice'!$G$2:$G$801,$N180)="","",INDEX('Per Invoice'!$G$2:$G$801,$N180)))</f>
        <v/>
      </c>
      <c r="H180">
        <f>IF($N180="","",IF(INDEX('Per Invoice'!$H$2:$H$801,$N180)="","",INDEX('Per Invoice'!$H$2:$H$801,$N180)))</f>
        <v/>
      </c>
      <c r="I180" s="5">
        <f>IF($N180="","",IF(INDEX('Per Invoice'!$I$2:$I$801,$N180)="","",INDEX('Per Invoice'!$I$2:$I$801,$N180)))</f>
        <v/>
      </c>
      <c r="J180" s="5">
        <f>IF($N180="","",IF(INDEX('Per Invoice'!$J$2:$J$801,$N180)="","",INDEX('Per Invoice'!$J$2:$J$801,$N180)))</f>
        <v/>
      </c>
      <c r="K180" s="5">
        <f>IF($N180="","",IF(INDEX('Per Invoice'!$K$2:$K$801,$N180)="","",INDEX('Per Invoice'!$K$2:$K$801,$N180)))</f>
        <v/>
      </c>
      <c r="L180" s="5">
        <f>IF($N180="","",IF(INDEX('Per Invoice'!$L$2:$L$801,$N180)="","",INDEX('Per Invoice'!$L$2:$L$801,$N180)))</f>
        <v/>
      </c>
      <c r="M180" s="5">
        <f>IF($N180="","",IF(INDEX('Per Invoice'!$M$2:$M$801,$N180)="","",INDEX('Per Invoice'!$M$2:$M$801,$N180)))</f>
        <v/>
      </c>
      <c r="N180">
        <f>IF(ROWS($N$2:$N180)&lt;=COUNT('Per Invoice'!$P$2:$P$801),MATCH(ROWS($N$2:$N180),'Per Invoice'!$P$2:$P$801,0),"")</f>
        <v/>
      </c>
    </row>
    <row r="181">
      <c r="A181">
        <f>IF($N181="","",IF(INDEX('Per Invoice'!$A$2:$A$801,$N181)="","",INDEX('Per Invoice'!$A$2:$A$801,$N181)))</f>
        <v/>
      </c>
      <c r="B181">
        <f>IF($N181="","",IF(INDEX('Per Invoice'!$B$2:$B$801,$N181)="","",INDEX('Per Invoice'!$B$2:$B$801,$N181)))</f>
        <v/>
      </c>
      <c r="C181">
        <f>IF($N181="","",IF(INDEX('Per Invoice'!$C$2:$C$801,$N181)="","",INDEX('Per Invoice'!$C$2:$C$801,$N181)))</f>
        <v/>
      </c>
      <c r="D181">
        <f>IF($N181="","",IF(INDEX('Per Invoice'!$D$2:$D$801,$N181)="","",INDEX('Per Invoice'!$D$2:$D$801,$N181)))</f>
        <v/>
      </c>
      <c r="E181">
        <f>IF($N181="","",IF(INDEX('Per Invoice'!$E$2:$E$801,$N181)="","",INDEX('Per Invoice'!$E$2:$E$801,$N181)))</f>
        <v/>
      </c>
      <c r="F181">
        <f>IF($N181="","",IF(INDEX('Per Invoice'!$F$2:$F$801,$N181)="","",INDEX('Per Invoice'!$F$2:$F$801,$N181)))</f>
        <v/>
      </c>
      <c r="G181">
        <f>IF($N181="","",IF(INDEX('Per Invoice'!$G$2:$G$801,$N181)="","",INDEX('Per Invoice'!$G$2:$G$801,$N181)))</f>
        <v/>
      </c>
      <c r="H181">
        <f>IF($N181="","",IF(INDEX('Per Invoice'!$H$2:$H$801,$N181)="","",INDEX('Per Invoice'!$H$2:$H$801,$N181)))</f>
        <v/>
      </c>
      <c r="I181" s="5">
        <f>IF($N181="","",IF(INDEX('Per Invoice'!$I$2:$I$801,$N181)="","",INDEX('Per Invoice'!$I$2:$I$801,$N181)))</f>
        <v/>
      </c>
      <c r="J181" s="5">
        <f>IF($N181="","",IF(INDEX('Per Invoice'!$J$2:$J$801,$N181)="","",INDEX('Per Invoice'!$J$2:$J$801,$N181)))</f>
        <v/>
      </c>
      <c r="K181" s="5">
        <f>IF($N181="","",IF(INDEX('Per Invoice'!$K$2:$K$801,$N181)="","",INDEX('Per Invoice'!$K$2:$K$801,$N181)))</f>
        <v/>
      </c>
      <c r="L181" s="5">
        <f>IF($N181="","",IF(INDEX('Per Invoice'!$L$2:$L$801,$N181)="","",INDEX('Per Invoice'!$L$2:$L$801,$N181)))</f>
        <v/>
      </c>
      <c r="M181" s="5">
        <f>IF($N181="","",IF(INDEX('Per Invoice'!$M$2:$M$801,$N181)="","",INDEX('Per Invoice'!$M$2:$M$801,$N181)))</f>
        <v/>
      </c>
      <c r="N181">
        <f>IF(ROWS($N$2:$N181)&lt;=COUNT('Per Invoice'!$P$2:$P$801),MATCH(ROWS($N$2:$N181),'Per Invoice'!$P$2:$P$801,0),"")</f>
        <v/>
      </c>
    </row>
    <row r="182">
      <c r="A182">
        <f>IF($N182="","",IF(INDEX('Per Invoice'!$A$2:$A$801,$N182)="","",INDEX('Per Invoice'!$A$2:$A$801,$N182)))</f>
        <v/>
      </c>
      <c r="B182">
        <f>IF($N182="","",IF(INDEX('Per Invoice'!$B$2:$B$801,$N182)="","",INDEX('Per Invoice'!$B$2:$B$801,$N182)))</f>
        <v/>
      </c>
      <c r="C182">
        <f>IF($N182="","",IF(INDEX('Per Invoice'!$C$2:$C$801,$N182)="","",INDEX('Per Invoice'!$C$2:$C$801,$N182)))</f>
        <v/>
      </c>
      <c r="D182">
        <f>IF($N182="","",IF(INDEX('Per Invoice'!$D$2:$D$801,$N182)="","",INDEX('Per Invoice'!$D$2:$D$801,$N182)))</f>
        <v/>
      </c>
      <c r="E182">
        <f>IF($N182="","",IF(INDEX('Per Invoice'!$E$2:$E$801,$N182)="","",INDEX('Per Invoice'!$E$2:$E$801,$N182)))</f>
        <v/>
      </c>
      <c r="F182">
        <f>IF($N182="","",IF(INDEX('Per Invoice'!$F$2:$F$801,$N182)="","",INDEX('Per Invoice'!$F$2:$F$801,$N182)))</f>
        <v/>
      </c>
      <c r="G182">
        <f>IF($N182="","",IF(INDEX('Per Invoice'!$G$2:$G$801,$N182)="","",INDEX('Per Invoice'!$G$2:$G$801,$N182)))</f>
        <v/>
      </c>
      <c r="H182">
        <f>IF($N182="","",IF(INDEX('Per Invoice'!$H$2:$H$801,$N182)="","",INDEX('Per Invoice'!$H$2:$H$801,$N182)))</f>
        <v/>
      </c>
      <c r="I182" s="5">
        <f>IF($N182="","",IF(INDEX('Per Invoice'!$I$2:$I$801,$N182)="","",INDEX('Per Invoice'!$I$2:$I$801,$N182)))</f>
        <v/>
      </c>
      <c r="J182" s="5">
        <f>IF($N182="","",IF(INDEX('Per Invoice'!$J$2:$J$801,$N182)="","",INDEX('Per Invoice'!$J$2:$J$801,$N182)))</f>
        <v/>
      </c>
      <c r="K182" s="5">
        <f>IF($N182="","",IF(INDEX('Per Invoice'!$K$2:$K$801,$N182)="","",INDEX('Per Invoice'!$K$2:$K$801,$N182)))</f>
        <v/>
      </c>
      <c r="L182" s="5">
        <f>IF($N182="","",IF(INDEX('Per Invoice'!$L$2:$L$801,$N182)="","",INDEX('Per Invoice'!$L$2:$L$801,$N182)))</f>
        <v/>
      </c>
      <c r="M182" s="5">
        <f>IF($N182="","",IF(INDEX('Per Invoice'!$M$2:$M$801,$N182)="","",INDEX('Per Invoice'!$M$2:$M$801,$N182)))</f>
        <v/>
      </c>
      <c r="N182">
        <f>IF(ROWS($N$2:$N182)&lt;=COUNT('Per Invoice'!$P$2:$P$801),MATCH(ROWS($N$2:$N182),'Per Invoice'!$P$2:$P$801,0),"")</f>
        <v/>
      </c>
    </row>
    <row r="183">
      <c r="A183">
        <f>IF($N183="","",IF(INDEX('Per Invoice'!$A$2:$A$801,$N183)="","",INDEX('Per Invoice'!$A$2:$A$801,$N183)))</f>
        <v/>
      </c>
      <c r="B183">
        <f>IF($N183="","",IF(INDEX('Per Invoice'!$B$2:$B$801,$N183)="","",INDEX('Per Invoice'!$B$2:$B$801,$N183)))</f>
        <v/>
      </c>
      <c r="C183">
        <f>IF($N183="","",IF(INDEX('Per Invoice'!$C$2:$C$801,$N183)="","",INDEX('Per Invoice'!$C$2:$C$801,$N183)))</f>
        <v/>
      </c>
      <c r="D183">
        <f>IF($N183="","",IF(INDEX('Per Invoice'!$D$2:$D$801,$N183)="","",INDEX('Per Invoice'!$D$2:$D$801,$N183)))</f>
        <v/>
      </c>
      <c r="E183">
        <f>IF($N183="","",IF(INDEX('Per Invoice'!$E$2:$E$801,$N183)="","",INDEX('Per Invoice'!$E$2:$E$801,$N183)))</f>
        <v/>
      </c>
      <c r="F183">
        <f>IF($N183="","",IF(INDEX('Per Invoice'!$F$2:$F$801,$N183)="","",INDEX('Per Invoice'!$F$2:$F$801,$N183)))</f>
        <v/>
      </c>
      <c r="G183">
        <f>IF($N183="","",IF(INDEX('Per Invoice'!$G$2:$G$801,$N183)="","",INDEX('Per Invoice'!$G$2:$G$801,$N183)))</f>
        <v/>
      </c>
      <c r="H183">
        <f>IF($N183="","",IF(INDEX('Per Invoice'!$H$2:$H$801,$N183)="","",INDEX('Per Invoice'!$H$2:$H$801,$N183)))</f>
        <v/>
      </c>
      <c r="I183" s="5">
        <f>IF($N183="","",IF(INDEX('Per Invoice'!$I$2:$I$801,$N183)="","",INDEX('Per Invoice'!$I$2:$I$801,$N183)))</f>
        <v/>
      </c>
      <c r="J183" s="5">
        <f>IF($N183="","",IF(INDEX('Per Invoice'!$J$2:$J$801,$N183)="","",INDEX('Per Invoice'!$J$2:$J$801,$N183)))</f>
        <v/>
      </c>
      <c r="K183" s="5">
        <f>IF($N183="","",IF(INDEX('Per Invoice'!$K$2:$K$801,$N183)="","",INDEX('Per Invoice'!$K$2:$K$801,$N183)))</f>
        <v/>
      </c>
      <c r="L183" s="5">
        <f>IF($N183="","",IF(INDEX('Per Invoice'!$L$2:$L$801,$N183)="","",INDEX('Per Invoice'!$L$2:$L$801,$N183)))</f>
        <v/>
      </c>
      <c r="M183" s="5">
        <f>IF($N183="","",IF(INDEX('Per Invoice'!$M$2:$M$801,$N183)="","",INDEX('Per Invoice'!$M$2:$M$801,$N183)))</f>
        <v/>
      </c>
      <c r="N183">
        <f>IF(ROWS($N$2:$N183)&lt;=COUNT('Per Invoice'!$P$2:$P$801),MATCH(ROWS($N$2:$N183),'Per Invoice'!$P$2:$P$801,0),"")</f>
        <v/>
      </c>
    </row>
    <row r="184">
      <c r="A184">
        <f>IF($N184="","",IF(INDEX('Per Invoice'!$A$2:$A$801,$N184)="","",INDEX('Per Invoice'!$A$2:$A$801,$N184)))</f>
        <v/>
      </c>
      <c r="B184">
        <f>IF($N184="","",IF(INDEX('Per Invoice'!$B$2:$B$801,$N184)="","",INDEX('Per Invoice'!$B$2:$B$801,$N184)))</f>
        <v/>
      </c>
      <c r="C184">
        <f>IF($N184="","",IF(INDEX('Per Invoice'!$C$2:$C$801,$N184)="","",INDEX('Per Invoice'!$C$2:$C$801,$N184)))</f>
        <v/>
      </c>
      <c r="D184">
        <f>IF($N184="","",IF(INDEX('Per Invoice'!$D$2:$D$801,$N184)="","",INDEX('Per Invoice'!$D$2:$D$801,$N184)))</f>
        <v/>
      </c>
      <c r="E184">
        <f>IF($N184="","",IF(INDEX('Per Invoice'!$E$2:$E$801,$N184)="","",INDEX('Per Invoice'!$E$2:$E$801,$N184)))</f>
        <v/>
      </c>
      <c r="F184">
        <f>IF($N184="","",IF(INDEX('Per Invoice'!$F$2:$F$801,$N184)="","",INDEX('Per Invoice'!$F$2:$F$801,$N184)))</f>
        <v/>
      </c>
      <c r="G184">
        <f>IF($N184="","",IF(INDEX('Per Invoice'!$G$2:$G$801,$N184)="","",INDEX('Per Invoice'!$G$2:$G$801,$N184)))</f>
        <v/>
      </c>
      <c r="H184">
        <f>IF($N184="","",IF(INDEX('Per Invoice'!$H$2:$H$801,$N184)="","",INDEX('Per Invoice'!$H$2:$H$801,$N184)))</f>
        <v/>
      </c>
      <c r="I184" s="5">
        <f>IF($N184="","",IF(INDEX('Per Invoice'!$I$2:$I$801,$N184)="","",INDEX('Per Invoice'!$I$2:$I$801,$N184)))</f>
        <v/>
      </c>
      <c r="J184" s="5">
        <f>IF($N184="","",IF(INDEX('Per Invoice'!$J$2:$J$801,$N184)="","",INDEX('Per Invoice'!$J$2:$J$801,$N184)))</f>
        <v/>
      </c>
      <c r="K184" s="5">
        <f>IF($N184="","",IF(INDEX('Per Invoice'!$K$2:$K$801,$N184)="","",INDEX('Per Invoice'!$K$2:$K$801,$N184)))</f>
        <v/>
      </c>
      <c r="L184" s="5">
        <f>IF($N184="","",IF(INDEX('Per Invoice'!$L$2:$L$801,$N184)="","",INDEX('Per Invoice'!$L$2:$L$801,$N184)))</f>
        <v/>
      </c>
      <c r="M184" s="5">
        <f>IF($N184="","",IF(INDEX('Per Invoice'!$M$2:$M$801,$N184)="","",INDEX('Per Invoice'!$M$2:$M$801,$N184)))</f>
        <v/>
      </c>
      <c r="N184">
        <f>IF(ROWS($N$2:$N184)&lt;=COUNT('Per Invoice'!$P$2:$P$801),MATCH(ROWS($N$2:$N184),'Per Invoice'!$P$2:$P$801,0),"")</f>
        <v/>
      </c>
    </row>
    <row r="185">
      <c r="A185">
        <f>IF($N185="","",IF(INDEX('Per Invoice'!$A$2:$A$801,$N185)="","",INDEX('Per Invoice'!$A$2:$A$801,$N185)))</f>
        <v/>
      </c>
      <c r="B185">
        <f>IF($N185="","",IF(INDEX('Per Invoice'!$B$2:$B$801,$N185)="","",INDEX('Per Invoice'!$B$2:$B$801,$N185)))</f>
        <v/>
      </c>
      <c r="C185">
        <f>IF($N185="","",IF(INDEX('Per Invoice'!$C$2:$C$801,$N185)="","",INDEX('Per Invoice'!$C$2:$C$801,$N185)))</f>
        <v/>
      </c>
      <c r="D185">
        <f>IF($N185="","",IF(INDEX('Per Invoice'!$D$2:$D$801,$N185)="","",INDEX('Per Invoice'!$D$2:$D$801,$N185)))</f>
        <v/>
      </c>
      <c r="E185">
        <f>IF($N185="","",IF(INDEX('Per Invoice'!$E$2:$E$801,$N185)="","",INDEX('Per Invoice'!$E$2:$E$801,$N185)))</f>
        <v/>
      </c>
      <c r="F185">
        <f>IF($N185="","",IF(INDEX('Per Invoice'!$F$2:$F$801,$N185)="","",INDEX('Per Invoice'!$F$2:$F$801,$N185)))</f>
        <v/>
      </c>
      <c r="G185">
        <f>IF($N185="","",IF(INDEX('Per Invoice'!$G$2:$G$801,$N185)="","",INDEX('Per Invoice'!$G$2:$G$801,$N185)))</f>
        <v/>
      </c>
      <c r="H185">
        <f>IF($N185="","",IF(INDEX('Per Invoice'!$H$2:$H$801,$N185)="","",INDEX('Per Invoice'!$H$2:$H$801,$N185)))</f>
        <v/>
      </c>
      <c r="I185" s="5">
        <f>IF($N185="","",IF(INDEX('Per Invoice'!$I$2:$I$801,$N185)="","",INDEX('Per Invoice'!$I$2:$I$801,$N185)))</f>
        <v/>
      </c>
      <c r="J185" s="5">
        <f>IF($N185="","",IF(INDEX('Per Invoice'!$J$2:$J$801,$N185)="","",INDEX('Per Invoice'!$J$2:$J$801,$N185)))</f>
        <v/>
      </c>
      <c r="K185" s="5">
        <f>IF($N185="","",IF(INDEX('Per Invoice'!$K$2:$K$801,$N185)="","",INDEX('Per Invoice'!$K$2:$K$801,$N185)))</f>
        <v/>
      </c>
      <c r="L185" s="5">
        <f>IF($N185="","",IF(INDEX('Per Invoice'!$L$2:$L$801,$N185)="","",INDEX('Per Invoice'!$L$2:$L$801,$N185)))</f>
        <v/>
      </c>
      <c r="M185" s="5">
        <f>IF($N185="","",IF(INDEX('Per Invoice'!$M$2:$M$801,$N185)="","",INDEX('Per Invoice'!$M$2:$M$801,$N185)))</f>
        <v/>
      </c>
      <c r="N185">
        <f>IF(ROWS($N$2:$N185)&lt;=COUNT('Per Invoice'!$P$2:$P$801),MATCH(ROWS($N$2:$N185),'Per Invoice'!$P$2:$P$801,0),"")</f>
        <v/>
      </c>
    </row>
    <row r="186">
      <c r="A186">
        <f>IF($N186="","",IF(INDEX('Per Invoice'!$A$2:$A$801,$N186)="","",INDEX('Per Invoice'!$A$2:$A$801,$N186)))</f>
        <v/>
      </c>
      <c r="B186">
        <f>IF($N186="","",IF(INDEX('Per Invoice'!$B$2:$B$801,$N186)="","",INDEX('Per Invoice'!$B$2:$B$801,$N186)))</f>
        <v/>
      </c>
      <c r="C186">
        <f>IF($N186="","",IF(INDEX('Per Invoice'!$C$2:$C$801,$N186)="","",INDEX('Per Invoice'!$C$2:$C$801,$N186)))</f>
        <v/>
      </c>
      <c r="D186">
        <f>IF($N186="","",IF(INDEX('Per Invoice'!$D$2:$D$801,$N186)="","",INDEX('Per Invoice'!$D$2:$D$801,$N186)))</f>
        <v/>
      </c>
      <c r="E186">
        <f>IF($N186="","",IF(INDEX('Per Invoice'!$E$2:$E$801,$N186)="","",INDEX('Per Invoice'!$E$2:$E$801,$N186)))</f>
        <v/>
      </c>
      <c r="F186">
        <f>IF($N186="","",IF(INDEX('Per Invoice'!$F$2:$F$801,$N186)="","",INDEX('Per Invoice'!$F$2:$F$801,$N186)))</f>
        <v/>
      </c>
      <c r="G186">
        <f>IF($N186="","",IF(INDEX('Per Invoice'!$G$2:$G$801,$N186)="","",INDEX('Per Invoice'!$G$2:$G$801,$N186)))</f>
        <v/>
      </c>
      <c r="H186">
        <f>IF($N186="","",IF(INDEX('Per Invoice'!$H$2:$H$801,$N186)="","",INDEX('Per Invoice'!$H$2:$H$801,$N186)))</f>
        <v/>
      </c>
      <c r="I186" s="5">
        <f>IF($N186="","",IF(INDEX('Per Invoice'!$I$2:$I$801,$N186)="","",INDEX('Per Invoice'!$I$2:$I$801,$N186)))</f>
        <v/>
      </c>
      <c r="J186" s="5">
        <f>IF($N186="","",IF(INDEX('Per Invoice'!$J$2:$J$801,$N186)="","",INDEX('Per Invoice'!$J$2:$J$801,$N186)))</f>
        <v/>
      </c>
      <c r="K186" s="5">
        <f>IF($N186="","",IF(INDEX('Per Invoice'!$K$2:$K$801,$N186)="","",INDEX('Per Invoice'!$K$2:$K$801,$N186)))</f>
        <v/>
      </c>
      <c r="L186" s="5">
        <f>IF($N186="","",IF(INDEX('Per Invoice'!$L$2:$L$801,$N186)="","",INDEX('Per Invoice'!$L$2:$L$801,$N186)))</f>
        <v/>
      </c>
      <c r="M186" s="5">
        <f>IF($N186="","",IF(INDEX('Per Invoice'!$M$2:$M$801,$N186)="","",INDEX('Per Invoice'!$M$2:$M$801,$N186)))</f>
        <v/>
      </c>
      <c r="N186">
        <f>IF(ROWS($N$2:$N186)&lt;=COUNT('Per Invoice'!$P$2:$P$801),MATCH(ROWS($N$2:$N186),'Per Invoice'!$P$2:$P$801,0),"")</f>
        <v/>
      </c>
    </row>
    <row r="187">
      <c r="A187">
        <f>IF($N187="","",IF(INDEX('Per Invoice'!$A$2:$A$801,$N187)="","",INDEX('Per Invoice'!$A$2:$A$801,$N187)))</f>
        <v/>
      </c>
      <c r="B187">
        <f>IF($N187="","",IF(INDEX('Per Invoice'!$B$2:$B$801,$N187)="","",INDEX('Per Invoice'!$B$2:$B$801,$N187)))</f>
        <v/>
      </c>
      <c r="C187">
        <f>IF($N187="","",IF(INDEX('Per Invoice'!$C$2:$C$801,$N187)="","",INDEX('Per Invoice'!$C$2:$C$801,$N187)))</f>
        <v/>
      </c>
      <c r="D187">
        <f>IF($N187="","",IF(INDEX('Per Invoice'!$D$2:$D$801,$N187)="","",INDEX('Per Invoice'!$D$2:$D$801,$N187)))</f>
        <v/>
      </c>
      <c r="E187">
        <f>IF($N187="","",IF(INDEX('Per Invoice'!$E$2:$E$801,$N187)="","",INDEX('Per Invoice'!$E$2:$E$801,$N187)))</f>
        <v/>
      </c>
      <c r="F187">
        <f>IF($N187="","",IF(INDEX('Per Invoice'!$F$2:$F$801,$N187)="","",INDEX('Per Invoice'!$F$2:$F$801,$N187)))</f>
        <v/>
      </c>
      <c r="G187">
        <f>IF($N187="","",IF(INDEX('Per Invoice'!$G$2:$G$801,$N187)="","",INDEX('Per Invoice'!$G$2:$G$801,$N187)))</f>
        <v/>
      </c>
      <c r="H187">
        <f>IF($N187="","",IF(INDEX('Per Invoice'!$H$2:$H$801,$N187)="","",INDEX('Per Invoice'!$H$2:$H$801,$N187)))</f>
        <v/>
      </c>
      <c r="I187" s="5">
        <f>IF($N187="","",IF(INDEX('Per Invoice'!$I$2:$I$801,$N187)="","",INDEX('Per Invoice'!$I$2:$I$801,$N187)))</f>
        <v/>
      </c>
      <c r="J187" s="5">
        <f>IF($N187="","",IF(INDEX('Per Invoice'!$J$2:$J$801,$N187)="","",INDEX('Per Invoice'!$J$2:$J$801,$N187)))</f>
        <v/>
      </c>
      <c r="K187" s="5">
        <f>IF($N187="","",IF(INDEX('Per Invoice'!$K$2:$K$801,$N187)="","",INDEX('Per Invoice'!$K$2:$K$801,$N187)))</f>
        <v/>
      </c>
      <c r="L187" s="5">
        <f>IF($N187="","",IF(INDEX('Per Invoice'!$L$2:$L$801,$N187)="","",INDEX('Per Invoice'!$L$2:$L$801,$N187)))</f>
        <v/>
      </c>
      <c r="M187" s="5">
        <f>IF($N187="","",IF(INDEX('Per Invoice'!$M$2:$M$801,$N187)="","",INDEX('Per Invoice'!$M$2:$M$801,$N187)))</f>
        <v/>
      </c>
      <c r="N187">
        <f>IF(ROWS($N$2:$N187)&lt;=COUNT('Per Invoice'!$P$2:$P$801),MATCH(ROWS($N$2:$N187),'Per Invoice'!$P$2:$P$801,0),"")</f>
        <v/>
      </c>
    </row>
    <row r="188">
      <c r="A188">
        <f>IF($N188="","",IF(INDEX('Per Invoice'!$A$2:$A$801,$N188)="","",INDEX('Per Invoice'!$A$2:$A$801,$N188)))</f>
        <v/>
      </c>
      <c r="B188">
        <f>IF($N188="","",IF(INDEX('Per Invoice'!$B$2:$B$801,$N188)="","",INDEX('Per Invoice'!$B$2:$B$801,$N188)))</f>
        <v/>
      </c>
      <c r="C188">
        <f>IF($N188="","",IF(INDEX('Per Invoice'!$C$2:$C$801,$N188)="","",INDEX('Per Invoice'!$C$2:$C$801,$N188)))</f>
        <v/>
      </c>
      <c r="D188">
        <f>IF($N188="","",IF(INDEX('Per Invoice'!$D$2:$D$801,$N188)="","",INDEX('Per Invoice'!$D$2:$D$801,$N188)))</f>
        <v/>
      </c>
      <c r="E188">
        <f>IF($N188="","",IF(INDEX('Per Invoice'!$E$2:$E$801,$N188)="","",INDEX('Per Invoice'!$E$2:$E$801,$N188)))</f>
        <v/>
      </c>
      <c r="F188">
        <f>IF($N188="","",IF(INDEX('Per Invoice'!$F$2:$F$801,$N188)="","",INDEX('Per Invoice'!$F$2:$F$801,$N188)))</f>
        <v/>
      </c>
      <c r="G188">
        <f>IF($N188="","",IF(INDEX('Per Invoice'!$G$2:$G$801,$N188)="","",INDEX('Per Invoice'!$G$2:$G$801,$N188)))</f>
        <v/>
      </c>
      <c r="H188">
        <f>IF($N188="","",IF(INDEX('Per Invoice'!$H$2:$H$801,$N188)="","",INDEX('Per Invoice'!$H$2:$H$801,$N188)))</f>
        <v/>
      </c>
      <c r="I188" s="5">
        <f>IF($N188="","",IF(INDEX('Per Invoice'!$I$2:$I$801,$N188)="","",INDEX('Per Invoice'!$I$2:$I$801,$N188)))</f>
        <v/>
      </c>
      <c r="J188" s="5">
        <f>IF($N188="","",IF(INDEX('Per Invoice'!$J$2:$J$801,$N188)="","",INDEX('Per Invoice'!$J$2:$J$801,$N188)))</f>
        <v/>
      </c>
      <c r="K188" s="5">
        <f>IF($N188="","",IF(INDEX('Per Invoice'!$K$2:$K$801,$N188)="","",INDEX('Per Invoice'!$K$2:$K$801,$N188)))</f>
        <v/>
      </c>
      <c r="L188" s="5">
        <f>IF($N188="","",IF(INDEX('Per Invoice'!$L$2:$L$801,$N188)="","",INDEX('Per Invoice'!$L$2:$L$801,$N188)))</f>
        <v/>
      </c>
      <c r="M188" s="5">
        <f>IF($N188="","",IF(INDEX('Per Invoice'!$M$2:$M$801,$N188)="","",INDEX('Per Invoice'!$M$2:$M$801,$N188)))</f>
        <v/>
      </c>
      <c r="N188">
        <f>IF(ROWS($N$2:$N188)&lt;=COUNT('Per Invoice'!$P$2:$P$801),MATCH(ROWS($N$2:$N188),'Per Invoice'!$P$2:$P$801,0),"")</f>
        <v/>
      </c>
    </row>
    <row r="189">
      <c r="A189">
        <f>IF($N189="","",IF(INDEX('Per Invoice'!$A$2:$A$801,$N189)="","",INDEX('Per Invoice'!$A$2:$A$801,$N189)))</f>
        <v/>
      </c>
      <c r="B189">
        <f>IF($N189="","",IF(INDEX('Per Invoice'!$B$2:$B$801,$N189)="","",INDEX('Per Invoice'!$B$2:$B$801,$N189)))</f>
        <v/>
      </c>
      <c r="C189">
        <f>IF($N189="","",IF(INDEX('Per Invoice'!$C$2:$C$801,$N189)="","",INDEX('Per Invoice'!$C$2:$C$801,$N189)))</f>
        <v/>
      </c>
      <c r="D189">
        <f>IF($N189="","",IF(INDEX('Per Invoice'!$D$2:$D$801,$N189)="","",INDEX('Per Invoice'!$D$2:$D$801,$N189)))</f>
        <v/>
      </c>
      <c r="E189">
        <f>IF($N189="","",IF(INDEX('Per Invoice'!$E$2:$E$801,$N189)="","",INDEX('Per Invoice'!$E$2:$E$801,$N189)))</f>
        <v/>
      </c>
      <c r="F189">
        <f>IF($N189="","",IF(INDEX('Per Invoice'!$F$2:$F$801,$N189)="","",INDEX('Per Invoice'!$F$2:$F$801,$N189)))</f>
        <v/>
      </c>
      <c r="G189">
        <f>IF($N189="","",IF(INDEX('Per Invoice'!$G$2:$G$801,$N189)="","",INDEX('Per Invoice'!$G$2:$G$801,$N189)))</f>
        <v/>
      </c>
      <c r="H189">
        <f>IF($N189="","",IF(INDEX('Per Invoice'!$H$2:$H$801,$N189)="","",INDEX('Per Invoice'!$H$2:$H$801,$N189)))</f>
        <v/>
      </c>
      <c r="I189" s="5">
        <f>IF($N189="","",IF(INDEX('Per Invoice'!$I$2:$I$801,$N189)="","",INDEX('Per Invoice'!$I$2:$I$801,$N189)))</f>
        <v/>
      </c>
      <c r="J189" s="5">
        <f>IF($N189="","",IF(INDEX('Per Invoice'!$J$2:$J$801,$N189)="","",INDEX('Per Invoice'!$J$2:$J$801,$N189)))</f>
        <v/>
      </c>
      <c r="K189" s="5">
        <f>IF($N189="","",IF(INDEX('Per Invoice'!$K$2:$K$801,$N189)="","",INDEX('Per Invoice'!$K$2:$K$801,$N189)))</f>
        <v/>
      </c>
      <c r="L189" s="5">
        <f>IF($N189="","",IF(INDEX('Per Invoice'!$L$2:$L$801,$N189)="","",INDEX('Per Invoice'!$L$2:$L$801,$N189)))</f>
        <v/>
      </c>
      <c r="M189" s="5">
        <f>IF($N189="","",IF(INDEX('Per Invoice'!$M$2:$M$801,$N189)="","",INDEX('Per Invoice'!$M$2:$M$801,$N189)))</f>
        <v/>
      </c>
      <c r="N189">
        <f>IF(ROWS($N$2:$N189)&lt;=COUNT('Per Invoice'!$P$2:$P$801),MATCH(ROWS($N$2:$N189),'Per Invoice'!$P$2:$P$801,0),"")</f>
        <v/>
      </c>
    </row>
    <row r="190">
      <c r="A190">
        <f>IF($N190="","",IF(INDEX('Per Invoice'!$A$2:$A$801,$N190)="","",INDEX('Per Invoice'!$A$2:$A$801,$N190)))</f>
        <v/>
      </c>
      <c r="B190">
        <f>IF($N190="","",IF(INDEX('Per Invoice'!$B$2:$B$801,$N190)="","",INDEX('Per Invoice'!$B$2:$B$801,$N190)))</f>
        <v/>
      </c>
      <c r="C190">
        <f>IF($N190="","",IF(INDEX('Per Invoice'!$C$2:$C$801,$N190)="","",INDEX('Per Invoice'!$C$2:$C$801,$N190)))</f>
        <v/>
      </c>
      <c r="D190">
        <f>IF($N190="","",IF(INDEX('Per Invoice'!$D$2:$D$801,$N190)="","",INDEX('Per Invoice'!$D$2:$D$801,$N190)))</f>
        <v/>
      </c>
      <c r="E190">
        <f>IF($N190="","",IF(INDEX('Per Invoice'!$E$2:$E$801,$N190)="","",INDEX('Per Invoice'!$E$2:$E$801,$N190)))</f>
        <v/>
      </c>
      <c r="F190">
        <f>IF($N190="","",IF(INDEX('Per Invoice'!$F$2:$F$801,$N190)="","",INDEX('Per Invoice'!$F$2:$F$801,$N190)))</f>
        <v/>
      </c>
      <c r="G190">
        <f>IF($N190="","",IF(INDEX('Per Invoice'!$G$2:$G$801,$N190)="","",INDEX('Per Invoice'!$G$2:$G$801,$N190)))</f>
        <v/>
      </c>
      <c r="H190">
        <f>IF($N190="","",IF(INDEX('Per Invoice'!$H$2:$H$801,$N190)="","",INDEX('Per Invoice'!$H$2:$H$801,$N190)))</f>
        <v/>
      </c>
      <c r="I190" s="5">
        <f>IF($N190="","",IF(INDEX('Per Invoice'!$I$2:$I$801,$N190)="","",INDEX('Per Invoice'!$I$2:$I$801,$N190)))</f>
        <v/>
      </c>
      <c r="J190" s="5">
        <f>IF($N190="","",IF(INDEX('Per Invoice'!$J$2:$J$801,$N190)="","",INDEX('Per Invoice'!$J$2:$J$801,$N190)))</f>
        <v/>
      </c>
      <c r="K190" s="5">
        <f>IF($N190="","",IF(INDEX('Per Invoice'!$K$2:$K$801,$N190)="","",INDEX('Per Invoice'!$K$2:$K$801,$N190)))</f>
        <v/>
      </c>
      <c r="L190" s="5">
        <f>IF($N190="","",IF(INDEX('Per Invoice'!$L$2:$L$801,$N190)="","",INDEX('Per Invoice'!$L$2:$L$801,$N190)))</f>
        <v/>
      </c>
      <c r="M190" s="5">
        <f>IF($N190="","",IF(INDEX('Per Invoice'!$M$2:$M$801,$N190)="","",INDEX('Per Invoice'!$M$2:$M$801,$N190)))</f>
        <v/>
      </c>
      <c r="N190">
        <f>IF(ROWS($N$2:$N190)&lt;=COUNT('Per Invoice'!$P$2:$P$801),MATCH(ROWS($N$2:$N190),'Per Invoice'!$P$2:$P$801,0),"")</f>
        <v/>
      </c>
    </row>
    <row r="191">
      <c r="A191">
        <f>IF($N191="","",IF(INDEX('Per Invoice'!$A$2:$A$801,$N191)="","",INDEX('Per Invoice'!$A$2:$A$801,$N191)))</f>
        <v/>
      </c>
      <c r="B191">
        <f>IF($N191="","",IF(INDEX('Per Invoice'!$B$2:$B$801,$N191)="","",INDEX('Per Invoice'!$B$2:$B$801,$N191)))</f>
        <v/>
      </c>
      <c r="C191">
        <f>IF($N191="","",IF(INDEX('Per Invoice'!$C$2:$C$801,$N191)="","",INDEX('Per Invoice'!$C$2:$C$801,$N191)))</f>
        <v/>
      </c>
      <c r="D191">
        <f>IF($N191="","",IF(INDEX('Per Invoice'!$D$2:$D$801,$N191)="","",INDEX('Per Invoice'!$D$2:$D$801,$N191)))</f>
        <v/>
      </c>
      <c r="E191">
        <f>IF($N191="","",IF(INDEX('Per Invoice'!$E$2:$E$801,$N191)="","",INDEX('Per Invoice'!$E$2:$E$801,$N191)))</f>
        <v/>
      </c>
      <c r="F191">
        <f>IF($N191="","",IF(INDEX('Per Invoice'!$F$2:$F$801,$N191)="","",INDEX('Per Invoice'!$F$2:$F$801,$N191)))</f>
        <v/>
      </c>
      <c r="G191">
        <f>IF($N191="","",IF(INDEX('Per Invoice'!$G$2:$G$801,$N191)="","",INDEX('Per Invoice'!$G$2:$G$801,$N191)))</f>
        <v/>
      </c>
      <c r="H191">
        <f>IF($N191="","",IF(INDEX('Per Invoice'!$H$2:$H$801,$N191)="","",INDEX('Per Invoice'!$H$2:$H$801,$N191)))</f>
        <v/>
      </c>
      <c r="I191" s="5">
        <f>IF($N191="","",IF(INDEX('Per Invoice'!$I$2:$I$801,$N191)="","",INDEX('Per Invoice'!$I$2:$I$801,$N191)))</f>
        <v/>
      </c>
      <c r="J191" s="5">
        <f>IF($N191="","",IF(INDEX('Per Invoice'!$J$2:$J$801,$N191)="","",INDEX('Per Invoice'!$J$2:$J$801,$N191)))</f>
        <v/>
      </c>
      <c r="K191" s="5">
        <f>IF($N191="","",IF(INDEX('Per Invoice'!$K$2:$K$801,$N191)="","",INDEX('Per Invoice'!$K$2:$K$801,$N191)))</f>
        <v/>
      </c>
      <c r="L191" s="5">
        <f>IF($N191="","",IF(INDEX('Per Invoice'!$L$2:$L$801,$N191)="","",INDEX('Per Invoice'!$L$2:$L$801,$N191)))</f>
        <v/>
      </c>
      <c r="M191" s="5">
        <f>IF($N191="","",IF(INDEX('Per Invoice'!$M$2:$M$801,$N191)="","",INDEX('Per Invoice'!$M$2:$M$801,$N191)))</f>
        <v/>
      </c>
      <c r="N191">
        <f>IF(ROWS($N$2:$N191)&lt;=COUNT('Per Invoice'!$P$2:$P$801),MATCH(ROWS($N$2:$N191),'Per Invoice'!$P$2:$P$801,0),"")</f>
        <v/>
      </c>
    </row>
    <row r="192">
      <c r="A192">
        <f>IF($N192="","",IF(INDEX('Per Invoice'!$A$2:$A$801,$N192)="","",INDEX('Per Invoice'!$A$2:$A$801,$N192)))</f>
        <v/>
      </c>
      <c r="B192">
        <f>IF($N192="","",IF(INDEX('Per Invoice'!$B$2:$B$801,$N192)="","",INDEX('Per Invoice'!$B$2:$B$801,$N192)))</f>
        <v/>
      </c>
      <c r="C192">
        <f>IF($N192="","",IF(INDEX('Per Invoice'!$C$2:$C$801,$N192)="","",INDEX('Per Invoice'!$C$2:$C$801,$N192)))</f>
        <v/>
      </c>
      <c r="D192">
        <f>IF($N192="","",IF(INDEX('Per Invoice'!$D$2:$D$801,$N192)="","",INDEX('Per Invoice'!$D$2:$D$801,$N192)))</f>
        <v/>
      </c>
      <c r="E192">
        <f>IF($N192="","",IF(INDEX('Per Invoice'!$E$2:$E$801,$N192)="","",INDEX('Per Invoice'!$E$2:$E$801,$N192)))</f>
        <v/>
      </c>
      <c r="F192">
        <f>IF($N192="","",IF(INDEX('Per Invoice'!$F$2:$F$801,$N192)="","",INDEX('Per Invoice'!$F$2:$F$801,$N192)))</f>
        <v/>
      </c>
      <c r="G192">
        <f>IF($N192="","",IF(INDEX('Per Invoice'!$G$2:$G$801,$N192)="","",INDEX('Per Invoice'!$G$2:$G$801,$N192)))</f>
        <v/>
      </c>
      <c r="H192">
        <f>IF($N192="","",IF(INDEX('Per Invoice'!$H$2:$H$801,$N192)="","",INDEX('Per Invoice'!$H$2:$H$801,$N192)))</f>
        <v/>
      </c>
      <c r="I192" s="5">
        <f>IF($N192="","",IF(INDEX('Per Invoice'!$I$2:$I$801,$N192)="","",INDEX('Per Invoice'!$I$2:$I$801,$N192)))</f>
        <v/>
      </c>
      <c r="J192" s="5">
        <f>IF($N192="","",IF(INDEX('Per Invoice'!$J$2:$J$801,$N192)="","",INDEX('Per Invoice'!$J$2:$J$801,$N192)))</f>
        <v/>
      </c>
      <c r="K192" s="5">
        <f>IF($N192="","",IF(INDEX('Per Invoice'!$K$2:$K$801,$N192)="","",INDEX('Per Invoice'!$K$2:$K$801,$N192)))</f>
        <v/>
      </c>
      <c r="L192" s="5">
        <f>IF($N192="","",IF(INDEX('Per Invoice'!$L$2:$L$801,$N192)="","",INDEX('Per Invoice'!$L$2:$L$801,$N192)))</f>
        <v/>
      </c>
      <c r="M192" s="5">
        <f>IF($N192="","",IF(INDEX('Per Invoice'!$M$2:$M$801,$N192)="","",INDEX('Per Invoice'!$M$2:$M$801,$N192)))</f>
        <v/>
      </c>
      <c r="N192">
        <f>IF(ROWS($N$2:$N192)&lt;=COUNT('Per Invoice'!$P$2:$P$801),MATCH(ROWS($N$2:$N192),'Per Invoice'!$P$2:$P$801,0),"")</f>
        <v/>
      </c>
    </row>
    <row r="193">
      <c r="A193">
        <f>IF($N193="","",IF(INDEX('Per Invoice'!$A$2:$A$801,$N193)="","",INDEX('Per Invoice'!$A$2:$A$801,$N193)))</f>
        <v/>
      </c>
      <c r="B193">
        <f>IF($N193="","",IF(INDEX('Per Invoice'!$B$2:$B$801,$N193)="","",INDEX('Per Invoice'!$B$2:$B$801,$N193)))</f>
        <v/>
      </c>
      <c r="C193">
        <f>IF($N193="","",IF(INDEX('Per Invoice'!$C$2:$C$801,$N193)="","",INDEX('Per Invoice'!$C$2:$C$801,$N193)))</f>
        <v/>
      </c>
      <c r="D193">
        <f>IF($N193="","",IF(INDEX('Per Invoice'!$D$2:$D$801,$N193)="","",INDEX('Per Invoice'!$D$2:$D$801,$N193)))</f>
        <v/>
      </c>
      <c r="E193">
        <f>IF($N193="","",IF(INDEX('Per Invoice'!$E$2:$E$801,$N193)="","",INDEX('Per Invoice'!$E$2:$E$801,$N193)))</f>
        <v/>
      </c>
      <c r="F193">
        <f>IF($N193="","",IF(INDEX('Per Invoice'!$F$2:$F$801,$N193)="","",INDEX('Per Invoice'!$F$2:$F$801,$N193)))</f>
        <v/>
      </c>
      <c r="G193">
        <f>IF($N193="","",IF(INDEX('Per Invoice'!$G$2:$G$801,$N193)="","",INDEX('Per Invoice'!$G$2:$G$801,$N193)))</f>
        <v/>
      </c>
      <c r="H193">
        <f>IF($N193="","",IF(INDEX('Per Invoice'!$H$2:$H$801,$N193)="","",INDEX('Per Invoice'!$H$2:$H$801,$N193)))</f>
        <v/>
      </c>
      <c r="I193" s="5">
        <f>IF($N193="","",IF(INDEX('Per Invoice'!$I$2:$I$801,$N193)="","",INDEX('Per Invoice'!$I$2:$I$801,$N193)))</f>
        <v/>
      </c>
      <c r="J193" s="5">
        <f>IF($N193="","",IF(INDEX('Per Invoice'!$J$2:$J$801,$N193)="","",INDEX('Per Invoice'!$J$2:$J$801,$N193)))</f>
        <v/>
      </c>
      <c r="K193" s="5">
        <f>IF($N193="","",IF(INDEX('Per Invoice'!$K$2:$K$801,$N193)="","",INDEX('Per Invoice'!$K$2:$K$801,$N193)))</f>
        <v/>
      </c>
      <c r="L193" s="5">
        <f>IF($N193="","",IF(INDEX('Per Invoice'!$L$2:$L$801,$N193)="","",INDEX('Per Invoice'!$L$2:$L$801,$N193)))</f>
        <v/>
      </c>
      <c r="M193" s="5">
        <f>IF($N193="","",IF(INDEX('Per Invoice'!$M$2:$M$801,$N193)="","",INDEX('Per Invoice'!$M$2:$M$801,$N193)))</f>
        <v/>
      </c>
      <c r="N193">
        <f>IF(ROWS($N$2:$N193)&lt;=COUNT('Per Invoice'!$P$2:$P$801),MATCH(ROWS($N$2:$N193),'Per Invoice'!$P$2:$P$801,0),"")</f>
        <v/>
      </c>
    </row>
    <row r="194">
      <c r="A194">
        <f>IF($N194="","",IF(INDEX('Per Invoice'!$A$2:$A$801,$N194)="","",INDEX('Per Invoice'!$A$2:$A$801,$N194)))</f>
        <v/>
      </c>
      <c r="B194">
        <f>IF($N194="","",IF(INDEX('Per Invoice'!$B$2:$B$801,$N194)="","",INDEX('Per Invoice'!$B$2:$B$801,$N194)))</f>
        <v/>
      </c>
      <c r="C194">
        <f>IF($N194="","",IF(INDEX('Per Invoice'!$C$2:$C$801,$N194)="","",INDEX('Per Invoice'!$C$2:$C$801,$N194)))</f>
        <v/>
      </c>
      <c r="D194">
        <f>IF($N194="","",IF(INDEX('Per Invoice'!$D$2:$D$801,$N194)="","",INDEX('Per Invoice'!$D$2:$D$801,$N194)))</f>
        <v/>
      </c>
      <c r="E194">
        <f>IF($N194="","",IF(INDEX('Per Invoice'!$E$2:$E$801,$N194)="","",INDEX('Per Invoice'!$E$2:$E$801,$N194)))</f>
        <v/>
      </c>
      <c r="F194">
        <f>IF($N194="","",IF(INDEX('Per Invoice'!$F$2:$F$801,$N194)="","",INDEX('Per Invoice'!$F$2:$F$801,$N194)))</f>
        <v/>
      </c>
      <c r="G194">
        <f>IF($N194="","",IF(INDEX('Per Invoice'!$G$2:$G$801,$N194)="","",INDEX('Per Invoice'!$G$2:$G$801,$N194)))</f>
        <v/>
      </c>
      <c r="H194">
        <f>IF($N194="","",IF(INDEX('Per Invoice'!$H$2:$H$801,$N194)="","",INDEX('Per Invoice'!$H$2:$H$801,$N194)))</f>
        <v/>
      </c>
      <c r="I194" s="5">
        <f>IF($N194="","",IF(INDEX('Per Invoice'!$I$2:$I$801,$N194)="","",INDEX('Per Invoice'!$I$2:$I$801,$N194)))</f>
        <v/>
      </c>
      <c r="J194" s="5">
        <f>IF($N194="","",IF(INDEX('Per Invoice'!$J$2:$J$801,$N194)="","",INDEX('Per Invoice'!$J$2:$J$801,$N194)))</f>
        <v/>
      </c>
      <c r="K194" s="5">
        <f>IF($N194="","",IF(INDEX('Per Invoice'!$K$2:$K$801,$N194)="","",INDEX('Per Invoice'!$K$2:$K$801,$N194)))</f>
        <v/>
      </c>
      <c r="L194" s="5">
        <f>IF($N194="","",IF(INDEX('Per Invoice'!$L$2:$L$801,$N194)="","",INDEX('Per Invoice'!$L$2:$L$801,$N194)))</f>
        <v/>
      </c>
      <c r="M194" s="5">
        <f>IF($N194="","",IF(INDEX('Per Invoice'!$M$2:$M$801,$N194)="","",INDEX('Per Invoice'!$M$2:$M$801,$N194)))</f>
        <v/>
      </c>
      <c r="N194">
        <f>IF(ROWS($N$2:$N194)&lt;=COUNT('Per Invoice'!$P$2:$P$801),MATCH(ROWS($N$2:$N194),'Per Invoice'!$P$2:$P$801,0),"")</f>
        <v/>
      </c>
    </row>
    <row r="195">
      <c r="A195">
        <f>IF($N195="","",IF(INDEX('Per Invoice'!$A$2:$A$801,$N195)="","",INDEX('Per Invoice'!$A$2:$A$801,$N195)))</f>
        <v/>
      </c>
      <c r="B195">
        <f>IF($N195="","",IF(INDEX('Per Invoice'!$B$2:$B$801,$N195)="","",INDEX('Per Invoice'!$B$2:$B$801,$N195)))</f>
        <v/>
      </c>
      <c r="C195">
        <f>IF($N195="","",IF(INDEX('Per Invoice'!$C$2:$C$801,$N195)="","",INDEX('Per Invoice'!$C$2:$C$801,$N195)))</f>
        <v/>
      </c>
      <c r="D195">
        <f>IF($N195="","",IF(INDEX('Per Invoice'!$D$2:$D$801,$N195)="","",INDEX('Per Invoice'!$D$2:$D$801,$N195)))</f>
        <v/>
      </c>
      <c r="E195">
        <f>IF($N195="","",IF(INDEX('Per Invoice'!$E$2:$E$801,$N195)="","",INDEX('Per Invoice'!$E$2:$E$801,$N195)))</f>
        <v/>
      </c>
      <c r="F195">
        <f>IF($N195="","",IF(INDEX('Per Invoice'!$F$2:$F$801,$N195)="","",INDEX('Per Invoice'!$F$2:$F$801,$N195)))</f>
        <v/>
      </c>
      <c r="G195">
        <f>IF($N195="","",IF(INDEX('Per Invoice'!$G$2:$G$801,$N195)="","",INDEX('Per Invoice'!$G$2:$G$801,$N195)))</f>
        <v/>
      </c>
      <c r="H195">
        <f>IF($N195="","",IF(INDEX('Per Invoice'!$H$2:$H$801,$N195)="","",INDEX('Per Invoice'!$H$2:$H$801,$N195)))</f>
        <v/>
      </c>
      <c r="I195" s="5">
        <f>IF($N195="","",IF(INDEX('Per Invoice'!$I$2:$I$801,$N195)="","",INDEX('Per Invoice'!$I$2:$I$801,$N195)))</f>
        <v/>
      </c>
      <c r="J195" s="5">
        <f>IF($N195="","",IF(INDEX('Per Invoice'!$J$2:$J$801,$N195)="","",INDEX('Per Invoice'!$J$2:$J$801,$N195)))</f>
        <v/>
      </c>
      <c r="K195" s="5">
        <f>IF($N195="","",IF(INDEX('Per Invoice'!$K$2:$K$801,$N195)="","",INDEX('Per Invoice'!$K$2:$K$801,$N195)))</f>
        <v/>
      </c>
      <c r="L195" s="5">
        <f>IF($N195="","",IF(INDEX('Per Invoice'!$L$2:$L$801,$N195)="","",INDEX('Per Invoice'!$L$2:$L$801,$N195)))</f>
        <v/>
      </c>
      <c r="M195" s="5">
        <f>IF($N195="","",IF(INDEX('Per Invoice'!$M$2:$M$801,$N195)="","",INDEX('Per Invoice'!$M$2:$M$801,$N195)))</f>
        <v/>
      </c>
      <c r="N195">
        <f>IF(ROWS($N$2:$N195)&lt;=COUNT('Per Invoice'!$P$2:$P$801),MATCH(ROWS($N$2:$N195),'Per Invoice'!$P$2:$P$801,0),"")</f>
        <v/>
      </c>
    </row>
    <row r="196">
      <c r="A196">
        <f>IF($N196="","",IF(INDEX('Per Invoice'!$A$2:$A$801,$N196)="","",INDEX('Per Invoice'!$A$2:$A$801,$N196)))</f>
        <v/>
      </c>
      <c r="B196">
        <f>IF($N196="","",IF(INDEX('Per Invoice'!$B$2:$B$801,$N196)="","",INDEX('Per Invoice'!$B$2:$B$801,$N196)))</f>
        <v/>
      </c>
      <c r="C196">
        <f>IF($N196="","",IF(INDEX('Per Invoice'!$C$2:$C$801,$N196)="","",INDEX('Per Invoice'!$C$2:$C$801,$N196)))</f>
        <v/>
      </c>
      <c r="D196">
        <f>IF($N196="","",IF(INDEX('Per Invoice'!$D$2:$D$801,$N196)="","",INDEX('Per Invoice'!$D$2:$D$801,$N196)))</f>
        <v/>
      </c>
      <c r="E196">
        <f>IF($N196="","",IF(INDEX('Per Invoice'!$E$2:$E$801,$N196)="","",INDEX('Per Invoice'!$E$2:$E$801,$N196)))</f>
        <v/>
      </c>
      <c r="F196">
        <f>IF($N196="","",IF(INDEX('Per Invoice'!$F$2:$F$801,$N196)="","",INDEX('Per Invoice'!$F$2:$F$801,$N196)))</f>
        <v/>
      </c>
      <c r="G196">
        <f>IF($N196="","",IF(INDEX('Per Invoice'!$G$2:$G$801,$N196)="","",INDEX('Per Invoice'!$G$2:$G$801,$N196)))</f>
        <v/>
      </c>
      <c r="H196">
        <f>IF($N196="","",IF(INDEX('Per Invoice'!$H$2:$H$801,$N196)="","",INDEX('Per Invoice'!$H$2:$H$801,$N196)))</f>
        <v/>
      </c>
      <c r="I196" s="5">
        <f>IF($N196="","",IF(INDEX('Per Invoice'!$I$2:$I$801,$N196)="","",INDEX('Per Invoice'!$I$2:$I$801,$N196)))</f>
        <v/>
      </c>
      <c r="J196" s="5">
        <f>IF($N196="","",IF(INDEX('Per Invoice'!$J$2:$J$801,$N196)="","",INDEX('Per Invoice'!$J$2:$J$801,$N196)))</f>
        <v/>
      </c>
      <c r="K196" s="5">
        <f>IF($N196="","",IF(INDEX('Per Invoice'!$K$2:$K$801,$N196)="","",INDEX('Per Invoice'!$K$2:$K$801,$N196)))</f>
        <v/>
      </c>
      <c r="L196" s="5">
        <f>IF($N196="","",IF(INDEX('Per Invoice'!$L$2:$L$801,$N196)="","",INDEX('Per Invoice'!$L$2:$L$801,$N196)))</f>
        <v/>
      </c>
      <c r="M196" s="5">
        <f>IF($N196="","",IF(INDEX('Per Invoice'!$M$2:$M$801,$N196)="","",INDEX('Per Invoice'!$M$2:$M$801,$N196)))</f>
        <v/>
      </c>
      <c r="N196">
        <f>IF(ROWS($N$2:$N196)&lt;=COUNT('Per Invoice'!$P$2:$P$801),MATCH(ROWS($N$2:$N196),'Per Invoice'!$P$2:$P$801,0),"")</f>
        <v/>
      </c>
    </row>
    <row r="197">
      <c r="A197">
        <f>IF($N197="","",IF(INDEX('Per Invoice'!$A$2:$A$801,$N197)="","",INDEX('Per Invoice'!$A$2:$A$801,$N197)))</f>
        <v/>
      </c>
      <c r="B197">
        <f>IF($N197="","",IF(INDEX('Per Invoice'!$B$2:$B$801,$N197)="","",INDEX('Per Invoice'!$B$2:$B$801,$N197)))</f>
        <v/>
      </c>
      <c r="C197">
        <f>IF($N197="","",IF(INDEX('Per Invoice'!$C$2:$C$801,$N197)="","",INDEX('Per Invoice'!$C$2:$C$801,$N197)))</f>
        <v/>
      </c>
      <c r="D197">
        <f>IF($N197="","",IF(INDEX('Per Invoice'!$D$2:$D$801,$N197)="","",INDEX('Per Invoice'!$D$2:$D$801,$N197)))</f>
        <v/>
      </c>
      <c r="E197">
        <f>IF($N197="","",IF(INDEX('Per Invoice'!$E$2:$E$801,$N197)="","",INDEX('Per Invoice'!$E$2:$E$801,$N197)))</f>
        <v/>
      </c>
      <c r="F197">
        <f>IF($N197="","",IF(INDEX('Per Invoice'!$F$2:$F$801,$N197)="","",INDEX('Per Invoice'!$F$2:$F$801,$N197)))</f>
        <v/>
      </c>
      <c r="G197">
        <f>IF($N197="","",IF(INDEX('Per Invoice'!$G$2:$G$801,$N197)="","",INDEX('Per Invoice'!$G$2:$G$801,$N197)))</f>
        <v/>
      </c>
      <c r="H197">
        <f>IF($N197="","",IF(INDEX('Per Invoice'!$H$2:$H$801,$N197)="","",INDEX('Per Invoice'!$H$2:$H$801,$N197)))</f>
        <v/>
      </c>
      <c r="I197" s="5">
        <f>IF($N197="","",IF(INDEX('Per Invoice'!$I$2:$I$801,$N197)="","",INDEX('Per Invoice'!$I$2:$I$801,$N197)))</f>
        <v/>
      </c>
      <c r="J197" s="5">
        <f>IF($N197="","",IF(INDEX('Per Invoice'!$J$2:$J$801,$N197)="","",INDEX('Per Invoice'!$J$2:$J$801,$N197)))</f>
        <v/>
      </c>
      <c r="K197" s="5">
        <f>IF($N197="","",IF(INDEX('Per Invoice'!$K$2:$K$801,$N197)="","",INDEX('Per Invoice'!$K$2:$K$801,$N197)))</f>
        <v/>
      </c>
      <c r="L197" s="5">
        <f>IF($N197="","",IF(INDEX('Per Invoice'!$L$2:$L$801,$N197)="","",INDEX('Per Invoice'!$L$2:$L$801,$N197)))</f>
        <v/>
      </c>
      <c r="M197" s="5">
        <f>IF($N197="","",IF(INDEX('Per Invoice'!$M$2:$M$801,$N197)="","",INDEX('Per Invoice'!$M$2:$M$801,$N197)))</f>
        <v/>
      </c>
      <c r="N197">
        <f>IF(ROWS($N$2:$N197)&lt;=COUNT('Per Invoice'!$P$2:$P$801),MATCH(ROWS($N$2:$N197),'Per Invoice'!$P$2:$P$801,0),"")</f>
        <v/>
      </c>
    </row>
    <row r="198">
      <c r="A198">
        <f>IF($N198="","",IF(INDEX('Per Invoice'!$A$2:$A$801,$N198)="","",INDEX('Per Invoice'!$A$2:$A$801,$N198)))</f>
        <v/>
      </c>
      <c r="B198">
        <f>IF($N198="","",IF(INDEX('Per Invoice'!$B$2:$B$801,$N198)="","",INDEX('Per Invoice'!$B$2:$B$801,$N198)))</f>
        <v/>
      </c>
      <c r="C198">
        <f>IF($N198="","",IF(INDEX('Per Invoice'!$C$2:$C$801,$N198)="","",INDEX('Per Invoice'!$C$2:$C$801,$N198)))</f>
        <v/>
      </c>
      <c r="D198">
        <f>IF($N198="","",IF(INDEX('Per Invoice'!$D$2:$D$801,$N198)="","",INDEX('Per Invoice'!$D$2:$D$801,$N198)))</f>
        <v/>
      </c>
      <c r="E198">
        <f>IF($N198="","",IF(INDEX('Per Invoice'!$E$2:$E$801,$N198)="","",INDEX('Per Invoice'!$E$2:$E$801,$N198)))</f>
        <v/>
      </c>
      <c r="F198">
        <f>IF($N198="","",IF(INDEX('Per Invoice'!$F$2:$F$801,$N198)="","",INDEX('Per Invoice'!$F$2:$F$801,$N198)))</f>
        <v/>
      </c>
      <c r="G198">
        <f>IF($N198="","",IF(INDEX('Per Invoice'!$G$2:$G$801,$N198)="","",INDEX('Per Invoice'!$G$2:$G$801,$N198)))</f>
        <v/>
      </c>
      <c r="H198">
        <f>IF($N198="","",IF(INDEX('Per Invoice'!$H$2:$H$801,$N198)="","",INDEX('Per Invoice'!$H$2:$H$801,$N198)))</f>
        <v/>
      </c>
      <c r="I198" s="5">
        <f>IF($N198="","",IF(INDEX('Per Invoice'!$I$2:$I$801,$N198)="","",INDEX('Per Invoice'!$I$2:$I$801,$N198)))</f>
        <v/>
      </c>
      <c r="J198" s="5">
        <f>IF($N198="","",IF(INDEX('Per Invoice'!$J$2:$J$801,$N198)="","",INDEX('Per Invoice'!$J$2:$J$801,$N198)))</f>
        <v/>
      </c>
      <c r="K198" s="5">
        <f>IF($N198="","",IF(INDEX('Per Invoice'!$K$2:$K$801,$N198)="","",INDEX('Per Invoice'!$K$2:$K$801,$N198)))</f>
        <v/>
      </c>
      <c r="L198" s="5">
        <f>IF($N198="","",IF(INDEX('Per Invoice'!$L$2:$L$801,$N198)="","",INDEX('Per Invoice'!$L$2:$L$801,$N198)))</f>
        <v/>
      </c>
      <c r="M198" s="5">
        <f>IF($N198="","",IF(INDEX('Per Invoice'!$M$2:$M$801,$N198)="","",INDEX('Per Invoice'!$M$2:$M$801,$N198)))</f>
        <v/>
      </c>
      <c r="N198">
        <f>IF(ROWS($N$2:$N198)&lt;=COUNT('Per Invoice'!$P$2:$P$801),MATCH(ROWS($N$2:$N198),'Per Invoice'!$P$2:$P$801,0),"")</f>
        <v/>
      </c>
    </row>
    <row r="199">
      <c r="A199">
        <f>IF($N199="","",IF(INDEX('Per Invoice'!$A$2:$A$801,$N199)="","",INDEX('Per Invoice'!$A$2:$A$801,$N199)))</f>
        <v/>
      </c>
      <c r="B199">
        <f>IF($N199="","",IF(INDEX('Per Invoice'!$B$2:$B$801,$N199)="","",INDEX('Per Invoice'!$B$2:$B$801,$N199)))</f>
        <v/>
      </c>
      <c r="C199">
        <f>IF($N199="","",IF(INDEX('Per Invoice'!$C$2:$C$801,$N199)="","",INDEX('Per Invoice'!$C$2:$C$801,$N199)))</f>
        <v/>
      </c>
      <c r="D199">
        <f>IF($N199="","",IF(INDEX('Per Invoice'!$D$2:$D$801,$N199)="","",INDEX('Per Invoice'!$D$2:$D$801,$N199)))</f>
        <v/>
      </c>
      <c r="E199">
        <f>IF($N199="","",IF(INDEX('Per Invoice'!$E$2:$E$801,$N199)="","",INDEX('Per Invoice'!$E$2:$E$801,$N199)))</f>
        <v/>
      </c>
      <c r="F199">
        <f>IF($N199="","",IF(INDEX('Per Invoice'!$F$2:$F$801,$N199)="","",INDEX('Per Invoice'!$F$2:$F$801,$N199)))</f>
        <v/>
      </c>
      <c r="G199">
        <f>IF($N199="","",IF(INDEX('Per Invoice'!$G$2:$G$801,$N199)="","",INDEX('Per Invoice'!$G$2:$G$801,$N199)))</f>
        <v/>
      </c>
      <c r="H199">
        <f>IF($N199="","",IF(INDEX('Per Invoice'!$H$2:$H$801,$N199)="","",INDEX('Per Invoice'!$H$2:$H$801,$N199)))</f>
        <v/>
      </c>
      <c r="I199" s="5">
        <f>IF($N199="","",IF(INDEX('Per Invoice'!$I$2:$I$801,$N199)="","",INDEX('Per Invoice'!$I$2:$I$801,$N199)))</f>
        <v/>
      </c>
      <c r="J199" s="5">
        <f>IF($N199="","",IF(INDEX('Per Invoice'!$J$2:$J$801,$N199)="","",INDEX('Per Invoice'!$J$2:$J$801,$N199)))</f>
        <v/>
      </c>
      <c r="K199" s="5">
        <f>IF($N199="","",IF(INDEX('Per Invoice'!$K$2:$K$801,$N199)="","",INDEX('Per Invoice'!$K$2:$K$801,$N199)))</f>
        <v/>
      </c>
      <c r="L199" s="5">
        <f>IF($N199="","",IF(INDEX('Per Invoice'!$L$2:$L$801,$N199)="","",INDEX('Per Invoice'!$L$2:$L$801,$N199)))</f>
        <v/>
      </c>
      <c r="M199" s="5">
        <f>IF($N199="","",IF(INDEX('Per Invoice'!$M$2:$M$801,$N199)="","",INDEX('Per Invoice'!$M$2:$M$801,$N199)))</f>
        <v/>
      </c>
      <c r="N199">
        <f>IF(ROWS($N$2:$N199)&lt;=COUNT('Per Invoice'!$P$2:$P$801),MATCH(ROWS($N$2:$N199),'Per Invoice'!$P$2:$P$801,0),"")</f>
        <v/>
      </c>
    </row>
    <row r="200">
      <c r="A200">
        <f>IF($N200="","",IF(INDEX('Per Invoice'!$A$2:$A$801,$N200)="","",INDEX('Per Invoice'!$A$2:$A$801,$N200)))</f>
        <v/>
      </c>
      <c r="B200">
        <f>IF($N200="","",IF(INDEX('Per Invoice'!$B$2:$B$801,$N200)="","",INDEX('Per Invoice'!$B$2:$B$801,$N200)))</f>
        <v/>
      </c>
      <c r="C200">
        <f>IF($N200="","",IF(INDEX('Per Invoice'!$C$2:$C$801,$N200)="","",INDEX('Per Invoice'!$C$2:$C$801,$N200)))</f>
        <v/>
      </c>
      <c r="D200">
        <f>IF($N200="","",IF(INDEX('Per Invoice'!$D$2:$D$801,$N200)="","",INDEX('Per Invoice'!$D$2:$D$801,$N200)))</f>
        <v/>
      </c>
      <c r="E200">
        <f>IF($N200="","",IF(INDEX('Per Invoice'!$E$2:$E$801,$N200)="","",INDEX('Per Invoice'!$E$2:$E$801,$N200)))</f>
        <v/>
      </c>
      <c r="F200">
        <f>IF($N200="","",IF(INDEX('Per Invoice'!$F$2:$F$801,$N200)="","",INDEX('Per Invoice'!$F$2:$F$801,$N200)))</f>
        <v/>
      </c>
      <c r="G200">
        <f>IF($N200="","",IF(INDEX('Per Invoice'!$G$2:$G$801,$N200)="","",INDEX('Per Invoice'!$G$2:$G$801,$N200)))</f>
        <v/>
      </c>
      <c r="H200">
        <f>IF($N200="","",IF(INDEX('Per Invoice'!$H$2:$H$801,$N200)="","",INDEX('Per Invoice'!$H$2:$H$801,$N200)))</f>
        <v/>
      </c>
      <c r="I200" s="5">
        <f>IF($N200="","",IF(INDEX('Per Invoice'!$I$2:$I$801,$N200)="","",INDEX('Per Invoice'!$I$2:$I$801,$N200)))</f>
        <v/>
      </c>
      <c r="J200" s="5">
        <f>IF($N200="","",IF(INDEX('Per Invoice'!$J$2:$J$801,$N200)="","",INDEX('Per Invoice'!$J$2:$J$801,$N200)))</f>
        <v/>
      </c>
      <c r="K200" s="5">
        <f>IF($N200="","",IF(INDEX('Per Invoice'!$K$2:$K$801,$N200)="","",INDEX('Per Invoice'!$K$2:$K$801,$N200)))</f>
        <v/>
      </c>
      <c r="L200" s="5">
        <f>IF($N200="","",IF(INDEX('Per Invoice'!$L$2:$L$801,$N200)="","",INDEX('Per Invoice'!$L$2:$L$801,$N200)))</f>
        <v/>
      </c>
      <c r="M200" s="5">
        <f>IF($N200="","",IF(INDEX('Per Invoice'!$M$2:$M$801,$N200)="","",INDEX('Per Invoice'!$M$2:$M$801,$N200)))</f>
        <v/>
      </c>
      <c r="N200">
        <f>IF(ROWS($N$2:$N200)&lt;=COUNT('Per Invoice'!$P$2:$P$801),MATCH(ROWS($N$2:$N200),'Per Invoice'!$P$2:$P$801,0),"")</f>
        <v/>
      </c>
    </row>
    <row r="201">
      <c r="A201">
        <f>IF($N201="","",IF(INDEX('Per Invoice'!$A$2:$A$801,$N201)="","",INDEX('Per Invoice'!$A$2:$A$801,$N201)))</f>
        <v/>
      </c>
      <c r="B201">
        <f>IF($N201="","",IF(INDEX('Per Invoice'!$B$2:$B$801,$N201)="","",INDEX('Per Invoice'!$B$2:$B$801,$N201)))</f>
        <v/>
      </c>
      <c r="C201">
        <f>IF($N201="","",IF(INDEX('Per Invoice'!$C$2:$C$801,$N201)="","",INDEX('Per Invoice'!$C$2:$C$801,$N201)))</f>
        <v/>
      </c>
      <c r="D201">
        <f>IF($N201="","",IF(INDEX('Per Invoice'!$D$2:$D$801,$N201)="","",INDEX('Per Invoice'!$D$2:$D$801,$N201)))</f>
        <v/>
      </c>
      <c r="E201">
        <f>IF($N201="","",IF(INDEX('Per Invoice'!$E$2:$E$801,$N201)="","",INDEX('Per Invoice'!$E$2:$E$801,$N201)))</f>
        <v/>
      </c>
      <c r="F201">
        <f>IF($N201="","",IF(INDEX('Per Invoice'!$F$2:$F$801,$N201)="","",INDEX('Per Invoice'!$F$2:$F$801,$N201)))</f>
        <v/>
      </c>
      <c r="G201">
        <f>IF($N201="","",IF(INDEX('Per Invoice'!$G$2:$G$801,$N201)="","",INDEX('Per Invoice'!$G$2:$G$801,$N201)))</f>
        <v/>
      </c>
      <c r="H201">
        <f>IF($N201="","",IF(INDEX('Per Invoice'!$H$2:$H$801,$N201)="","",INDEX('Per Invoice'!$H$2:$H$801,$N201)))</f>
        <v/>
      </c>
      <c r="I201" s="5">
        <f>IF($N201="","",IF(INDEX('Per Invoice'!$I$2:$I$801,$N201)="","",INDEX('Per Invoice'!$I$2:$I$801,$N201)))</f>
        <v/>
      </c>
      <c r="J201" s="5">
        <f>IF($N201="","",IF(INDEX('Per Invoice'!$J$2:$J$801,$N201)="","",INDEX('Per Invoice'!$J$2:$J$801,$N201)))</f>
        <v/>
      </c>
      <c r="K201" s="5">
        <f>IF($N201="","",IF(INDEX('Per Invoice'!$K$2:$K$801,$N201)="","",INDEX('Per Invoice'!$K$2:$K$801,$N201)))</f>
        <v/>
      </c>
      <c r="L201" s="5">
        <f>IF($N201="","",IF(INDEX('Per Invoice'!$L$2:$L$801,$N201)="","",INDEX('Per Invoice'!$L$2:$L$801,$N201)))</f>
        <v/>
      </c>
      <c r="M201" s="5">
        <f>IF($N201="","",IF(INDEX('Per Invoice'!$M$2:$M$801,$N201)="","",INDEX('Per Invoice'!$M$2:$M$801,$N201)))</f>
        <v/>
      </c>
      <c r="N201">
        <f>IF(ROWS($N$2:$N201)&lt;=COUNT('Per Invoice'!$P$2:$P$801),MATCH(ROWS($N$2:$N201),'Per Invoice'!$P$2:$P$801,0),"")</f>
        <v/>
      </c>
    </row>
    <row r="202">
      <c r="A202">
        <f>IF($N202="","",IF(INDEX('Per Invoice'!$A$2:$A$801,$N202)="","",INDEX('Per Invoice'!$A$2:$A$801,$N202)))</f>
        <v/>
      </c>
      <c r="B202">
        <f>IF($N202="","",IF(INDEX('Per Invoice'!$B$2:$B$801,$N202)="","",INDEX('Per Invoice'!$B$2:$B$801,$N202)))</f>
        <v/>
      </c>
      <c r="C202">
        <f>IF($N202="","",IF(INDEX('Per Invoice'!$C$2:$C$801,$N202)="","",INDEX('Per Invoice'!$C$2:$C$801,$N202)))</f>
        <v/>
      </c>
      <c r="D202">
        <f>IF($N202="","",IF(INDEX('Per Invoice'!$D$2:$D$801,$N202)="","",INDEX('Per Invoice'!$D$2:$D$801,$N202)))</f>
        <v/>
      </c>
      <c r="E202">
        <f>IF($N202="","",IF(INDEX('Per Invoice'!$E$2:$E$801,$N202)="","",INDEX('Per Invoice'!$E$2:$E$801,$N202)))</f>
        <v/>
      </c>
      <c r="F202">
        <f>IF($N202="","",IF(INDEX('Per Invoice'!$F$2:$F$801,$N202)="","",INDEX('Per Invoice'!$F$2:$F$801,$N202)))</f>
        <v/>
      </c>
      <c r="G202">
        <f>IF($N202="","",IF(INDEX('Per Invoice'!$G$2:$G$801,$N202)="","",INDEX('Per Invoice'!$G$2:$G$801,$N202)))</f>
        <v/>
      </c>
      <c r="H202">
        <f>IF($N202="","",IF(INDEX('Per Invoice'!$H$2:$H$801,$N202)="","",INDEX('Per Invoice'!$H$2:$H$801,$N202)))</f>
        <v/>
      </c>
      <c r="I202" s="5">
        <f>IF($N202="","",IF(INDEX('Per Invoice'!$I$2:$I$801,$N202)="","",INDEX('Per Invoice'!$I$2:$I$801,$N202)))</f>
        <v/>
      </c>
      <c r="J202" s="5">
        <f>IF($N202="","",IF(INDEX('Per Invoice'!$J$2:$J$801,$N202)="","",INDEX('Per Invoice'!$J$2:$J$801,$N202)))</f>
        <v/>
      </c>
      <c r="K202" s="5">
        <f>IF($N202="","",IF(INDEX('Per Invoice'!$K$2:$K$801,$N202)="","",INDEX('Per Invoice'!$K$2:$K$801,$N202)))</f>
        <v/>
      </c>
      <c r="L202" s="5">
        <f>IF($N202="","",IF(INDEX('Per Invoice'!$L$2:$L$801,$N202)="","",INDEX('Per Invoice'!$L$2:$L$801,$N202)))</f>
        <v/>
      </c>
      <c r="M202" s="5">
        <f>IF($N202="","",IF(INDEX('Per Invoice'!$M$2:$M$801,$N202)="","",INDEX('Per Invoice'!$M$2:$M$801,$N202)))</f>
        <v/>
      </c>
      <c r="N202">
        <f>IF(ROWS($N$2:$N202)&lt;=COUNT('Per Invoice'!$P$2:$P$801),MATCH(ROWS($N$2:$N202),'Per Invoice'!$P$2:$P$801,0),"")</f>
        <v/>
      </c>
    </row>
    <row r="203">
      <c r="A203">
        <f>IF($N203="","",IF(INDEX('Per Invoice'!$A$2:$A$801,$N203)="","",INDEX('Per Invoice'!$A$2:$A$801,$N203)))</f>
        <v/>
      </c>
      <c r="B203">
        <f>IF($N203="","",IF(INDEX('Per Invoice'!$B$2:$B$801,$N203)="","",INDEX('Per Invoice'!$B$2:$B$801,$N203)))</f>
        <v/>
      </c>
      <c r="C203">
        <f>IF($N203="","",IF(INDEX('Per Invoice'!$C$2:$C$801,$N203)="","",INDEX('Per Invoice'!$C$2:$C$801,$N203)))</f>
        <v/>
      </c>
      <c r="D203">
        <f>IF($N203="","",IF(INDEX('Per Invoice'!$D$2:$D$801,$N203)="","",INDEX('Per Invoice'!$D$2:$D$801,$N203)))</f>
        <v/>
      </c>
      <c r="E203">
        <f>IF($N203="","",IF(INDEX('Per Invoice'!$E$2:$E$801,$N203)="","",INDEX('Per Invoice'!$E$2:$E$801,$N203)))</f>
        <v/>
      </c>
      <c r="F203">
        <f>IF($N203="","",IF(INDEX('Per Invoice'!$F$2:$F$801,$N203)="","",INDEX('Per Invoice'!$F$2:$F$801,$N203)))</f>
        <v/>
      </c>
      <c r="G203">
        <f>IF($N203="","",IF(INDEX('Per Invoice'!$G$2:$G$801,$N203)="","",INDEX('Per Invoice'!$G$2:$G$801,$N203)))</f>
        <v/>
      </c>
      <c r="H203">
        <f>IF($N203="","",IF(INDEX('Per Invoice'!$H$2:$H$801,$N203)="","",INDEX('Per Invoice'!$H$2:$H$801,$N203)))</f>
        <v/>
      </c>
      <c r="I203" s="5">
        <f>IF($N203="","",IF(INDEX('Per Invoice'!$I$2:$I$801,$N203)="","",INDEX('Per Invoice'!$I$2:$I$801,$N203)))</f>
        <v/>
      </c>
      <c r="J203" s="5">
        <f>IF($N203="","",IF(INDEX('Per Invoice'!$J$2:$J$801,$N203)="","",INDEX('Per Invoice'!$J$2:$J$801,$N203)))</f>
        <v/>
      </c>
      <c r="K203" s="5">
        <f>IF($N203="","",IF(INDEX('Per Invoice'!$K$2:$K$801,$N203)="","",INDEX('Per Invoice'!$K$2:$K$801,$N203)))</f>
        <v/>
      </c>
      <c r="L203" s="5">
        <f>IF($N203="","",IF(INDEX('Per Invoice'!$L$2:$L$801,$N203)="","",INDEX('Per Invoice'!$L$2:$L$801,$N203)))</f>
        <v/>
      </c>
      <c r="M203" s="5">
        <f>IF($N203="","",IF(INDEX('Per Invoice'!$M$2:$M$801,$N203)="","",INDEX('Per Invoice'!$M$2:$M$801,$N203)))</f>
        <v/>
      </c>
      <c r="N203">
        <f>IF(ROWS($N$2:$N203)&lt;=COUNT('Per Invoice'!$P$2:$P$801),MATCH(ROWS($N$2:$N203),'Per Invoice'!$P$2:$P$801,0),"")</f>
        <v/>
      </c>
    </row>
    <row r="204">
      <c r="A204">
        <f>IF($N204="","",IF(INDEX('Per Invoice'!$A$2:$A$801,$N204)="","",INDEX('Per Invoice'!$A$2:$A$801,$N204)))</f>
        <v/>
      </c>
      <c r="B204">
        <f>IF($N204="","",IF(INDEX('Per Invoice'!$B$2:$B$801,$N204)="","",INDEX('Per Invoice'!$B$2:$B$801,$N204)))</f>
        <v/>
      </c>
      <c r="C204">
        <f>IF($N204="","",IF(INDEX('Per Invoice'!$C$2:$C$801,$N204)="","",INDEX('Per Invoice'!$C$2:$C$801,$N204)))</f>
        <v/>
      </c>
      <c r="D204">
        <f>IF($N204="","",IF(INDEX('Per Invoice'!$D$2:$D$801,$N204)="","",INDEX('Per Invoice'!$D$2:$D$801,$N204)))</f>
        <v/>
      </c>
      <c r="E204">
        <f>IF($N204="","",IF(INDEX('Per Invoice'!$E$2:$E$801,$N204)="","",INDEX('Per Invoice'!$E$2:$E$801,$N204)))</f>
        <v/>
      </c>
      <c r="F204">
        <f>IF($N204="","",IF(INDEX('Per Invoice'!$F$2:$F$801,$N204)="","",INDEX('Per Invoice'!$F$2:$F$801,$N204)))</f>
        <v/>
      </c>
      <c r="G204">
        <f>IF($N204="","",IF(INDEX('Per Invoice'!$G$2:$G$801,$N204)="","",INDEX('Per Invoice'!$G$2:$G$801,$N204)))</f>
        <v/>
      </c>
      <c r="H204">
        <f>IF($N204="","",IF(INDEX('Per Invoice'!$H$2:$H$801,$N204)="","",INDEX('Per Invoice'!$H$2:$H$801,$N204)))</f>
        <v/>
      </c>
      <c r="I204" s="5">
        <f>IF($N204="","",IF(INDEX('Per Invoice'!$I$2:$I$801,$N204)="","",INDEX('Per Invoice'!$I$2:$I$801,$N204)))</f>
        <v/>
      </c>
      <c r="J204" s="5">
        <f>IF($N204="","",IF(INDEX('Per Invoice'!$J$2:$J$801,$N204)="","",INDEX('Per Invoice'!$J$2:$J$801,$N204)))</f>
        <v/>
      </c>
      <c r="K204" s="5">
        <f>IF($N204="","",IF(INDEX('Per Invoice'!$K$2:$K$801,$N204)="","",INDEX('Per Invoice'!$K$2:$K$801,$N204)))</f>
        <v/>
      </c>
      <c r="L204" s="5">
        <f>IF($N204="","",IF(INDEX('Per Invoice'!$L$2:$L$801,$N204)="","",INDEX('Per Invoice'!$L$2:$L$801,$N204)))</f>
        <v/>
      </c>
      <c r="M204" s="5">
        <f>IF($N204="","",IF(INDEX('Per Invoice'!$M$2:$M$801,$N204)="","",INDEX('Per Invoice'!$M$2:$M$801,$N204)))</f>
        <v/>
      </c>
      <c r="N204">
        <f>IF(ROWS($N$2:$N204)&lt;=COUNT('Per Invoice'!$P$2:$P$801),MATCH(ROWS($N$2:$N204),'Per Invoice'!$P$2:$P$801,0),"")</f>
        <v/>
      </c>
    </row>
    <row r="205">
      <c r="A205">
        <f>IF($N205="","",IF(INDEX('Per Invoice'!$A$2:$A$801,$N205)="","",INDEX('Per Invoice'!$A$2:$A$801,$N205)))</f>
        <v/>
      </c>
      <c r="B205">
        <f>IF($N205="","",IF(INDEX('Per Invoice'!$B$2:$B$801,$N205)="","",INDEX('Per Invoice'!$B$2:$B$801,$N205)))</f>
        <v/>
      </c>
      <c r="C205">
        <f>IF($N205="","",IF(INDEX('Per Invoice'!$C$2:$C$801,$N205)="","",INDEX('Per Invoice'!$C$2:$C$801,$N205)))</f>
        <v/>
      </c>
      <c r="D205">
        <f>IF($N205="","",IF(INDEX('Per Invoice'!$D$2:$D$801,$N205)="","",INDEX('Per Invoice'!$D$2:$D$801,$N205)))</f>
        <v/>
      </c>
      <c r="E205">
        <f>IF($N205="","",IF(INDEX('Per Invoice'!$E$2:$E$801,$N205)="","",INDEX('Per Invoice'!$E$2:$E$801,$N205)))</f>
        <v/>
      </c>
      <c r="F205">
        <f>IF($N205="","",IF(INDEX('Per Invoice'!$F$2:$F$801,$N205)="","",INDEX('Per Invoice'!$F$2:$F$801,$N205)))</f>
        <v/>
      </c>
      <c r="G205">
        <f>IF($N205="","",IF(INDEX('Per Invoice'!$G$2:$G$801,$N205)="","",INDEX('Per Invoice'!$G$2:$G$801,$N205)))</f>
        <v/>
      </c>
      <c r="H205">
        <f>IF($N205="","",IF(INDEX('Per Invoice'!$H$2:$H$801,$N205)="","",INDEX('Per Invoice'!$H$2:$H$801,$N205)))</f>
        <v/>
      </c>
      <c r="I205" s="5">
        <f>IF($N205="","",IF(INDEX('Per Invoice'!$I$2:$I$801,$N205)="","",INDEX('Per Invoice'!$I$2:$I$801,$N205)))</f>
        <v/>
      </c>
      <c r="J205" s="5">
        <f>IF($N205="","",IF(INDEX('Per Invoice'!$J$2:$J$801,$N205)="","",INDEX('Per Invoice'!$J$2:$J$801,$N205)))</f>
        <v/>
      </c>
      <c r="K205" s="5">
        <f>IF($N205="","",IF(INDEX('Per Invoice'!$K$2:$K$801,$N205)="","",INDEX('Per Invoice'!$K$2:$K$801,$N205)))</f>
        <v/>
      </c>
      <c r="L205" s="5">
        <f>IF($N205="","",IF(INDEX('Per Invoice'!$L$2:$L$801,$N205)="","",INDEX('Per Invoice'!$L$2:$L$801,$N205)))</f>
        <v/>
      </c>
      <c r="M205" s="5">
        <f>IF($N205="","",IF(INDEX('Per Invoice'!$M$2:$M$801,$N205)="","",INDEX('Per Invoice'!$M$2:$M$801,$N205)))</f>
        <v/>
      </c>
      <c r="N205">
        <f>IF(ROWS($N$2:$N205)&lt;=COUNT('Per Invoice'!$P$2:$P$801),MATCH(ROWS($N$2:$N205),'Per Invoice'!$P$2:$P$801,0),"")</f>
        <v/>
      </c>
    </row>
    <row r="206">
      <c r="A206">
        <f>IF($N206="","",IF(INDEX('Per Invoice'!$A$2:$A$801,$N206)="","",INDEX('Per Invoice'!$A$2:$A$801,$N206)))</f>
        <v/>
      </c>
      <c r="B206">
        <f>IF($N206="","",IF(INDEX('Per Invoice'!$B$2:$B$801,$N206)="","",INDEX('Per Invoice'!$B$2:$B$801,$N206)))</f>
        <v/>
      </c>
      <c r="C206">
        <f>IF($N206="","",IF(INDEX('Per Invoice'!$C$2:$C$801,$N206)="","",INDEX('Per Invoice'!$C$2:$C$801,$N206)))</f>
        <v/>
      </c>
      <c r="D206">
        <f>IF($N206="","",IF(INDEX('Per Invoice'!$D$2:$D$801,$N206)="","",INDEX('Per Invoice'!$D$2:$D$801,$N206)))</f>
        <v/>
      </c>
      <c r="E206">
        <f>IF($N206="","",IF(INDEX('Per Invoice'!$E$2:$E$801,$N206)="","",INDEX('Per Invoice'!$E$2:$E$801,$N206)))</f>
        <v/>
      </c>
      <c r="F206">
        <f>IF($N206="","",IF(INDEX('Per Invoice'!$F$2:$F$801,$N206)="","",INDEX('Per Invoice'!$F$2:$F$801,$N206)))</f>
        <v/>
      </c>
      <c r="G206">
        <f>IF($N206="","",IF(INDEX('Per Invoice'!$G$2:$G$801,$N206)="","",INDEX('Per Invoice'!$G$2:$G$801,$N206)))</f>
        <v/>
      </c>
      <c r="H206">
        <f>IF($N206="","",IF(INDEX('Per Invoice'!$H$2:$H$801,$N206)="","",INDEX('Per Invoice'!$H$2:$H$801,$N206)))</f>
        <v/>
      </c>
      <c r="I206" s="5">
        <f>IF($N206="","",IF(INDEX('Per Invoice'!$I$2:$I$801,$N206)="","",INDEX('Per Invoice'!$I$2:$I$801,$N206)))</f>
        <v/>
      </c>
      <c r="J206" s="5">
        <f>IF($N206="","",IF(INDEX('Per Invoice'!$J$2:$J$801,$N206)="","",INDEX('Per Invoice'!$J$2:$J$801,$N206)))</f>
        <v/>
      </c>
      <c r="K206" s="5">
        <f>IF($N206="","",IF(INDEX('Per Invoice'!$K$2:$K$801,$N206)="","",INDEX('Per Invoice'!$K$2:$K$801,$N206)))</f>
        <v/>
      </c>
      <c r="L206" s="5">
        <f>IF($N206="","",IF(INDEX('Per Invoice'!$L$2:$L$801,$N206)="","",INDEX('Per Invoice'!$L$2:$L$801,$N206)))</f>
        <v/>
      </c>
      <c r="M206" s="5">
        <f>IF($N206="","",IF(INDEX('Per Invoice'!$M$2:$M$801,$N206)="","",INDEX('Per Invoice'!$M$2:$M$801,$N206)))</f>
        <v/>
      </c>
      <c r="N206">
        <f>IF(ROWS($N$2:$N206)&lt;=COUNT('Per Invoice'!$P$2:$P$801),MATCH(ROWS($N$2:$N206),'Per Invoice'!$P$2:$P$801,0),"")</f>
        <v/>
      </c>
    </row>
    <row r="207">
      <c r="A207">
        <f>IF($N207="","",IF(INDEX('Per Invoice'!$A$2:$A$801,$N207)="","",INDEX('Per Invoice'!$A$2:$A$801,$N207)))</f>
        <v/>
      </c>
      <c r="B207">
        <f>IF($N207="","",IF(INDEX('Per Invoice'!$B$2:$B$801,$N207)="","",INDEX('Per Invoice'!$B$2:$B$801,$N207)))</f>
        <v/>
      </c>
      <c r="C207">
        <f>IF($N207="","",IF(INDEX('Per Invoice'!$C$2:$C$801,$N207)="","",INDEX('Per Invoice'!$C$2:$C$801,$N207)))</f>
        <v/>
      </c>
      <c r="D207">
        <f>IF($N207="","",IF(INDEX('Per Invoice'!$D$2:$D$801,$N207)="","",INDEX('Per Invoice'!$D$2:$D$801,$N207)))</f>
        <v/>
      </c>
      <c r="E207">
        <f>IF($N207="","",IF(INDEX('Per Invoice'!$E$2:$E$801,$N207)="","",INDEX('Per Invoice'!$E$2:$E$801,$N207)))</f>
        <v/>
      </c>
      <c r="F207">
        <f>IF($N207="","",IF(INDEX('Per Invoice'!$F$2:$F$801,$N207)="","",INDEX('Per Invoice'!$F$2:$F$801,$N207)))</f>
        <v/>
      </c>
      <c r="G207">
        <f>IF($N207="","",IF(INDEX('Per Invoice'!$G$2:$G$801,$N207)="","",INDEX('Per Invoice'!$G$2:$G$801,$N207)))</f>
        <v/>
      </c>
      <c r="H207">
        <f>IF($N207="","",IF(INDEX('Per Invoice'!$H$2:$H$801,$N207)="","",INDEX('Per Invoice'!$H$2:$H$801,$N207)))</f>
        <v/>
      </c>
      <c r="I207" s="5">
        <f>IF($N207="","",IF(INDEX('Per Invoice'!$I$2:$I$801,$N207)="","",INDEX('Per Invoice'!$I$2:$I$801,$N207)))</f>
        <v/>
      </c>
      <c r="J207" s="5">
        <f>IF($N207="","",IF(INDEX('Per Invoice'!$J$2:$J$801,$N207)="","",INDEX('Per Invoice'!$J$2:$J$801,$N207)))</f>
        <v/>
      </c>
      <c r="K207" s="5">
        <f>IF($N207="","",IF(INDEX('Per Invoice'!$K$2:$K$801,$N207)="","",INDEX('Per Invoice'!$K$2:$K$801,$N207)))</f>
        <v/>
      </c>
      <c r="L207" s="5">
        <f>IF($N207="","",IF(INDEX('Per Invoice'!$L$2:$L$801,$N207)="","",INDEX('Per Invoice'!$L$2:$L$801,$N207)))</f>
        <v/>
      </c>
      <c r="M207" s="5">
        <f>IF($N207="","",IF(INDEX('Per Invoice'!$M$2:$M$801,$N207)="","",INDEX('Per Invoice'!$M$2:$M$801,$N207)))</f>
        <v/>
      </c>
      <c r="N207">
        <f>IF(ROWS($N$2:$N207)&lt;=COUNT('Per Invoice'!$P$2:$P$801),MATCH(ROWS($N$2:$N207),'Per Invoice'!$P$2:$P$801,0),"")</f>
        <v/>
      </c>
    </row>
    <row r="208">
      <c r="A208">
        <f>IF($N208="","",IF(INDEX('Per Invoice'!$A$2:$A$801,$N208)="","",INDEX('Per Invoice'!$A$2:$A$801,$N208)))</f>
        <v/>
      </c>
      <c r="B208">
        <f>IF($N208="","",IF(INDEX('Per Invoice'!$B$2:$B$801,$N208)="","",INDEX('Per Invoice'!$B$2:$B$801,$N208)))</f>
        <v/>
      </c>
      <c r="C208">
        <f>IF($N208="","",IF(INDEX('Per Invoice'!$C$2:$C$801,$N208)="","",INDEX('Per Invoice'!$C$2:$C$801,$N208)))</f>
        <v/>
      </c>
      <c r="D208">
        <f>IF($N208="","",IF(INDEX('Per Invoice'!$D$2:$D$801,$N208)="","",INDEX('Per Invoice'!$D$2:$D$801,$N208)))</f>
        <v/>
      </c>
      <c r="E208">
        <f>IF($N208="","",IF(INDEX('Per Invoice'!$E$2:$E$801,$N208)="","",INDEX('Per Invoice'!$E$2:$E$801,$N208)))</f>
        <v/>
      </c>
      <c r="F208">
        <f>IF($N208="","",IF(INDEX('Per Invoice'!$F$2:$F$801,$N208)="","",INDEX('Per Invoice'!$F$2:$F$801,$N208)))</f>
        <v/>
      </c>
      <c r="G208">
        <f>IF($N208="","",IF(INDEX('Per Invoice'!$G$2:$G$801,$N208)="","",INDEX('Per Invoice'!$G$2:$G$801,$N208)))</f>
        <v/>
      </c>
      <c r="H208">
        <f>IF($N208="","",IF(INDEX('Per Invoice'!$H$2:$H$801,$N208)="","",INDEX('Per Invoice'!$H$2:$H$801,$N208)))</f>
        <v/>
      </c>
      <c r="I208" s="5">
        <f>IF($N208="","",IF(INDEX('Per Invoice'!$I$2:$I$801,$N208)="","",INDEX('Per Invoice'!$I$2:$I$801,$N208)))</f>
        <v/>
      </c>
      <c r="J208" s="5">
        <f>IF($N208="","",IF(INDEX('Per Invoice'!$J$2:$J$801,$N208)="","",INDEX('Per Invoice'!$J$2:$J$801,$N208)))</f>
        <v/>
      </c>
      <c r="K208" s="5">
        <f>IF($N208="","",IF(INDEX('Per Invoice'!$K$2:$K$801,$N208)="","",INDEX('Per Invoice'!$K$2:$K$801,$N208)))</f>
        <v/>
      </c>
      <c r="L208" s="5">
        <f>IF($N208="","",IF(INDEX('Per Invoice'!$L$2:$L$801,$N208)="","",INDEX('Per Invoice'!$L$2:$L$801,$N208)))</f>
        <v/>
      </c>
      <c r="M208" s="5">
        <f>IF($N208="","",IF(INDEX('Per Invoice'!$M$2:$M$801,$N208)="","",INDEX('Per Invoice'!$M$2:$M$801,$N208)))</f>
        <v/>
      </c>
      <c r="N208">
        <f>IF(ROWS($N$2:$N208)&lt;=COUNT('Per Invoice'!$P$2:$P$801),MATCH(ROWS($N$2:$N208),'Per Invoice'!$P$2:$P$801,0),"")</f>
        <v/>
      </c>
    </row>
    <row r="209">
      <c r="A209">
        <f>IF($N209="","",IF(INDEX('Per Invoice'!$A$2:$A$801,$N209)="","",INDEX('Per Invoice'!$A$2:$A$801,$N209)))</f>
        <v/>
      </c>
      <c r="B209">
        <f>IF($N209="","",IF(INDEX('Per Invoice'!$B$2:$B$801,$N209)="","",INDEX('Per Invoice'!$B$2:$B$801,$N209)))</f>
        <v/>
      </c>
      <c r="C209">
        <f>IF($N209="","",IF(INDEX('Per Invoice'!$C$2:$C$801,$N209)="","",INDEX('Per Invoice'!$C$2:$C$801,$N209)))</f>
        <v/>
      </c>
      <c r="D209">
        <f>IF($N209="","",IF(INDEX('Per Invoice'!$D$2:$D$801,$N209)="","",INDEX('Per Invoice'!$D$2:$D$801,$N209)))</f>
        <v/>
      </c>
      <c r="E209">
        <f>IF($N209="","",IF(INDEX('Per Invoice'!$E$2:$E$801,$N209)="","",INDEX('Per Invoice'!$E$2:$E$801,$N209)))</f>
        <v/>
      </c>
      <c r="F209">
        <f>IF($N209="","",IF(INDEX('Per Invoice'!$F$2:$F$801,$N209)="","",INDEX('Per Invoice'!$F$2:$F$801,$N209)))</f>
        <v/>
      </c>
      <c r="G209">
        <f>IF($N209="","",IF(INDEX('Per Invoice'!$G$2:$G$801,$N209)="","",INDEX('Per Invoice'!$G$2:$G$801,$N209)))</f>
        <v/>
      </c>
      <c r="H209">
        <f>IF($N209="","",IF(INDEX('Per Invoice'!$H$2:$H$801,$N209)="","",INDEX('Per Invoice'!$H$2:$H$801,$N209)))</f>
        <v/>
      </c>
      <c r="I209" s="5">
        <f>IF($N209="","",IF(INDEX('Per Invoice'!$I$2:$I$801,$N209)="","",INDEX('Per Invoice'!$I$2:$I$801,$N209)))</f>
        <v/>
      </c>
      <c r="J209" s="5">
        <f>IF($N209="","",IF(INDEX('Per Invoice'!$J$2:$J$801,$N209)="","",INDEX('Per Invoice'!$J$2:$J$801,$N209)))</f>
        <v/>
      </c>
      <c r="K209" s="5">
        <f>IF($N209="","",IF(INDEX('Per Invoice'!$K$2:$K$801,$N209)="","",INDEX('Per Invoice'!$K$2:$K$801,$N209)))</f>
        <v/>
      </c>
      <c r="L209" s="5">
        <f>IF($N209="","",IF(INDEX('Per Invoice'!$L$2:$L$801,$N209)="","",INDEX('Per Invoice'!$L$2:$L$801,$N209)))</f>
        <v/>
      </c>
      <c r="M209" s="5">
        <f>IF($N209="","",IF(INDEX('Per Invoice'!$M$2:$M$801,$N209)="","",INDEX('Per Invoice'!$M$2:$M$801,$N209)))</f>
        <v/>
      </c>
      <c r="N209">
        <f>IF(ROWS($N$2:$N209)&lt;=COUNT('Per Invoice'!$P$2:$P$801),MATCH(ROWS($N$2:$N209),'Per Invoice'!$P$2:$P$801,0),"")</f>
        <v/>
      </c>
    </row>
    <row r="210">
      <c r="A210">
        <f>IF($N210="","",IF(INDEX('Per Invoice'!$A$2:$A$801,$N210)="","",INDEX('Per Invoice'!$A$2:$A$801,$N210)))</f>
        <v/>
      </c>
      <c r="B210">
        <f>IF($N210="","",IF(INDEX('Per Invoice'!$B$2:$B$801,$N210)="","",INDEX('Per Invoice'!$B$2:$B$801,$N210)))</f>
        <v/>
      </c>
      <c r="C210">
        <f>IF($N210="","",IF(INDEX('Per Invoice'!$C$2:$C$801,$N210)="","",INDEX('Per Invoice'!$C$2:$C$801,$N210)))</f>
        <v/>
      </c>
      <c r="D210">
        <f>IF($N210="","",IF(INDEX('Per Invoice'!$D$2:$D$801,$N210)="","",INDEX('Per Invoice'!$D$2:$D$801,$N210)))</f>
        <v/>
      </c>
      <c r="E210">
        <f>IF($N210="","",IF(INDEX('Per Invoice'!$E$2:$E$801,$N210)="","",INDEX('Per Invoice'!$E$2:$E$801,$N210)))</f>
        <v/>
      </c>
      <c r="F210">
        <f>IF($N210="","",IF(INDEX('Per Invoice'!$F$2:$F$801,$N210)="","",INDEX('Per Invoice'!$F$2:$F$801,$N210)))</f>
        <v/>
      </c>
      <c r="G210">
        <f>IF($N210="","",IF(INDEX('Per Invoice'!$G$2:$G$801,$N210)="","",INDEX('Per Invoice'!$G$2:$G$801,$N210)))</f>
        <v/>
      </c>
      <c r="H210">
        <f>IF($N210="","",IF(INDEX('Per Invoice'!$H$2:$H$801,$N210)="","",INDEX('Per Invoice'!$H$2:$H$801,$N210)))</f>
        <v/>
      </c>
      <c r="I210" s="5">
        <f>IF($N210="","",IF(INDEX('Per Invoice'!$I$2:$I$801,$N210)="","",INDEX('Per Invoice'!$I$2:$I$801,$N210)))</f>
        <v/>
      </c>
      <c r="J210" s="5">
        <f>IF($N210="","",IF(INDEX('Per Invoice'!$J$2:$J$801,$N210)="","",INDEX('Per Invoice'!$J$2:$J$801,$N210)))</f>
        <v/>
      </c>
      <c r="K210" s="5">
        <f>IF($N210="","",IF(INDEX('Per Invoice'!$K$2:$K$801,$N210)="","",INDEX('Per Invoice'!$K$2:$K$801,$N210)))</f>
        <v/>
      </c>
      <c r="L210" s="5">
        <f>IF($N210="","",IF(INDEX('Per Invoice'!$L$2:$L$801,$N210)="","",INDEX('Per Invoice'!$L$2:$L$801,$N210)))</f>
        <v/>
      </c>
      <c r="M210" s="5">
        <f>IF($N210="","",IF(INDEX('Per Invoice'!$M$2:$M$801,$N210)="","",INDEX('Per Invoice'!$M$2:$M$801,$N210)))</f>
        <v/>
      </c>
      <c r="N210">
        <f>IF(ROWS($N$2:$N210)&lt;=COUNT('Per Invoice'!$P$2:$P$801),MATCH(ROWS($N$2:$N210),'Per Invoice'!$P$2:$P$801,0),"")</f>
        <v/>
      </c>
    </row>
    <row r="211">
      <c r="A211">
        <f>IF($N211="","",IF(INDEX('Per Invoice'!$A$2:$A$801,$N211)="","",INDEX('Per Invoice'!$A$2:$A$801,$N211)))</f>
        <v/>
      </c>
      <c r="B211">
        <f>IF($N211="","",IF(INDEX('Per Invoice'!$B$2:$B$801,$N211)="","",INDEX('Per Invoice'!$B$2:$B$801,$N211)))</f>
        <v/>
      </c>
      <c r="C211">
        <f>IF($N211="","",IF(INDEX('Per Invoice'!$C$2:$C$801,$N211)="","",INDEX('Per Invoice'!$C$2:$C$801,$N211)))</f>
        <v/>
      </c>
      <c r="D211">
        <f>IF($N211="","",IF(INDEX('Per Invoice'!$D$2:$D$801,$N211)="","",INDEX('Per Invoice'!$D$2:$D$801,$N211)))</f>
        <v/>
      </c>
      <c r="E211">
        <f>IF($N211="","",IF(INDEX('Per Invoice'!$E$2:$E$801,$N211)="","",INDEX('Per Invoice'!$E$2:$E$801,$N211)))</f>
        <v/>
      </c>
      <c r="F211">
        <f>IF($N211="","",IF(INDEX('Per Invoice'!$F$2:$F$801,$N211)="","",INDEX('Per Invoice'!$F$2:$F$801,$N211)))</f>
        <v/>
      </c>
      <c r="G211">
        <f>IF($N211="","",IF(INDEX('Per Invoice'!$G$2:$G$801,$N211)="","",INDEX('Per Invoice'!$G$2:$G$801,$N211)))</f>
        <v/>
      </c>
      <c r="H211">
        <f>IF($N211="","",IF(INDEX('Per Invoice'!$H$2:$H$801,$N211)="","",INDEX('Per Invoice'!$H$2:$H$801,$N211)))</f>
        <v/>
      </c>
      <c r="I211" s="5">
        <f>IF($N211="","",IF(INDEX('Per Invoice'!$I$2:$I$801,$N211)="","",INDEX('Per Invoice'!$I$2:$I$801,$N211)))</f>
        <v/>
      </c>
      <c r="J211" s="5">
        <f>IF($N211="","",IF(INDEX('Per Invoice'!$J$2:$J$801,$N211)="","",INDEX('Per Invoice'!$J$2:$J$801,$N211)))</f>
        <v/>
      </c>
      <c r="K211" s="5">
        <f>IF($N211="","",IF(INDEX('Per Invoice'!$K$2:$K$801,$N211)="","",INDEX('Per Invoice'!$K$2:$K$801,$N211)))</f>
        <v/>
      </c>
      <c r="L211" s="5">
        <f>IF($N211="","",IF(INDEX('Per Invoice'!$L$2:$L$801,$N211)="","",INDEX('Per Invoice'!$L$2:$L$801,$N211)))</f>
        <v/>
      </c>
      <c r="M211" s="5">
        <f>IF($N211="","",IF(INDEX('Per Invoice'!$M$2:$M$801,$N211)="","",INDEX('Per Invoice'!$M$2:$M$801,$N211)))</f>
        <v/>
      </c>
      <c r="N211">
        <f>IF(ROWS($N$2:$N211)&lt;=COUNT('Per Invoice'!$P$2:$P$801),MATCH(ROWS($N$2:$N211),'Per Invoice'!$P$2:$P$801,0),"")</f>
        <v/>
      </c>
    </row>
    <row r="212">
      <c r="A212">
        <f>IF($N212="","",IF(INDEX('Per Invoice'!$A$2:$A$801,$N212)="","",INDEX('Per Invoice'!$A$2:$A$801,$N212)))</f>
        <v/>
      </c>
      <c r="B212">
        <f>IF($N212="","",IF(INDEX('Per Invoice'!$B$2:$B$801,$N212)="","",INDEX('Per Invoice'!$B$2:$B$801,$N212)))</f>
        <v/>
      </c>
      <c r="C212">
        <f>IF($N212="","",IF(INDEX('Per Invoice'!$C$2:$C$801,$N212)="","",INDEX('Per Invoice'!$C$2:$C$801,$N212)))</f>
        <v/>
      </c>
      <c r="D212">
        <f>IF($N212="","",IF(INDEX('Per Invoice'!$D$2:$D$801,$N212)="","",INDEX('Per Invoice'!$D$2:$D$801,$N212)))</f>
        <v/>
      </c>
      <c r="E212">
        <f>IF($N212="","",IF(INDEX('Per Invoice'!$E$2:$E$801,$N212)="","",INDEX('Per Invoice'!$E$2:$E$801,$N212)))</f>
        <v/>
      </c>
      <c r="F212">
        <f>IF($N212="","",IF(INDEX('Per Invoice'!$F$2:$F$801,$N212)="","",INDEX('Per Invoice'!$F$2:$F$801,$N212)))</f>
        <v/>
      </c>
      <c r="G212">
        <f>IF($N212="","",IF(INDEX('Per Invoice'!$G$2:$G$801,$N212)="","",INDEX('Per Invoice'!$G$2:$G$801,$N212)))</f>
        <v/>
      </c>
      <c r="H212">
        <f>IF($N212="","",IF(INDEX('Per Invoice'!$H$2:$H$801,$N212)="","",INDEX('Per Invoice'!$H$2:$H$801,$N212)))</f>
        <v/>
      </c>
      <c r="I212" s="5">
        <f>IF($N212="","",IF(INDEX('Per Invoice'!$I$2:$I$801,$N212)="","",INDEX('Per Invoice'!$I$2:$I$801,$N212)))</f>
        <v/>
      </c>
      <c r="J212" s="5">
        <f>IF($N212="","",IF(INDEX('Per Invoice'!$J$2:$J$801,$N212)="","",INDEX('Per Invoice'!$J$2:$J$801,$N212)))</f>
        <v/>
      </c>
      <c r="K212" s="5">
        <f>IF($N212="","",IF(INDEX('Per Invoice'!$K$2:$K$801,$N212)="","",INDEX('Per Invoice'!$K$2:$K$801,$N212)))</f>
        <v/>
      </c>
      <c r="L212" s="5">
        <f>IF($N212="","",IF(INDEX('Per Invoice'!$L$2:$L$801,$N212)="","",INDEX('Per Invoice'!$L$2:$L$801,$N212)))</f>
        <v/>
      </c>
      <c r="M212" s="5">
        <f>IF($N212="","",IF(INDEX('Per Invoice'!$M$2:$M$801,$N212)="","",INDEX('Per Invoice'!$M$2:$M$801,$N212)))</f>
        <v/>
      </c>
      <c r="N212">
        <f>IF(ROWS($N$2:$N212)&lt;=COUNT('Per Invoice'!$P$2:$P$801),MATCH(ROWS($N$2:$N212),'Per Invoice'!$P$2:$P$801,0),"")</f>
        <v/>
      </c>
    </row>
    <row r="213">
      <c r="A213">
        <f>IF($N213="","",IF(INDEX('Per Invoice'!$A$2:$A$801,$N213)="","",INDEX('Per Invoice'!$A$2:$A$801,$N213)))</f>
        <v/>
      </c>
      <c r="B213">
        <f>IF($N213="","",IF(INDEX('Per Invoice'!$B$2:$B$801,$N213)="","",INDEX('Per Invoice'!$B$2:$B$801,$N213)))</f>
        <v/>
      </c>
      <c r="C213">
        <f>IF($N213="","",IF(INDEX('Per Invoice'!$C$2:$C$801,$N213)="","",INDEX('Per Invoice'!$C$2:$C$801,$N213)))</f>
        <v/>
      </c>
      <c r="D213">
        <f>IF($N213="","",IF(INDEX('Per Invoice'!$D$2:$D$801,$N213)="","",INDEX('Per Invoice'!$D$2:$D$801,$N213)))</f>
        <v/>
      </c>
      <c r="E213">
        <f>IF($N213="","",IF(INDEX('Per Invoice'!$E$2:$E$801,$N213)="","",INDEX('Per Invoice'!$E$2:$E$801,$N213)))</f>
        <v/>
      </c>
      <c r="F213">
        <f>IF($N213="","",IF(INDEX('Per Invoice'!$F$2:$F$801,$N213)="","",INDEX('Per Invoice'!$F$2:$F$801,$N213)))</f>
        <v/>
      </c>
      <c r="G213">
        <f>IF($N213="","",IF(INDEX('Per Invoice'!$G$2:$G$801,$N213)="","",INDEX('Per Invoice'!$G$2:$G$801,$N213)))</f>
        <v/>
      </c>
      <c r="H213">
        <f>IF($N213="","",IF(INDEX('Per Invoice'!$H$2:$H$801,$N213)="","",INDEX('Per Invoice'!$H$2:$H$801,$N213)))</f>
        <v/>
      </c>
      <c r="I213" s="5">
        <f>IF($N213="","",IF(INDEX('Per Invoice'!$I$2:$I$801,$N213)="","",INDEX('Per Invoice'!$I$2:$I$801,$N213)))</f>
        <v/>
      </c>
      <c r="J213" s="5">
        <f>IF($N213="","",IF(INDEX('Per Invoice'!$J$2:$J$801,$N213)="","",INDEX('Per Invoice'!$J$2:$J$801,$N213)))</f>
        <v/>
      </c>
      <c r="K213" s="5">
        <f>IF($N213="","",IF(INDEX('Per Invoice'!$K$2:$K$801,$N213)="","",INDEX('Per Invoice'!$K$2:$K$801,$N213)))</f>
        <v/>
      </c>
      <c r="L213" s="5">
        <f>IF($N213="","",IF(INDEX('Per Invoice'!$L$2:$L$801,$N213)="","",INDEX('Per Invoice'!$L$2:$L$801,$N213)))</f>
        <v/>
      </c>
      <c r="M213" s="5">
        <f>IF($N213="","",IF(INDEX('Per Invoice'!$M$2:$M$801,$N213)="","",INDEX('Per Invoice'!$M$2:$M$801,$N213)))</f>
        <v/>
      </c>
      <c r="N213">
        <f>IF(ROWS($N$2:$N213)&lt;=COUNT('Per Invoice'!$P$2:$P$801),MATCH(ROWS($N$2:$N213),'Per Invoice'!$P$2:$P$801,0),"")</f>
        <v/>
      </c>
    </row>
    <row r="214">
      <c r="A214">
        <f>IF($N214="","",IF(INDEX('Per Invoice'!$A$2:$A$801,$N214)="","",INDEX('Per Invoice'!$A$2:$A$801,$N214)))</f>
        <v/>
      </c>
      <c r="B214">
        <f>IF($N214="","",IF(INDEX('Per Invoice'!$B$2:$B$801,$N214)="","",INDEX('Per Invoice'!$B$2:$B$801,$N214)))</f>
        <v/>
      </c>
      <c r="C214">
        <f>IF($N214="","",IF(INDEX('Per Invoice'!$C$2:$C$801,$N214)="","",INDEX('Per Invoice'!$C$2:$C$801,$N214)))</f>
        <v/>
      </c>
      <c r="D214">
        <f>IF($N214="","",IF(INDEX('Per Invoice'!$D$2:$D$801,$N214)="","",INDEX('Per Invoice'!$D$2:$D$801,$N214)))</f>
        <v/>
      </c>
      <c r="E214">
        <f>IF($N214="","",IF(INDEX('Per Invoice'!$E$2:$E$801,$N214)="","",INDEX('Per Invoice'!$E$2:$E$801,$N214)))</f>
        <v/>
      </c>
      <c r="F214">
        <f>IF($N214="","",IF(INDEX('Per Invoice'!$F$2:$F$801,$N214)="","",INDEX('Per Invoice'!$F$2:$F$801,$N214)))</f>
        <v/>
      </c>
      <c r="G214">
        <f>IF($N214="","",IF(INDEX('Per Invoice'!$G$2:$G$801,$N214)="","",INDEX('Per Invoice'!$G$2:$G$801,$N214)))</f>
        <v/>
      </c>
      <c r="H214">
        <f>IF($N214="","",IF(INDEX('Per Invoice'!$H$2:$H$801,$N214)="","",INDEX('Per Invoice'!$H$2:$H$801,$N214)))</f>
        <v/>
      </c>
      <c r="I214" s="5">
        <f>IF($N214="","",IF(INDEX('Per Invoice'!$I$2:$I$801,$N214)="","",INDEX('Per Invoice'!$I$2:$I$801,$N214)))</f>
        <v/>
      </c>
      <c r="J214" s="5">
        <f>IF($N214="","",IF(INDEX('Per Invoice'!$J$2:$J$801,$N214)="","",INDEX('Per Invoice'!$J$2:$J$801,$N214)))</f>
        <v/>
      </c>
      <c r="K214" s="5">
        <f>IF($N214="","",IF(INDEX('Per Invoice'!$K$2:$K$801,$N214)="","",INDEX('Per Invoice'!$K$2:$K$801,$N214)))</f>
        <v/>
      </c>
      <c r="L214" s="5">
        <f>IF($N214="","",IF(INDEX('Per Invoice'!$L$2:$L$801,$N214)="","",INDEX('Per Invoice'!$L$2:$L$801,$N214)))</f>
        <v/>
      </c>
      <c r="M214" s="5">
        <f>IF($N214="","",IF(INDEX('Per Invoice'!$M$2:$M$801,$N214)="","",INDEX('Per Invoice'!$M$2:$M$801,$N214)))</f>
        <v/>
      </c>
      <c r="N214">
        <f>IF(ROWS($N$2:$N214)&lt;=COUNT('Per Invoice'!$P$2:$P$801),MATCH(ROWS($N$2:$N214),'Per Invoice'!$P$2:$P$801,0),"")</f>
        <v/>
      </c>
    </row>
    <row r="215">
      <c r="A215">
        <f>IF($N215="","",IF(INDEX('Per Invoice'!$A$2:$A$801,$N215)="","",INDEX('Per Invoice'!$A$2:$A$801,$N215)))</f>
        <v/>
      </c>
      <c r="B215">
        <f>IF($N215="","",IF(INDEX('Per Invoice'!$B$2:$B$801,$N215)="","",INDEX('Per Invoice'!$B$2:$B$801,$N215)))</f>
        <v/>
      </c>
      <c r="C215">
        <f>IF($N215="","",IF(INDEX('Per Invoice'!$C$2:$C$801,$N215)="","",INDEX('Per Invoice'!$C$2:$C$801,$N215)))</f>
        <v/>
      </c>
      <c r="D215">
        <f>IF($N215="","",IF(INDEX('Per Invoice'!$D$2:$D$801,$N215)="","",INDEX('Per Invoice'!$D$2:$D$801,$N215)))</f>
        <v/>
      </c>
      <c r="E215">
        <f>IF($N215="","",IF(INDEX('Per Invoice'!$E$2:$E$801,$N215)="","",INDEX('Per Invoice'!$E$2:$E$801,$N215)))</f>
        <v/>
      </c>
      <c r="F215">
        <f>IF($N215="","",IF(INDEX('Per Invoice'!$F$2:$F$801,$N215)="","",INDEX('Per Invoice'!$F$2:$F$801,$N215)))</f>
        <v/>
      </c>
      <c r="G215">
        <f>IF($N215="","",IF(INDEX('Per Invoice'!$G$2:$G$801,$N215)="","",INDEX('Per Invoice'!$G$2:$G$801,$N215)))</f>
        <v/>
      </c>
      <c r="H215">
        <f>IF($N215="","",IF(INDEX('Per Invoice'!$H$2:$H$801,$N215)="","",INDEX('Per Invoice'!$H$2:$H$801,$N215)))</f>
        <v/>
      </c>
      <c r="I215" s="5">
        <f>IF($N215="","",IF(INDEX('Per Invoice'!$I$2:$I$801,$N215)="","",INDEX('Per Invoice'!$I$2:$I$801,$N215)))</f>
        <v/>
      </c>
      <c r="J215" s="5">
        <f>IF($N215="","",IF(INDEX('Per Invoice'!$J$2:$J$801,$N215)="","",INDEX('Per Invoice'!$J$2:$J$801,$N215)))</f>
        <v/>
      </c>
      <c r="K215" s="5">
        <f>IF($N215="","",IF(INDEX('Per Invoice'!$K$2:$K$801,$N215)="","",INDEX('Per Invoice'!$K$2:$K$801,$N215)))</f>
        <v/>
      </c>
      <c r="L215" s="5">
        <f>IF($N215="","",IF(INDEX('Per Invoice'!$L$2:$L$801,$N215)="","",INDEX('Per Invoice'!$L$2:$L$801,$N215)))</f>
        <v/>
      </c>
      <c r="M215" s="5">
        <f>IF($N215="","",IF(INDEX('Per Invoice'!$M$2:$M$801,$N215)="","",INDEX('Per Invoice'!$M$2:$M$801,$N215)))</f>
        <v/>
      </c>
      <c r="N215">
        <f>IF(ROWS($N$2:$N215)&lt;=COUNT('Per Invoice'!$P$2:$P$801),MATCH(ROWS($N$2:$N215),'Per Invoice'!$P$2:$P$801,0),"")</f>
        <v/>
      </c>
    </row>
    <row r="216">
      <c r="A216">
        <f>IF($N216="","",IF(INDEX('Per Invoice'!$A$2:$A$801,$N216)="","",INDEX('Per Invoice'!$A$2:$A$801,$N216)))</f>
        <v/>
      </c>
      <c r="B216">
        <f>IF($N216="","",IF(INDEX('Per Invoice'!$B$2:$B$801,$N216)="","",INDEX('Per Invoice'!$B$2:$B$801,$N216)))</f>
        <v/>
      </c>
      <c r="C216">
        <f>IF($N216="","",IF(INDEX('Per Invoice'!$C$2:$C$801,$N216)="","",INDEX('Per Invoice'!$C$2:$C$801,$N216)))</f>
        <v/>
      </c>
      <c r="D216">
        <f>IF($N216="","",IF(INDEX('Per Invoice'!$D$2:$D$801,$N216)="","",INDEX('Per Invoice'!$D$2:$D$801,$N216)))</f>
        <v/>
      </c>
      <c r="E216">
        <f>IF($N216="","",IF(INDEX('Per Invoice'!$E$2:$E$801,$N216)="","",INDEX('Per Invoice'!$E$2:$E$801,$N216)))</f>
        <v/>
      </c>
      <c r="F216">
        <f>IF($N216="","",IF(INDEX('Per Invoice'!$F$2:$F$801,$N216)="","",INDEX('Per Invoice'!$F$2:$F$801,$N216)))</f>
        <v/>
      </c>
      <c r="G216">
        <f>IF($N216="","",IF(INDEX('Per Invoice'!$G$2:$G$801,$N216)="","",INDEX('Per Invoice'!$G$2:$G$801,$N216)))</f>
        <v/>
      </c>
      <c r="H216">
        <f>IF($N216="","",IF(INDEX('Per Invoice'!$H$2:$H$801,$N216)="","",INDEX('Per Invoice'!$H$2:$H$801,$N216)))</f>
        <v/>
      </c>
      <c r="I216" s="5">
        <f>IF($N216="","",IF(INDEX('Per Invoice'!$I$2:$I$801,$N216)="","",INDEX('Per Invoice'!$I$2:$I$801,$N216)))</f>
        <v/>
      </c>
      <c r="J216" s="5">
        <f>IF($N216="","",IF(INDEX('Per Invoice'!$J$2:$J$801,$N216)="","",INDEX('Per Invoice'!$J$2:$J$801,$N216)))</f>
        <v/>
      </c>
      <c r="K216" s="5">
        <f>IF($N216="","",IF(INDEX('Per Invoice'!$K$2:$K$801,$N216)="","",INDEX('Per Invoice'!$K$2:$K$801,$N216)))</f>
        <v/>
      </c>
      <c r="L216" s="5">
        <f>IF($N216="","",IF(INDEX('Per Invoice'!$L$2:$L$801,$N216)="","",INDEX('Per Invoice'!$L$2:$L$801,$N216)))</f>
        <v/>
      </c>
      <c r="M216" s="5">
        <f>IF($N216="","",IF(INDEX('Per Invoice'!$M$2:$M$801,$N216)="","",INDEX('Per Invoice'!$M$2:$M$801,$N216)))</f>
        <v/>
      </c>
      <c r="N216">
        <f>IF(ROWS($N$2:$N216)&lt;=COUNT('Per Invoice'!$P$2:$P$801),MATCH(ROWS($N$2:$N216),'Per Invoice'!$P$2:$P$801,0),"")</f>
        <v/>
      </c>
    </row>
    <row r="217">
      <c r="A217">
        <f>IF($N217="","",IF(INDEX('Per Invoice'!$A$2:$A$801,$N217)="","",INDEX('Per Invoice'!$A$2:$A$801,$N217)))</f>
        <v/>
      </c>
      <c r="B217">
        <f>IF($N217="","",IF(INDEX('Per Invoice'!$B$2:$B$801,$N217)="","",INDEX('Per Invoice'!$B$2:$B$801,$N217)))</f>
        <v/>
      </c>
      <c r="C217">
        <f>IF($N217="","",IF(INDEX('Per Invoice'!$C$2:$C$801,$N217)="","",INDEX('Per Invoice'!$C$2:$C$801,$N217)))</f>
        <v/>
      </c>
      <c r="D217">
        <f>IF($N217="","",IF(INDEX('Per Invoice'!$D$2:$D$801,$N217)="","",INDEX('Per Invoice'!$D$2:$D$801,$N217)))</f>
        <v/>
      </c>
      <c r="E217">
        <f>IF($N217="","",IF(INDEX('Per Invoice'!$E$2:$E$801,$N217)="","",INDEX('Per Invoice'!$E$2:$E$801,$N217)))</f>
        <v/>
      </c>
      <c r="F217">
        <f>IF($N217="","",IF(INDEX('Per Invoice'!$F$2:$F$801,$N217)="","",INDEX('Per Invoice'!$F$2:$F$801,$N217)))</f>
        <v/>
      </c>
      <c r="G217">
        <f>IF($N217="","",IF(INDEX('Per Invoice'!$G$2:$G$801,$N217)="","",INDEX('Per Invoice'!$G$2:$G$801,$N217)))</f>
        <v/>
      </c>
      <c r="H217">
        <f>IF($N217="","",IF(INDEX('Per Invoice'!$H$2:$H$801,$N217)="","",INDEX('Per Invoice'!$H$2:$H$801,$N217)))</f>
        <v/>
      </c>
      <c r="I217" s="5">
        <f>IF($N217="","",IF(INDEX('Per Invoice'!$I$2:$I$801,$N217)="","",INDEX('Per Invoice'!$I$2:$I$801,$N217)))</f>
        <v/>
      </c>
      <c r="J217" s="5">
        <f>IF($N217="","",IF(INDEX('Per Invoice'!$J$2:$J$801,$N217)="","",INDEX('Per Invoice'!$J$2:$J$801,$N217)))</f>
        <v/>
      </c>
      <c r="K217" s="5">
        <f>IF($N217="","",IF(INDEX('Per Invoice'!$K$2:$K$801,$N217)="","",INDEX('Per Invoice'!$K$2:$K$801,$N217)))</f>
        <v/>
      </c>
      <c r="L217" s="5">
        <f>IF($N217="","",IF(INDEX('Per Invoice'!$L$2:$L$801,$N217)="","",INDEX('Per Invoice'!$L$2:$L$801,$N217)))</f>
        <v/>
      </c>
      <c r="M217" s="5">
        <f>IF($N217="","",IF(INDEX('Per Invoice'!$M$2:$M$801,$N217)="","",INDEX('Per Invoice'!$M$2:$M$801,$N217)))</f>
        <v/>
      </c>
      <c r="N217">
        <f>IF(ROWS($N$2:$N217)&lt;=COUNT('Per Invoice'!$P$2:$P$801),MATCH(ROWS($N$2:$N217),'Per Invoice'!$P$2:$P$801,0),"")</f>
        <v/>
      </c>
    </row>
    <row r="218">
      <c r="A218">
        <f>IF($N218="","",IF(INDEX('Per Invoice'!$A$2:$A$801,$N218)="","",INDEX('Per Invoice'!$A$2:$A$801,$N218)))</f>
        <v/>
      </c>
      <c r="B218">
        <f>IF($N218="","",IF(INDEX('Per Invoice'!$B$2:$B$801,$N218)="","",INDEX('Per Invoice'!$B$2:$B$801,$N218)))</f>
        <v/>
      </c>
      <c r="C218">
        <f>IF($N218="","",IF(INDEX('Per Invoice'!$C$2:$C$801,$N218)="","",INDEX('Per Invoice'!$C$2:$C$801,$N218)))</f>
        <v/>
      </c>
      <c r="D218">
        <f>IF($N218="","",IF(INDEX('Per Invoice'!$D$2:$D$801,$N218)="","",INDEX('Per Invoice'!$D$2:$D$801,$N218)))</f>
        <v/>
      </c>
      <c r="E218">
        <f>IF($N218="","",IF(INDEX('Per Invoice'!$E$2:$E$801,$N218)="","",INDEX('Per Invoice'!$E$2:$E$801,$N218)))</f>
        <v/>
      </c>
      <c r="F218">
        <f>IF($N218="","",IF(INDEX('Per Invoice'!$F$2:$F$801,$N218)="","",INDEX('Per Invoice'!$F$2:$F$801,$N218)))</f>
        <v/>
      </c>
      <c r="G218">
        <f>IF($N218="","",IF(INDEX('Per Invoice'!$G$2:$G$801,$N218)="","",INDEX('Per Invoice'!$G$2:$G$801,$N218)))</f>
        <v/>
      </c>
      <c r="H218">
        <f>IF($N218="","",IF(INDEX('Per Invoice'!$H$2:$H$801,$N218)="","",INDEX('Per Invoice'!$H$2:$H$801,$N218)))</f>
        <v/>
      </c>
      <c r="I218" s="5">
        <f>IF($N218="","",IF(INDEX('Per Invoice'!$I$2:$I$801,$N218)="","",INDEX('Per Invoice'!$I$2:$I$801,$N218)))</f>
        <v/>
      </c>
      <c r="J218" s="5">
        <f>IF($N218="","",IF(INDEX('Per Invoice'!$J$2:$J$801,$N218)="","",INDEX('Per Invoice'!$J$2:$J$801,$N218)))</f>
        <v/>
      </c>
      <c r="K218" s="5">
        <f>IF($N218="","",IF(INDEX('Per Invoice'!$K$2:$K$801,$N218)="","",INDEX('Per Invoice'!$K$2:$K$801,$N218)))</f>
        <v/>
      </c>
      <c r="L218" s="5">
        <f>IF($N218="","",IF(INDEX('Per Invoice'!$L$2:$L$801,$N218)="","",INDEX('Per Invoice'!$L$2:$L$801,$N218)))</f>
        <v/>
      </c>
      <c r="M218" s="5">
        <f>IF($N218="","",IF(INDEX('Per Invoice'!$M$2:$M$801,$N218)="","",INDEX('Per Invoice'!$M$2:$M$801,$N218)))</f>
        <v/>
      </c>
      <c r="N218">
        <f>IF(ROWS($N$2:$N218)&lt;=COUNT('Per Invoice'!$P$2:$P$801),MATCH(ROWS($N$2:$N218),'Per Invoice'!$P$2:$P$801,0),"")</f>
        <v/>
      </c>
    </row>
    <row r="219">
      <c r="A219">
        <f>IF($N219="","",IF(INDEX('Per Invoice'!$A$2:$A$801,$N219)="","",INDEX('Per Invoice'!$A$2:$A$801,$N219)))</f>
        <v/>
      </c>
      <c r="B219">
        <f>IF($N219="","",IF(INDEX('Per Invoice'!$B$2:$B$801,$N219)="","",INDEX('Per Invoice'!$B$2:$B$801,$N219)))</f>
        <v/>
      </c>
      <c r="C219">
        <f>IF($N219="","",IF(INDEX('Per Invoice'!$C$2:$C$801,$N219)="","",INDEX('Per Invoice'!$C$2:$C$801,$N219)))</f>
        <v/>
      </c>
      <c r="D219">
        <f>IF($N219="","",IF(INDEX('Per Invoice'!$D$2:$D$801,$N219)="","",INDEX('Per Invoice'!$D$2:$D$801,$N219)))</f>
        <v/>
      </c>
      <c r="E219">
        <f>IF($N219="","",IF(INDEX('Per Invoice'!$E$2:$E$801,$N219)="","",INDEX('Per Invoice'!$E$2:$E$801,$N219)))</f>
        <v/>
      </c>
      <c r="F219">
        <f>IF($N219="","",IF(INDEX('Per Invoice'!$F$2:$F$801,$N219)="","",INDEX('Per Invoice'!$F$2:$F$801,$N219)))</f>
        <v/>
      </c>
      <c r="G219">
        <f>IF($N219="","",IF(INDEX('Per Invoice'!$G$2:$G$801,$N219)="","",INDEX('Per Invoice'!$G$2:$G$801,$N219)))</f>
        <v/>
      </c>
      <c r="H219">
        <f>IF($N219="","",IF(INDEX('Per Invoice'!$H$2:$H$801,$N219)="","",INDEX('Per Invoice'!$H$2:$H$801,$N219)))</f>
        <v/>
      </c>
      <c r="I219" s="5">
        <f>IF($N219="","",IF(INDEX('Per Invoice'!$I$2:$I$801,$N219)="","",INDEX('Per Invoice'!$I$2:$I$801,$N219)))</f>
        <v/>
      </c>
      <c r="J219" s="5">
        <f>IF($N219="","",IF(INDEX('Per Invoice'!$J$2:$J$801,$N219)="","",INDEX('Per Invoice'!$J$2:$J$801,$N219)))</f>
        <v/>
      </c>
      <c r="K219" s="5">
        <f>IF($N219="","",IF(INDEX('Per Invoice'!$K$2:$K$801,$N219)="","",INDEX('Per Invoice'!$K$2:$K$801,$N219)))</f>
        <v/>
      </c>
      <c r="L219" s="5">
        <f>IF($N219="","",IF(INDEX('Per Invoice'!$L$2:$L$801,$N219)="","",INDEX('Per Invoice'!$L$2:$L$801,$N219)))</f>
        <v/>
      </c>
      <c r="M219" s="5">
        <f>IF($N219="","",IF(INDEX('Per Invoice'!$M$2:$M$801,$N219)="","",INDEX('Per Invoice'!$M$2:$M$801,$N219)))</f>
        <v/>
      </c>
      <c r="N219">
        <f>IF(ROWS($N$2:$N219)&lt;=COUNT('Per Invoice'!$P$2:$P$801),MATCH(ROWS($N$2:$N219),'Per Invoice'!$P$2:$P$801,0),"")</f>
        <v/>
      </c>
    </row>
    <row r="220">
      <c r="A220">
        <f>IF($N220="","",IF(INDEX('Per Invoice'!$A$2:$A$801,$N220)="","",INDEX('Per Invoice'!$A$2:$A$801,$N220)))</f>
        <v/>
      </c>
      <c r="B220">
        <f>IF($N220="","",IF(INDEX('Per Invoice'!$B$2:$B$801,$N220)="","",INDEX('Per Invoice'!$B$2:$B$801,$N220)))</f>
        <v/>
      </c>
      <c r="C220">
        <f>IF($N220="","",IF(INDEX('Per Invoice'!$C$2:$C$801,$N220)="","",INDEX('Per Invoice'!$C$2:$C$801,$N220)))</f>
        <v/>
      </c>
      <c r="D220">
        <f>IF($N220="","",IF(INDEX('Per Invoice'!$D$2:$D$801,$N220)="","",INDEX('Per Invoice'!$D$2:$D$801,$N220)))</f>
        <v/>
      </c>
      <c r="E220">
        <f>IF($N220="","",IF(INDEX('Per Invoice'!$E$2:$E$801,$N220)="","",INDEX('Per Invoice'!$E$2:$E$801,$N220)))</f>
        <v/>
      </c>
      <c r="F220">
        <f>IF($N220="","",IF(INDEX('Per Invoice'!$F$2:$F$801,$N220)="","",INDEX('Per Invoice'!$F$2:$F$801,$N220)))</f>
        <v/>
      </c>
      <c r="G220">
        <f>IF($N220="","",IF(INDEX('Per Invoice'!$G$2:$G$801,$N220)="","",INDEX('Per Invoice'!$G$2:$G$801,$N220)))</f>
        <v/>
      </c>
      <c r="H220">
        <f>IF($N220="","",IF(INDEX('Per Invoice'!$H$2:$H$801,$N220)="","",INDEX('Per Invoice'!$H$2:$H$801,$N220)))</f>
        <v/>
      </c>
      <c r="I220" s="5">
        <f>IF($N220="","",IF(INDEX('Per Invoice'!$I$2:$I$801,$N220)="","",INDEX('Per Invoice'!$I$2:$I$801,$N220)))</f>
        <v/>
      </c>
      <c r="J220" s="5">
        <f>IF($N220="","",IF(INDEX('Per Invoice'!$J$2:$J$801,$N220)="","",INDEX('Per Invoice'!$J$2:$J$801,$N220)))</f>
        <v/>
      </c>
      <c r="K220" s="5">
        <f>IF($N220="","",IF(INDEX('Per Invoice'!$K$2:$K$801,$N220)="","",INDEX('Per Invoice'!$K$2:$K$801,$N220)))</f>
        <v/>
      </c>
      <c r="L220" s="5">
        <f>IF($N220="","",IF(INDEX('Per Invoice'!$L$2:$L$801,$N220)="","",INDEX('Per Invoice'!$L$2:$L$801,$N220)))</f>
        <v/>
      </c>
      <c r="M220" s="5">
        <f>IF($N220="","",IF(INDEX('Per Invoice'!$M$2:$M$801,$N220)="","",INDEX('Per Invoice'!$M$2:$M$801,$N220)))</f>
        <v/>
      </c>
      <c r="N220">
        <f>IF(ROWS($N$2:$N220)&lt;=COUNT('Per Invoice'!$P$2:$P$801),MATCH(ROWS($N$2:$N220),'Per Invoice'!$P$2:$P$801,0),"")</f>
        <v/>
      </c>
    </row>
    <row r="221">
      <c r="A221">
        <f>IF($N221="","",IF(INDEX('Per Invoice'!$A$2:$A$801,$N221)="","",INDEX('Per Invoice'!$A$2:$A$801,$N221)))</f>
        <v/>
      </c>
      <c r="B221">
        <f>IF($N221="","",IF(INDEX('Per Invoice'!$B$2:$B$801,$N221)="","",INDEX('Per Invoice'!$B$2:$B$801,$N221)))</f>
        <v/>
      </c>
      <c r="C221">
        <f>IF($N221="","",IF(INDEX('Per Invoice'!$C$2:$C$801,$N221)="","",INDEX('Per Invoice'!$C$2:$C$801,$N221)))</f>
        <v/>
      </c>
      <c r="D221">
        <f>IF($N221="","",IF(INDEX('Per Invoice'!$D$2:$D$801,$N221)="","",INDEX('Per Invoice'!$D$2:$D$801,$N221)))</f>
        <v/>
      </c>
      <c r="E221">
        <f>IF($N221="","",IF(INDEX('Per Invoice'!$E$2:$E$801,$N221)="","",INDEX('Per Invoice'!$E$2:$E$801,$N221)))</f>
        <v/>
      </c>
      <c r="F221">
        <f>IF($N221="","",IF(INDEX('Per Invoice'!$F$2:$F$801,$N221)="","",INDEX('Per Invoice'!$F$2:$F$801,$N221)))</f>
        <v/>
      </c>
      <c r="G221">
        <f>IF($N221="","",IF(INDEX('Per Invoice'!$G$2:$G$801,$N221)="","",INDEX('Per Invoice'!$G$2:$G$801,$N221)))</f>
        <v/>
      </c>
      <c r="H221">
        <f>IF($N221="","",IF(INDEX('Per Invoice'!$H$2:$H$801,$N221)="","",INDEX('Per Invoice'!$H$2:$H$801,$N221)))</f>
        <v/>
      </c>
      <c r="I221" s="5">
        <f>IF($N221="","",IF(INDEX('Per Invoice'!$I$2:$I$801,$N221)="","",INDEX('Per Invoice'!$I$2:$I$801,$N221)))</f>
        <v/>
      </c>
      <c r="J221" s="5">
        <f>IF($N221="","",IF(INDEX('Per Invoice'!$J$2:$J$801,$N221)="","",INDEX('Per Invoice'!$J$2:$J$801,$N221)))</f>
        <v/>
      </c>
      <c r="K221" s="5">
        <f>IF($N221="","",IF(INDEX('Per Invoice'!$K$2:$K$801,$N221)="","",INDEX('Per Invoice'!$K$2:$K$801,$N221)))</f>
        <v/>
      </c>
      <c r="L221" s="5">
        <f>IF($N221="","",IF(INDEX('Per Invoice'!$L$2:$L$801,$N221)="","",INDEX('Per Invoice'!$L$2:$L$801,$N221)))</f>
        <v/>
      </c>
      <c r="M221" s="5">
        <f>IF($N221="","",IF(INDEX('Per Invoice'!$M$2:$M$801,$N221)="","",INDEX('Per Invoice'!$M$2:$M$801,$N221)))</f>
        <v/>
      </c>
      <c r="N221">
        <f>IF(ROWS($N$2:$N221)&lt;=COUNT('Per Invoice'!$P$2:$P$801),MATCH(ROWS($N$2:$N221),'Per Invoice'!$P$2:$P$801,0),"")</f>
        <v/>
      </c>
    </row>
    <row r="222">
      <c r="A222">
        <f>IF($N222="","",IF(INDEX('Per Invoice'!$A$2:$A$801,$N222)="","",INDEX('Per Invoice'!$A$2:$A$801,$N222)))</f>
        <v/>
      </c>
      <c r="B222">
        <f>IF($N222="","",IF(INDEX('Per Invoice'!$B$2:$B$801,$N222)="","",INDEX('Per Invoice'!$B$2:$B$801,$N222)))</f>
        <v/>
      </c>
      <c r="C222">
        <f>IF($N222="","",IF(INDEX('Per Invoice'!$C$2:$C$801,$N222)="","",INDEX('Per Invoice'!$C$2:$C$801,$N222)))</f>
        <v/>
      </c>
      <c r="D222">
        <f>IF($N222="","",IF(INDEX('Per Invoice'!$D$2:$D$801,$N222)="","",INDEX('Per Invoice'!$D$2:$D$801,$N222)))</f>
        <v/>
      </c>
      <c r="E222">
        <f>IF($N222="","",IF(INDEX('Per Invoice'!$E$2:$E$801,$N222)="","",INDEX('Per Invoice'!$E$2:$E$801,$N222)))</f>
        <v/>
      </c>
      <c r="F222">
        <f>IF($N222="","",IF(INDEX('Per Invoice'!$F$2:$F$801,$N222)="","",INDEX('Per Invoice'!$F$2:$F$801,$N222)))</f>
        <v/>
      </c>
      <c r="G222">
        <f>IF($N222="","",IF(INDEX('Per Invoice'!$G$2:$G$801,$N222)="","",INDEX('Per Invoice'!$G$2:$G$801,$N222)))</f>
        <v/>
      </c>
      <c r="H222">
        <f>IF($N222="","",IF(INDEX('Per Invoice'!$H$2:$H$801,$N222)="","",INDEX('Per Invoice'!$H$2:$H$801,$N222)))</f>
        <v/>
      </c>
      <c r="I222" s="5">
        <f>IF($N222="","",IF(INDEX('Per Invoice'!$I$2:$I$801,$N222)="","",INDEX('Per Invoice'!$I$2:$I$801,$N222)))</f>
        <v/>
      </c>
      <c r="J222" s="5">
        <f>IF($N222="","",IF(INDEX('Per Invoice'!$J$2:$J$801,$N222)="","",INDEX('Per Invoice'!$J$2:$J$801,$N222)))</f>
        <v/>
      </c>
      <c r="K222" s="5">
        <f>IF($N222="","",IF(INDEX('Per Invoice'!$K$2:$K$801,$N222)="","",INDEX('Per Invoice'!$K$2:$K$801,$N222)))</f>
        <v/>
      </c>
      <c r="L222" s="5">
        <f>IF($N222="","",IF(INDEX('Per Invoice'!$L$2:$L$801,$N222)="","",INDEX('Per Invoice'!$L$2:$L$801,$N222)))</f>
        <v/>
      </c>
      <c r="M222" s="5">
        <f>IF($N222="","",IF(INDEX('Per Invoice'!$M$2:$M$801,$N222)="","",INDEX('Per Invoice'!$M$2:$M$801,$N222)))</f>
        <v/>
      </c>
      <c r="N222">
        <f>IF(ROWS($N$2:$N222)&lt;=COUNT('Per Invoice'!$P$2:$P$801),MATCH(ROWS($N$2:$N222),'Per Invoice'!$P$2:$P$801,0),"")</f>
        <v/>
      </c>
    </row>
    <row r="223">
      <c r="A223">
        <f>IF($N223="","",IF(INDEX('Per Invoice'!$A$2:$A$801,$N223)="","",INDEX('Per Invoice'!$A$2:$A$801,$N223)))</f>
        <v/>
      </c>
      <c r="B223">
        <f>IF($N223="","",IF(INDEX('Per Invoice'!$B$2:$B$801,$N223)="","",INDEX('Per Invoice'!$B$2:$B$801,$N223)))</f>
        <v/>
      </c>
      <c r="C223">
        <f>IF($N223="","",IF(INDEX('Per Invoice'!$C$2:$C$801,$N223)="","",INDEX('Per Invoice'!$C$2:$C$801,$N223)))</f>
        <v/>
      </c>
      <c r="D223">
        <f>IF($N223="","",IF(INDEX('Per Invoice'!$D$2:$D$801,$N223)="","",INDEX('Per Invoice'!$D$2:$D$801,$N223)))</f>
        <v/>
      </c>
      <c r="E223">
        <f>IF($N223="","",IF(INDEX('Per Invoice'!$E$2:$E$801,$N223)="","",INDEX('Per Invoice'!$E$2:$E$801,$N223)))</f>
        <v/>
      </c>
      <c r="F223">
        <f>IF($N223="","",IF(INDEX('Per Invoice'!$F$2:$F$801,$N223)="","",INDEX('Per Invoice'!$F$2:$F$801,$N223)))</f>
        <v/>
      </c>
      <c r="G223">
        <f>IF($N223="","",IF(INDEX('Per Invoice'!$G$2:$G$801,$N223)="","",INDEX('Per Invoice'!$G$2:$G$801,$N223)))</f>
        <v/>
      </c>
      <c r="H223">
        <f>IF($N223="","",IF(INDEX('Per Invoice'!$H$2:$H$801,$N223)="","",INDEX('Per Invoice'!$H$2:$H$801,$N223)))</f>
        <v/>
      </c>
      <c r="I223" s="5">
        <f>IF($N223="","",IF(INDEX('Per Invoice'!$I$2:$I$801,$N223)="","",INDEX('Per Invoice'!$I$2:$I$801,$N223)))</f>
        <v/>
      </c>
      <c r="J223" s="5">
        <f>IF($N223="","",IF(INDEX('Per Invoice'!$J$2:$J$801,$N223)="","",INDEX('Per Invoice'!$J$2:$J$801,$N223)))</f>
        <v/>
      </c>
      <c r="K223" s="5">
        <f>IF($N223="","",IF(INDEX('Per Invoice'!$K$2:$K$801,$N223)="","",INDEX('Per Invoice'!$K$2:$K$801,$N223)))</f>
        <v/>
      </c>
      <c r="L223" s="5">
        <f>IF($N223="","",IF(INDEX('Per Invoice'!$L$2:$L$801,$N223)="","",INDEX('Per Invoice'!$L$2:$L$801,$N223)))</f>
        <v/>
      </c>
      <c r="M223" s="5">
        <f>IF($N223="","",IF(INDEX('Per Invoice'!$M$2:$M$801,$N223)="","",INDEX('Per Invoice'!$M$2:$M$801,$N223)))</f>
        <v/>
      </c>
      <c r="N223">
        <f>IF(ROWS($N$2:$N223)&lt;=COUNT('Per Invoice'!$P$2:$P$801),MATCH(ROWS($N$2:$N223),'Per Invoice'!$P$2:$P$801,0),"")</f>
        <v/>
      </c>
    </row>
    <row r="224">
      <c r="A224">
        <f>IF($N224="","",IF(INDEX('Per Invoice'!$A$2:$A$801,$N224)="","",INDEX('Per Invoice'!$A$2:$A$801,$N224)))</f>
        <v/>
      </c>
      <c r="B224">
        <f>IF($N224="","",IF(INDEX('Per Invoice'!$B$2:$B$801,$N224)="","",INDEX('Per Invoice'!$B$2:$B$801,$N224)))</f>
        <v/>
      </c>
      <c r="C224">
        <f>IF($N224="","",IF(INDEX('Per Invoice'!$C$2:$C$801,$N224)="","",INDEX('Per Invoice'!$C$2:$C$801,$N224)))</f>
        <v/>
      </c>
      <c r="D224">
        <f>IF($N224="","",IF(INDEX('Per Invoice'!$D$2:$D$801,$N224)="","",INDEX('Per Invoice'!$D$2:$D$801,$N224)))</f>
        <v/>
      </c>
      <c r="E224">
        <f>IF($N224="","",IF(INDEX('Per Invoice'!$E$2:$E$801,$N224)="","",INDEX('Per Invoice'!$E$2:$E$801,$N224)))</f>
        <v/>
      </c>
      <c r="F224">
        <f>IF($N224="","",IF(INDEX('Per Invoice'!$F$2:$F$801,$N224)="","",INDEX('Per Invoice'!$F$2:$F$801,$N224)))</f>
        <v/>
      </c>
      <c r="G224">
        <f>IF($N224="","",IF(INDEX('Per Invoice'!$G$2:$G$801,$N224)="","",INDEX('Per Invoice'!$G$2:$G$801,$N224)))</f>
        <v/>
      </c>
      <c r="H224">
        <f>IF($N224="","",IF(INDEX('Per Invoice'!$H$2:$H$801,$N224)="","",INDEX('Per Invoice'!$H$2:$H$801,$N224)))</f>
        <v/>
      </c>
      <c r="I224" s="5">
        <f>IF($N224="","",IF(INDEX('Per Invoice'!$I$2:$I$801,$N224)="","",INDEX('Per Invoice'!$I$2:$I$801,$N224)))</f>
        <v/>
      </c>
      <c r="J224" s="5">
        <f>IF($N224="","",IF(INDEX('Per Invoice'!$J$2:$J$801,$N224)="","",INDEX('Per Invoice'!$J$2:$J$801,$N224)))</f>
        <v/>
      </c>
      <c r="K224" s="5">
        <f>IF($N224="","",IF(INDEX('Per Invoice'!$K$2:$K$801,$N224)="","",INDEX('Per Invoice'!$K$2:$K$801,$N224)))</f>
        <v/>
      </c>
      <c r="L224" s="5">
        <f>IF($N224="","",IF(INDEX('Per Invoice'!$L$2:$L$801,$N224)="","",INDEX('Per Invoice'!$L$2:$L$801,$N224)))</f>
        <v/>
      </c>
      <c r="M224" s="5">
        <f>IF($N224="","",IF(INDEX('Per Invoice'!$M$2:$M$801,$N224)="","",INDEX('Per Invoice'!$M$2:$M$801,$N224)))</f>
        <v/>
      </c>
      <c r="N224">
        <f>IF(ROWS($N$2:$N224)&lt;=COUNT('Per Invoice'!$P$2:$P$801),MATCH(ROWS($N$2:$N224),'Per Invoice'!$P$2:$P$801,0),"")</f>
        <v/>
      </c>
    </row>
    <row r="225">
      <c r="A225">
        <f>IF($N225="","",IF(INDEX('Per Invoice'!$A$2:$A$801,$N225)="","",INDEX('Per Invoice'!$A$2:$A$801,$N225)))</f>
        <v/>
      </c>
      <c r="B225">
        <f>IF($N225="","",IF(INDEX('Per Invoice'!$B$2:$B$801,$N225)="","",INDEX('Per Invoice'!$B$2:$B$801,$N225)))</f>
        <v/>
      </c>
      <c r="C225">
        <f>IF($N225="","",IF(INDEX('Per Invoice'!$C$2:$C$801,$N225)="","",INDEX('Per Invoice'!$C$2:$C$801,$N225)))</f>
        <v/>
      </c>
      <c r="D225">
        <f>IF($N225="","",IF(INDEX('Per Invoice'!$D$2:$D$801,$N225)="","",INDEX('Per Invoice'!$D$2:$D$801,$N225)))</f>
        <v/>
      </c>
      <c r="E225">
        <f>IF($N225="","",IF(INDEX('Per Invoice'!$E$2:$E$801,$N225)="","",INDEX('Per Invoice'!$E$2:$E$801,$N225)))</f>
        <v/>
      </c>
      <c r="F225">
        <f>IF($N225="","",IF(INDEX('Per Invoice'!$F$2:$F$801,$N225)="","",INDEX('Per Invoice'!$F$2:$F$801,$N225)))</f>
        <v/>
      </c>
      <c r="G225">
        <f>IF($N225="","",IF(INDEX('Per Invoice'!$G$2:$G$801,$N225)="","",INDEX('Per Invoice'!$G$2:$G$801,$N225)))</f>
        <v/>
      </c>
      <c r="H225">
        <f>IF($N225="","",IF(INDEX('Per Invoice'!$H$2:$H$801,$N225)="","",INDEX('Per Invoice'!$H$2:$H$801,$N225)))</f>
        <v/>
      </c>
      <c r="I225" s="5">
        <f>IF($N225="","",IF(INDEX('Per Invoice'!$I$2:$I$801,$N225)="","",INDEX('Per Invoice'!$I$2:$I$801,$N225)))</f>
        <v/>
      </c>
      <c r="J225" s="5">
        <f>IF($N225="","",IF(INDEX('Per Invoice'!$J$2:$J$801,$N225)="","",INDEX('Per Invoice'!$J$2:$J$801,$N225)))</f>
        <v/>
      </c>
      <c r="K225" s="5">
        <f>IF($N225="","",IF(INDEX('Per Invoice'!$K$2:$K$801,$N225)="","",INDEX('Per Invoice'!$K$2:$K$801,$N225)))</f>
        <v/>
      </c>
      <c r="L225" s="5">
        <f>IF($N225="","",IF(INDEX('Per Invoice'!$L$2:$L$801,$N225)="","",INDEX('Per Invoice'!$L$2:$L$801,$N225)))</f>
        <v/>
      </c>
      <c r="M225" s="5">
        <f>IF($N225="","",IF(INDEX('Per Invoice'!$M$2:$M$801,$N225)="","",INDEX('Per Invoice'!$M$2:$M$801,$N225)))</f>
        <v/>
      </c>
      <c r="N225">
        <f>IF(ROWS($N$2:$N225)&lt;=COUNT('Per Invoice'!$P$2:$P$801),MATCH(ROWS($N$2:$N225),'Per Invoice'!$P$2:$P$801,0),"")</f>
        <v/>
      </c>
    </row>
    <row r="226">
      <c r="A226">
        <f>IF($N226="","",IF(INDEX('Per Invoice'!$A$2:$A$801,$N226)="","",INDEX('Per Invoice'!$A$2:$A$801,$N226)))</f>
        <v/>
      </c>
      <c r="B226">
        <f>IF($N226="","",IF(INDEX('Per Invoice'!$B$2:$B$801,$N226)="","",INDEX('Per Invoice'!$B$2:$B$801,$N226)))</f>
        <v/>
      </c>
      <c r="C226">
        <f>IF($N226="","",IF(INDEX('Per Invoice'!$C$2:$C$801,$N226)="","",INDEX('Per Invoice'!$C$2:$C$801,$N226)))</f>
        <v/>
      </c>
      <c r="D226">
        <f>IF($N226="","",IF(INDEX('Per Invoice'!$D$2:$D$801,$N226)="","",INDEX('Per Invoice'!$D$2:$D$801,$N226)))</f>
        <v/>
      </c>
      <c r="E226">
        <f>IF($N226="","",IF(INDEX('Per Invoice'!$E$2:$E$801,$N226)="","",INDEX('Per Invoice'!$E$2:$E$801,$N226)))</f>
        <v/>
      </c>
      <c r="F226">
        <f>IF($N226="","",IF(INDEX('Per Invoice'!$F$2:$F$801,$N226)="","",INDEX('Per Invoice'!$F$2:$F$801,$N226)))</f>
        <v/>
      </c>
      <c r="G226">
        <f>IF($N226="","",IF(INDEX('Per Invoice'!$G$2:$G$801,$N226)="","",INDEX('Per Invoice'!$G$2:$G$801,$N226)))</f>
        <v/>
      </c>
      <c r="H226">
        <f>IF($N226="","",IF(INDEX('Per Invoice'!$H$2:$H$801,$N226)="","",INDEX('Per Invoice'!$H$2:$H$801,$N226)))</f>
        <v/>
      </c>
      <c r="I226" s="5">
        <f>IF($N226="","",IF(INDEX('Per Invoice'!$I$2:$I$801,$N226)="","",INDEX('Per Invoice'!$I$2:$I$801,$N226)))</f>
        <v/>
      </c>
      <c r="J226" s="5">
        <f>IF($N226="","",IF(INDEX('Per Invoice'!$J$2:$J$801,$N226)="","",INDEX('Per Invoice'!$J$2:$J$801,$N226)))</f>
        <v/>
      </c>
      <c r="K226" s="5">
        <f>IF($N226="","",IF(INDEX('Per Invoice'!$K$2:$K$801,$N226)="","",INDEX('Per Invoice'!$K$2:$K$801,$N226)))</f>
        <v/>
      </c>
      <c r="L226" s="5">
        <f>IF($N226="","",IF(INDEX('Per Invoice'!$L$2:$L$801,$N226)="","",INDEX('Per Invoice'!$L$2:$L$801,$N226)))</f>
        <v/>
      </c>
      <c r="M226" s="5">
        <f>IF($N226="","",IF(INDEX('Per Invoice'!$M$2:$M$801,$N226)="","",INDEX('Per Invoice'!$M$2:$M$801,$N226)))</f>
        <v/>
      </c>
      <c r="N226">
        <f>IF(ROWS($N$2:$N226)&lt;=COUNT('Per Invoice'!$P$2:$P$801),MATCH(ROWS($N$2:$N226),'Per Invoice'!$P$2:$P$801,0),"")</f>
        <v/>
      </c>
    </row>
    <row r="227">
      <c r="A227">
        <f>IF($N227="","",IF(INDEX('Per Invoice'!$A$2:$A$801,$N227)="","",INDEX('Per Invoice'!$A$2:$A$801,$N227)))</f>
        <v/>
      </c>
      <c r="B227">
        <f>IF($N227="","",IF(INDEX('Per Invoice'!$B$2:$B$801,$N227)="","",INDEX('Per Invoice'!$B$2:$B$801,$N227)))</f>
        <v/>
      </c>
      <c r="C227">
        <f>IF($N227="","",IF(INDEX('Per Invoice'!$C$2:$C$801,$N227)="","",INDEX('Per Invoice'!$C$2:$C$801,$N227)))</f>
        <v/>
      </c>
      <c r="D227">
        <f>IF($N227="","",IF(INDEX('Per Invoice'!$D$2:$D$801,$N227)="","",INDEX('Per Invoice'!$D$2:$D$801,$N227)))</f>
        <v/>
      </c>
      <c r="E227">
        <f>IF($N227="","",IF(INDEX('Per Invoice'!$E$2:$E$801,$N227)="","",INDEX('Per Invoice'!$E$2:$E$801,$N227)))</f>
        <v/>
      </c>
      <c r="F227">
        <f>IF($N227="","",IF(INDEX('Per Invoice'!$F$2:$F$801,$N227)="","",INDEX('Per Invoice'!$F$2:$F$801,$N227)))</f>
        <v/>
      </c>
      <c r="G227">
        <f>IF($N227="","",IF(INDEX('Per Invoice'!$G$2:$G$801,$N227)="","",INDEX('Per Invoice'!$G$2:$G$801,$N227)))</f>
        <v/>
      </c>
      <c r="H227">
        <f>IF($N227="","",IF(INDEX('Per Invoice'!$H$2:$H$801,$N227)="","",INDEX('Per Invoice'!$H$2:$H$801,$N227)))</f>
        <v/>
      </c>
      <c r="I227" s="5">
        <f>IF($N227="","",IF(INDEX('Per Invoice'!$I$2:$I$801,$N227)="","",INDEX('Per Invoice'!$I$2:$I$801,$N227)))</f>
        <v/>
      </c>
      <c r="J227" s="5">
        <f>IF($N227="","",IF(INDEX('Per Invoice'!$J$2:$J$801,$N227)="","",INDEX('Per Invoice'!$J$2:$J$801,$N227)))</f>
        <v/>
      </c>
      <c r="K227" s="5">
        <f>IF($N227="","",IF(INDEX('Per Invoice'!$K$2:$K$801,$N227)="","",INDEX('Per Invoice'!$K$2:$K$801,$N227)))</f>
        <v/>
      </c>
      <c r="L227" s="5">
        <f>IF($N227="","",IF(INDEX('Per Invoice'!$L$2:$L$801,$N227)="","",INDEX('Per Invoice'!$L$2:$L$801,$N227)))</f>
        <v/>
      </c>
      <c r="M227" s="5">
        <f>IF($N227="","",IF(INDEX('Per Invoice'!$M$2:$M$801,$N227)="","",INDEX('Per Invoice'!$M$2:$M$801,$N227)))</f>
        <v/>
      </c>
      <c r="N227">
        <f>IF(ROWS($N$2:$N227)&lt;=COUNT('Per Invoice'!$P$2:$P$801),MATCH(ROWS($N$2:$N227),'Per Invoice'!$P$2:$P$801,0),"")</f>
        <v/>
      </c>
    </row>
    <row r="228">
      <c r="A228">
        <f>IF($N228="","",IF(INDEX('Per Invoice'!$A$2:$A$801,$N228)="","",INDEX('Per Invoice'!$A$2:$A$801,$N228)))</f>
        <v/>
      </c>
      <c r="B228">
        <f>IF($N228="","",IF(INDEX('Per Invoice'!$B$2:$B$801,$N228)="","",INDEX('Per Invoice'!$B$2:$B$801,$N228)))</f>
        <v/>
      </c>
      <c r="C228">
        <f>IF($N228="","",IF(INDEX('Per Invoice'!$C$2:$C$801,$N228)="","",INDEX('Per Invoice'!$C$2:$C$801,$N228)))</f>
        <v/>
      </c>
      <c r="D228">
        <f>IF($N228="","",IF(INDEX('Per Invoice'!$D$2:$D$801,$N228)="","",INDEX('Per Invoice'!$D$2:$D$801,$N228)))</f>
        <v/>
      </c>
      <c r="E228">
        <f>IF($N228="","",IF(INDEX('Per Invoice'!$E$2:$E$801,$N228)="","",INDEX('Per Invoice'!$E$2:$E$801,$N228)))</f>
        <v/>
      </c>
      <c r="F228">
        <f>IF($N228="","",IF(INDEX('Per Invoice'!$F$2:$F$801,$N228)="","",INDEX('Per Invoice'!$F$2:$F$801,$N228)))</f>
        <v/>
      </c>
      <c r="G228">
        <f>IF($N228="","",IF(INDEX('Per Invoice'!$G$2:$G$801,$N228)="","",INDEX('Per Invoice'!$G$2:$G$801,$N228)))</f>
        <v/>
      </c>
      <c r="H228">
        <f>IF($N228="","",IF(INDEX('Per Invoice'!$H$2:$H$801,$N228)="","",INDEX('Per Invoice'!$H$2:$H$801,$N228)))</f>
        <v/>
      </c>
      <c r="I228" s="5">
        <f>IF($N228="","",IF(INDEX('Per Invoice'!$I$2:$I$801,$N228)="","",INDEX('Per Invoice'!$I$2:$I$801,$N228)))</f>
        <v/>
      </c>
      <c r="J228" s="5">
        <f>IF($N228="","",IF(INDEX('Per Invoice'!$J$2:$J$801,$N228)="","",INDEX('Per Invoice'!$J$2:$J$801,$N228)))</f>
        <v/>
      </c>
      <c r="K228" s="5">
        <f>IF($N228="","",IF(INDEX('Per Invoice'!$K$2:$K$801,$N228)="","",INDEX('Per Invoice'!$K$2:$K$801,$N228)))</f>
        <v/>
      </c>
      <c r="L228" s="5">
        <f>IF($N228="","",IF(INDEX('Per Invoice'!$L$2:$L$801,$N228)="","",INDEX('Per Invoice'!$L$2:$L$801,$N228)))</f>
        <v/>
      </c>
      <c r="M228" s="5">
        <f>IF($N228="","",IF(INDEX('Per Invoice'!$M$2:$M$801,$N228)="","",INDEX('Per Invoice'!$M$2:$M$801,$N228)))</f>
        <v/>
      </c>
      <c r="N228">
        <f>IF(ROWS($N$2:$N228)&lt;=COUNT('Per Invoice'!$P$2:$P$801),MATCH(ROWS($N$2:$N228),'Per Invoice'!$P$2:$P$801,0),"")</f>
        <v/>
      </c>
    </row>
    <row r="229">
      <c r="A229">
        <f>IF($N229="","",IF(INDEX('Per Invoice'!$A$2:$A$801,$N229)="","",INDEX('Per Invoice'!$A$2:$A$801,$N229)))</f>
        <v/>
      </c>
      <c r="B229">
        <f>IF($N229="","",IF(INDEX('Per Invoice'!$B$2:$B$801,$N229)="","",INDEX('Per Invoice'!$B$2:$B$801,$N229)))</f>
        <v/>
      </c>
      <c r="C229">
        <f>IF($N229="","",IF(INDEX('Per Invoice'!$C$2:$C$801,$N229)="","",INDEX('Per Invoice'!$C$2:$C$801,$N229)))</f>
        <v/>
      </c>
      <c r="D229">
        <f>IF($N229="","",IF(INDEX('Per Invoice'!$D$2:$D$801,$N229)="","",INDEX('Per Invoice'!$D$2:$D$801,$N229)))</f>
        <v/>
      </c>
      <c r="E229">
        <f>IF($N229="","",IF(INDEX('Per Invoice'!$E$2:$E$801,$N229)="","",INDEX('Per Invoice'!$E$2:$E$801,$N229)))</f>
        <v/>
      </c>
      <c r="F229">
        <f>IF($N229="","",IF(INDEX('Per Invoice'!$F$2:$F$801,$N229)="","",INDEX('Per Invoice'!$F$2:$F$801,$N229)))</f>
        <v/>
      </c>
      <c r="G229">
        <f>IF($N229="","",IF(INDEX('Per Invoice'!$G$2:$G$801,$N229)="","",INDEX('Per Invoice'!$G$2:$G$801,$N229)))</f>
        <v/>
      </c>
      <c r="H229">
        <f>IF($N229="","",IF(INDEX('Per Invoice'!$H$2:$H$801,$N229)="","",INDEX('Per Invoice'!$H$2:$H$801,$N229)))</f>
        <v/>
      </c>
      <c r="I229" s="5">
        <f>IF($N229="","",IF(INDEX('Per Invoice'!$I$2:$I$801,$N229)="","",INDEX('Per Invoice'!$I$2:$I$801,$N229)))</f>
        <v/>
      </c>
      <c r="J229" s="5">
        <f>IF($N229="","",IF(INDEX('Per Invoice'!$J$2:$J$801,$N229)="","",INDEX('Per Invoice'!$J$2:$J$801,$N229)))</f>
        <v/>
      </c>
      <c r="K229" s="5">
        <f>IF($N229="","",IF(INDEX('Per Invoice'!$K$2:$K$801,$N229)="","",INDEX('Per Invoice'!$K$2:$K$801,$N229)))</f>
        <v/>
      </c>
      <c r="L229" s="5">
        <f>IF($N229="","",IF(INDEX('Per Invoice'!$L$2:$L$801,$N229)="","",INDEX('Per Invoice'!$L$2:$L$801,$N229)))</f>
        <v/>
      </c>
      <c r="M229" s="5">
        <f>IF($N229="","",IF(INDEX('Per Invoice'!$M$2:$M$801,$N229)="","",INDEX('Per Invoice'!$M$2:$M$801,$N229)))</f>
        <v/>
      </c>
      <c r="N229">
        <f>IF(ROWS($N$2:$N229)&lt;=COUNT('Per Invoice'!$P$2:$P$801),MATCH(ROWS($N$2:$N229),'Per Invoice'!$P$2:$P$801,0),"")</f>
        <v/>
      </c>
    </row>
    <row r="230">
      <c r="A230">
        <f>IF($N230="","",IF(INDEX('Per Invoice'!$A$2:$A$801,$N230)="","",INDEX('Per Invoice'!$A$2:$A$801,$N230)))</f>
        <v/>
      </c>
      <c r="B230">
        <f>IF($N230="","",IF(INDEX('Per Invoice'!$B$2:$B$801,$N230)="","",INDEX('Per Invoice'!$B$2:$B$801,$N230)))</f>
        <v/>
      </c>
      <c r="C230">
        <f>IF($N230="","",IF(INDEX('Per Invoice'!$C$2:$C$801,$N230)="","",INDEX('Per Invoice'!$C$2:$C$801,$N230)))</f>
        <v/>
      </c>
      <c r="D230">
        <f>IF($N230="","",IF(INDEX('Per Invoice'!$D$2:$D$801,$N230)="","",INDEX('Per Invoice'!$D$2:$D$801,$N230)))</f>
        <v/>
      </c>
      <c r="E230">
        <f>IF($N230="","",IF(INDEX('Per Invoice'!$E$2:$E$801,$N230)="","",INDEX('Per Invoice'!$E$2:$E$801,$N230)))</f>
        <v/>
      </c>
      <c r="F230">
        <f>IF($N230="","",IF(INDEX('Per Invoice'!$F$2:$F$801,$N230)="","",INDEX('Per Invoice'!$F$2:$F$801,$N230)))</f>
        <v/>
      </c>
      <c r="G230">
        <f>IF($N230="","",IF(INDEX('Per Invoice'!$G$2:$G$801,$N230)="","",INDEX('Per Invoice'!$G$2:$G$801,$N230)))</f>
        <v/>
      </c>
      <c r="H230">
        <f>IF($N230="","",IF(INDEX('Per Invoice'!$H$2:$H$801,$N230)="","",INDEX('Per Invoice'!$H$2:$H$801,$N230)))</f>
        <v/>
      </c>
      <c r="I230" s="5">
        <f>IF($N230="","",IF(INDEX('Per Invoice'!$I$2:$I$801,$N230)="","",INDEX('Per Invoice'!$I$2:$I$801,$N230)))</f>
        <v/>
      </c>
      <c r="J230" s="5">
        <f>IF($N230="","",IF(INDEX('Per Invoice'!$J$2:$J$801,$N230)="","",INDEX('Per Invoice'!$J$2:$J$801,$N230)))</f>
        <v/>
      </c>
      <c r="K230" s="5">
        <f>IF($N230="","",IF(INDEX('Per Invoice'!$K$2:$K$801,$N230)="","",INDEX('Per Invoice'!$K$2:$K$801,$N230)))</f>
        <v/>
      </c>
      <c r="L230" s="5">
        <f>IF($N230="","",IF(INDEX('Per Invoice'!$L$2:$L$801,$N230)="","",INDEX('Per Invoice'!$L$2:$L$801,$N230)))</f>
        <v/>
      </c>
      <c r="M230" s="5">
        <f>IF($N230="","",IF(INDEX('Per Invoice'!$M$2:$M$801,$N230)="","",INDEX('Per Invoice'!$M$2:$M$801,$N230)))</f>
        <v/>
      </c>
      <c r="N230">
        <f>IF(ROWS($N$2:$N230)&lt;=COUNT('Per Invoice'!$P$2:$P$801),MATCH(ROWS($N$2:$N230),'Per Invoice'!$P$2:$P$801,0),"")</f>
        <v/>
      </c>
    </row>
    <row r="231">
      <c r="A231">
        <f>IF($N231="","",IF(INDEX('Per Invoice'!$A$2:$A$801,$N231)="","",INDEX('Per Invoice'!$A$2:$A$801,$N231)))</f>
        <v/>
      </c>
      <c r="B231">
        <f>IF($N231="","",IF(INDEX('Per Invoice'!$B$2:$B$801,$N231)="","",INDEX('Per Invoice'!$B$2:$B$801,$N231)))</f>
        <v/>
      </c>
      <c r="C231">
        <f>IF($N231="","",IF(INDEX('Per Invoice'!$C$2:$C$801,$N231)="","",INDEX('Per Invoice'!$C$2:$C$801,$N231)))</f>
        <v/>
      </c>
      <c r="D231">
        <f>IF($N231="","",IF(INDEX('Per Invoice'!$D$2:$D$801,$N231)="","",INDEX('Per Invoice'!$D$2:$D$801,$N231)))</f>
        <v/>
      </c>
      <c r="E231">
        <f>IF($N231="","",IF(INDEX('Per Invoice'!$E$2:$E$801,$N231)="","",INDEX('Per Invoice'!$E$2:$E$801,$N231)))</f>
        <v/>
      </c>
      <c r="F231">
        <f>IF($N231="","",IF(INDEX('Per Invoice'!$F$2:$F$801,$N231)="","",INDEX('Per Invoice'!$F$2:$F$801,$N231)))</f>
        <v/>
      </c>
      <c r="G231">
        <f>IF($N231="","",IF(INDEX('Per Invoice'!$G$2:$G$801,$N231)="","",INDEX('Per Invoice'!$G$2:$G$801,$N231)))</f>
        <v/>
      </c>
      <c r="H231">
        <f>IF($N231="","",IF(INDEX('Per Invoice'!$H$2:$H$801,$N231)="","",INDEX('Per Invoice'!$H$2:$H$801,$N231)))</f>
        <v/>
      </c>
      <c r="I231" s="5">
        <f>IF($N231="","",IF(INDEX('Per Invoice'!$I$2:$I$801,$N231)="","",INDEX('Per Invoice'!$I$2:$I$801,$N231)))</f>
        <v/>
      </c>
      <c r="J231" s="5">
        <f>IF($N231="","",IF(INDEX('Per Invoice'!$J$2:$J$801,$N231)="","",INDEX('Per Invoice'!$J$2:$J$801,$N231)))</f>
        <v/>
      </c>
      <c r="K231" s="5">
        <f>IF($N231="","",IF(INDEX('Per Invoice'!$K$2:$K$801,$N231)="","",INDEX('Per Invoice'!$K$2:$K$801,$N231)))</f>
        <v/>
      </c>
      <c r="L231" s="5">
        <f>IF($N231="","",IF(INDEX('Per Invoice'!$L$2:$L$801,$N231)="","",INDEX('Per Invoice'!$L$2:$L$801,$N231)))</f>
        <v/>
      </c>
      <c r="M231" s="5">
        <f>IF($N231="","",IF(INDEX('Per Invoice'!$M$2:$M$801,$N231)="","",INDEX('Per Invoice'!$M$2:$M$801,$N231)))</f>
        <v/>
      </c>
      <c r="N231">
        <f>IF(ROWS($N$2:$N231)&lt;=COUNT('Per Invoice'!$P$2:$P$801),MATCH(ROWS($N$2:$N231),'Per Invoice'!$P$2:$P$801,0),"")</f>
        <v/>
      </c>
    </row>
    <row r="232">
      <c r="A232">
        <f>IF($N232="","",IF(INDEX('Per Invoice'!$A$2:$A$801,$N232)="","",INDEX('Per Invoice'!$A$2:$A$801,$N232)))</f>
        <v/>
      </c>
      <c r="B232">
        <f>IF($N232="","",IF(INDEX('Per Invoice'!$B$2:$B$801,$N232)="","",INDEX('Per Invoice'!$B$2:$B$801,$N232)))</f>
        <v/>
      </c>
      <c r="C232">
        <f>IF($N232="","",IF(INDEX('Per Invoice'!$C$2:$C$801,$N232)="","",INDEX('Per Invoice'!$C$2:$C$801,$N232)))</f>
        <v/>
      </c>
      <c r="D232">
        <f>IF($N232="","",IF(INDEX('Per Invoice'!$D$2:$D$801,$N232)="","",INDEX('Per Invoice'!$D$2:$D$801,$N232)))</f>
        <v/>
      </c>
      <c r="E232">
        <f>IF($N232="","",IF(INDEX('Per Invoice'!$E$2:$E$801,$N232)="","",INDEX('Per Invoice'!$E$2:$E$801,$N232)))</f>
        <v/>
      </c>
      <c r="F232">
        <f>IF($N232="","",IF(INDEX('Per Invoice'!$F$2:$F$801,$N232)="","",INDEX('Per Invoice'!$F$2:$F$801,$N232)))</f>
        <v/>
      </c>
      <c r="G232">
        <f>IF($N232="","",IF(INDEX('Per Invoice'!$G$2:$G$801,$N232)="","",INDEX('Per Invoice'!$G$2:$G$801,$N232)))</f>
        <v/>
      </c>
      <c r="H232">
        <f>IF($N232="","",IF(INDEX('Per Invoice'!$H$2:$H$801,$N232)="","",INDEX('Per Invoice'!$H$2:$H$801,$N232)))</f>
        <v/>
      </c>
      <c r="I232" s="5">
        <f>IF($N232="","",IF(INDEX('Per Invoice'!$I$2:$I$801,$N232)="","",INDEX('Per Invoice'!$I$2:$I$801,$N232)))</f>
        <v/>
      </c>
      <c r="J232" s="5">
        <f>IF($N232="","",IF(INDEX('Per Invoice'!$J$2:$J$801,$N232)="","",INDEX('Per Invoice'!$J$2:$J$801,$N232)))</f>
        <v/>
      </c>
      <c r="K232" s="5">
        <f>IF($N232="","",IF(INDEX('Per Invoice'!$K$2:$K$801,$N232)="","",INDEX('Per Invoice'!$K$2:$K$801,$N232)))</f>
        <v/>
      </c>
      <c r="L232" s="5">
        <f>IF($N232="","",IF(INDEX('Per Invoice'!$L$2:$L$801,$N232)="","",INDEX('Per Invoice'!$L$2:$L$801,$N232)))</f>
        <v/>
      </c>
      <c r="M232" s="5">
        <f>IF($N232="","",IF(INDEX('Per Invoice'!$M$2:$M$801,$N232)="","",INDEX('Per Invoice'!$M$2:$M$801,$N232)))</f>
        <v/>
      </c>
      <c r="N232">
        <f>IF(ROWS($N$2:$N232)&lt;=COUNT('Per Invoice'!$P$2:$P$801),MATCH(ROWS($N$2:$N232),'Per Invoice'!$P$2:$P$801,0),"")</f>
        <v/>
      </c>
    </row>
    <row r="233">
      <c r="A233">
        <f>IF($N233="","",IF(INDEX('Per Invoice'!$A$2:$A$801,$N233)="","",INDEX('Per Invoice'!$A$2:$A$801,$N233)))</f>
        <v/>
      </c>
      <c r="B233">
        <f>IF($N233="","",IF(INDEX('Per Invoice'!$B$2:$B$801,$N233)="","",INDEX('Per Invoice'!$B$2:$B$801,$N233)))</f>
        <v/>
      </c>
      <c r="C233">
        <f>IF($N233="","",IF(INDEX('Per Invoice'!$C$2:$C$801,$N233)="","",INDEX('Per Invoice'!$C$2:$C$801,$N233)))</f>
        <v/>
      </c>
      <c r="D233">
        <f>IF($N233="","",IF(INDEX('Per Invoice'!$D$2:$D$801,$N233)="","",INDEX('Per Invoice'!$D$2:$D$801,$N233)))</f>
        <v/>
      </c>
      <c r="E233">
        <f>IF($N233="","",IF(INDEX('Per Invoice'!$E$2:$E$801,$N233)="","",INDEX('Per Invoice'!$E$2:$E$801,$N233)))</f>
        <v/>
      </c>
      <c r="F233">
        <f>IF($N233="","",IF(INDEX('Per Invoice'!$F$2:$F$801,$N233)="","",INDEX('Per Invoice'!$F$2:$F$801,$N233)))</f>
        <v/>
      </c>
      <c r="G233">
        <f>IF($N233="","",IF(INDEX('Per Invoice'!$G$2:$G$801,$N233)="","",INDEX('Per Invoice'!$G$2:$G$801,$N233)))</f>
        <v/>
      </c>
      <c r="H233">
        <f>IF($N233="","",IF(INDEX('Per Invoice'!$H$2:$H$801,$N233)="","",INDEX('Per Invoice'!$H$2:$H$801,$N233)))</f>
        <v/>
      </c>
      <c r="I233" s="5">
        <f>IF($N233="","",IF(INDEX('Per Invoice'!$I$2:$I$801,$N233)="","",INDEX('Per Invoice'!$I$2:$I$801,$N233)))</f>
        <v/>
      </c>
      <c r="J233" s="5">
        <f>IF($N233="","",IF(INDEX('Per Invoice'!$J$2:$J$801,$N233)="","",INDEX('Per Invoice'!$J$2:$J$801,$N233)))</f>
        <v/>
      </c>
      <c r="K233" s="5">
        <f>IF($N233="","",IF(INDEX('Per Invoice'!$K$2:$K$801,$N233)="","",INDEX('Per Invoice'!$K$2:$K$801,$N233)))</f>
        <v/>
      </c>
      <c r="L233" s="5">
        <f>IF($N233="","",IF(INDEX('Per Invoice'!$L$2:$L$801,$N233)="","",INDEX('Per Invoice'!$L$2:$L$801,$N233)))</f>
        <v/>
      </c>
      <c r="M233" s="5">
        <f>IF($N233="","",IF(INDEX('Per Invoice'!$M$2:$M$801,$N233)="","",INDEX('Per Invoice'!$M$2:$M$801,$N233)))</f>
        <v/>
      </c>
      <c r="N233">
        <f>IF(ROWS($N$2:$N233)&lt;=COUNT('Per Invoice'!$P$2:$P$801),MATCH(ROWS($N$2:$N233),'Per Invoice'!$P$2:$P$801,0),"")</f>
        <v/>
      </c>
    </row>
    <row r="234">
      <c r="A234">
        <f>IF($N234="","",IF(INDEX('Per Invoice'!$A$2:$A$801,$N234)="","",INDEX('Per Invoice'!$A$2:$A$801,$N234)))</f>
        <v/>
      </c>
      <c r="B234">
        <f>IF($N234="","",IF(INDEX('Per Invoice'!$B$2:$B$801,$N234)="","",INDEX('Per Invoice'!$B$2:$B$801,$N234)))</f>
        <v/>
      </c>
      <c r="C234">
        <f>IF($N234="","",IF(INDEX('Per Invoice'!$C$2:$C$801,$N234)="","",INDEX('Per Invoice'!$C$2:$C$801,$N234)))</f>
        <v/>
      </c>
      <c r="D234">
        <f>IF($N234="","",IF(INDEX('Per Invoice'!$D$2:$D$801,$N234)="","",INDEX('Per Invoice'!$D$2:$D$801,$N234)))</f>
        <v/>
      </c>
      <c r="E234">
        <f>IF($N234="","",IF(INDEX('Per Invoice'!$E$2:$E$801,$N234)="","",INDEX('Per Invoice'!$E$2:$E$801,$N234)))</f>
        <v/>
      </c>
      <c r="F234">
        <f>IF($N234="","",IF(INDEX('Per Invoice'!$F$2:$F$801,$N234)="","",INDEX('Per Invoice'!$F$2:$F$801,$N234)))</f>
        <v/>
      </c>
      <c r="G234">
        <f>IF($N234="","",IF(INDEX('Per Invoice'!$G$2:$G$801,$N234)="","",INDEX('Per Invoice'!$G$2:$G$801,$N234)))</f>
        <v/>
      </c>
      <c r="H234">
        <f>IF($N234="","",IF(INDEX('Per Invoice'!$H$2:$H$801,$N234)="","",INDEX('Per Invoice'!$H$2:$H$801,$N234)))</f>
        <v/>
      </c>
      <c r="I234" s="5">
        <f>IF($N234="","",IF(INDEX('Per Invoice'!$I$2:$I$801,$N234)="","",INDEX('Per Invoice'!$I$2:$I$801,$N234)))</f>
        <v/>
      </c>
      <c r="J234" s="5">
        <f>IF($N234="","",IF(INDEX('Per Invoice'!$J$2:$J$801,$N234)="","",INDEX('Per Invoice'!$J$2:$J$801,$N234)))</f>
        <v/>
      </c>
      <c r="K234" s="5">
        <f>IF($N234="","",IF(INDEX('Per Invoice'!$K$2:$K$801,$N234)="","",INDEX('Per Invoice'!$K$2:$K$801,$N234)))</f>
        <v/>
      </c>
      <c r="L234" s="5">
        <f>IF($N234="","",IF(INDEX('Per Invoice'!$L$2:$L$801,$N234)="","",INDEX('Per Invoice'!$L$2:$L$801,$N234)))</f>
        <v/>
      </c>
      <c r="M234" s="5">
        <f>IF($N234="","",IF(INDEX('Per Invoice'!$M$2:$M$801,$N234)="","",INDEX('Per Invoice'!$M$2:$M$801,$N234)))</f>
        <v/>
      </c>
      <c r="N234">
        <f>IF(ROWS($N$2:$N234)&lt;=COUNT('Per Invoice'!$P$2:$P$801),MATCH(ROWS($N$2:$N234),'Per Invoice'!$P$2:$P$801,0),"")</f>
        <v/>
      </c>
    </row>
    <row r="235">
      <c r="A235">
        <f>IF($N235="","",IF(INDEX('Per Invoice'!$A$2:$A$801,$N235)="","",INDEX('Per Invoice'!$A$2:$A$801,$N235)))</f>
        <v/>
      </c>
      <c r="B235">
        <f>IF($N235="","",IF(INDEX('Per Invoice'!$B$2:$B$801,$N235)="","",INDEX('Per Invoice'!$B$2:$B$801,$N235)))</f>
        <v/>
      </c>
      <c r="C235">
        <f>IF($N235="","",IF(INDEX('Per Invoice'!$C$2:$C$801,$N235)="","",INDEX('Per Invoice'!$C$2:$C$801,$N235)))</f>
        <v/>
      </c>
      <c r="D235">
        <f>IF($N235="","",IF(INDEX('Per Invoice'!$D$2:$D$801,$N235)="","",INDEX('Per Invoice'!$D$2:$D$801,$N235)))</f>
        <v/>
      </c>
      <c r="E235">
        <f>IF($N235="","",IF(INDEX('Per Invoice'!$E$2:$E$801,$N235)="","",INDEX('Per Invoice'!$E$2:$E$801,$N235)))</f>
        <v/>
      </c>
      <c r="F235">
        <f>IF($N235="","",IF(INDEX('Per Invoice'!$F$2:$F$801,$N235)="","",INDEX('Per Invoice'!$F$2:$F$801,$N235)))</f>
        <v/>
      </c>
      <c r="G235">
        <f>IF($N235="","",IF(INDEX('Per Invoice'!$G$2:$G$801,$N235)="","",INDEX('Per Invoice'!$G$2:$G$801,$N235)))</f>
        <v/>
      </c>
      <c r="H235">
        <f>IF($N235="","",IF(INDEX('Per Invoice'!$H$2:$H$801,$N235)="","",INDEX('Per Invoice'!$H$2:$H$801,$N235)))</f>
        <v/>
      </c>
      <c r="I235" s="5">
        <f>IF($N235="","",IF(INDEX('Per Invoice'!$I$2:$I$801,$N235)="","",INDEX('Per Invoice'!$I$2:$I$801,$N235)))</f>
        <v/>
      </c>
      <c r="J235" s="5">
        <f>IF($N235="","",IF(INDEX('Per Invoice'!$J$2:$J$801,$N235)="","",INDEX('Per Invoice'!$J$2:$J$801,$N235)))</f>
        <v/>
      </c>
      <c r="K235" s="5">
        <f>IF($N235="","",IF(INDEX('Per Invoice'!$K$2:$K$801,$N235)="","",INDEX('Per Invoice'!$K$2:$K$801,$N235)))</f>
        <v/>
      </c>
      <c r="L235" s="5">
        <f>IF($N235="","",IF(INDEX('Per Invoice'!$L$2:$L$801,$N235)="","",INDEX('Per Invoice'!$L$2:$L$801,$N235)))</f>
        <v/>
      </c>
      <c r="M235" s="5">
        <f>IF($N235="","",IF(INDEX('Per Invoice'!$M$2:$M$801,$N235)="","",INDEX('Per Invoice'!$M$2:$M$801,$N235)))</f>
        <v/>
      </c>
      <c r="N235">
        <f>IF(ROWS($N$2:$N235)&lt;=COUNT('Per Invoice'!$P$2:$P$801),MATCH(ROWS($N$2:$N235),'Per Invoice'!$P$2:$P$801,0),"")</f>
        <v/>
      </c>
    </row>
    <row r="236">
      <c r="A236">
        <f>IF($N236="","",IF(INDEX('Per Invoice'!$A$2:$A$801,$N236)="","",INDEX('Per Invoice'!$A$2:$A$801,$N236)))</f>
        <v/>
      </c>
      <c r="B236">
        <f>IF($N236="","",IF(INDEX('Per Invoice'!$B$2:$B$801,$N236)="","",INDEX('Per Invoice'!$B$2:$B$801,$N236)))</f>
        <v/>
      </c>
      <c r="C236">
        <f>IF($N236="","",IF(INDEX('Per Invoice'!$C$2:$C$801,$N236)="","",INDEX('Per Invoice'!$C$2:$C$801,$N236)))</f>
        <v/>
      </c>
      <c r="D236">
        <f>IF($N236="","",IF(INDEX('Per Invoice'!$D$2:$D$801,$N236)="","",INDEX('Per Invoice'!$D$2:$D$801,$N236)))</f>
        <v/>
      </c>
      <c r="E236">
        <f>IF($N236="","",IF(INDEX('Per Invoice'!$E$2:$E$801,$N236)="","",INDEX('Per Invoice'!$E$2:$E$801,$N236)))</f>
        <v/>
      </c>
      <c r="F236">
        <f>IF($N236="","",IF(INDEX('Per Invoice'!$F$2:$F$801,$N236)="","",INDEX('Per Invoice'!$F$2:$F$801,$N236)))</f>
        <v/>
      </c>
      <c r="G236">
        <f>IF($N236="","",IF(INDEX('Per Invoice'!$G$2:$G$801,$N236)="","",INDEX('Per Invoice'!$G$2:$G$801,$N236)))</f>
        <v/>
      </c>
      <c r="H236">
        <f>IF($N236="","",IF(INDEX('Per Invoice'!$H$2:$H$801,$N236)="","",INDEX('Per Invoice'!$H$2:$H$801,$N236)))</f>
        <v/>
      </c>
      <c r="I236" s="5">
        <f>IF($N236="","",IF(INDEX('Per Invoice'!$I$2:$I$801,$N236)="","",INDEX('Per Invoice'!$I$2:$I$801,$N236)))</f>
        <v/>
      </c>
      <c r="J236" s="5">
        <f>IF($N236="","",IF(INDEX('Per Invoice'!$J$2:$J$801,$N236)="","",INDEX('Per Invoice'!$J$2:$J$801,$N236)))</f>
        <v/>
      </c>
      <c r="K236" s="5">
        <f>IF($N236="","",IF(INDEX('Per Invoice'!$K$2:$K$801,$N236)="","",INDEX('Per Invoice'!$K$2:$K$801,$N236)))</f>
        <v/>
      </c>
      <c r="L236" s="5">
        <f>IF($N236="","",IF(INDEX('Per Invoice'!$L$2:$L$801,$N236)="","",INDEX('Per Invoice'!$L$2:$L$801,$N236)))</f>
        <v/>
      </c>
      <c r="M236" s="5">
        <f>IF($N236="","",IF(INDEX('Per Invoice'!$M$2:$M$801,$N236)="","",INDEX('Per Invoice'!$M$2:$M$801,$N236)))</f>
        <v/>
      </c>
      <c r="N236">
        <f>IF(ROWS($N$2:$N236)&lt;=COUNT('Per Invoice'!$P$2:$P$801),MATCH(ROWS($N$2:$N236),'Per Invoice'!$P$2:$P$801,0),"")</f>
        <v/>
      </c>
    </row>
    <row r="237">
      <c r="A237">
        <f>IF($N237="","",IF(INDEX('Per Invoice'!$A$2:$A$801,$N237)="","",INDEX('Per Invoice'!$A$2:$A$801,$N237)))</f>
        <v/>
      </c>
      <c r="B237">
        <f>IF($N237="","",IF(INDEX('Per Invoice'!$B$2:$B$801,$N237)="","",INDEX('Per Invoice'!$B$2:$B$801,$N237)))</f>
        <v/>
      </c>
      <c r="C237">
        <f>IF($N237="","",IF(INDEX('Per Invoice'!$C$2:$C$801,$N237)="","",INDEX('Per Invoice'!$C$2:$C$801,$N237)))</f>
        <v/>
      </c>
      <c r="D237">
        <f>IF($N237="","",IF(INDEX('Per Invoice'!$D$2:$D$801,$N237)="","",INDEX('Per Invoice'!$D$2:$D$801,$N237)))</f>
        <v/>
      </c>
      <c r="E237">
        <f>IF($N237="","",IF(INDEX('Per Invoice'!$E$2:$E$801,$N237)="","",INDEX('Per Invoice'!$E$2:$E$801,$N237)))</f>
        <v/>
      </c>
      <c r="F237">
        <f>IF($N237="","",IF(INDEX('Per Invoice'!$F$2:$F$801,$N237)="","",INDEX('Per Invoice'!$F$2:$F$801,$N237)))</f>
        <v/>
      </c>
      <c r="G237">
        <f>IF($N237="","",IF(INDEX('Per Invoice'!$G$2:$G$801,$N237)="","",INDEX('Per Invoice'!$G$2:$G$801,$N237)))</f>
        <v/>
      </c>
      <c r="H237">
        <f>IF($N237="","",IF(INDEX('Per Invoice'!$H$2:$H$801,$N237)="","",INDEX('Per Invoice'!$H$2:$H$801,$N237)))</f>
        <v/>
      </c>
      <c r="I237" s="5">
        <f>IF($N237="","",IF(INDEX('Per Invoice'!$I$2:$I$801,$N237)="","",INDEX('Per Invoice'!$I$2:$I$801,$N237)))</f>
        <v/>
      </c>
      <c r="J237" s="5">
        <f>IF($N237="","",IF(INDEX('Per Invoice'!$J$2:$J$801,$N237)="","",INDEX('Per Invoice'!$J$2:$J$801,$N237)))</f>
        <v/>
      </c>
      <c r="K237" s="5">
        <f>IF($N237="","",IF(INDEX('Per Invoice'!$K$2:$K$801,$N237)="","",INDEX('Per Invoice'!$K$2:$K$801,$N237)))</f>
        <v/>
      </c>
      <c r="L237" s="5">
        <f>IF($N237="","",IF(INDEX('Per Invoice'!$L$2:$L$801,$N237)="","",INDEX('Per Invoice'!$L$2:$L$801,$N237)))</f>
        <v/>
      </c>
      <c r="M237" s="5">
        <f>IF($N237="","",IF(INDEX('Per Invoice'!$M$2:$M$801,$N237)="","",INDEX('Per Invoice'!$M$2:$M$801,$N237)))</f>
        <v/>
      </c>
      <c r="N237">
        <f>IF(ROWS($N$2:$N237)&lt;=COUNT('Per Invoice'!$P$2:$P$801),MATCH(ROWS($N$2:$N237),'Per Invoice'!$P$2:$P$801,0),"")</f>
        <v/>
      </c>
    </row>
    <row r="238">
      <c r="A238">
        <f>IF($N238="","",IF(INDEX('Per Invoice'!$A$2:$A$801,$N238)="","",INDEX('Per Invoice'!$A$2:$A$801,$N238)))</f>
        <v/>
      </c>
      <c r="B238">
        <f>IF($N238="","",IF(INDEX('Per Invoice'!$B$2:$B$801,$N238)="","",INDEX('Per Invoice'!$B$2:$B$801,$N238)))</f>
        <v/>
      </c>
      <c r="C238">
        <f>IF($N238="","",IF(INDEX('Per Invoice'!$C$2:$C$801,$N238)="","",INDEX('Per Invoice'!$C$2:$C$801,$N238)))</f>
        <v/>
      </c>
      <c r="D238">
        <f>IF($N238="","",IF(INDEX('Per Invoice'!$D$2:$D$801,$N238)="","",INDEX('Per Invoice'!$D$2:$D$801,$N238)))</f>
        <v/>
      </c>
      <c r="E238">
        <f>IF($N238="","",IF(INDEX('Per Invoice'!$E$2:$E$801,$N238)="","",INDEX('Per Invoice'!$E$2:$E$801,$N238)))</f>
        <v/>
      </c>
      <c r="F238">
        <f>IF($N238="","",IF(INDEX('Per Invoice'!$F$2:$F$801,$N238)="","",INDEX('Per Invoice'!$F$2:$F$801,$N238)))</f>
        <v/>
      </c>
      <c r="G238">
        <f>IF($N238="","",IF(INDEX('Per Invoice'!$G$2:$G$801,$N238)="","",INDEX('Per Invoice'!$G$2:$G$801,$N238)))</f>
        <v/>
      </c>
      <c r="H238">
        <f>IF($N238="","",IF(INDEX('Per Invoice'!$H$2:$H$801,$N238)="","",INDEX('Per Invoice'!$H$2:$H$801,$N238)))</f>
        <v/>
      </c>
      <c r="I238" s="5">
        <f>IF($N238="","",IF(INDEX('Per Invoice'!$I$2:$I$801,$N238)="","",INDEX('Per Invoice'!$I$2:$I$801,$N238)))</f>
        <v/>
      </c>
      <c r="J238" s="5">
        <f>IF($N238="","",IF(INDEX('Per Invoice'!$J$2:$J$801,$N238)="","",INDEX('Per Invoice'!$J$2:$J$801,$N238)))</f>
        <v/>
      </c>
      <c r="K238" s="5">
        <f>IF($N238="","",IF(INDEX('Per Invoice'!$K$2:$K$801,$N238)="","",INDEX('Per Invoice'!$K$2:$K$801,$N238)))</f>
        <v/>
      </c>
      <c r="L238" s="5">
        <f>IF($N238="","",IF(INDEX('Per Invoice'!$L$2:$L$801,$N238)="","",INDEX('Per Invoice'!$L$2:$L$801,$N238)))</f>
        <v/>
      </c>
      <c r="M238" s="5">
        <f>IF($N238="","",IF(INDEX('Per Invoice'!$M$2:$M$801,$N238)="","",INDEX('Per Invoice'!$M$2:$M$801,$N238)))</f>
        <v/>
      </c>
      <c r="N238">
        <f>IF(ROWS($N$2:$N238)&lt;=COUNT('Per Invoice'!$P$2:$P$801),MATCH(ROWS($N$2:$N238),'Per Invoice'!$P$2:$P$801,0),"")</f>
        <v/>
      </c>
    </row>
    <row r="239">
      <c r="A239">
        <f>IF($N239="","",IF(INDEX('Per Invoice'!$A$2:$A$801,$N239)="","",INDEX('Per Invoice'!$A$2:$A$801,$N239)))</f>
        <v/>
      </c>
      <c r="B239">
        <f>IF($N239="","",IF(INDEX('Per Invoice'!$B$2:$B$801,$N239)="","",INDEX('Per Invoice'!$B$2:$B$801,$N239)))</f>
        <v/>
      </c>
      <c r="C239">
        <f>IF($N239="","",IF(INDEX('Per Invoice'!$C$2:$C$801,$N239)="","",INDEX('Per Invoice'!$C$2:$C$801,$N239)))</f>
        <v/>
      </c>
      <c r="D239">
        <f>IF($N239="","",IF(INDEX('Per Invoice'!$D$2:$D$801,$N239)="","",INDEX('Per Invoice'!$D$2:$D$801,$N239)))</f>
        <v/>
      </c>
      <c r="E239">
        <f>IF($N239="","",IF(INDEX('Per Invoice'!$E$2:$E$801,$N239)="","",INDEX('Per Invoice'!$E$2:$E$801,$N239)))</f>
        <v/>
      </c>
      <c r="F239">
        <f>IF($N239="","",IF(INDEX('Per Invoice'!$F$2:$F$801,$N239)="","",INDEX('Per Invoice'!$F$2:$F$801,$N239)))</f>
        <v/>
      </c>
      <c r="G239">
        <f>IF($N239="","",IF(INDEX('Per Invoice'!$G$2:$G$801,$N239)="","",INDEX('Per Invoice'!$G$2:$G$801,$N239)))</f>
        <v/>
      </c>
      <c r="H239">
        <f>IF($N239="","",IF(INDEX('Per Invoice'!$H$2:$H$801,$N239)="","",INDEX('Per Invoice'!$H$2:$H$801,$N239)))</f>
        <v/>
      </c>
      <c r="I239" s="5">
        <f>IF($N239="","",IF(INDEX('Per Invoice'!$I$2:$I$801,$N239)="","",INDEX('Per Invoice'!$I$2:$I$801,$N239)))</f>
        <v/>
      </c>
      <c r="J239" s="5">
        <f>IF($N239="","",IF(INDEX('Per Invoice'!$J$2:$J$801,$N239)="","",INDEX('Per Invoice'!$J$2:$J$801,$N239)))</f>
        <v/>
      </c>
      <c r="K239" s="5">
        <f>IF($N239="","",IF(INDEX('Per Invoice'!$K$2:$K$801,$N239)="","",INDEX('Per Invoice'!$K$2:$K$801,$N239)))</f>
        <v/>
      </c>
      <c r="L239" s="5">
        <f>IF($N239="","",IF(INDEX('Per Invoice'!$L$2:$L$801,$N239)="","",INDEX('Per Invoice'!$L$2:$L$801,$N239)))</f>
        <v/>
      </c>
      <c r="M239" s="5">
        <f>IF($N239="","",IF(INDEX('Per Invoice'!$M$2:$M$801,$N239)="","",INDEX('Per Invoice'!$M$2:$M$801,$N239)))</f>
        <v/>
      </c>
      <c r="N239">
        <f>IF(ROWS($N$2:$N239)&lt;=COUNT('Per Invoice'!$P$2:$P$801),MATCH(ROWS($N$2:$N239),'Per Invoice'!$P$2:$P$801,0),"")</f>
        <v/>
      </c>
    </row>
    <row r="240">
      <c r="A240">
        <f>IF($N240="","",IF(INDEX('Per Invoice'!$A$2:$A$801,$N240)="","",INDEX('Per Invoice'!$A$2:$A$801,$N240)))</f>
        <v/>
      </c>
      <c r="B240">
        <f>IF($N240="","",IF(INDEX('Per Invoice'!$B$2:$B$801,$N240)="","",INDEX('Per Invoice'!$B$2:$B$801,$N240)))</f>
        <v/>
      </c>
      <c r="C240">
        <f>IF($N240="","",IF(INDEX('Per Invoice'!$C$2:$C$801,$N240)="","",INDEX('Per Invoice'!$C$2:$C$801,$N240)))</f>
        <v/>
      </c>
      <c r="D240">
        <f>IF($N240="","",IF(INDEX('Per Invoice'!$D$2:$D$801,$N240)="","",INDEX('Per Invoice'!$D$2:$D$801,$N240)))</f>
        <v/>
      </c>
      <c r="E240">
        <f>IF($N240="","",IF(INDEX('Per Invoice'!$E$2:$E$801,$N240)="","",INDEX('Per Invoice'!$E$2:$E$801,$N240)))</f>
        <v/>
      </c>
      <c r="F240">
        <f>IF($N240="","",IF(INDEX('Per Invoice'!$F$2:$F$801,$N240)="","",INDEX('Per Invoice'!$F$2:$F$801,$N240)))</f>
        <v/>
      </c>
      <c r="G240">
        <f>IF($N240="","",IF(INDEX('Per Invoice'!$G$2:$G$801,$N240)="","",INDEX('Per Invoice'!$G$2:$G$801,$N240)))</f>
        <v/>
      </c>
      <c r="H240">
        <f>IF($N240="","",IF(INDEX('Per Invoice'!$H$2:$H$801,$N240)="","",INDEX('Per Invoice'!$H$2:$H$801,$N240)))</f>
        <v/>
      </c>
      <c r="I240" s="5">
        <f>IF($N240="","",IF(INDEX('Per Invoice'!$I$2:$I$801,$N240)="","",INDEX('Per Invoice'!$I$2:$I$801,$N240)))</f>
        <v/>
      </c>
      <c r="J240" s="5">
        <f>IF($N240="","",IF(INDEX('Per Invoice'!$J$2:$J$801,$N240)="","",INDEX('Per Invoice'!$J$2:$J$801,$N240)))</f>
        <v/>
      </c>
      <c r="K240" s="5">
        <f>IF($N240="","",IF(INDEX('Per Invoice'!$K$2:$K$801,$N240)="","",INDEX('Per Invoice'!$K$2:$K$801,$N240)))</f>
        <v/>
      </c>
      <c r="L240" s="5">
        <f>IF($N240="","",IF(INDEX('Per Invoice'!$L$2:$L$801,$N240)="","",INDEX('Per Invoice'!$L$2:$L$801,$N240)))</f>
        <v/>
      </c>
      <c r="M240" s="5">
        <f>IF($N240="","",IF(INDEX('Per Invoice'!$M$2:$M$801,$N240)="","",INDEX('Per Invoice'!$M$2:$M$801,$N240)))</f>
        <v/>
      </c>
      <c r="N240">
        <f>IF(ROWS($N$2:$N240)&lt;=COUNT('Per Invoice'!$P$2:$P$801),MATCH(ROWS($N$2:$N240),'Per Invoice'!$P$2:$P$801,0),"")</f>
        <v/>
      </c>
    </row>
    <row r="241">
      <c r="A241">
        <f>IF($N241="","",IF(INDEX('Per Invoice'!$A$2:$A$801,$N241)="","",INDEX('Per Invoice'!$A$2:$A$801,$N241)))</f>
        <v/>
      </c>
      <c r="B241">
        <f>IF($N241="","",IF(INDEX('Per Invoice'!$B$2:$B$801,$N241)="","",INDEX('Per Invoice'!$B$2:$B$801,$N241)))</f>
        <v/>
      </c>
      <c r="C241">
        <f>IF($N241="","",IF(INDEX('Per Invoice'!$C$2:$C$801,$N241)="","",INDEX('Per Invoice'!$C$2:$C$801,$N241)))</f>
        <v/>
      </c>
      <c r="D241">
        <f>IF($N241="","",IF(INDEX('Per Invoice'!$D$2:$D$801,$N241)="","",INDEX('Per Invoice'!$D$2:$D$801,$N241)))</f>
        <v/>
      </c>
      <c r="E241">
        <f>IF($N241="","",IF(INDEX('Per Invoice'!$E$2:$E$801,$N241)="","",INDEX('Per Invoice'!$E$2:$E$801,$N241)))</f>
        <v/>
      </c>
      <c r="F241">
        <f>IF($N241="","",IF(INDEX('Per Invoice'!$F$2:$F$801,$N241)="","",INDEX('Per Invoice'!$F$2:$F$801,$N241)))</f>
        <v/>
      </c>
      <c r="G241">
        <f>IF($N241="","",IF(INDEX('Per Invoice'!$G$2:$G$801,$N241)="","",INDEX('Per Invoice'!$G$2:$G$801,$N241)))</f>
        <v/>
      </c>
      <c r="H241">
        <f>IF($N241="","",IF(INDEX('Per Invoice'!$H$2:$H$801,$N241)="","",INDEX('Per Invoice'!$H$2:$H$801,$N241)))</f>
        <v/>
      </c>
      <c r="I241" s="5">
        <f>IF($N241="","",IF(INDEX('Per Invoice'!$I$2:$I$801,$N241)="","",INDEX('Per Invoice'!$I$2:$I$801,$N241)))</f>
        <v/>
      </c>
      <c r="J241" s="5">
        <f>IF($N241="","",IF(INDEX('Per Invoice'!$J$2:$J$801,$N241)="","",INDEX('Per Invoice'!$J$2:$J$801,$N241)))</f>
        <v/>
      </c>
      <c r="K241" s="5">
        <f>IF($N241="","",IF(INDEX('Per Invoice'!$K$2:$K$801,$N241)="","",INDEX('Per Invoice'!$K$2:$K$801,$N241)))</f>
        <v/>
      </c>
      <c r="L241" s="5">
        <f>IF($N241="","",IF(INDEX('Per Invoice'!$L$2:$L$801,$N241)="","",INDEX('Per Invoice'!$L$2:$L$801,$N241)))</f>
        <v/>
      </c>
      <c r="M241" s="5">
        <f>IF($N241="","",IF(INDEX('Per Invoice'!$M$2:$M$801,$N241)="","",INDEX('Per Invoice'!$M$2:$M$801,$N241)))</f>
        <v/>
      </c>
      <c r="N241">
        <f>IF(ROWS($N$2:$N241)&lt;=COUNT('Per Invoice'!$P$2:$P$801),MATCH(ROWS($N$2:$N241),'Per Invoice'!$P$2:$P$801,0),"")</f>
        <v/>
      </c>
    </row>
    <row r="242">
      <c r="A242">
        <f>IF($N242="","",IF(INDEX('Per Invoice'!$A$2:$A$801,$N242)="","",INDEX('Per Invoice'!$A$2:$A$801,$N242)))</f>
        <v/>
      </c>
      <c r="B242">
        <f>IF($N242="","",IF(INDEX('Per Invoice'!$B$2:$B$801,$N242)="","",INDEX('Per Invoice'!$B$2:$B$801,$N242)))</f>
        <v/>
      </c>
      <c r="C242">
        <f>IF($N242="","",IF(INDEX('Per Invoice'!$C$2:$C$801,$N242)="","",INDEX('Per Invoice'!$C$2:$C$801,$N242)))</f>
        <v/>
      </c>
      <c r="D242">
        <f>IF($N242="","",IF(INDEX('Per Invoice'!$D$2:$D$801,$N242)="","",INDEX('Per Invoice'!$D$2:$D$801,$N242)))</f>
        <v/>
      </c>
      <c r="E242">
        <f>IF($N242="","",IF(INDEX('Per Invoice'!$E$2:$E$801,$N242)="","",INDEX('Per Invoice'!$E$2:$E$801,$N242)))</f>
        <v/>
      </c>
      <c r="F242">
        <f>IF($N242="","",IF(INDEX('Per Invoice'!$F$2:$F$801,$N242)="","",INDEX('Per Invoice'!$F$2:$F$801,$N242)))</f>
        <v/>
      </c>
      <c r="G242">
        <f>IF($N242="","",IF(INDEX('Per Invoice'!$G$2:$G$801,$N242)="","",INDEX('Per Invoice'!$G$2:$G$801,$N242)))</f>
        <v/>
      </c>
      <c r="H242">
        <f>IF($N242="","",IF(INDEX('Per Invoice'!$H$2:$H$801,$N242)="","",INDEX('Per Invoice'!$H$2:$H$801,$N242)))</f>
        <v/>
      </c>
      <c r="I242" s="5">
        <f>IF($N242="","",IF(INDEX('Per Invoice'!$I$2:$I$801,$N242)="","",INDEX('Per Invoice'!$I$2:$I$801,$N242)))</f>
        <v/>
      </c>
      <c r="J242" s="5">
        <f>IF($N242="","",IF(INDEX('Per Invoice'!$J$2:$J$801,$N242)="","",INDEX('Per Invoice'!$J$2:$J$801,$N242)))</f>
        <v/>
      </c>
      <c r="K242" s="5">
        <f>IF($N242="","",IF(INDEX('Per Invoice'!$K$2:$K$801,$N242)="","",INDEX('Per Invoice'!$K$2:$K$801,$N242)))</f>
        <v/>
      </c>
      <c r="L242" s="5">
        <f>IF($N242="","",IF(INDEX('Per Invoice'!$L$2:$L$801,$N242)="","",INDEX('Per Invoice'!$L$2:$L$801,$N242)))</f>
        <v/>
      </c>
      <c r="M242" s="5">
        <f>IF($N242="","",IF(INDEX('Per Invoice'!$M$2:$M$801,$N242)="","",INDEX('Per Invoice'!$M$2:$M$801,$N242)))</f>
        <v/>
      </c>
      <c r="N242">
        <f>IF(ROWS($N$2:$N242)&lt;=COUNT('Per Invoice'!$P$2:$P$801),MATCH(ROWS($N$2:$N242),'Per Invoice'!$P$2:$P$801,0),"")</f>
        <v/>
      </c>
    </row>
    <row r="243">
      <c r="A243">
        <f>IF($N243="","",IF(INDEX('Per Invoice'!$A$2:$A$801,$N243)="","",INDEX('Per Invoice'!$A$2:$A$801,$N243)))</f>
        <v/>
      </c>
      <c r="B243">
        <f>IF($N243="","",IF(INDEX('Per Invoice'!$B$2:$B$801,$N243)="","",INDEX('Per Invoice'!$B$2:$B$801,$N243)))</f>
        <v/>
      </c>
      <c r="C243">
        <f>IF($N243="","",IF(INDEX('Per Invoice'!$C$2:$C$801,$N243)="","",INDEX('Per Invoice'!$C$2:$C$801,$N243)))</f>
        <v/>
      </c>
      <c r="D243">
        <f>IF($N243="","",IF(INDEX('Per Invoice'!$D$2:$D$801,$N243)="","",INDEX('Per Invoice'!$D$2:$D$801,$N243)))</f>
        <v/>
      </c>
      <c r="E243">
        <f>IF($N243="","",IF(INDEX('Per Invoice'!$E$2:$E$801,$N243)="","",INDEX('Per Invoice'!$E$2:$E$801,$N243)))</f>
        <v/>
      </c>
      <c r="F243">
        <f>IF($N243="","",IF(INDEX('Per Invoice'!$F$2:$F$801,$N243)="","",INDEX('Per Invoice'!$F$2:$F$801,$N243)))</f>
        <v/>
      </c>
      <c r="G243">
        <f>IF($N243="","",IF(INDEX('Per Invoice'!$G$2:$G$801,$N243)="","",INDEX('Per Invoice'!$G$2:$G$801,$N243)))</f>
        <v/>
      </c>
      <c r="H243">
        <f>IF($N243="","",IF(INDEX('Per Invoice'!$H$2:$H$801,$N243)="","",INDEX('Per Invoice'!$H$2:$H$801,$N243)))</f>
        <v/>
      </c>
      <c r="I243" s="5">
        <f>IF($N243="","",IF(INDEX('Per Invoice'!$I$2:$I$801,$N243)="","",INDEX('Per Invoice'!$I$2:$I$801,$N243)))</f>
        <v/>
      </c>
      <c r="J243" s="5">
        <f>IF($N243="","",IF(INDEX('Per Invoice'!$J$2:$J$801,$N243)="","",INDEX('Per Invoice'!$J$2:$J$801,$N243)))</f>
        <v/>
      </c>
      <c r="K243" s="5">
        <f>IF($N243="","",IF(INDEX('Per Invoice'!$K$2:$K$801,$N243)="","",INDEX('Per Invoice'!$K$2:$K$801,$N243)))</f>
        <v/>
      </c>
      <c r="L243" s="5">
        <f>IF($N243="","",IF(INDEX('Per Invoice'!$L$2:$L$801,$N243)="","",INDEX('Per Invoice'!$L$2:$L$801,$N243)))</f>
        <v/>
      </c>
      <c r="M243" s="5">
        <f>IF($N243="","",IF(INDEX('Per Invoice'!$M$2:$M$801,$N243)="","",INDEX('Per Invoice'!$M$2:$M$801,$N243)))</f>
        <v/>
      </c>
      <c r="N243">
        <f>IF(ROWS($N$2:$N243)&lt;=COUNT('Per Invoice'!$P$2:$P$801),MATCH(ROWS($N$2:$N243),'Per Invoice'!$P$2:$P$801,0),"")</f>
        <v/>
      </c>
    </row>
    <row r="244">
      <c r="A244">
        <f>IF($N244="","",IF(INDEX('Per Invoice'!$A$2:$A$801,$N244)="","",INDEX('Per Invoice'!$A$2:$A$801,$N244)))</f>
        <v/>
      </c>
      <c r="B244">
        <f>IF($N244="","",IF(INDEX('Per Invoice'!$B$2:$B$801,$N244)="","",INDEX('Per Invoice'!$B$2:$B$801,$N244)))</f>
        <v/>
      </c>
      <c r="C244">
        <f>IF($N244="","",IF(INDEX('Per Invoice'!$C$2:$C$801,$N244)="","",INDEX('Per Invoice'!$C$2:$C$801,$N244)))</f>
        <v/>
      </c>
      <c r="D244">
        <f>IF($N244="","",IF(INDEX('Per Invoice'!$D$2:$D$801,$N244)="","",INDEX('Per Invoice'!$D$2:$D$801,$N244)))</f>
        <v/>
      </c>
      <c r="E244">
        <f>IF($N244="","",IF(INDEX('Per Invoice'!$E$2:$E$801,$N244)="","",INDEX('Per Invoice'!$E$2:$E$801,$N244)))</f>
        <v/>
      </c>
      <c r="F244">
        <f>IF($N244="","",IF(INDEX('Per Invoice'!$F$2:$F$801,$N244)="","",INDEX('Per Invoice'!$F$2:$F$801,$N244)))</f>
        <v/>
      </c>
      <c r="G244">
        <f>IF($N244="","",IF(INDEX('Per Invoice'!$G$2:$G$801,$N244)="","",INDEX('Per Invoice'!$G$2:$G$801,$N244)))</f>
        <v/>
      </c>
      <c r="H244">
        <f>IF($N244="","",IF(INDEX('Per Invoice'!$H$2:$H$801,$N244)="","",INDEX('Per Invoice'!$H$2:$H$801,$N244)))</f>
        <v/>
      </c>
      <c r="I244" s="5">
        <f>IF($N244="","",IF(INDEX('Per Invoice'!$I$2:$I$801,$N244)="","",INDEX('Per Invoice'!$I$2:$I$801,$N244)))</f>
        <v/>
      </c>
      <c r="J244" s="5">
        <f>IF($N244="","",IF(INDEX('Per Invoice'!$J$2:$J$801,$N244)="","",INDEX('Per Invoice'!$J$2:$J$801,$N244)))</f>
        <v/>
      </c>
      <c r="K244" s="5">
        <f>IF($N244="","",IF(INDEX('Per Invoice'!$K$2:$K$801,$N244)="","",INDEX('Per Invoice'!$K$2:$K$801,$N244)))</f>
        <v/>
      </c>
      <c r="L244" s="5">
        <f>IF($N244="","",IF(INDEX('Per Invoice'!$L$2:$L$801,$N244)="","",INDEX('Per Invoice'!$L$2:$L$801,$N244)))</f>
        <v/>
      </c>
      <c r="M244" s="5">
        <f>IF($N244="","",IF(INDEX('Per Invoice'!$M$2:$M$801,$N244)="","",INDEX('Per Invoice'!$M$2:$M$801,$N244)))</f>
        <v/>
      </c>
      <c r="N244">
        <f>IF(ROWS($N$2:$N244)&lt;=COUNT('Per Invoice'!$P$2:$P$801),MATCH(ROWS($N$2:$N244),'Per Invoice'!$P$2:$P$801,0),"")</f>
        <v/>
      </c>
    </row>
    <row r="245">
      <c r="A245">
        <f>IF($N245="","",IF(INDEX('Per Invoice'!$A$2:$A$801,$N245)="","",INDEX('Per Invoice'!$A$2:$A$801,$N245)))</f>
        <v/>
      </c>
      <c r="B245">
        <f>IF($N245="","",IF(INDEX('Per Invoice'!$B$2:$B$801,$N245)="","",INDEX('Per Invoice'!$B$2:$B$801,$N245)))</f>
        <v/>
      </c>
      <c r="C245">
        <f>IF($N245="","",IF(INDEX('Per Invoice'!$C$2:$C$801,$N245)="","",INDEX('Per Invoice'!$C$2:$C$801,$N245)))</f>
        <v/>
      </c>
      <c r="D245">
        <f>IF($N245="","",IF(INDEX('Per Invoice'!$D$2:$D$801,$N245)="","",INDEX('Per Invoice'!$D$2:$D$801,$N245)))</f>
        <v/>
      </c>
      <c r="E245">
        <f>IF($N245="","",IF(INDEX('Per Invoice'!$E$2:$E$801,$N245)="","",INDEX('Per Invoice'!$E$2:$E$801,$N245)))</f>
        <v/>
      </c>
      <c r="F245">
        <f>IF($N245="","",IF(INDEX('Per Invoice'!$F$2:$F$801,$N245)="","",INDEX('Per Invoice'!$F$2:$F$801,$N245)))</f>
        <v/>
      </c>
      <c r="G245">
        <f>IF($N245="","",IF(INDEX('Per Invoice'!$G$2:$G$801,$N245)="","",INDEX('Per Invoice'!$G$2:$G$801,$N245)))</f>
        <v/>
      </c>
      <c r="H245">
        <f>IF($N245="","",IF(INDEX('Per Invoice'!$H$2:$H$801,$N245)="","",INDEX('Per Invoice'!$H$2:$H$801,$N245)))</f>
        <v/>
      </c>
      <c r="I245" s="5">
        <f>IF($N245="","",IF(INDEX('Per Invoice'!$I$2:$I$801,$N245)="","",INDEX('Per Invoice'!$I$2:$I$801,$N245)))</f>
        <v/>
      </c>
      <c r="J245" s="5">
        <f>IF($N245="","",IF(INDEX('Per Invoice'!$J$2:$J$801,$N245)="","",INDEX('Per Invoice'!$J$2:$J$801,$N245)))</f>
        <v/>
      </c>
      <c r="K245" s="5">
        <f>IF($N245="","",IF(INDEX('Per Invoice'!$K$2:$K$801,$N245)="","",INDEX('Per Invoice'!$K$2:$K$801,$N245)))</f>
        <v/>
      </c>
      <c r="L245" s="5">
        <f>IF($N245="","",IF(INDEX('Per Invoice'!$L$2:$L$801,$N245)="","",INDEX('Per Invoice'!$L$2:$L$801,$N245)))</f>
        <v/>
      </c>
      <c r="M245" s="5">
        <f>IF($N245="","",IF(INDEX('Per Invoice'!$M$2:$M$801,$N245)="","",INDEX('Per Invoice'!$M$2:$M$801,$N245)))</f>
        <v/>
      </c>
      <c r="N245">
        <f>IF(ROWS($N$2:$N245)&lt;=COUNT('Per Invoice'!$P$2:$P$801),MATCH(ROWS($N$2:$N245),'Per Invoice'!$P$2:$P$801,0),"")</f>
        <v/>
      </c>
    </row>
    <row r="246">
      <c r="A246">
        <f>IF($N246="","",IF(INDEX('Per Invoice'!$A$2:$A$801,$N246)="","",INDEX('Per Invoice'!$A$2:$A$801,$N246)))</f>
        <v/>
      </c>
      <c r="B246">
        <f>IF($N246="","",IF(INDEX('Per Invoice'!$B$2:$B$801,$N246)="","",INDEX('Per Invoice'!$B$2:$B$801,$N246)))</f>
        <v/>
      </c>
      <c r="C246">
        <f>IF($N246="","",IF(INDEX('Per Invoice'!$C$2:$C$801,$N246)="","",INDEX('Per Invoice'!$C$2:$C$801,$N246)))</f>
        <v/>
      </c>
      <c r="D246">
        <f>IF($N246="","",IF(INDEX('Per Invoice'!$D$2:$D$801,$N246)="","",INDEX('Per Invoice'!$D$2:$D$801,$N246)))</f>
        <v/>
      </c>
      <c r="E246">
        <f>IF($N246="","",IF(INDEX('Per Invoice'!$E$2:$E$801,$N246)="","",INDEX('Per Invoice'!$E$2:$E$801,$N246)))</f>
        <v/>
      </c>
      <c r="F246">
        <f>IF($N246="","",IF(INDEX('Per Invoice'!$F$2:$F$801,$N246)="","",INDEX('Per Invoice'!$F$2:$F$801,$N246)))</f>
        <v/>
      </c>
      <c r="G246">
        <f>IF($N246="","",IF(INDEX('Per Invoice'!$G$2:$G$801,$N246)="","",INDEX('Per Invoice'!$G$2:$G$801,$N246)))</f>
        <v/>
      </c>
      <c r="H246">
        <f>IF($N246="","",IF(INDEX('Per Invoice'!$H$2:$H$801,$N246)="","",INDEX('Per Invoice'!$H$2:$H$801,$N246)))</f>
        <v/>
      </c>
      <c r="I246" s="5">
        <f>IF($N246="","",IF(INDEX('Per Invoice'!$I$2:$I$801,$N246)="","",INDEX('Per Invoice'!$I$2:$I$801,$N246)))</f>
        <v/>
      </c>
      <c r="J246" s="5">
        <f>IF($N246="","",IF(INDEX('Per Invoice'!$J$2:$J$801,$N246)="","",INDEX('Per Invoice'!$J$2:$J$801,$N246)))</f>
        <v/>
      </c>
      <c r="K246" s="5">
        <f>IF($N246="","",IF(INDEX('Per Invoice'!$K$2:$K$801,$N246)="","",INDEX('Per Invoice'!$K$2:$K$801,$N246)))</f>
        <v/>
      </c>
      <c r="L246" s="5">
        <f>IF($N246="","",IF(INDEX('Per Invoice'!$L$2:$L$801,$N246)="","",INDEX('Per Invoice'!$L$2:$L$801,$N246)))</f>
        <v/>
      </c>
      <c r="M246" s="5">
        <f>IF($N246="","",IF(INDEX('Per Invoice'!$M$2:$M$801,$N246)="","",INDEX('Per Invoice'!$M$2:$M$801,$N246)))</f>
        <v/>
      </c>
      <c r="N246">
        <f>IF(ROWS($N$2:$N246)&lt;=COUNT('Per Invoice'!$P$2:$P$801),MATCH(ROWS($N$2:$N246),'Per Invoice'!$P$2:$P$801,0),"")</f>
        <v/>
      </c>
    </row>
    <row r="247">
      <c r="A247">
        <f>IF($N247="","",IF(INDEX('Per Invoice'!$A$2:$A$801,$N247)="","",INDEX('Per Invoice'!$A$2:$A$801,$N247)))</f>
        <v/>
      </c>
      <c r="B247">
        <f>IF($N247="","",IF(INDEX('Per Invoice'!$B$2:$B$801,$N247)="","",INDEX('Per Invoice'!$B$2:$B$801,$N247)))</f>
        <v/>
      </c>
      <c r="C247">
        <f>IF($N247="","",IF(INDEX('Per Invoice'!$C$2:$C$801,$N247)="","",INDEX('Per Invoice'!$C$2:$C$801,$N247)))</f>
        <v/>
      </c>
      <c r="D247">
        <f>IF($N247="","",IF(INDEX('Per Invoice'!$D$2:$D$801,$N247)="","",INDEX('Per Invoice'!$D$2:$D$801,$N247)))</f>
        <v/>
      </c>
      <c r="E247">
        <f>IF($N247="","",IF(INDEX('Per Invoice'!$E$2:$E$801,$N247)="","",INDEX('Per Invoice'!$E$2:$E$801,$N247)))</f>
        <v/>
      </c>
      <c r="F247">
        <f>IF($N247="","",IF(INDEX('Per Invoice'!$F$2:$F$801,$N247)="","",INDEX('Per Invoice'!$F$2:$F$801,$N247)))</f>
        <v/>
      </c>
      <c r="G247">
        <f>IF($N247="","",IF(INDEX('Per Invoice'!$G$2:$G$801,$N247)="","",INDEX('Per Invoice'!$G$2:$G$801,$N247)))</f>
        <v/>
      </c>
      <c r="H247">
        <f>IF($N247="","",IF(INDEX('Per Invoice'!$H$2:$H$801,$N247)="","",INDEX('Per Invoice'!$H$2:$H$801,$N247)))</f>
        <v/>
      </c>
      <c r="I247" s="5">
        <f>IF($N247="","",IF(INDEX('Per Invoice'!$I$2:$I$801,$N247)="","",INDEX('Per Invoice'!$I$2:$I$801,$N247)))</f>
        <v/>
      </c>
      <c r="J247" s="5">
        <f>IF($N247="","",IF(INDEX('Per Invoice'!$J$2:$J$801,$N247)="","",INDEX('Per Invoice'!$J$2:$J$801,$N247)))</f>
        <v/>
      </c>
      <c r="K247" s="5">
        <f>IF($N247="","",IF(INDEX('Per Invoice'!$K$2:$K$801,$N247)="","",INDEX('Per Invoice'!$K$2:$K$801,$N247)))</f>
        <v/>
      </c>
      <c r="L247" s="5">
        <f>IF($N247="","",IF(INDEX('Per Invoice'!$L$2:$L$801,$N247)="","",INDEX('Per Invoice'!$L$2:$L$801,$N247)))</f>
        <v/>
      </c>
      <c r="M247" s="5">
        <f>IF($N247="","",IF(INDEX('Per Invoice'!$M$2:$M$801,$N247)="","",INDEX('Per Invoice'!$M$2:$M$801,$N247)))</f>
        <v/>
      </c>
      <c r="N247">
        <f>IF(ROWS($N$2:$N247)&lt;=COUNT('Per Invoice'!$P$2:$P$801),MATCH(ROWS($N$2:$N247),'Per Invoice'!$P$2:$P$801,0),"")</f>
        <v/>
      </c>
    </row>
    <row r="248">
      <c r="A248">
        <f>IF($N248="","",IF(INDEX('Per Invoice'!$A$2:$A$801,$N248)="","",INDEX('Per Invoice'!$A$2:$A$801,$N248)))</f>
        <v/>
      </c>
      <c r="B248">
        <f>IF($N248="","",IF(INDEX('Per Invoice'!$B$2:$B$801,$N248)="","",INDEX('Per Invoice'!$B$2:$B$801,$N248)))</f>
        <v/>
      </c>
      <c r="C248">
        <f>IF($N248="","",IF(INDEX('Per Invoice'!$C$2:$C$801,$N248)="","",INDEX('Per Invoice'!$C$2:$C$801,$N248)))</f>
        <v/>
      </c>
      <c r="D248">
        <f>IF($N248="","",IF(INDEX('Per Invoice'!$D$2:$D$801,$N248)="","",INDEX('Per Invoice'!$D$2:$D$801,$N248)))</f>
        <v/>
      </c>
      <c r="E248">
        <f>IF($N248="","",IF(INDEX('Per Invoice'!$E$2:$E$801,$N248)="","",INDEX('Per Invoice'!$E$2:$E$801,$N248)))</f>
        <v/>
      </c>
      <c r="F248">
        <f>IF($N248="","",IF(INDEX('Per Invoice'!$F$2:$F$801,$N248)="","",INDEX('Per Invoice'!$F$2:$F$801,$N248)))</f>
        <v/>
      </c>
      <c r="G248">
        <f>IF($N248="","",IF(INDEX('Per Invoice'!$G$2:$G$801,$N248)="","",INDEX('Per Invoice'!$G$2:$G$801,$N248)))</f>
        <v/>
      </c>
      <c r="H248">
        <f>IF($N248="","",IF(INDEX('Per Invoice'!$H$2:$H$801,$N248)="","",INDEX('Per Invoice'!$H$2:$H$801,$N248)))</f>
        <v/>
      </c>
      <c r="I248" s="5">
        <f>IF($N248="","",IF(INDEX('Per Invoice'!$I$2:$I$801,$N248)="","",INDEX('Per Invoice'!$I$2:$I$801,$N248)))</f>
        <v/>
      </c>
      <c r="J248" s="5">
        <f>IF($N248="","",IF(INDEX('Per Invoice'!$J$2:$J$801,$N248)="","",INDEX('Per Invoice'!$J$2:$J$801,$N248)))</f>
        <v/>
      </c>
      <c r="K248" s="5">
        <f>IF($N248="","",IF(INDEX('Per Invoice'!$K$2:$K$801,$N248)="","",INDEX('Per Invoice'!$K$2:$K$801,$N248)))</f>
        <v/>
      </c>
      <c r="L248" s="5">
        <f>IF($N248="","",IF(INDEX('Per Invoice'!$L$2:$L$801,$N248)="","",INDEX('Per Invoice'!$L$2:$L$801,$N248)))</f>
        <v/>
      </c>
      <c r="M248" s="5">
        <f>IF($N248="","",IF(INDEX('Per Invoice'!$M$2:$M$801,$N248)="","",INDEX('Per Invoice'!$M$2:$M$801,$N248)))</f>
        <v/>
      </c>
      <c r="N248">
        <f>IF(ROWS($N$2:$N248)&lt;=COUNT('Per Invoice'!$P$2:$P$801),MATCH(ROWS($N$2:$N248),'Per Invoice'!$P$2:$P$801,0),"")</f>
        <v/>
      </c>
    </row>
    <row r="249">
      <c r="A249">
        <f>IF($N249="","",IF(INDEX('Per Invoice'!$A$2:$A$801,$N249)="","",INDEX('Per Invoice'!$A$2:$A$801,$N249)))</f>
        <v/>
      </c>
      <c r="B249">
        <f>IF($N249="","",IF(INDEX('Per Invoice'!$B$2:$B$801,$N249)="","",INDEX('Per Invoice'!$B$2:$B$801,$N249)))</f>
        <v/>
      </c>
      <c r="C249">
        <f>IF($N249="","",IF(INDEX('Per Invoice'!$C$2:$C$801,$N249)="","",INDEX('Per Invoice'!$C$2:$C$801,$N249)))</f>
        <v/>
      </c>
      <c r="D249">
        <f>IF($N249="","",IF(INDEX('Per Invoice'!$D$2:$D$801,$N249)="","",INDEX('Per Invoice'!$D$2:$D$801,$N249)))</f>
        <v/>
      </c>
      <c r="E249">
        <f>IF($N249="","",IF(INDEX('Per Invoice'!$E$2:$E$801,$N249)="","",INDEX('Per Invoice'!$E$2:$E$801,$N249)))</f>
        <v/>
      </c>
      <c r="F249">
        <f>IF($N249="","",IF(INDEX('Per Invoice'!$F$2:$F$801,$N249)="","",INDEX('Per Invoice'!$F$2:$F$801,$N249)))</f>
        <v/>
      </c>
      <c r="G249">
        <f>IF($N249="","",IF(INDEX('Per Invoice'!$G$2:$G$801,$N249)="","",INDEX('Per Invoice'!$G$2:$G$801,$N249)))</f>
        <v/>
      </c>
      <c r="H249">
        <f>IF($N249="","",IF(INDEX('Per Invoice'!$H$2:$H$801,$N249)="","",INDEX('Per Invoice'!$H$2:$H$801,$N249)))</f>
        <v/>
      </c>
      <c r="I249" s="5">
        <f>IF($N249="","",IF(INDEX('Per Invoice'!$I$2:$I$801,$N249)="","",INDEX('Per Invoice'!$I$2:$I$801,$N249)))</f>
        <v/>
      </c>
      <c r="J249" s="5">
        <f>IF($N249="","",IF(INDEX('Per Invoice'!$J$2:$J$801,$N249)="","",INDEX('Per Invoice'!$J$2:$J$801,$N249)))</f>
        <v/>
      </c>
      <c r="K249" s="5">
        <f>IF($N249="","",IF(INDEX('Per Invoice'!$K$2:$K$801,$N249)="","",INDEX('Per Invoice'!$K$2:$K$801,$N249)))</f>
        <v/>
      </c>
      <c r="L249" s="5">
        <f>IF($N249="","",IF(INDEX('Per Invoice'!$L$2:$L$801,$N249)="","",INDEX('Per Invoice'!$L$2:$L$801,$N249)))</f>
        <v/>
      </c>
      <c r="M249" s="5">
        <f>IF($N249="","",IF(INDEX('Per Invoice'!$M$2:$M$801,$N249)="","",INDEX('Per Invoice'!$M$2:$M$801,$N249)))</f>
        <v/>
      </c>
      <c r="N249">
        <f>IF(ROWS($N$2:$N249)&lt;=COUNT('Per Invoice'!$P$2:$P$801),MATCH(ROWS($N$2:$N249),'Per Invoice'!$P$2:$P$801,0),"")</f>
        <v/>
      </c>
    </row>
    <row r="250">
      <c r="A250">
        <f>IF($N250="","",IF(INDEX('Per Invoice'!$A$2:$A$801,$N250)="","",INDEX('Per Invoice'!$A$2:$A$801,$N250)))</f>
        <v/>
      </c>
      <c r="B250">
        <f>IF($N250="","",IF(INDEX('Per Invoice'!$B$2:$B$801,$N250)="","",INDEX('Per Invoice'!$B$2:$B$801,$N250)))</f>
        <v/>
      </c>
      <c r="C250">
        <f>IF($N250="","",IF(INDEX('Per Invoice'!$C$2:$C$801,$N250)="","",INDEX('Per Invoice'!$C$2:$C$801,$N250)))</f>
        <v/>
      </c>
      <c r="D250">
        <f>IF($N250="","",IF(INDEX('Per Invoice'!$D$2:$D$801,$N250)="","",INDEX('Per Invoice'!$D$2:$D$801,$N250)))</f>
        <v/>
      </c>
      <c r="E250">
        <f>IF($N250="","",IF(INDEX('Per Invoice'!$E$2:$E$801,$N250)="","",INDEX('Per Invoice'!$E$2:$E$801,$N250)))</f>
        <v/>
      </c>
      <c r="F250">
        <f>IF($N250="","",IF(INDEX('Per Invoice'!$F$2:$F$801,$N250)="","",INDEX('Per Invoice'!$F$2:$F$801,$N250)))</f>
        <v/>
      </c>
      <c r="G250">
        <f>IF($N250="","",IF(INDEX('Per Invoice'!$G$2:$G$801,$N250)="","",INDEX('Per Invoice'!$G$2:$G$801,$N250)))</f>
        <v/>
      </c>
      <c r="H250">
        <f>IF($N250="","",IF(INDEX('Per Invoice'!$H$2:$H$801,$N250)="","",INDEX('Per Invoice'!$H$2:$H$801,$N250)))</f>
        <v/>
      </c>
      <c r="I250" s="5">
        <f>IF($N250="","",IF(INDEX('Per Invoice'!$I$2:$I$801,$N250)="","",INDEX('Per Invoice'!$I$2:$I$801,$N250)))</f>
        <v/>
      </c>
      <c r="J250" s="5">
        <f>IF($N250="","",IF(INDEX('Per Invoice'!$J$2:$J$801,$N250)="","",INDEX('Per Invoice'!$J$2:$J$801,$N250)))</f>
        <v/>
      </c>
      <c r="K250" s="5">
        <f>IF($N250="","",IF(INDEX('Per Invoice'!$K$2:$K$801,$N250)="","",INDEX('Per Invoice'!$K$2:$K$801,$N250)))</f>
        <v/>
      </c>
      <c r="L250" s="5">
        <f>IF($N250="","",IF(INDEX('Per Invoice'!$L$2:$L$801,$N250)="","",INDEX('Per Invoice'!$L$2:$L$801,$N250)))</f>
        <v/>
      </c>
      <c r="M250" s="5">
        <f>IF($N250="","",IF(INDEX('Per Invoice'!$M$2:$M$801,$N250)="","",INDEX('Per Invoice'!$M$2:$M$801,$N250)))</f>
        <v/>
      </c>
      <c r="N250">
        <f>IF(ROWS($N$2:$N250)&lt;=COUNT('Per Invoice'!$P$2:$P$801),MATCH(ROWS($N$2:$N250),'Per Invoice'!$P$2:$P$801,0),"")</f>
        <v/>
      </c>
    </row>
    <row r="251">
      <c r="A251">
        <f>IF($N251="","",IF(INDEX('Per Invoice'!$A$2:$A$801,$N251)="","",INDEX('Per Invoice'!$A$2:$A$801,$N251)))</f>
        <v/>
      </c>
      <c r="B251">
        <f>IF($N251="","",IF(INDEX('Per Invoice'!$B$2:$B$801,$N251)="","",INDEX('Per Invoice'!$B$2:$B$801,$N251)))</f>
        <v/>
      </c>
      <c r="C251">
        <f>IF($N251="","",IF(INDEX('Per Invoice'!$C$2:$C$801,$N251)="","",INDEX('Per Invoice'!$C$2:$C$801,$N251)))</f>
        <v/>
      </c>
      <c r="D251">
        <f>IF($N251="","",IF(INDEX('Per Invoice'!$D$2:$D$801,$N251)="","",INDEX('Per Invoice'!$D$2:$D$801,$N251)))</f>
        <v/>
      </c>
      <c r="E251">
        <f>IF($N251="","",IF(INDEX('Per Invoice'!$E$2:$E$801,$N251)="","",INDEX('Per Invoice'!$E$2:$E$801,$N251)))</f>
        <v/>
      </c>
      <c r="F251">
        <f>IF($N251="","",IF(INDEX('Per Invoice'!$F$2:$F$801,$N251)="","",INDEX('Per Invoice'!$F$2:$F$801,$N251)))</f>
        <v/>
      </c>
      <c r="G251">
        <f>IF($N251="","",IF(INDEX('Per Invoice'!$G$2:$G$801,$N251)="","",INDEX('Per Invoice'!$G$2:$G$801,$N251)))</f>
        <v/>
      </c>
      <c r="H251">
        <f>IF($N251="","",IF(INDEX('Per Invoice'!$H$2:$H$801,$N251)="","",INDEX('Per Invoice'!$H$2:$H$801,$N251)))</f>
        <v/>
      </c>
      <c r="I251" s="5">
        <f>IF($N251="","",IF(INDEX('Per Invoice'!$I$2:$I$801,$N251)="","",INDEX('Per Invoice'!$I$2:$I$801,$N251)))</f>
        <v/>
      </c>
      <c r="J251" s="5">
        <f>IF($N251="","",IF(INDEX('Per Invoice'!$J$2:$J$801,$N251)="","",INDEX('Per Invoice'!$J$2:$J$801,$N251)))</f>
        <v/>
      </c>
      <c r="K251" s="5">
        <f>IF($N251="","",IF(INDEX('Per Invoice'!$K$2:$K$801,$N251)="","",INDEX('Per Invoice'!$K$2:$K$801,$N251)))</f>
        <v/>
      </c>
      <c r="L251" s="5">
        <f>IF($N251="","",IF(INDEX('Per Invoice'!$L$2:$L$801,$N251)="","",INDEX('Per Invoice'!$L$2:$L$801,$N251)))</f>
        <v/>
      </c>
      <c r="M251" s="5">
        <f>IF($N251="","",IF(INDEX('Per Invoice'!$M$2:$M$801,$N251)="","",INDEX('Per Invoice'!$M$2:$M$801,$N251)))</f>
        <v/>
      </c>
      <c r="N251">
        <f>IF(ROWS($N$2:$N251)&lt;=COUNT('Per Invoice'!$P$2:$P$801),MATCH(ROWS($N$2:$N251),'Per Invoice'!$P$2:$P$801,0),"")</f>
        <v/>
      </c>
    </row>
    <row r="252">
      <c r="A252">
        <f>IF($N252="","",IF(INDEX('Per Invoice'!$A$2:$A$801,$N252)="","",INDEX('Per Invoice'!$A$2:$A$801,$N252)))</f>
        <v/>
      </c>
      <c r="B252">
        <f>IF($N252="","",IF(INDEX('Per Invoice'!$B$2:$B$801,$N252)="","",INDEX('Per Invoice'!$B$2:$B$801,$N252)))</f>
        <v/>
      </c>
      <c r="C252">
        <f>IF($N252="","",IF(INDEX('Per Invoice'!$C$2:$C$801,$N252)="","",INDEX('Per Invoice'!$C$2:$C$801,$N252)))</f>
        <v/>
      </c>
      <c r="D252">
        <f>IF($N252="","",IF(INDEX('Per Invoice'!$D$2:$D$801,$N252)="","",INDEX('Per Invoice'!$D$2:$D$801,$N252)))</f>
        <v/>
      </c>
      <c r="E252">
        <f>IF($N252="","",IF(INDEX('Per Invoice'!$E$2:$E$801,$N252)="","",INDEX('Per Invoice'!$E$2:$E$801,$N252)))</f>
        <v/>
      </c>
      <c r="F252">
        <f>IF($N252="","",IF(INDEX('Per Invoice'!$F$2:$F$801,$N252)="","",INDEX('Per Invoice'!$F$2:$F$801,$N252)))</f>
        <v/>
      </c>
      <c r="G252">
        <f>IF($N252="","",IF(INDEX('Per Invoice'!$G$2:$G$801,$N252)="","",INDEX('Per Invoice'!$G$2:$G$801,$N252)))</f>
        <v/>
      </c>
      <c r="H252">
        <f>IF($N252="","",IF(INDEX('Per Invoice'!$H$2:$H$801,$N252)="","",INDEX('Per Invoice'!$H$2:$H$801,$N252)))</f>
        <v/>
      </c>
      <c r="I252" s="5">
        <f>IF($N252="","",IF(INDEX('Per Invoice'!$I$2:$I$801,$N252)="","",INDEX('Per Invoice'!$I$2:$I$801,$N252)))</f>
        <v/>
      </c>
      <c r="J252" s="5">
        <f>IF($N252="","",IF(INDEX('Per Invoice'!$J$2:$J$801,$N252)="","",INDEX('Per Invoice'!$J$2:$J$801,$N252)))</f>
        <v/>
      </c>
      <c r="K252" s="5">
        <f>IF($N252="","",IF(INDEX('Per Invoice'!$K$2:$K$801,$N252)="","",INDEX('Per Invoice'!$K$2:$K$801,$N252)))</f>
        <v/>
      </c>
      <c r="L252" s="5">
        <f>IF($N252="","",IF(INDEX('Per Invoice'!$L$2:$L$801,$N252)="","",INDEX('Per Invoice'!$L$2:$L$801,$N252)))</f>
        <v/>
      </c>
      <c r="M252" s="5">
        <f>IF($N252="","",IF(INDEX('Per Invoice'!$M$2:$M$801,$N252)="","",INDEX('Per Invoice'!$M$2:$M$801,$N252)))</f>
        <v/>
      </c>
      <c r="N252">
        <f>IF(ROWS($N$2:$N252)&lt;=COUNT('Per Invoice'!$P$2:$P$801),MATCH(ROWS($N$2:$N252),'Per Invoice'!$P$2:$P$801,0),"")</f>
        <v/>
      </c>
    </row>
    <row r="253">
      <c r="A253">
        <f>IF($N253="","",IF(INDEX('Per Invoice'!$A$2:$A$801,$N253)="","",INDEX('Per Invoice'!$A$2:$A$801,$N253)))</f>
        <v/>
      </c>
      <c r="B253">
        <f>IF($N253="","",IF(INDEX('Per Invoice'!$B$2:$B$801,$N253)="","",INDEX('Per Invoice'!$B$2:$B$801,$N253)))</f>
        <v/>
      </c>
      <c r="C253">
        <f>IF($N253="","",IF(INDEX('Per Invoice'!$C$2:$C$801,$N253)="","",INDEX('Per Invoice'!$C$2:$C$801,$N253)))</f>
        <v/>
      </c>
      <c r="D253">
        <f>IF($N253="","",IF(INDEX('Per Invoice'!$D$2:$D$801,$N253)="","",INDEX('Per Invoice'!$D$2:$D$801,$N253)))</f>
        <v/>
      </c>
      <c r="E253">
        <f>IF($N253="","",IF(INDEX('Per Invoice'!$E$2:$E$801,$N253)="","",INDEX('Per Invoice'!$E$2:$E$801,$N253)))</f>
        <v/>
      </c>
      <c r="F253">
        <f>IF($N253="","",IF(INDEX('Per Invoice'!$F$2:$F$801,$N253)="","",INDEX('Per Invoice'!$F$2:$F$801,$N253)))</f>
        <v/>
      </c>
      <c r="G253">
        <f>IF($N253="","",IF(INDEX('Per Invoice'!$G$2:$G$801,$N253)="","",INDEX('Per Invoice'!$G$2:$G$801,$N253)))</f>
        <v/>
      </c>
      <c r="H253">
        <f>IF($N253="","",IF(INDEX('Per Invoice'!$H$2:$H$801,$N253)="","",INDEX('Per Invoice'!$H$2:$H$801,$N253)))</f>
        <v/>
      </c>
      <c r="I253" s="5">
        <f>IF($N253="","",IF(INDEX('Per Invoice'!$I$2:$I$801,$N253)="","",INDEX('Per Invoice'!$I$2:$I$801,$N253)))</f>
        <v/>
      </c>
      <c r="J253" s="5">
        <f>IF($N253="","",IF(INDEX('Per Invoice'!$J$2:$J$801,$N253)="","",INDEX('Per Invoice'!$J$2:$J$801,$N253)))</f>
        <v/>
      </c>
      <c r="K253" s="5">
        <f>IF($N253="","",IF(INDEX('Per Invoice'!$K$2:$K$801,$N253)="","",INDEX('Per Invoice'!$K$2:$K$801,$N253)))</f>
        <v/>
      </c>
      <c r="L253" s="5">
        <f>IF($N253="","",IF(INDEX('Per Invoice'!$L$2:$L$801,$N253)="","",INDEX('Per Invoice'!$L$2:$L$801,$N253)))</f>
        <v/>
      </c>
      <c r="M253" s="5">
        <f>IF($N253="","",IF(INDEX('Per Invoice'!$M$2:$M$801,$N253)="","",INDEX('Per Invoice'!$M$2:$M$801,$N253)))</f>
        <v/>
      </c>
      <c r="N253">
        <f>IF(ROWS($N$2:$N253)&lt;=COUNT('Per Invoice'!$P$2:$P$801),MATCH(ROWS($N$2:$N253),'Per Invoice'!$P$2:$P$801,0),"")</f>
        <v/>
      </c>
    </row>
    <row r="254">
      <c r="A254">
        <f>IF($N254="","",IF(INDEX('Per Invoice'!$A$2:$A$801,$N254)="","",INDEX('Per Invoice'!$A$2:$A$801,$N254)))</f>
        <v/>
      </c>
      <c r="B254">
        <f>IF($N254="","",IF(INDEX('Per Invoice'!$B$2:$B$801,$N254)="","",INDEX('Per Invoice'!$B$2:$B$801,$N254)))</f>
        <v/>
      </c>
      <c r="C254">
        <f>IF($N254="","",IF(INDEX('Per Invoice'!$C$2:$C$801,$N254)="","",INDEX('Per Invoice'!$C$2:$C$801,$N254)))</f>
        <v/>
      </c>
      <c r="D254">
        <f>IF($N254="","",IF(INDEX('Per Invoice'!$D$2:$D$801,$N254)="","",INDEX('Per Invoice'!$D$2:$D$801,$N254)))</f>
        <v/>
      </c>
      <c r="E254">
        <f>IF($N254="","",IF(INDEX('Per Invoice'!$E$2:$E$801,$N254)="","",INDEX('Per Invoice'!$E$2:$E$801,$N254)))</f>
        <v/>
      </c>
      <c r="F254">
        <f>IF($N254="","",IF(INDEX('Per Invoice'!$F$2:$F$801,$N254)="","",INDEX('Per Invoice'!$F$2:$F$801,$N254)))</f>
        <v/>
      </c>
      <c r="G254">
        <f>IF($N254="","",IF(INDEX('Per Invoice'!$G$2:$G$801,$N254)="","",INDEX('Per Invoice'!$G$2:$G$801,$N254)))</f>
        <v/>
      </c>
      <c r="H254">
        <f>IF($N254="","",IF(INDEX('Per Invoice'!$H$2:$H$801,$N254)="","",INDEX('Per Invoice'!$H$2:$H$801,$N254)))</f>
        <v/>
      </c>
      <c r="I254" s="5">
        <f>IF($N254="","",IF(INDEX('Per Invoice'!$I$2:$I$801,$N254)="","",INDEX('Per Invoice'!$I$2:$I$801,$N254)))</f>
        <v/>
      </c>
      <c r="J254" s="5">
        <f>IF($N254="","",IF(INDEX('Per Invoice'!$J$2:$J$801,$N254)="","",INDEX('Per Invoice'!$J$2:$J$801,$N254)))</f>
        <v/>
      </c>
      <c r="K254" s="5">
        <f>IF($N254="","",IF(INDEX('Per Invoice'!$K$2:$K$801,$N254)="","",INDEX('Per Invoice'!$K$2:$K$801,$N254)))</f>
        <v/>
      </c>
      <c r="L254" s="5">
        <f>IF($N254="","",IF(INDEX('Per Invoice'!$L$2:$L$801,$N254)="","",INDEX('Per Invoice'!$L$2:$L$801,$N254)))</f>
        <v/>
      </c>
      <c r="M254" s="5">
        <f>IF($N254="","",IF(INDEX('Per Invoice'!$M$2:$M$801,$N254)="","",INDEX('Per Invoice'!$M$2:$M$801,$N254)))</f>
        <v/>
      </c>
      <c r="N254">
        <f>IF(ROWS($N$2:$N254)&lt;=COUNT('Per Invoice'!$P$2:$P$801),MATCH(ROWS($N$2:$N254),'Per Invoice'!$P$2:$P$801,0),"")</f>
        <v/>
      </c>
    </row>
    <row r="255">
      <c r="A255">
        <f>IF($N255="","",IF(INDEX('Per Invoice'!$A$2:$A$801,$N255)="","",INDEX('Per Invoice'!$A$2:$A$801,$N255)))</f>
        <v/>
      </c>
      <c r="B255">
        <f>IF($N255="","",IF(INDEX('Per Invoice'!$B$2:$B$801,$N255)="","",INDEX('Per Invoice'!$B$2:$B$801,$N255)))</f>
        <v/>
      </c>
      <c r="C255">
        <f>IF($N255="","",IF(INDEX('Per Invoice'!$C$2:$C$801,$N255)="","",INDEX('Per Invoice'!$C$2:$C$801,$N255)))</f>
        <v/>
      </c>
      <c r="D255">
        <f>IF($N255="","",IF(INDEX('Per Invoice'!$D$2:$D$801,$N255)="","",INDEX('Per Invoice'!$D$2:$D$801,$N255)))</f>
        <v/>
      </c>
      <c r="E255">
        <f>IF($N255="","",IF(INDEX('Per Invoice'!$E$2:$E$801,$N255)="","",INDEX('Per Invoice'!$E$2:$E$801,$N255)))</f>
        <v/>
      </c>
      <c r="F255">
        <f>IF($N255="","",IF(INDEX('Per Invoice'!$F$2:$F$801,$N255)="","",INDEX('Per Invoice'!$F$2:$F$801,$N255)))</f>
        <v/>
      </c>
      <c r="G255">
        <f>IF($N255="","",IF(INDEX('Per Invoice'!$G$2:$G$801,$N255)="","",INDEX('Per Invoice'!$G$2:$G$801,$N255)))</f>
        <v/>
      </c>
      <c r="H255">
        <f>IF($N255="","",IF(INDEX('Per Invoice'!$H$2:$H$801,$N255)="","",INDEX('Per Invoice'!$H$2:$H$801,$N255)))</f>
        <v/>
      </c>
      <c r="I255" s="5">
        <f>IF($N255="","",IF(INDEX('Per Invoice'!$I$2:$I$801,$N255)="","",INDEX('Per Invoice'!$I$2:$I$801,$N255)))</f>
        <v/>
      </c>
      <c r="J255" s="5">
        <f>IF($N255="","",IF(INDEX('Per Invoice'!$J$2:$J$801,$N255)="","",INDEX('Per Invoice'!$J$2:$J$801,$N255)))</f>
        <v/>
      </c>
      <c r="K255" s="5">
        <f>IF($N255="","",IF(INDEX('Per Invoice'!$K$2:$K$801,$N255)="","",INDEX('Per Invoice'!$K$2:$K$801,$N255)))</f>
        <v/>
      </c>
      <c r="L255" s="5">
        <f>IF($N255="","",IF(INDEX('Per Invoice'!$L$2:$L$801,$N255)="","",INDEX('Per Invoice'!$L$2:$L$801,$N255)))</f>
        <v/>
      </c>
      <c r="M255" s="5">
        <f>IF($N255="","",IF(INDEX('Per Invoice'!$M$2:$M$801,$N255)="","",INDEX('Per Invoice'!$M$2:$M$801,$N255)))</f>
        <v/>
      </c>
      <c r="N255">
        <f>IF(ROWS($N$2:$N255)&lt;=COUNT('Per Invoice'!$P$2:$P$801),MATCH(ROWS($N$2:$N255),'Per Invoice'!$P$2:$P$801,0),"")</f>
        <v/>
      </c>
    </row>
    <row r="256">
      <c r="A256">
        <f>IF($N256="","",IF(INDEX('Per Invoice'!$A$2:$A$801,$N256)="","",INDEX('Per Invoice'!$A$2:$A$801,$N256)))</f>
        <v/>
      </c>
      <c r="B256">
        <f>IF($N256="","",IF(INDEX('Per Invoice'!$B$2:$B$801,$N256)="","",INDEX('Per Invoice'!$B$2:$B$801,$N256)))</f>
        <v/>
      </c>
      <c r="C256">
        <f>IF($N256="","",IF(INDEX('Per Invoice'!$C$2:$C$801,$N256)="","",INDEX('Per Invoice'!$C$2:$C$801,$N256)))</f>
        <v/>
      </c>
      <c r="D256">
        <f>IF($N256="","",IF(INDEX('Per Invoice'!$D$2:$D$801,$N256)="","",INDEX('Per Invoice'!$D$2:$D$801,$N256)))</f>
        <v/>
      </c>
      <c r="E256">
        <f>IF($N256="","",IF(INDEX('Per Invoice'!$E$2:$E$801,$N256)="","",INDEX('Per Invoice'!$E$2:$E$801,$N256)))</f>
        <v/>
      </c>
      <c r="F256">
        <f>IF($N256="","",IF(INDEX('Per Invoice'!$F$2:$F$801,$N256)="","",INDEX('Per Invoice'!$F$2:$F$801,$N256)))</f>
        <v/>
      </c>
      <c r="G256">
        <f>IF($N256="","",IF(INDEX('Per Invoice'!$G$2:$G$801,$N256)="","",INDEX('Per Invoice'!$G$2:$G$801,$N256)))</f>
        <v/>
      </c>
      <c r="H256">
        <f>IF($N256="","",IF(INDEX('Per Invoice'!$H$2:$H$801,$N256)="","",INDEX('Per Invoice'!$H$2:$H$801,$N256)))</f>
        <v/>
      </c>
      <c r="I256" s="5">
        <f>IF($N256="","",IF(INDEX('Per Invoice'!$I$2:$I$801,$N256)="","",INDEX('Per Invoice'!$I$2:$I$801,$N256)))</f>
        <v/>
      </c>
      <c r="J256" s="5">
        <f>IF($N256="","",IF(INDEX('Per Invoice'!$J$2:$J$801,$N256)="","",INDEX('Per Invoice'!$J$2:$J$801,$N256)))</f>
        <v/>
      </c>
      <c r="K256" s="5">
        <f>IF($N256="","",IF(INDEX('Per Invoice'!$K$2:$K$801,$N256)="","",INDEX('Per Invoice'!$K$2:$K$801,$N256)))</f>
        <v/>
      </c>
      <c r="L256" s="5">
        <f>IF($N256="","",IF(INDEX('Per Invoice'!$L$2:$L$801,$N256)="","",INDEX('Per Invoice'!$L$2:$L$801,$N256)))</f>
        <v/>
      </c>
      <c r="M256" s="5">
        <f>IF($N256="","",IF(INDEX('Per Invoice'!$M$2:$M$801,$N256)="","",INDEX('Per Invoice'!$M$2:$M$801,$N256)))</f>
        <v/>
      </c>
      <c r="N256">
        <f>IF(ROWS($N$2:$N256)&lt;=COUNT('Per Invoice'!$P$2:$P$801),MATCH(ROWS($N$2:$N256),'Per Invoice'!$P$2:$P$801,0),"")</f>
        <v/>
      </c>
    </row>
    <row r="257">
      <c r="A257">
        <f>IF($N257="","",IF(INDEX('Per Invoice'!$A$2:$A$801,$N257)="","",INDEX('Per Invoice'!$A$2:$A$801,$N257)))</f>
        <v/>
      </c>
      <c r="B257">
        <f>IF($N257="","",IF(INDEX('Per Invoice'!$B$2:$B$801,$N257)="","",INDEX('Per Invoice'!$B$2:$B$801,$N257)))</f>
        <v/>
      </c>
      <c r="C257">
        <f>IF($N257="","",IF(INDEX('Per Invoice'!$C$2:$C$801,$N257)="","",INDEX('Per Invoice'!$C$2:$C$801,$N257)))</f>
        <v/>
      </c>
      <c r="D257">
        <f>IF($N257="","",IF(INDEX('Per Invoice'!$D$2:$D$801,$N257)="","",INDEX('Per Invoice'!$D$2:$D$801,$N257)))</f>
        <v/>
      </c>
      <c r="E257">
        <f>IF($N257="","",IF(INDEX('Per Invoice'!$E$2:$E$801,$N257)="","",INDEX('Per Invoice'!$E$2:$E$801,$N257)))</f>
        <v/>
      </c>
      <c r="F257">
        <f>IF($N257="","",IF(INDEX('Per Invoice'!$F$2:$F$801,$N257)="","",INDEX('Per Invoice'!$F$2:$F$801,$N257)))</f>
        <v/>
      </c>
      <c r="G257">
        <f>IF($N257="","",IF(INDEX('Per Invoice'!$G$2:$G$801,$N257)="","",INDEX('Per Invoice'!$G$2:$G$801,$N257)))</f>
        <v/>
      </c>
      <c r="H257">
        <f>IF($N257="","",IF(INDEX('Per Invoice'!$H$2:$H$801,$N257)="","",INDEX('Per Invoice'!$H$2:$H$801,$N257)))</f>
        <v/>
      </c>
      <c r="I257" s="5">
        <f>IF($N257="","",IF(INDEX('Per Invoice'!$I$2:$I$801,$N257)="","",INDEX('Per Invoice'!$I$2:$I$801,$N257)))</f>
        <v/>
      </c>
      <c r="J257" s="5">
        <f>IF($N257="","",IF(INDEX('Per Invoice'!$J$2:$J$801,$N257)="","",INDEX('Per Invoice'!$J$2:$J$801,$N257)))</f>
        <v/>
      </c>
      <c r="K257" s="5">
        <f>IF($N257="","",IF(INDEX('Per Invoice'!$K$2:$K$801,$N257)="","",INDEX('Per Invoice'!$K$2:$K$801,$N257)))</f>
        <v/>
      </c>
      <c r="L257" s="5">
        <f>IF($N257="","",IF(INDEX('Per Invoice'!$L$2:$L$801,$N257)="","",INDEX('Per Invoice'!$L$2:$L$801,$N257)))</f>
        <v/>
      </c>
      <c r="M257" s="5">
        <f>IF($N257="","",IF(INDEX('Per Invoice'!$M$2:$M$801,$N257)="","",INDEX('Per Invoice'!$M$2:$M$801,$N257)))</f>
        <v/>
      </c>
      <c r="N257">
        <f>IF(ROWS($N$2:$N257)&lt;=COUNT('Per Invoice'!$P$2:$P$801),MATCH(ROWS($N$2:$N257),'Per Invoice'!$P$2:$P$801,0),"")</f>
        <v/>
      </c>
    </row>
    <row r="258">
      <c r="A258">
        <f>IF($N258="","",IF(INDEX('Per Invoice'!$A$2:$A$801,$N258)="","",INDEX('Per Invoice'!$A$2:$A$801,$N258)))</f>
        <v/>
      </c>
      <c r="B258">
        <f>IF($N258="","",IF(INDEX('Per Invoice'!$B$2:$B$801,$N258)="","",INDEX('Per Invoice'!$B$2:$B$801,$N258)))</f>
        <v/>
      </c>
      <c r="C258">
        <f>IF($N258="","",IF(INDEX('Per Invoice'!$C$2:$C$801,$N258)="","",INDEX('Per Invoice'!$C$2:$C$801,$N258)))</f>
        <v/>
      </c>
      <c r="D258">
        <f>IF($N258="","",IF(INDEX('Per Invoice'!$D$2:$D$801,$N258)="","",INDEX('Per Invoice'!$D$2:$D$801,$N258)))</f>
        <v/>
      </c>
      <c r="E258">
        <f>IF($N258="","",IF(INDEX('Per Invoice'!$E$2:$E$801,$N258)="","",INDEX('Per Invoice'!$E$2:$E$801,$N258)))</f>
        <v/>
      </c>
      <c r="F258">
        <f>IF($N258="","",IF(INDEX('Per Invoice'!$F$2:$F$801,$N258)="","",INDEX('Per Invoice'!$F$2:$F$801,$N258)))</f>
        <v/>
      </c>
      <c r="G258">
        <f>IF($N258="","",IF(INDEX('Per Invoice'!$G$2:$G$801,$N258)="","",INDEX('Per Invoice'!$G$2:$G$801,$N258)))</f>
        <v/>
      </c>
      <c r="H258">
        <f>IF($N258="","",IF(INDEX('Per Invoice'!$H$2:$H$801,$N258)="","",INDEX('Per Invoice'!$H$2:$H$801,$N258)))</f>
        <v/>
      </c>
      <c r="I258" s="5">
        <f>IF($N258="","",IF(INDEX('Per Invoice'!$I$2:$I$801,$N258)="","",INDEX('Per Invoice'!$I$2:$I$801,$N258)))</f>
        <v/>
      </c>
      <c r="J258" s="5">
        <f>IF($N258="","",IF(INDEX('Per Invoice'!$J$2:$J$801,$N258)="","",INDEX('Per Invoice'!$J$2:$J$801,$N258)))</f>
        <v/>
      </c>
      <c r="K258" s="5">
        <f>IF($N258="","",IF(INDEX('Per Invoice'!$K$2:$K$801,$N258)="","",INDEX('Per Invoice'!$K$2:$K$801,$N258)))</f>
        <v/>
      </c>
      <c r="L258" s="5">
        <f>IF($N258="","",IF(INDEX('Per Invoice'!$L$2:$L$801,$N258)="","",INDEX('Per Invoice'!$L$2:$L$801,$N258)))</f>
        <v/>
      </c>
      <c r="M258" s="5">
        <f>IF($N258="","",IF(INDEX('Per Invoice'!$M$2:$M$801,$N258)="","",INDEX('Per Invoice'!$M$2:$M$801,$N258)))</f>
        <v/>
      </c>
      <c r="N258">
        <f>IF(ROWS($N$2:$N258)&lt;=COUNT('Per Invoice'!$P$2:$P$801),MATCH(ROWS($N$2:$N258),'Per Invoice'!$P$2:$P$801,0),"")</f>
        <v/>
      </c>
    </row>
    <row r="259">
      <c r="A259">
        <f>IF($N259="","",IF(INDEX('Per Invoice'!$A$2:$A$801,$N259)="","",INDEX('Per Invoice'!$A$2:$A$801,$N259)))</f>
        <v/>
      </c>
      <c r="B259">
        <f>IF($N259="","",IF(INDEX('Per Invoice'!$B$2:$B$801,$N259)="","",INDEX('Per Invoice'!$B$2:$B$801,$N259)))</f>
        <v/>
      </c>
      <c r="C259">
        <f>IF($N259="","",IF(INDEX('Per Invoice'!$C$2:$C$801,$N259)="","",INDEX('Per Invoice'!$C$2:$C$801,$N259)))</f>
        <v/>
      </c>
      <c r="D259">
        <f>IF($N259="","",IF(INDEX('Per Invoice'!$D$2:$D$801,$N259)="","",INDEX('Per Invoice'!$D$2:$D$801,$N259)))</f>
        <v/>
      </c>
      <c r="E259">
        <f>IF($N259="","",IF(INDEX('Per Invoice'!$E$2:$E$801,$N259)="","",INDEX('Per Invoice'!$E$2:$E$801,$N259)))</f>
        <v/>
      </c>
      <c r="F259">
        <f>IF($N259="","",IF(INDEX('Per Invoice'!$F$2:$F$801,$N259)="","",INDEX('Per Invoice'!$F$2:$F$801,$N259)))</f>
        <v/>
      </c>
      <c r="G259">
        <f>IF($N259="","",IF(INDEX('Per Invoice'!$G$2:$G$801,$N259)="","",INDEX('Per Invoice'!$G$2:$G$801,$N259)))</f>
        <v/>
      </c>
      <c r="H259">
        <f>IF($N259="","",IF(INDEX('Per Invoice'!$H$2:$H$801,$N259)="","",INDEX('Per Invoice'!$H$2:$H$801,$N259)))</f>
        <v/>
      </c>
      <c r="I259" s="5">
        <f>IF($N259="","",IF(INDEX('Per Invoice'!$I$2:$I$801,$N259)="","",INDEX('Per Invoice'!$I$2:$I$801,$N259)))</f>
        <v/>
      </c>
      <c r="J259" s="5">
        <f>IF($N259="","",IF(INDEX('Per Invoice'!$J$2:$J$801,$N259)="","",INDEX('Per Invoice'!$J$2:$J$801,$N259)))</f>
        <v/>
      </c>
      <c r="K259" s="5">
        <f>IF($N259="","",IF(INDEX('Per Invoice'!$K$2:$K$801,$N259)="","",INDEX('Per Invoice'!$K$2:$K$801,$N259)))</f>
        <v/>
      </c>
      <c r="L259" s="5">
        <f>IF($N259="","",IF(INDEX('Per Invoice'!$L$2:$L$801,$N259)="","",INDEX('Per Invoice'!$L$2:$L$801,$N259)))</f>
        <v/>
      </c>
      <c r="M259" s="5">
        <f>IF($N259="","",IF(INDEX('Per Invoice'!$M$2:$M$801,$N259)="","",INDEX('Per Invoice'!$M$2:$M$801,$N259)))</f>
        <v/>
      </c>
      <c r="N259">
        <f>IF(ROWS($N$2:$N259)&lt;=COUNT('Per Invoice'!$P$2:$P$801),MATCH(ROWS($N$2:$N259),'Per Invoice'!$P$2:$P$801,0),"")</f>
        <v/>
      </c>
    </row>
    <row r="260">
      <c r="A260">
        <f>IF($N260="","",IF(INDEX('Per Invoice'!$A$2:$A$801,$N260)="","",INDEX('Per Invoice'!$A$2:$A$801,$N260)))</f>
        <v/>
      </c>
      <c r="B260">
        <f>IF($N260="","",IF(INDEX('Per Invoice'!$B$2:$B$801,$N260)="","",INDEX('Per Invoice'!$B$2:$B$801,$N260)))</f>
        <v/>
      </c>
      <c r="C260">
        <f>IF($N260="","",IF(INDEX('Per Invoice'!$C$2:$C$801,$N260)="","",INDEX('Per Invoice'!$C$2:$C$801,$N260)))</f>
        <v/>
      </c>
      <c r="D260">
        <f>IF($N260="","",IF(INDEX('Per Invoice'!$D$2:$D$801,$N260)="","",INDEX('Per Invoice'!$D$2:$D$801,$N260)))</f>
        <v/>
      </c>
      <c r="E260">
        <f>IF($N260="","",IF(INDEX('Per Invoice'!$E$2:$E$801,$N260)="","",INDEX('Per Invoice'!$E$2:$E$801,$N260)))</f>
        <v/>
      </c>
      <c r="F260">
        <f>IF($N260="","",IF(INDEX('Per Invoice'!$F$2:$F$801,$N260)="","",INDEX('Per Invoice'!$F$2:$F$801,$N260)))</f>
        <v/>
      </c>
      <c r="G260">
        <f>IF($N260="","",IF(INDEX('Per Invoice'!$G$2:$G$801,$N260)="","",INDEX('Per Invoice'!$G$2:$G$801,$N260)))</f>
        <v/>
      </c>
      <c r="H260">
        <f>IF($N260="","",IF(INDEX('Per Invoice'!$H$2:$H$801,$N260)="","",INDEX('Per Invoice'!$H$2:$H$801,$N260)))</f>
        <v/>
      </c>
      <c r="I260" s="5">
        <f>IF($N260="","",IF(INDEX('Per Invoice'!$I$2:$I$801,$N260)="","",INDEX('Per Invoice'!$I$2:$I$801,$N260)))</f>
        <v/>
      </c>
      <c r="J260" s="5">
        <f>IF($N260="","",IF(INDEX('Per Invoice'!$J$2:$J$801,$N260)="","",INDEX('Per Invoice'!$J$2:$J$801,$N260)))</f>
        <v/>
      </c>
      <c r="K260" s="5">
        <f>IF($N260="","",IF(INDEX('Per Invoice'!$K$2:$K$801,$N260)="","",INDEX('Per Invoice'!$K$2:$K$801,$N260)))</f>
        <v/>
      </c>
      <c r="L260" s="5">
        <f>IF($N260="","",IF(INDEX('Per Invoice'!$L$2:$L$801,$N260)="","",INDEX('Per Invoice'!$L$2:$L$801,$N260)))</f>
        <v/>
      </c>
      <c r="M260" s="5">
        <f>IF($N260="","",IF(INDEX('Per Invoice'!$M$2:$M$801,$N260)="","",INDEX('Per Invoice'!$M$2:$M$801,$N260)))</f>
        <v/>
      </c>
      <c r="N260">
        <f>IF(ROWS($N$2:$N260)&lt;=COUNT('Per Invoice'!$P$2:$P$801),MATCH(ROWS($N$2:$N260),'Per Invoice'!$P$2:$P$801,0),"")</f>
        <v/>
      </c>
    </row>
    <row r="261">
      <c r="A261">
        <f>IF($N261="","",IF(INDEX('Per Invoice'!$A$2:$A$801,$N261)="","",INDEX('Per Invoice'!$A$2:$A$801,$N261)))</f>
        <v/>
      </c>
      <c r="B261">
        <f>IF($N261="","",IF(INDEX('Per Invoice'!$B$2:$B$801,$N261)="","",INDEX('Per Invoice'!$B$2:$B$801,$N261)))</f>
        <v/>
      </c>
      <c r="C261">
        <f>IF($N261="","",IF(INDEX('Per Invoice'!$C$2:$C$801,$N261)="","",INDEX('Per Invoice'!$C$2:$C$801,$N261)))</f>
        <v/>
      </c>
      <c r="D261">
        <f>IF($N261="","",IF(INDEX('Per Invoice'!$D$2:$D$801,$N261)="","",INDEX('Per Invoice'!$D$2:$D$801,$N261)))</f>
        <v/>
      </c>
      <c r="E261">
        <f>IF($N261="","",IF(INDEX('Per Invoice'!$E$2:$E$801,$N261)="","",INDEX('Per Invoice'!$E$2:$E$801,$N261)))</f>
        <v/>
      </c>
      <c r="F261">
        <f>IF($N261="","",IF(INDEX('Per Invoice'!$F$2:$F$801,$N261)="","",INDEX('Per Invoice'!$F$2:$F$801,$N261)))</f>
        <v/>
      </c>
      <c r="G261">
        <f>IF($N261="","",IF(INDEX('Per Invoice'!$G$2:$G$801,$N261)="","",INDEX('Per Invoice'!$G$2:$G$801,$N261)))</f>
        <v/>
      </c>
      <c r="H261">
        <f>IF($N261="","",IF(INDEX('Per Invoice'!$H$2:$H$801,$N261)="","",INDEX('Per Invoice'!$H$2:$H$801,$N261)))</f>
        <v/>
      </c>
      <c r="I261" s="5">
        <f>IF($N261="","",IF(INDEX('Per Invoice'!$I$2:$I$801,$N261)="","",INDEX('Per Invoice'!$I$2:$I$801,$N261)))</f>
        <v/>
      </c>
      <c r="J261" s="5">
        <f>IF($N261="","",IF(INDEX('Per Invoice'!$J$2:$J$801,$N261)="","",INDEX('Per Invoice'!$J$2:$J$801,$N261)))</f>
        <v/>
      </c>
      <c r="K261" s="5">
        <f>IF($N261="","",IF(INDEX('Per Invoice'!$K$2:$K$801,$N261)="","",INDEX('Per Invoice'!$K$2:$K$801,$N261)))</f>
        <v/>
      </c>
      <c r="L261" s="5">
        <f>IF($N261="","",IF(INDEX('Per Invoice'!$L$2:$L$801,$N261)="","",INDEX('Per Invoice'!$L$2:$L$801,$N261)))</f>
        <v/>
      </c>
      <c r="M261" s="5">
        <f>IF($N261="","",IF(INDEX('Per Invoice'!$M$2:$M$801,$N261)="","",INDEX('Per Invoice'!$M$2:$M$801,$N261)))</f>
        <v/>
      </c>
      <c r="N261">
        <f>IF(ROWS($N$2:$N261)&lt;=COUNT('Per Invoice'!$P$2:$P$801),MATCH(ROWS($N$2:$N261),'Per Invoice'!$P$2:$P$801,0),"")</f>
        <v/>
      </c>
    </row>
    <row r="262">
      <c r="A262">
        <f>IF($N262="","",IF(INDEX('Per Invoice'!$A$2:$A$801,$N262)="","",INDEX('Per Invoice'!$A$2:$A$801,$N262)))</f>
        <v/>
      </c>
      <c r="B262">
        <f>IF($N262="","",IF(INDEX('Per Invoice'!$B$2:$B$801,$N262)="","",INDEX('Per Invoice'!$B$2:$B$801,$N262)))</f>
        <v/>
      </c>
      <c r="C262">
        <f>IF($N262="","",IF(INDEX('Per Invoice'!$C$2:$C$801,$N262)="","",INDEX('Per Invoice'!$C$2:$C$801,$N262)))</f>
        <v/>
      </c>
      <c r="D262">
        <f>IF($N262="","",IF(INDEX('Per Invoice'!$D$2:$D$801,$N262)="","",INDEX('Per Invoice'!$D$2:$D$801,$N262)))</f>
        <v/>
      </c>
      <c r="E262">
        <f>IF($N262="","",IF(INDEX('Per Invoice'!$E$2:$E$801,$N262)="","",INDEX('Per Invoice'!$E$2:$E$801,$N262)))</f>
        <v/>
      </c>
      <c r="F262">
        <f>IF($N262="","",IF(INDEX('Per Invoice'!$F$2:$F$801,$N262)="","",INDEX('Per Invoice'!$F$2:$F$801,$N262)))</f>
        <v/>
      </c>
      <c r="G262">
        <f>IF($N262="","",IF(INDEX('Per Invoice'!$G$2:$G$801,$N262)="","",INDEX('Per Invoice'!$G$2:$G$801,$N262)))</f>
        <v/>
      </c>
      <c r="H262">
        <f>IF($N262="","",IF(INDEX('Per Invoice'!$H$2:$H$801,$N262)="","",INDEX('Per Invoice'!$H$2:$H$801,$N262)))</f>
        <v/>
      </c>
      <c r="I262" s="5">
        <f>IF($N262="","",IF(INDEX('Per Invoice'!$I$2:$I$801,$N262)="","",INDEX('Per Invoice'!$I$2:$I$801,$N262)))</f>
        <v/>
      </c>
      <c r="J262" s="5">
        <f>IF($N262="","",IF(INDEX('Per Invoice'!$J$2:$J$801,$N262)="","",INDEX('Per Invoice'!$J$2:$J$801,$N262)))</f>
        <v/>
      </c>
      <c r="K262" s="5">
        <f>IF($N262="","",IF(INDEX('Per Invoice'!$K$2:$K$801,$N262)="","",INDEX('Per Invoice'!$K$2:$K$801,$N262)))</f>
        <v/>
      </c>
      <c r="L262" s="5">
        <f>IF($N262="","",IF(INDEX('Per Invoice'!$L$2:$L$801,$N262)="","",INDEX('Per Invoice'!$L$2:$L$801,$N262)))</f>
        <v/>
      </c>
      <c r="M262" s="5">
        <f>IF($N262="","",IF(INDEX('Per Invoice'!$M$2:$M$801,$N262)="","",INDEX('Per Invoice'!$M$2:$M$801,$N262)))</f>
        <v/>
      </c>
      <c r="N262">
        <f>IF(ROWS($N$2:$N262)&lt;=COUNT('Per Invoice'!$P$2:$P$801),MATCH(ROWS($N$2:$N262),'Per Invoice'!$P$2:$P$801,0),"")</f>
        <v/>
      </c>
    </row>
    <row r="263">
      <c r="A263">
        <f>IF($N263="","",IF(INDEX('Per Invoice'!$A$2:$A$801,$N263)="","",INDEX('Per Invoice'!$A$2:$A$801,$N263)))</f>
        <v/>
      </c>
      <c r="B263">
        <f>IF($N263="","",IF(INDEX('Per Invoice'!$B$2:$B$801,$N263)="","",INDEX('Per Invoice'!$B$2:$B$801,$N263)))</f>
        <v/>
      </c>
      <c r="C263">
        <f>IF($N263="","",IF(INDEX('Per Invoice'!$C$2:$C$801,$N263)="","",INDEX('Per Invoice'!$C$2:$C$801,$N263)))</f>
        <v/>
      </c>
      <c r="D263">
        <f>IF($N263="","",IF(INDEX('Per Invoice'!$D$2:$D$801,$N263)="","",INDEX('Per Invoice'!$D$2:$D$801,$N263)))</f>
        <v/>
      </c>
      <c r="E263">
        <f>IF($N263="","",IF(INDEX('Per Invoice'!$E$2:$E$801,$N263)="","",INDEX('Per Invoice'!$E$2:$E$801,$N263)))</f>
        <v/>
      </c>
      <c r="F263">
        <f>IF($N263="","",IF(INDEX('Per Invoice'!$F$2:$F$801,$N263)="","",INDEX('Per Invoice'!$F$2:$F$801,$N263)))</f>
        <v/>
      </c>
      <c r="G263">
        <f>IF($N263="","",IF(INDEX('Per Invoice'!$G$2:$G$801,$N263)="","",INDEX('Per Invoice'!$G$2:$G$801,$N263)))</f>
        <v/>
      </c>
      <c r="H263">
        <f>IF($N263="","",IF(INDEX('Per Invoice'!$H$2:$H$801,$N263)="","",INDEX('Per Invoice'!$H$2:$H$801,$N263)))</f>
        <v/>
      </c>
      <c r="I263" s="5">
        <f>IF($N263="","",IF(INDEX('Per Invoice'!$I$2:$I$801,$N263)="","",INDEX('Per Invoice'!$I$2:$I$801,$N263)))</f>
        <v/>
      </c>
      <c r="J263" s="5">
        <f>IF($N263="","",IF(INDEX('Per Invoice'!$J$2:$J$801,$N263)="","",INDEX('Per Invoice'!$J$2:$J$801,$N263)))</f>
        <v/>
      </c>
      <c r="K263" s="5">
        <f>IF($N263="","",IF(INDEX('Per Invoice'!$K$2:$K$801,$N263)="","",INDEX('Per Invoice'!$K$2:$K$801,$N263)))</f>
        <v/>
      </c>
      <c r="L263" s="5">
        <f>IF($N263="","",IF(INDEX('Per Invoice'!$L$2:$L$801,$N263)="","",INDEX('Per Invoice'!$L$2:$L$801,$N263)))</f>
        <v/>
      </c>
      <c r="M263" s="5">
        <f>IF($N263="","",IF(INDEX('Per Invoice'!$M$2:$M$801,$N263)="","",INDEX('Per Invoice'!$M$2:$M$801,$N263)))</f>
        <v/>
      </c>
      <c r="N263">
        <f>IF(ROWS($N$2:$N263)&lt;=COUNT('Per Invoice'!$P$2:$P$801),MATCH(ROWS($N$2:$N263),'Per Invoice'!$P$2:$P$801,0),"")</f>
        <v/>
      </c>
    </row>
    <row r="264">
      <c r="A264">
        <f>IF($N264="","",IF(INDEX('Per Invoice'!$A$2:$A$801,$N264)="","",INDEX('Per Invoice'!$A$2:$A$801,$N264)))</f>
        <v/>
      </c>
      <c r="B264">
        <f>IF($N264="","",IF(INDEX('Per Invoice'!$B$2:$B$801,$N264)="","",INDEX('Per Invoice'!$B$2:$B$801,$N264)))</f>
        <v/>
      </c>
      <c r="C264">
        <f>IF($N264="","",IF(INDEX('Per Invoice'!$C$2:$C$801,$N264)="","",INDEX('Per Invoice'!$C$2:$C$801,$N264)))</f>
        <v/>
      </c>
      <c r="D264">
        <f>IF($N264="","",IF(INDEX('Per Invoice'!$D$2:$D$801,$N264)="","",INDEX('Per Invoice'!$D$2:$D$801,$N264)))</f>
        <v/>
      </c>
      <c r="E264">
        <f>IF($N264="","",IF(INDEX('Per Invoice'!$E$2:$E$801,$N264)="","",INDEX('Per Invoice'!$E$2:$E$801,$N264)))</f>
        <v/>
      </c>
      <c r="F264">
        <f>IF($N264="","",IF(INDEX('Per Invoice'!$F$2:$F$801,$N264)="","",INDEX('Per Invoice'!$F$2:$F$801,$N264)))</f>
        <v/>
      </c>
      <c r="G264">
        <f>IF($N264="","",IF(INDEX('Per Invoice'!$G$2:$G$801,$N264)="","",INDEX('Per Invoice'!$G$2:$G$801,$N264)))</f>
        <v/>
      </c>
      <c r="H264">
        <f>IF($N264="","",IF(INDEX('Per Invoice'!$H$2:$H$801,$N264)="","",INDEX('Per Invoice'!$H$2:$H$801,$N264)))</f>
        <v/>
      </c>
      <c r="I264" s="5">
        <f>IF($N264="","",IF(INDEX('Per Invoice'!$I$2:$I$801,$N264)="","",INDEX('Per Invoice'!$I$2:$I$801,$N264)))</f>
        <v/>
      </c>
      <c r="J264" s="5">
        <f>IF($N264="","",IF(INDEX('Per Invoice'!$J$2:$J$801,$N264)="","",INDEX('Per Invoice'!$J$2:$J$801,$N264)))</f>
        <v/>
      </c>
      <c r="K264" s="5">
        <f>IF($N264="","",IF(INDEX('Per Invoice'!$K$2:$K$801,$N264)="","",INDEX('Per Invoice'!$K$2:$K$801,$N264)))</f>
        <v/>
      </c>
      <c r="L264" s="5">
        <f>IF($N264="","",IF(INDEX('Per Invoice'!$L$2:$L$801,$N264)="","",INDEX('Per Invoice'!$L$2:$L$801,$N264)))</f>
        <v/>
      </c>
      <c r="M264" s="5">
        <f>IF($N264="","",IF(INDEX('Per Invoice'!$M$2:$M$801,$N264)="","",INDEX('Per Invoice'!$M$2:$M$801,$N264)))</f>
        <v/>
      </c>
      <c r="N264">
        <f>IF(ROWS($N$2:$N264)&lt;=COUNT('Per Invoice'!$P$2:$P$801),MATCH(ROWS($N$2:$N264),'Per Invoice'!$P$2:$P$801,0),"")</f>
        <v/>
      </c>
    </row>
    <row r="265">
      <c r="A265">
        <f>IF($N265="","",IF(INDEX('Per Invoice'!$A$2:$A$801,$N265)="","",INDEX('Per Invoice'!$A$2:$A$801,$N265)))</f>
        <v/>
      </c>
      <c r="B265">
        <f>IF($N265="","",IF(INDEX('Per Invoice'!$B$2:$B$801,$N265)="","",INDEX('Per Invoice'!$B$2:$B$801,$N265)))</f>
        <v/>
      </c>
      <c r="C265">
        <f>IF($N265="","",IF(INDEX('Per Invoice'!$C$2:$C$801,$N265)="","",INDEX('Per Invoice'!$C$2:$C$801,$N265)))</f>
        <v/>
      </c>
      <c r="D265">
        <f>IF($N265="","",IF(INDEX('Per Invoice'!$D$2:$D$801,$N265)="","",INDEX('Per Invoice'!$D$2:$D$801,$N265)))</f>
        <v/>
      </c>
      <c r="E265">
        <f>IF($N265="","",IF(INDEX('Per Invoice'!$E$2:$E$801,$N265)="","",INDEX('Per Invoice'!$E$2:$E$801,$N265)))</f>
        <v/>
      </c>
      <c r="F265">
        <f>IF($N265="","",IF(INDEX('Per Invoice'!$F$2:$F$801,$N265)="","",INDEX('Per Invoice'!$F$2:$F$801,$N265)))</f>
        <v/>
      </c>
      <c r="G265">
        <f>IF($N265="","",IF(INDEX('Per Invoice'!$G$2:$G$801,$N265)="","",INDEX('Per Invoice'!$G$2:$G$801,$N265)))</f>
        <v/>
      </c>
      <c r="H265">
        <f>IF($N265="","",IF(INDEX('Per Invoice'!$H$2:$H$801,$N265)="","",INDEX('Per Invoice'!$H$2:$H$801,$N265)))</f>
        <v/>
      </c>
      <c r="I265" s="5">
        <f>IF($N265="","",IF(INDEX('Per Invoice'!$I$2:$I$801,$N265)="","",INDEX('Per Invoice'!$I$2:$I$801,$N265)))</f>
        <v/>
      </c>
      <c r="J265" s="5">
        <f>IF($N265="","",IF(INDEX('Per Invoice'!$J$2:$J$801,$N265)="","",INDEX('Per Invoice'!$J$2:$J$801,$N265)))</f>
        <v/>
      </c>
      <c r="K265" s="5">
        <f>IF($N265="","",IF(INDEX('Per Invoice'!$K$2:$K$801,$N265)="","",INDEX('Per Invoice'!$K$2:$K$801,$N265)))</f>
        <v/>
      </c>
      <c r="L265" s="5">
        <f>IF($N265="","",IF(INDEX('Per Invoice'!$L$2:$L$801,$N265)="","",INDEX('Per Invoice'!$L$2:$L$801,$N265)))</f>
        <v/>
      </c>
      <c r="M265" s="5">
        <f>IF($N265="","",IF(INDEX('Per Invoice'!$M$2:$M$801,$N265)="","",INDEX('Per Invoice'!$M$2:$M$801,$N265)))</f>
        <v/>
      </c>
      <c r="N265">
        <f>IF(ROWS($N$2:$N265)&lt;=COUNT('Per Invoice'!$P$2:$P$801),MATCH(ROWS($N$2:$N265),'Per Invoice'!$P$2:$P$801,0),"")</f>
        <v/>
      </c>
    </row>
    <row r="266">
      <c r="A266">
        <f>IF($N266="","",IF(INDEX('Per Invoice'!$A$2:$A$801,$N266)="","",INDEX('Per Invoice'!$A$2:$A$801,$N266)))</f>
        <v/>
      </c>
      <c r="B266">
        <f>IF($N266="","",IF(INDEX('Per Invoice'!$B$2:$B$801,$N266)="","",INDEX('Per Invoice'!$B$2:$B$801,$N266)))</f>
        <v/>
      </c>
      <c r="C266">
        <f>IF($N266="","",IF(INDEX('Per Invoice'!$C$2:$C$801,$N266)="","",INDEX('Per Invoice'!$C$2:$C$801,$N266)))</f>
        <v/>
      </c>
      <c r="D266">
        <f>IF($N266="","",IF(INDEX('Per Invoice'!$D$2:$D$801,$N266)="","",INDEX('Per Invoice'!$D$2:$D$801,$N266)))</f>
        <v/>
      </c>
      <c r="E266">
        <f>IF($N266="","",IF(INDEX('Per Invoice'!$E$2:$E$801,$N266)="","",INDEX('Per Invoice'!$E$2:$E$801,$N266)))</f>
        <v/>
      </c>
      <c r="F266">
        <f>IF($N266="","",IF(INDEX('Per Invoice'!$F$2:$F$801,$N266)="","",INDEX('Per Invoice'!$F$2:$F$801,$N266)))</f>
        <v/>
      </c>
      <c r="G266">
        <f>IF($N266="","",IF(INDEX('Per Invoice'!$G$2:$G$801,$N266)="","",INDEX('Per Invoice'!$G$2:$G$801,$N266)))</f>
        <v/>
      </c>
      <c r="H266">
        <f>IF($N266="","",IF(INDEX('Per Invoice'!$H$2:$H$801,$N266)="","",INDEX('Per Invoice'!$H$2:$H$801,$N266)))</f>
        <v/>
      </c>
      <c r="I266" s="5">
        <f>IF($N266="","",IF(INDEX('Per Invoice'!$I$2:$I$801,$N266)="","",INDEX('Per Invoice'!$I$2:$I$801,$N266)))</f>
        <v/>
      </c>
      <c r="J266" s="5">
        <f>IF($N266="","",IF(INDEX('Per Invoice'!$J$2:$J$801,$N266)="","",INDEX('Per Invoice'!$J$2:$J$801,$N266)))</f>
        <v/>
      </c>
      <c r="K266" s="5">
        <f>IF($N266="","",IF(INDEX('Per Invoice'!$K$2:$K$801,$N266)="","",INDEX('Per Invoice'!$K$2:$K$801,$N266)))</f>
        <v/>
      </c>
      <c r="L266" s="5">
        <f>IF($N266="","",IF(INDEX('Per Invoice'!$L$2:$L$801,$N266)="","",INDEX('Per Invoice'!$L$2:$L$801,$N266)))</f>
        <v/>
      </c>
      <c r="M266" s="5">
        <f>IF($N266="","",IF(INDEX('Per Invoice'!$M$2:$M$801,$N266)="","",INDEX('Per Invoice'!$M$2:$M$801,$N266)))</f>
        <v/>
      </c>
      <c r="N266">
        <f>IF(ROWS($N$2:$N266)&lt;=COUNT('Per Invoice'!$P$2:$P$801),MATCH(ROWS($N$2:$N266),'Per Invoice'!$P$2:$P$801,0),"")</f>
        <v/>
      </c>
    </row>
    <row r="267">
      <c r="A267">
        <f>IF($N267="","",IF(INDEX('Per Invoice'!$A$2:$A$801,$N267)="","",INDEX('Per Invoice'!$A$2:$A$801,$N267)))</f>
        <v/>
      </c>
      <c r="B267">
        <f>IF($N267="","",IF(INDEX('Per Invoice'!$B$2:$B$801,$N267)="","",INDEX('Per Invoice'!$B$2:$B$801,$N267)))</f>
        <v/>
      </c>
      <c r="C267">
        <f>IF($N267="","",IF(INDEX('Per Invoice'!$C$2:$C$801,$N267)="","",INDEX('Per Invoice'!$C$2:$C$801,$N267)))</f>
        <v/>
      </c>
      <c r="D267">
        <f>IF($N267="","",IF(INDEX('Per Invoice'!$D$2:$D$801,$N267)="","",INDEX('Per Invoice'!$D$2:$D$801,$N267)))</f>
        <v/>
      </c>
      <c r="E267">
        <f>IF($N267="","",IF(INDEX('Per Invoice'!$E$2:$E$801,$N267)="","",INDEX('Per Invoice'!$E$2:$E$801,$N267)))</f>
        <v/>
      </c>
      <c r="F267">
        <f>IF($N267="","",IF(INDEX('Per Invoice'!$F$2:$F$801,$N267)="","",INDEX('Per Invoice'!$F$2:$F$801,$N267)))</f>
        <v/>
      </c>
      <c r="G267">
        <f>IF($N267="","",IF(INDEX('Per Invoice'!$G$2:$G$801,$N267)="","",INDEX('Per Invoice'!$G$2:$G$801,$N267)))</f>
        <v/>
      </c>
      <c r="H267">
        <f>IF($N267="","",IF(INDEX('Per Invoice'!$H$2:$H$801,$N267)="","",INDEX('Per Invoice'!$H$2:$H$801,$N267)))</f>
        <v/>
      </c>
      <c r="I267" s="5">
        <f>IF($N267="","",IF(INDEX('Per Invoice'!$I$2:$I$801,$N267)="","",INDEX('Per Invoice'!$I$2:$I$801,$N267)))</f>
        <v/>
      </c>
      <c r="J267" s="5">
        <f>IF($N267="","",IF(INDEX('Per Invoice'!$J$2:$J$801,$N267)="","",INDEX('Per Invoice'!$J$2:$J$801,$N267)))</f>
        <v/>
      </c>
      <c r="K267" s="5">
        <f>IF($N267="","",IF(INDEX('Per Invoice'!$K$2:$K$801,$N267)="","",INDEX('Per Invoice'!$K$2:$K$801,$N267)))</f>
        <v/>
      </c>
      <c r="L267" s="5">
        <f>IF($N267="","",IF(INDEX('Per Invoice'!$L$2:$L$801,$N267)="","",INDEX('Per Invoice'!$L$2:$L$801,$N267)))</f>
        <v/>
      </c>
      <c r="M267" s="5">
        <f>IF($N267="","",IF(INDEX('Per Invoice'!$M$2:$M$801,$N267)="","",INDEX('Per Invoice'!$M$2:$M$801,$N267)))</f>
        <v/>
      </c>
      <c r="N267">
        <f>IF(ROWS($N$2:$N267)&lt;=COUNT('Per Invoice'!$P$2:$P$801),MATCH(ROWS($N$2:$N267),'Per Invoice'!$P$2:$P$801,0),"")</f>
        <v/>
      </c>
    </row>
    <row r="268">
      <c r="A268">
        <f>IF($N268="","",IF(INDEX('Per Invoice'!$A$2:$A$801,$N268)="","",INDEX('Per Invoice'!$A$2:$A$801,$N268)))</f>
        <v/>
      </c>
      <c r="B268">
        <f>IF($N268="","",IF(INDEX('Per Invoice'!$B$2:$B$801,$N268)="","",INDEX('Per Invoice'!$B$2:$B$801,$N268)))</f>
        <v/>
      </c>
      <c r="C268">
        <f>IF($N268="","",IF(INDEX('Per Invoice'!$C$2:$C$801,$N268)="","",INDEX('Per Invoice'!$C$2:$C$801,$N268)))</f>
        <v/>
      </c>
      <c r="D268">
        <f>IF($N268="","",IF(INDEX('Per Invoice'!$D$2:$D$801,$N268)="","",INDEX('Per Invoice'!$D$2:$D$801,$N268)))</f>
        <v/>
      </c>
      <c r="E268">
        <f>IF($N268="","",IF(INDEX('Per Invoice'!$E$2:$E$801,$N268)="","",INDEX('Per Invoice'!$E$2:$E$801,$N268)))</f>
        <v/>
      </c>
      <c r="F268">
        <f>IF($N268="","",IF(INDEX('Per Invoice'!$F$2:$F$801,$N268)="","",INDEX('Per Invoice'!$F$2:$F$801,$N268)))</f>
        <v/>
      </c>
      <c r="G268">
        <f>IF($N268="","",IF(INDEX('Per Invoice'!$G$2:$G$801,$N268)="","",INDEX('Per Invoice'!$G$2:$G$801,$N268)))</f>
        <v/>
      </c>
      <c r="H268">
        <f>IF($N268="","",IF(INDEX('Per Invoice'!$H$2:$H$801,$N268)="","",INDEX('Per Invoice'!$H$2:$H$801,$N268)))</f>
        <v/>
      </c>
      <c r="I268" s="5">
        <f>IF($N268="","",IF(INDEX('Per Invoice'!$I$2:$I$801,$N268)="","",INDEX('Per Invoice'!$I$2:$I$801,$N268)))</f>
        <v/>
      </c>
      <c r="J268" s="5">
        <f>IF($N268="","",IF(INDEX('Per Invoice'!$J$2:$J$801,$N268)="","",INDEX('Per Invoice'!$J$2:$J$801,$N268)))</f>
        <v/>
      </c>
      <c r="K268" s="5">
        <f>IF($N268="","",IF(INDEX('Per Invoice'!$K$2:$K$801,$N268)="","",INDEX('Per Invoice'!$K$2:$K$801,$N268)))</f>
        <v/>
      </c>
      <c r="L268" s="5">
        <f>IF($N268="","",IF(INDEX('Per Invoice'!$L$2:$L$801,$N268)="","",INDEX('Per Invoice'!$L$2:$L$801,$N268)))</f>
        <v/>
      </c>
      <c r="M268" s="5">
        <f>IF($N268="","",IF(INDEX('Per Invoice'!$M$2:$M$801,$N268)="","",INDEX('Per Invoice'!$M$2:$M$801,$N268)))</f>
        <v/>
      </c>
      <c r="N268">
        <f>IF(ROWS($N$2:$N268)&lt;=COUNT('Per Invoice'!$P$2:$P$801),MATCH(ROWS($N$2:$N268),'Per Invoice'!$P$2:$P$801,0),"")</f>
        <v/>
      </c>
    </row>
    <row r="269">
      <c r="A269">
        <f>IF($N269="","",IF(INDEX('Per Invoice'!$A$2:$A$801,$N269)="","",INDEX('Per Invoice'!$A$2:$A$801,$N269)))</f>
        <v/>
      </c>
      <c r="B269">
        <f>IF($N269="","",IF(INDEX('Per Invoice'!$B$2:$B$801,$N269)="","",INDEX('Per Invoice'!$B$2:$B$801,$N269)))</f>
        <v/>
      </c>
      <c r="C269">
        <f>IF($N269="","",IF(INDEX('Per Invoice'!$C$2:$C$801,$N269)="","",INDEX('Per Invoice'!$C$2:$C$801,$N269)))</f>
        <v/>
      </c>
      <c r="D269">
        <f>IF($N269="","",IF(INDEX('Per Invoice'!$D$2:$D$801,$N269)="","",INDEX('Per Invoice'!$D$2:$D$801,$N269)))</f>
        <v/>
      </c>
      <c r="E269">
        <f>IF($N269="","",IF(INDEX('Per Invoice'!$E$2:$E$801,$N269)="","",INDEX('Per Invoice'!$E$2:$E$801,$N269)))</f>
        <v/>
      </c>
      <c r="F269">
        <f>IF($N269="","",IF(INDEX('Per Invoice'!$F$2:$F$801,$N269)="","",INDEX('Per Invoice'!$F$2:$F$801,$N269)))</f>
        <v/>
      </c>
      <c r="G269">
        <f>IF($N269="","",IF(INDEX('Per Invoice'!$G$2:$G$801,$N269)="","",INDEX('Per Invoice'!$G$2:$G$801,$N269)))</f>
        <v/>
      </c>
      <c r="H269">
        <f>IF($N269="","",IF(INDEX('Per Invoice'!$H$2:$H$801,$N269)="","",INDEX('Per Invoice'!$H$2:$H$801,$N269)))</f>
        <v/>
      </c>
      <c r="I269" s="5">
        <f>IF($N269="","",IF(INDEX('Per Invoice'!$I$2:$I$801,$N269)="","",INDEX('Per Invoice'!$I$2:$I$801,$N269)))</f>
        <v/>
      </c>
      <c r="J269" s="5">
        <f>IF($N269="","",IF(INDEX('Per Invoice'!$J$2:$J$801,$N269)="","",INDEX('Per Invoice'!$J$2:$J$801,$N269)))</f>
        <v/>
      </c>
      <c r="K269" s="5">
        <f>IF($N269="","",IF(INDEX('Per Invoice'!$K$2:$K$801,$N269)="","",INDEX('Per Invoice'!$K$2:$K$801,$N269)))</f>
        <v/>
      </c>
      <c r="L269" s="5">
        <f>IF($N269="","",IF(INDEX('Per Invoice'!$L$2:$L$801,$N269)="","",INDEX('Per Invoice'!$L$2:$L$801,$N269)))</f>
        <v/>
      </c>
      <c r="M269" s="5">
        <f>IF($N269="","",IF(INDEX('Per Invoice'!$M$2:$M$801,$N269)="","",INDEX('Per Invoice'!$M$2:$M$801,$N269)))</f>
        <v/>
      </c>
      <c r="N269">
        <f>IF(ROWS($N$2:$N269)&lt;=COUNT('Per Invoice'!$P$2:$P$801),MATCH(ROWS($N$2:$N269),'Per Invoice'!$P$2:$P$801,0),"")</f>
        <v/>
      </c>
    </row>
    <row r="270">
      <c r="A270">
        <f>IF($N270="","",IF(INDEX('Per Invoice'!$A$2:$A$801,$N270)="","",INDEX('Per Invoice'!$A$2:$A$801,$N270)))</f>
        <v/>
      </c>
      <c r="B270">
        <f>IF($N270="","",IF(INDEX('Per Invoice'!$B$2:$B$801,$N270)="","",INDEX('Per Invoice'!$B$2:$B$801,$N270)))</f>
        <v/>
      </c>
      <c r="C270">
        <f>IF($N270="","",IF(INDEX('Per Invoice'!$C$2:$C$801,$N270)="","",INDEX('Per Invoice'!$C$2:$C$801,$N270)))</f>
        <v/>
      </c>
      <c r="D270">
        <f>IF($N270="","",IF(INDEX('Per Invoice'!$D$2:$D$801,$N270)="","",INDEX('Per Invoice'!$D$2:$D$801,$N270)))</f>
        <v/>
      </c>
      <c r="E270">
        <f>IF($N270="","",IF(INDEX('Per Invoice'!$E$2:$E$801,$N270)="","",INDEX('Per Invoice'!$E$2:$E$801,$N270)))</f>
        <v/>
      </c>
      <c r="F270">
        <f>IF($N270="","",IF(INDEX('Per Invoice'!$F$2:$F$801,$N270)="","",INDEX('Per Invoice'!$F$2:$F$801,$N270)))</f>
        <v/>
      </c>
      <c r="G270">
        <f>IF($N270="","",IF(INDEX('Per Invoice'!$G$2:$G$801,$N270)="","",INDEX('Per Invoice'!$G$2:$G$801,$N270)))</f>
        <v/>
      </c>
      <c r="H270">
        <f>IF($N270="","",IF(INDEX('Per Invoice'!$H$2:$H$801,$N270)="","",INDEX('Per Invoice'!$H$2:$H$801,$N270)))</f>
        <v/>
      </c>
      <c r="I270" s="5">
        <f>IF($N270="","",IF(INDEX('Per Invoice'!$I$2:$I$801,$N270)="","",INDEX('Per Invoice'!$I$2:$I$801,$N270)))</f>
        <v/>
      </c>
      <c r="J270" s="5">
        <f>IF($N270="","",IF(INDEX('Per Invoice'!$J$2:$J$801,$N270)="","",INDEX('Per Invoice'!$J$2:$J$801,$N270)))</f>
        <v/>
      </c>
      <c r="K270" s="5">
        <f>IF($N270="","",IF(INDEX('Per Invoice'!$K$2:$K$801,$N270)="","",INDEX('Per Invoice'!$K$2:$K$801,$N270)))</f>
        <v/>
      </c>
      <c r="L270" s="5">
        <f>IF($N270="","",IF(INDEX('Per Invoice'!$L$2:$L$801,$N270)="","",INDEX('Per Invoice'!$L$2:$L$801,$N270)))</f>
        <v/>
      </c>
      <c r="M270" s="5">
        <f>IF($N270="","",IF(INDEX('Per Invoice'!$M$2:$M$801,$N270)="","",INDEX('Per Invoice'!$M$2:$M$801,$N270)))</f>
        <v/>
      </c>
      <c r="N270">
        <f>IF(ROWS($N$2:$N270)&lt;=COUNT('Per Invoice'!$P$2:$P$801),MATCH(ROWS($N$2:$N270),'Per Invoice'!$P$2:$P$801,0),"")</f>
        <v/>
      </c>
    </row>
    <row r="271">
      <c r="A271">
        <f>IF($N271="","",IF(INDEX('Per Invoice'!$A$2:$A$801,$N271)="","",INDEX('Per Invoice'!$A$2:$A$801,$N271)))</f>
        <v/>
      </c>
      <c r="B271">
        <f>IF($N271="","",IF(INDEX('Per Invoice'!$B$2:$B$801,$N271)="","",INDEX('Per Invoice'!$B$2:$B$801,$N271)))</f>
        <v/>
      </c>
      <c r="C271">
        <f>IF($N271="","",IF(INDEX('Per Invoice'!$C$2:$C$801,$N271)="","",INDEX('Per Invoice'!$C$2:$C$801,$N271)))</f>
        <v/>
      </c>
      <c r="D271">
        <f>IF($N271="","",IF(INDEX('Per Invoice'!$D$2:$D$801,$N271)="","",INDEX('Per Invoice'!$D$2:$D$801,$N271)))</f>
        <v/>
      </c>
      <c r="E271">
        <f>IF($N271="","",IF(INDEX('Per Invoice'!$E$2:$E$801,$N271)="","",INDEX('Per Invoice'!$E$2:$E$801,$N271)))</f>
        <v/>
      </c>
      <c r="F271">
        <f>IF($N271="","",IF(INDEX('Per Invoice'!$F$2:$F$801,$N271)="","",INDEX('Per Invoice'!$F$2:$F$801,$N271)))</f>
        <v/>
      </c>
      <c r="G271">
        <f>IF($N271="","",IF(INDEX('Per Invoice'!$G$2:$G$801,$N271)="","",INDEX('Per Invoice'!$G$2:$G$801,$N271)))</f>
        <v/>
      </c>
      <c r="H271">
        <f>IF($N271="","",IF(INDEX('Per Invoice'!$H$2:$H$801,$N271)="","",INDEX('Per Invoice'!$H$2:$H$801,$N271)))</f>
        <v/>
      </c>
      <c r="I271" s="5">
        <f>IF($N271="","",IF(INDEX('Per Invoice'!$I$2:$I$801,$N271)="","",INDEX('Per Invoice'!$I$2:$I$801,$N271)))</f>
        <v/>
      </c>
      <c r="J271" s="5">
        <f>IF($N271="","",IF(INDEX('Per Invoice'!$J$2:$J$801,$N271)="","",INDEX('Per Invoice'!$J$2:$J$801,$N271)))</f>
        <v/>
      </c>
      <c r="K271" s="5">
        <f>IF($N271="","",IF(INDEX('Per Invoice'!$K$2:$K$801,$N271)="","",INDEX('Per Invoice'!$K$2:$K$801,$N271)))</f>
        <v/>
      </c>
      <c r="L271" s="5">
        <f>IF($N271="","",IF(INDEX('Per Invoice'!$L$2:$L$801,$N271)="","",INDEX('Per Invoice'!$L$2:$L$801,$N271)))</f>
        <v/>
      </c>
      <c r="M271" s="5">
        <f>IF($N271="","",IF(INDEX('Per Invoice'!$M$2:$M$801,$N271)="","",INDEX('Per Invoice'!$M$2:$M$801,$N271)))</f>
        <v/>
      </c>
      <c r="N271">
        <f>IF(ROWS($N$2:$N271)&lt;=COUNT('Per Invoice'!$P$2:$P$801),MATCH(ROWS($N$2:$N271),'Per Invoice'!$P$2:$P$801,0),"")</f>
        <v/>
      </c>
    </row>
    <row r="272">
      <c r="A272">
        <f>IF($N272="","",IF(INDEX('Per Invoice'!$A$2:$A$801,$N272)="","",INDEX('Per Invoice'!$A$2:$A$801,$N272)))</f>
        <v/>
      </c>
      <c r="B272">
        <f>IF($N272="","",IF(INDEX('Per Invoice'!$B$2:$B$801,$N272)="","",INDEX('Per Invoice'!$B$2:$B$801,$N272)))</f>
        <v/>
      </c>
      <c r="C272">
        <f>IF($N272="","",IF(INDEX('Per Invoice'!$C$2:$C$801,$N272)="","",INDEX('Per Invoice'!$C$2:$C$801,$N272)))</f>
        <v/>
      </c>
      <c r="D272">
        <f>IF($N272="","",IF(INDEX('Per Invoice'!$D$2:$D$801,$N272)="","",INDEX('Per Invoice'!$D$2:$D$801,$N272)))</f>
        <v/>
      </c>
      <c r="E272">
        <f>IF($N272="","",IF(INDEX('Per Invoice'!$E$2:$E$801,$N272)="","",INDEX('Per Invoice'!$E$2:$E$801,$N272)))</f>
        <v/>
      </c>
      <c r="F272">
        <f>IF($N272="","",IF(INDEX('Per Invoice'!$F$2:$F$801,$N272)="","",INDEX('Per Invoice'!$F$2:$F$801,$N272)))</f>
        <v/>
      </c>
      <c r="G272">
        <f>IF($N272="","",IF(INDEX('Per Invoice'!$G$2:$G$801,$N272)="","",INDEX('Per Invoice'!$G$2:$G$801,$N272)))</f>
        <v/>
      </c>
      <c r="H272">
        <f>IF($N272="","",IF(INDEX('Per Invoice'!$H$2:$H$801,$N272)="","",INDEX('Per Invoice'!$H$2:$H$801,$N272)))</f>
        <v/>
      </c>
      <c r="I272" s="5">
        <f>IF($N272="","",IF(INDEX('Per Invoice'!$I$2:$I$801,$N272)="","",INDEX('Per Invoice'!$I$2:$I$801,$N272)))</f>
        <v/>
      </c>
      <c r="J272" s="5">
        <f>IF($N272="","",IF(INDEX('Per Invoice'!$J$2:$J$801,$N272)="","",INDEX('Per Invoice'!$J$2:$J$801,$N272)))</f>
        <v/>
      </c>
      <c r="K272" s="5">
        <f>IF($N272="","",IF(INDEX('Per Invoice'!$K$2:$K$801,$N272)="","",INDEX('Per Invoice'!$K$2:$K$801,$N272)))</f>
        <v/>
      </c>
      <c r="L272" s="5">
        <f>IF($N272="","",IF(INDEX('Per Invoice'!$L$2:$L$801,$N272)="","",INDEX('Per Invoice'!$L$2:$L$801,$N272)))</f>
        <v/>
      </c>
      <c r="M272" s="5">
        <f>IF($N272="","",IF(INDEX('Per Invoice'!$M$2:$M$801,$N272)="","",INDEX('Per Invoice'!$M$2:$M$801,$N272)))</f>
        <v/>
      </c>
      <c r="N272">
        <f>IF(ROWS($N$2:$N272)&lt;=COUNT('Per Invoice'!$P$2:$P$801),MATCH(ROWS($N$2:$N272),'Per Invoice'!$P$2:$P$801,0),"")</f>
        <v/>
      </c>
    </row>
    <row r="273">
      <c r="A273">
        <f>IF($N273="","",IF(INDEX('Per Invoice'!$A$2:$A$801,$N273)="","",INDEX('Per Invoice'!$A$2:$A$801,$N273)))</f>
        <v/>
      </c>
      <c r="B273">
        <f>IF($N273="","",IF(INDEX('Per Invoice'!$B$2:$B$801,$N273)="","",INDEX('Per Invoice'!$B$2:$B$801,$N273)))</f>
        <v/>
      </c>
      <c r="C273">
        <f>IF($N273="","",IF(INDEX('Per Invoice'!$C$2:$C$801,$N273)="","",INDEX('Per Invoice'!$C$2:$C$801,$N273)))</f>
        <v/>
      </c>
      <c r="D273">
        <f>IF($N273="","",IF(INDEX('Per Invoice'!$D$2:$D$801,$N273)="","",INDEX('Per Invoice'!$D$2:$D$801,$N273)))</f>
        <v/>
      </c>
      <c r="E273">
        <f>IF($N273="","",IF(INDEX('Per Invoice'!$E$2:$E$801,$N273)="","",INDEX('Per Invoice'!$E$2:$E$801,$N273)))</f>
        <v/>
      </c>
      <c r="F273">
        <f>IF($N273="","",IF(INDEX('Per Invoice'!$F$2:$F$801,$N273)="","",INDEX('Per Invoice'!$F$2:$F$801,$N273)))</f>
        <v/>
      </c>
      <c r="G273">
        <f>IF($N273="","",IF(INDEX('Per Invoice'!$G$2:$G$801,$N273)="","",INDEX('Per Invoice'!$G$2:$G$801,$N273)))</f>
        <v/>
      </c>
      <c r="H273">
        <f>IF($N273="","",IF(INDEX('Per Invoice'!$H$2:$H$801,$N273)="","",INDEX('Per Invoice'!$H$2:$H$801,$N273)))</f>
        <v/>
      </c>
      <c r="I273" s="5">
        <f>IF($N273="","",IF(INDEX('Per Invoice'!$I$2:$I$801,$N273)="","",INDEX('Per Invoice'!$I$2:$I$801,$N273)))</f>
        <v/>
      </c>
      <c r="J273" s="5">
        <f>IF($N273="","",IF(INDEX('Per Invoice'!$J$2:$J$801,$N273)="","",INDEX('Per Invoice'!$J$2:$J$801,$N273)))</f>
        <v/>
      </c>
      <c r="K273" s="5">
        <f>IF($N273="","",IF(INDEX('Per Invoice'!$K$2:$K$801,$N273)="","",INDEX('Per Invoice'!$K$2:$K$801,$N273)))</f>
        <v/>
      </c>
      <c r="L273" s="5">
        <f>IF($N273="","",IF(INDEX('Per Invoice'!$L$2:$L$801,$N273)="","",INDEX('Per Invoice'!$L$2:$L$801,$N273)))</f>
        <v/>
      </c>
      <c r="M273" s="5">
        <f>IF($N273="","",IF(INDEX('Per Invoice'!$M$2:$M$801,$N273)="","",INDEX('Per Invoice'!$M$2:$M$801,$N273)))</f>
        <v/>
      </c>
      <c r="N273">
        <f>IF(ROWS($N$2:$N273)&lt;=COUNT('Per Invoice'!$P$2:$P$801),MATCH(ROWS($N$2:$N273),'Per Invoice'!$P$2:$P$801,0),"")</f>
        <v/>
      </c>
    </row>
    <row r="274">
      <c r="A274">
        <f>IF($N274="","",IF(INDEX('Per Invoice'!$A$2:$A$801,$N274)="","",INDEX('Per Invoice'!$A$2:$A$801,$N274)))</f>
        <v/>
      </c>
      <c r="B274">
        <f>IF($N274="","",IF(INDEX('Per Invoice'!$B$2:$B$801,$N274)="","",INDEX('Per Invoice'!$B$2:$B$801,$N274)))</f>
        <v/>
      </c>
      <c r="C274">
        <f>IF($N274="","",IF(INDEX('Per Invoice'!$C$2:$C$801,$N274)="","",INDEX('Per Invoice'!$C$2:$C$801,$N274)))</f>
        <v/>
      </c>
      <c r="D274">
        <f>IF($N274="","",IF(INDEX('Per Invoice'!$D$2:$D$801,$N274)="","",INDEX('Per Invoice'!$D$2:$D$801,$N274)))</f>
        <v/>
      </c>
      <c r="E274">
        <f>IF($N274="","",IF(INDEX('Per Invoice'!$E$2:$E$801,$N274)="","",INDEX('Per Invoice'!$E$2:$E$801,$N274)))</f>
        <v/>
      </c>
      <c r="F274">
        <f>IF($N274="","",IF(INDEX('Per Invoice'!$F$2:$F$801,$N274)="","",INDEX('Per Invoice'!$F$2:$F$801,$N274)))</f>
        <v/>
      </c>
      <c r="G274">
        <f>IF($N274="","",IF(INDEX('Per Invoice'!$G$2:$G$801,$N274)="","",INDEX('Per Invoice'!$G$2:$G$801,$N274)))</f>
        <v/>
      </c>
      <c r="H274">
        <f>IF($N274="","",IF(INDEX('Per Invoice'!$H$2:$H$801,$N274)="","",INDEX('Per Invoice'!$H$2:$H$801,$N274)))</f>
        <v/>
      </c>
      <c r="I274" s="5">
        <f>IF($N274="","",IF(INDEX('Per Invoice'!$I$2:$I$801,$N274)="","",INDEX('Per Invoice'!$I$2:$I$801,$N274)))</f>
        <v/>
      </c>
      <c r="J274" s="5">
        <f>IF($N274="","",IF(INDEX('Per Invoice'!$J$2:$J$801,$N274)="","",INDEX('Per Invoice'!$J$2:$J$801,$N274)))</f>
        <v/>
      </c>
      <c r="K274" s="5">
        <f>IF($N274="","",IF(INDEX('Per Invoice'!$K$2:$K$801,$N274)="","",INDEX('Per Invoice'!$K$2:$K$801,$N274)))</f>
        <v/>
      </c>
      <c r="L274" s="5">
        <f>IF($N274="","",IF(INDEX('Per Invoice'!$L$2:$L$801,$N274)="","",INDEX('Per Invoice'!$L$2:$L$801,$N274)))</f>
        <v/>
      </c>
      <c r="M274" s="5">
        <f>IF($N274="","",IF(INDEX('Per Invoice'!$M$2:$M$801,$N274)="","",INDEX('Per Invoice'!$M$2:$M$801,$N274)))</f>
        <v/>
      </c>
      <c r="N274">
        <f>IF(ROWS($N$2:$N274)&lt;=COUNT('Per Invoice'!$P$2:$P$801),MATCH(ROWS($N$2:$N274),'Per Invoice'!$P$2:$P$801,0),"")</f>
        <v/>
      </c>
    </row>
    <row r="275">
      <c r="A275">
        <f>IF($N275="","",IF(INDEX('Per Invoice'!$A$2:$A$801,$N275)="","",INDEX('Per Invoice'!$A$2:$A$801,$N275)))</f>
        <v/>
      </c>
      <c r="B275">
        <f>IF($N275="","",IF(INDEX('Per Invoice'!$B$2:$B$801,$N275)="","",INDEX('Per Invoice'!$B$2:$B$801,$N275)))</f>
        <v/>
      </c>
      <c r="C275">
        <f>IF($N275="","",IF(INDEX('Per Invoice'!$C$2:$C$801,$N275)="","",INDEX('Per Invoice'!$C$2:$C$801,$N275)))</f>
        <v/>
      </c>
      <c r="D275">
        <f>IF($N275="","",IF(INDEX('Per Invoice'!$D$2:$D$801,$N275)="","",INDEX('Per Invoice'!$D$2:$D$801,$N275)))</f>
        <v/>
      </c>
      <c r="E275">
        <f>IF($N275="","",IF(INDEX('Per Invoice'!$E$2:$E$801,$N275)="","",INDEX('Per Invoice'!$E$2:$E$801,$N275)))</f>
        <v/>
      </c>
      <c r="F275">
        <f>IF($N275="","",IF(INDEX('Per Invoice'!$F$2:$F$801,$N275)="","",INDEX('Per Invoice'!$F$2:$F$801,$N275)))</f>
        <v/>
      </c>
      <c r="G275">
        <f>IF($N275="","",IF(INDEX('Per Invoice'!$G$2:$G$801,$N275)="","",INDEX('Per Invoice'!$G$2:$G$801,$N275)))</f>
        <v/>
      </c>
      <c r="H275">
        <f>IF($N275="","",IF(INDEX('Per Invoice'!$H$2:$H$801,$N275)="","",INDEX('Per Invoice'!$H$2:$H$801,$N275)))</f>
        <v/>
      </c>
      <c r="I275" s="5">
        <f>IF($N275="","",IF(INDEX('Per Invoice'!$I$2:$I$801,$N275)="","",INDEX('Per Invoice'!$I$2:$I$801,$N275)))</f>
        <v/>
      </c>
      <c r="J275" s="5">
        <f>IF($N275="","",IF(INDEX('Per Invoice'!$J$2:$J$801,$N275)="","",INDEX('Per Invoice'!$J$2:$J$801,$N275)))</f>
        <v/>
      </c>
      <c r="K275" s="5">
        <f>IF($N275="","",IF(INDEX('Per Invoice'!$K$2:$K$801,$N275)="","",INDEX('Per Invoice'!$K$2:$K$801,$N275)))</f>
        <v/>
      </c>
      <c r="L275" s="5">
        <f>IF($N275="","",IF(INDEX('Per Invoice'!$L$2:$L$801,$N275)="","",INDEX('Per Invoice'!$L$2:$L$801,$N275)))</f>
        <v/>
      </c>
      <c r="M275" s="5">
        <f>IF($N275="","",IF(INDEX('Per Invoice'!$M$2:$M$801,$N275)="","",INDEX('Per Invoice'!$M$2:$M$801,$N275)))</f>
        <v/>
      </c>
      <c r="N275">
        <f>IF(ROWS($N$2:$N275)&lt;=COUNT('Per Invoice'!$P$2:$P$801),MATCH(ROWS($N$2:$N275),'Per Invoice'!$P$2:$P$801,0),"")</f>
        <v/>
      </c>
    </row>
    <row r="276">
      <c r="A276">
        <f>IF($N276="","",IF(INDEX('Per Invoice'!$A$2:$A$801,$N276)="","",INDEX('Per Invoice'!$A$2:$A$801,$N276)))</f>
        <v/>
      </c>
      <c r="B276">
        <f>IF($N276="","",IF(INDEX('Per Invoice'!$B$2:$B$801,$N276)="","",INDEX('Per Invoice'!$B$2:$B$801,$N276)))</f>
        <v/>
      </c>
      <c r="C276">
        <f>IF($N276="","",IF(INDEX('Per Invoice'!$C$2:$C$801,$N276)="","",INDEX('Per Invoice'!$C$2:$C$801,$N276)))</f>
        <v/>
      </c>
      <c r="D276">
        <f>IF($N276="","",IF(INDEX('Per Invoice'!$D$2:$D$801,$N276)="","",INDEX('Per Invoice'!$D$2:$D$801,$N276)))</f>
        <v/>
      </c>
      <c r="E276">
        <f>IF($N276="","",IF(INDEX('Per Invoice'!$E$2:$E$801,$N276)="","",INDEX('Per Invoice'!$E$2:$E$801,$N276)))</f>
        <v/>
      </c>
      <c r="F276">
        <f>IF($N276="","",IF(INDEX('Per Invoice'!$F$2:$F$801,$N276)="","",INDEX('Per Invoice'!$F$2:$F$801,$N276)))</f>
        <v/>
      </c>
      <c r="G276">
        <f>IF($N276="","",IF(INDEX('Per Invoice'!$G$2:$G$801,$N276)="","",INDEX('Per Invoice'!$G$2:$G$801,$N276)))</f>
        <v/>
      </c>
      <c r="H276">
        <f>IF($N276="","",IF(INDEX('Per Invoice'!$H$2:$H$801,$N276)="","",INDEX('Per Invoice'!$H$2:$H$801,$N276)))</f>
        <v/>
      </c>
      <c r="I276" s="5">
        <f>IF($N276="","",IF(INDEX('Per Invoice'!$I$2:$I$801,$N276)="","",INDEX('Per Invoice'!$I$2:$I$801,$N276)))</f>
        <v/>
      </c>
      <c r="J276" s="5">
        <f>IF($N276="","",IF(INDEX('Per Invoice'!$J$2:$J$801,$N276)="","",INDEX('Per Invoice'!$J$2:$J$801,$N276)))</f>
        <v/>
      </c>
      <c r="K276" s="5">
        <f>IF($N276="","",IF(INDEX('Per Invoice'!$K$2:$K$801,$N276)="","",INDEX('Per Invoice'!$K$2:$K$801,$N276)))</f>
        <v/>
      </c>
      <c r="L276" s="5">
        <f>IF($N276="","",IF(INDEX('Per Invoice'!$L$2:$L$801,$N276)="","",INDEX('Per Invoice'!$L$2:$L$801,$N276)))</f>
        <v/>
      </c>
      <c r="M276" s="5">
        <f>IF($N276="","",IF(INDEX('Per Invoice'!$M$2:$M$801,$N276)="","",INDEX('Per Invoice'!$M$2:$M$801,$N276)))</f>
        <v/>
      </c>
      <c r="N276">
        <f>IF(ROWS($N$2:$N276)&lt;=COUNT('Per Invoice'!$P$2:$P$801),MATCH(ROWS($N$2:$N276),'Per Invoice'!$P$2:$P$801,0),"")</f>
        <v/>
      </c>
    </row>
    <row r="277">
      <c r="A277">
        <f>IF($N277="","",IF(INDEX('Per Invoice'!$A$2:$A$801,$N277)="","",INDEX('Per Invoice'!$A$2:$A$801,$N277)))</f>
        <v/>
      </c>
      <c r="B277">
        <f>IF($N277="","",IF(INDEX('Per Invoice'!$B$2:$B$801,$N277)="","",INDEX('Per Invoice'!$B$2:$B$801,$N277)))</f>
        <v/>
      </c>
      <c r="C277">
        <f>IF($N277="","",IF(INDEX('Per Invoice'!$C$2:$C$801,$N277)="","",INDEX('Per Invoice'!$C$2:$C$801,$N277)))</f>
        <v/>
      </c>
      <c r="D277">
        <f>IF($N277="","",IF(INDEX('Per Invoice'!$D$2:$D$801,$N277)="","",INDEX('Per Invoice'!$D$2:$D$801,$N277)))</f>
        <v/>
      </c>
      <c r="E277">
        <f>IF($N277="","",IF(INDEX('Per Invoice'!$E$2:$E$801,$N277)="","",INDEX('Per Invoice'!$E$2:$E$801,$N277)))</f>
        <v/>
      </c>
      <c r="F277">
        <f>IF($N277="","",IF(INDEX('Per Invoice'!$F$2:$F$801,$N277)="","",INDEX('Per Invoice'!$F$2:$F$801,$N277)))</f>
        <v/>
      </c>
      <c r="G277">
        <f>IF($N277="","",IF(INDEX('Per Invoice'!$G$2:$G$801,$N277)="","",INDEX('Per Invoice'!$G$2:$G$801,$N277)))</f>
        <v/>
      </c>
      <c r="H277">
        <f>IF($N277="","",IF(INDEX('Per Invoice'!$H$2:$H$801,$N277)="","",INDEX('Per Invoice'!$H$2:$H$801,$N277)))</f>
        <v/>
      </c>
      <c r="I277" s="5">
        <f>IF($N277="","",IF(INDEX('Per Invoice'!$I$2:$I$801,$N277)="","",INDEX('Per Invoice'!$I$2:$I$801,$N277)))</f>
        <v/>
      </c>
      <c r="J277" s="5">
        <f>IF($N277="","",IF(INDEX('Per Invoice'!$J$2:$J$801,$N277)="","",INDEX('Per Invoice'!$J$2:$J$801,$N277)))</f>
        <v/>
      </c>
      <c r="K277" s="5">
        <f>IF($N277="","",IF(INDEX('Per Invoice'!$K$2:$K$801,$N277)="","",INDEX('Per Invoice'!$K$2:$K$801,$N277)))</f>
        <v/>
      </c>
      <c r="L277" s="5">
        <f>IF($N277="","",IF(INDEX('Per Invoice'!$L$2:$L$801,$N277)="","",INDEX('Per Invoice'!$L$2:$L$801,$N277)))</f>
        <v/>
      </c>
      <c r="M277" s="5">
        <f>IF($N277="","",IF(INDEX('Per Invoice'!$M$2:$M$801,$N277)="","",INDEX('Per Invoice'!$M$2:$M$801,$N277)))</f>
        <v/>
      </c>
      <c r="N277">
        <f>IF(ROWS($N$2:$N277)&lt;=COUNT('Per Invoice'!$P$2:$P$801),MATCH(ROWS($N$2:$N277),'Per Invoice'!$P$2:$P$801,0),"")</f>
        <v/>
      </c>
    </row>
    <row r="278">
      <c r="A278">
        <f>IF($N278="","",IF(INDEX('Per Invoice'!$A$2:$A$801,$N278)="","",INDEX('Per Invoice'!$A$2:$A$801,$N278)))</f>
        <v/>
      </c>
      <c r="B278">
        <f>IF($N278="","",IF(INDEX('Per Invoice'!$B$2:$B$801,$N278)="","",INDEX('Per Invoice'!$B$2:$B$801,$N278)))</f>
        <v/>
      </c>
      <c r="C278">
        <f>IF($N278="","",IF(INDEX('Per Invoice'!$C$2:$C$801,$N278)="","",INDEX('Per Invoice'!$C$2:$C$801,$N278)))</f>
        <v/>
      </c>
      <c r="D278">
        <f>IF($N278="","",IF(INDEX('Per Invoice'!$D$2:$D$801,$N278)="","",INDEX('Per Invoice'!$D$2:$D$801,$N278)))</f>
        <v/>
      </c>
      <c r="E278">
        <f>IF($N278="","",IF(INDEX('Per Invoice'!$E$2:$E$801,$N278)="","",INDEX('Per Invoice'!$E$2:$E$801,$N278)))</f>
        <v/>
      </c>
      <c r="F278">
        <f>IF($N278="","",IF(INDEX('Per Invoice'!$F$2:$F$801,$N278)="","",INDEX('Per Invoice'!$F$2:$F$801,$N278)))</f>
        <v/>
      </c>
      <c r="G278">
        <f>IF($N278="","",IF(INDEX('Per Invoice'!$G$2:$G$801,$N278)="","",INDEX('Per Invoice'!$G$2:$G$801,$N278)))</f>
        <v/>
      </c>
      <c r="H278">
        <f>IF($N278="","",IF(INDEX('Per Invoice'!$H$2:$H$801,$N278)="","",INDEX('Per Invoice'!$H$2:$H$801,$N278)))</f>
        <v/>
      </c>
      <c r="I278" s="5">
        <f>IF($N278="","",IF(INDEX('Per Invoice'!$I$2:$I$801,$N278)="","",INDEX('Per Invoice'!$I$2:$I$801,$N278)))</f>
        <v/>
      </c>
      <c r="J278" s="5">
        <f>IF($N278="","",IF(INDEX('Per Invoice'!$J$2:$J$801,$N278)="","",INDEX('Per Invoice'!$J$2:$J$801,$N278)))</f>
        <v/>
      </c>
      <c r="K278" s="5">
        <f>IF($N278="","",IF(INDEX('Per Invoice'!$K$2:$K$801,$N278)="","",INDEX('Per Invoice'!$K$2:$K$801,$N278)))</f>
        <v/>
      </c>
      <c r="L278" s="5">
        <f>IF($N278="","",IF(INDEX('Per Invoice'!$L$2:$L$801,$N278)="","",INDEX('Per Invoice'!$L$2:$L$801,$N278)))</f>
        <v/>
      </c>
      <c r="M278" s="5">
        <f>IF($N278="","",IF(INDEX('Per Invoice'!$M$2:$M$801,$N278)="","",INDEX('Per Invoice'!$M$2:$M$801,$N278)))</f>
        <v/>
      </c>
      <c r="N278">
        <f>IF(ROWS($N$2:$N278)&lt;=COUNT('Per Invoice'!$P$2:$P$801),MATCH(ROWS($N$2:$N278),'Per Invoice'!$P$2:$P$801,0),"")</f>
        <v/>
      </c>
    </row>
    <row r="279">
      <c r="A279">
        <f>IF($N279="","",IF(INDEX('Per Invoice'!$A$2:$A$801,$N279)="","",INDEX('Per Invoice'!$A$2:$A$801,$N279)))</f>
        <v/>
      </c>
      <c r="B279">
        <f>IF($N279="","",IF(INDEX('Per Invoice'!$B$2:$B$801,$N279)="","",INDEX('Per Invoice'!$B$2:$B$801,$N279)))</f>
        <v/>
      </c>
      <c r="C279">
        <f>IF($N279="","",IF(INDEX('Per Invoice'!$C$2:$C$801,$N279)="","",INDEX('Per Invoice'!$C$2:$C$801,$N279)))</f>
        <v/>
      </c>
      <c r="D279">
        <f>IF($N279="","",IF(INDEX('Per Invoice'!$D$2:$D$801,$N279)="","",INDEX('Per Invoice'!$D$2:$D$801,$N279)))</f>
        <v/>
      </c>
      <c r="E279">
        <f>IF($N279="","",IF(INDEX('Per Invoice'!$E$2:$E$801,$N279)="","",INDEX('Per Invoice'!$E$2:$E$801,$N279)))</f>
        <v/>
      </c>
      <c r="F279">
        <f>IF($N279="","",IF(INDEX('Per Invoice'!$F$2:$F$801,$N279)="","",INDEX('Per Invoice'!$F$2:$F$801,$N279)))</f>
        <v/>
      </c>
      <c r="G279">
        <f>IF($N279="","",IF(INDEX('Per Invoice'!$G$2:$G$801,$N279)="","",INDEX('Per Invoice'!$G$2:$G$801,$N279)))</f>
        <v/>
      </c>
      <c r="H279">
        <f>IF($N279="","",IF(INDEX('Per Invoice'!$H$2:$H$801,$N279)="","",INDEX('Per Invoice'!$H$2:$H$801,$N279)))</f>
        <v/>
      </c>
      <c r="I279" s="5">
        <f>IF($N279="","",IF(INDEX('Per Invoice'!$I$2:$I$801,$N279)="","",INDEX('Per Invoice'!$I$2:$I$801,$N279)))</f>
        <v/>
      </c>
      <c r="J279" s="5">
        <f>IF($N279="","",IF(INDEX('Per Invoice'!$J$2:$J$801,$N279)="","",INDEX('Per Invoice'!$J$2:$J$801,$N279)))</f>
        <v/>
      </c>
      <c r="K279" s="5">
        <f>IF($N279="","",IF(INDEX('Per Invoice'!$K$2:$K$801,$N279)="","",INDEX('Per Invoice'!$K$2:$K$801,$N279)))</f>
        <v/>
      </c>
      <c r="L279" s="5">
        <f>IF($N279="","",IF(INDEX('Per Invoice'!$L$2:$L$801,$N279)="","",INDEX('Per Invoice'!$L$2:$L$801,$N279)))</f>
        <v/>
      </c>
      <c r="M279" s="5">
        <f>IF($N279="","",IF(INDEX('Per Invoice'!$M$2:$M$801,$N279)="","",INDEX('Per Invoice'!$M$2:$M$801,$N279)))</f>
        <v/>
      </c>
      <c r="N279">
        <f>IF(ROWS($N$2:$N279)&lt;=COUNT('Per Invoice'!$P$2:$P$801),MATCH(ROWS($N$2:$N279),'Per Invoice'!$P$2:$P$801,0),"")</f>
        <v/>
      </c>
    </row>
    <row r="280">
      <c r="A280">
        <f>IF($N280="","",IF(INDEX('Per Invoice'!$A$2:$A$801,$N280)="","",INDEX('Per Invoice'!$A$2:$A$801,$N280)))</f>
        <v/>
      </c>
      <c r="B280">
        <f>IF($N280="","",IF(INDEX('Per Invoice'!$B$2:$B$801,$N280)="","",INDEX('Per Invoice'!$B$2:$B$801,$N280)))</f>
        <v/>
      </c>
      <c r="C280">
        <f>IF($N280="","",IF(INDEX('Per Invoice'!$C$2:$C$801,$N280)="","",INDEX('Per Invoice'!$C$2:$C$801,$N280)))</f>
        <v/>
      </c>
      <c r="D280">
        <f>IF($N280="","",IF(INDEX('Per Invoice'!$D$2:$D$801,$N280)="","",INDEX('Per Invoice'!$D$2:$D$801,$N280)))</f>
        <v/>
      </c>
      <c r="E280">
        <f>IF($N280="","",IF(INDEX('Per Invoice'!$E$2:$E$801,$N280)="","",INDEX('Per Invoice'!$E$2:$E$801,$N280)))</f>
        <v/>
      </c>
      <c r="F280">
        <f>IF($N280="","",IF(INDEX('Per Invoice'!$F$2:$F$801,$N280)="","",INDEX('Per Invoice'!$F$2:$F$801,$N280)))</f>
        <v/>
      </c>
      <c r="G280">
        <f>IF($N280="","",IF(INDEX('Per Invoice'!$G$2:$G$801,$N280)="","",INDEX('Per Invoice'!$G$2:$G$801,$N280)))</f>
        <v/>
      </c>
      <c r="H280">
        <f>IF($N280="","",IF(INDEX('Per Invoice'!$H$2:$H$801,$N280)="","",INDEX('Per Invoice'!$H$2:$H$801,$N280)))</f>
        <v/>
      </c>
      <c r="I280" s="5">
        <f>IF($N280="","",IF(INDEX('Per Invoice'!$I$2:$I$801,$N280)="","",INDEX('Per Invoice'!$I$2:$I$801,$N280)))</f>
        <v/>
      </c>
      <c r="J280" s="5">
        <f>IF($N280="","",IF(INDEX('Per Invoice'!$J$2:$J$801,$N280)="","",INDEX('Per Invoice'!$J$2:$J$801,$N280)))</f>
        <v/>
      </c>
      <c r="K280" s="5">
        <f>IF($N280="","",IF(INDEX('Per Invoice'!$K$2:$K$801,$N280)="","",INDEX('Per Invoice'!$K$2:$K$801,$N280)))</f>
        <v/>
      </c>
      <c r="L280" s="5">
        <f>IF($N280="","",IF(INDEX('Per Invoice'!$L$2:$L$801,$N280)="","",INDEX('Per Invoice'!$L$2:$L$801,$N280)))</f>
        <v/>
      </c>
      <c r="M280" s="5">
        <f>IF($N280="","",IF(INDEX('Per Invoice'!$M$2:$M$801,$N280)="","",INDEX('Per Invoice'!$M$2:$M$801,$N280)))</f>
        <v/>
      </c>
      <c r="N280">
        <f>IF(ROWS($N$2:$N280)&lt;=COUNT('Per Invoice'!$P$2:$P$801),MATCH(ROWS($N$2:$N280),'Per Invoice'!$P$2:$P$801,0),"")</f>
        <v/>
      </c>
    </row>
    <row r="281">
      <c r="A281">
        <f>IF($N281="","",IF(INDEX('Per Invoice'!$A$2:$A$801,$N281)="","",INDEX('Per Invoice'!$A$2:$A$801,$N281)))</f>
        <v/>
      </c>
      <c r="B281">
        <f>IF($N281="","",IF(INDEX('Per Invoice'!$B$2:$B$801,$N281)="","",INDEX('Per Invoice'!$B$2:$B$801,$N281)))</f>
        <v/>
      </c>
      <c r="C281">
        <f>IF($N281="","",IF(INDEX('Per Invoice'!$C$2:$C$801,$N281)="","",INDEX('Per Invoice'!$C$2:$C$801,$N281)))</f>
        <v/>
      </c>
      <c r="D281">
        <f>IF($N281="","",IF(INDEX('Per Invoice'!$D$2:$D$801,$N281)="","",INDEX('Per Invoice'!$D$2:$D$801,$N281)))</f>
        <v/>
      </c>
      <c r="E281">
        <f>IF($N281="","",IF(INDEX('Per Invoice'!$E$2:$E$801,$N281)="","",INDEX('Per Invoice'!$E$2:$E$801,$N281)))</f>
        <v/>
      </c>
      <c r="F281">
        <f>IF($N281="","",IF(INDEX('Per Invoice'!$F$2:$F$801,$N281)="","",INDEX('Per Invoice'!$F$2:$F$801,$N281)))</f>
        <v/>
      </c>
      <c r="G281">
        <f>IF($N281="","",IF(INDEX('Per Invoice'!$G$2:$G$801,$N281)="","",INDEX('Per Invoice'!$G$2:$G$801,$N281)))</f>
        <v/>
      </c>
      <c r="H281">
        <f>IF($N281="","",IF(INDEX('Per Invoice'!$H$2:$H$801,$N281)="","",INDEX('Per Invoice'!$H$2:$H$801,$N281)))</f>
        <v/>
      </c>
      <c r="I281" s="5">
        <f>IF($N281="","",IF(INDEX('Per Invoice'!$I$2:$I$801,$N281)="","",INDEX('Per Invoice'!$I$2:$I$801,$N281)))</f>
        <v/>
      </c>
      <c r="J281" s="5">
        <f>IF($N281="","",IF(INDEX('Per Invoice'!$J$2:$J$801,$N281)="","",INDEX('Per Invoice'!$J$2:$J$801,$N281)))</f>
        <v/>
      </c>
      <c r="K281" s="5">
        <f>IF($N281="","",IF(INDEX('Per Invoice'!$K$2:$K$801,$N281)="","",INDEX('Per Invoice'!$K$2:$K$801,$N281)))</f>
        <v/>
      </c>
      <c r="L281" s="5">
        <f>IF($N281="","",IF(INDEX('Per Invoice'!$L$2:$L$801,$N281)="","",INDEX('Per Invoice'!$L$2:$L$801,$N281)))</f>
        <v/>
      </c>
      <c r="M281" s="5">
        <f>IF($N281="","",IF(INDEX('Per Invoice'!$M$2:$M$801,$N281)="","",INDEX('Per Invoice'!$M$2:$M$801,$N281)))</f>
        <v/>
      </c>
      <c r="N281">
        <f>IF(ROWS($N$2:$N281)&lt;=COUNT('Per Invoice'!$P$2:$P$801),MATCH(ROWS($N$2:$N281),'Per Invoice'!$P$2:$P$801,0),"")</f>
        <v/>
      </c>
    </row>
    <row r="282">
      <c r="A282">
        <f>IF($N282="","",IF(INDEX('Per Invoice'!$A$2:$A$801,$N282)="","",INDEX('Per Invoice'!$A$2:$A$801,$N282)))</f>
        <v/>
      </c>
      <c r="B282">
        <f>IF($N282="","",IF(INDEX('Per Invoice'!$B$2:$B$801,$N282)="","",INDEX('Per Invoice'!$B$2:$B$801,$N282)))</f>
        <v/>
      </c>
      <c r="C282">
        <f>IF($N282="","",IF(INDEX('Per Invoice'!$C$2:$C$801,$N282)="","",INDEX('Per Invoice'!$C$2:$C$801,$N282)))</f>
        <v/>
      </c>
      <c r="D282">
        <f>IF($N282="","",IF(INDEX('Per Invoice'!$D$2:$D$801,$N282)="","",INDEX('Per Invoice'!$D$2:$D$801,$N282)))</f>
        <v/>
      </c>
      <c r="E282">
        <f>IF($N282="","",IF(INDEX('Per Invoice'!$E$2:$E$801,$N282)="","",INDEX('Per Invoice'!$E$2:$E$801,$N282)))</f>
        <v/>
      </c>
      <c r="F282">
        <f>IF($N282="","",IF(INDEX('Per Invoice'!$F$2:$F$801,$N282)="","",INDEX('Per Invoice'!$F$2:$F$801,$N282)))</f>
        <v/>
      </c>
      <c r="G282">
        <f>IF($N282="","",IF(INDEX('Per Invoice'!$G$2:$G$801,$N282)="","",INDEX('Per Invoice'!$G$2:$G$801,$N282)))</f>
        <v/>
      </c>
      <c r="H282">
        <f>IF($N282="","",IF(INDEX('Per Invoice'!$H$2:$H$801,$N282)="","",INDEX('Per Invoice'!$H$2:$H$801,$N282)))</f>
        <v/>
      </c>
      <c r="I282" s="5">
        <f>IF($N282="","",IF(INDEX('Per Invoice'!$I$2:$I$801,$N282)="","",INDEX('Per Invoice'!$I$2:$I$801,$N282)))</f>
        <v/>
      </c>
      <c r="J282" s="5">
        <f>IF($N282="","",IF(INDEX('Per Invoice'!$J$2:$J$801,$N282)="","",INDEX('Per Invoice'!$J$2:$J$801,$N282)))</f>
        <v/>
      </c>
      <c r="K282" s="5">
        <f>IF($N282="","",IF(INDEX('Per Invoice'!$K$2:$K$801,$N282)="","",INDEX('Per Invoice'!$K$2:$K$801,$N282)))</f>
        <v/>
      </c>
      <c r="L282" s="5">
        <f>IF($N282="","",IF(INDEX('Per Invoice'!$L$2:$L$801,$N282)="","",INDEX('Per Invoice'!$L$2:$L$801,$N282)))</f>
        <v/>
      </c>
      <c r="M282" s="5">
        <f>IF($N282="","",IF(INDEX('Per Invoice'!$M$2:$M$801,$N282)="","",INDEX('Per Invoice'!$M$2:$M$801,$N282)))</f>
        <v/>
      </c>
      <c r="N282">
        <f>IF(ROWS($N$2:$N282)&lt;=COUNT('Per Invoice'!$P$2:$P$801),MATCH(ROWS($N$2:$N282),'Per Invoice'!$P$2:$P$801,0),"")</f>
        <v/>
      </c>
    </row>
    <row r="283">
      <c r="A283">
        <f>IF($N283="","",IF(INDEX('Per Invoice'!$A$2:$A$801,$N283)="","",INDEX('Per Invoice'!$A$2:$A$801,$N283)))</f>
        <v/>
      </c>
      <c r="B283">
        <f>IF($N283="","",IF(INDEX('Per Invoice'!$B$2:$B$801,$N283)="","",INDEX('Per Invoice'!$B$2:$B$801,$N283)))</f>
        <v/>
      </c>
      <c r="C283">
        <f>IF($N283="","",IF(INDEX('Per Invoice'!$C$2:$C$801,$N283)="","",INDEX('Per Invoice'!$C$2:$C$801,$N283)))</f>
        <v/>
      </c>
      <c r="D283">
        <f>IF($N283="","",IF(INDEX('Per Invoice'!$D$2:$D$801,$N283)="","",INDEX('Per Invoice'!$D$2:$D$801,$N283)))</f>
        <v/>
      </c>
      <c r="E283">
        <f>IF($N283="","",IF(INDEX('Per Invoice'!$E$2:$E$801,$N283)="","",INDEX('Per Invoice'!$E$2:$E$801,$N283)))</f>
        <v/>
      </c>
      <c r="F283">
        <f>IF($N283="","",IF(INDEX('Per Invoice'!$F$2:$F$801,$N283)="","",INDEX('Per Invoice'!$F$2:$F$801,$N283)))</f>
        <v/>
      </c>
      <c r="G283">
        <f>IF($N283="","",IF(INDEX('Per Invoice'!$G$2:$G$801,$N283)="","",INDEX('Per Invoice'!$G$2:$G$801,$N283)))</f>
        <v/>
      </c>
      <c r="H283">
        <f>IF($N283="","",IF(INDEX('Per Invoice'!$H$2:$H$801,$N283)="","",INDEX('Per Invoice'!$H$2:$H$801,$N283)))</f>
        <v/>
      </c>
      <c r="I283" s="5">
        <f>IF($N283="","",IF(INDEX('Per Invoice'!$I$2:$I$801,$N283)="","",INDEX('Per Invoice'!$I$2:$I$801,$N283)))</f>
        <v/>
      </c>
      <c r="J283" s="5">
        <f>IF($N283="","",IF(INDEX('Per Invoice'!$J$2:$J$801,$N283)="","",INDEX('Per Invoice'!$J$2:$J$801,$N283)))</f>
        <v/>
      </c>
      <c r="K283" s="5">
        <f>IF($N283="","",IF(INDEX('Per Invoice'!$K$2:$K$801,$N283)="","",INDEX('Per Invoice'!$K$2:$K$801,$N283)))</f>
        <v/>
      </c>
      <c r="L283" s="5">
        <f>IF($N283="","",IF(INDEX('Per Invoice'!$L$2:$L$801,$N283)="","",INDEX('Per Invoice'!$L$2:$L$801,$N283)))</f>
        <v/>
      </c>
      <c r="M283" s="5">
        <f>IF($N283="","",IF(INDEX('Per Invoice'!$M$2:$M$801,$N283)="","",INDEX('Per Invoice'!$M$2:$M$801,$N283)))</f>
        <v/>
      </c>
      <c r="N283">
        <f>IF(ROWS($N$2:$N283)&lt;=COUNT('Per Invoice'!$P$2:$P$801),MATCH(ROWS($N$2:$N283),'Per Invoice'!$P$2:$P$801,0),"")</f>
        <v/>
      </c>
    </row>
    <row r="284">
      <c r="A284">
        <f>IF($N284="","",IF(INDEX('Per Invoice'!$A$2:$A$801,$N284)="","",INDEX('Per Invoice'!$A$2:$A$801,$N284)))</f>
        <v/>
      </c>
      <c r="B284">
        <f>IF($N284="","",IF(INDEX('Per Invoice'!$B$2:$B$801,$N284)="","",INDEX('Per Invoice'!$B$2:$B$801,$N284)))</f>
        <v/>
      </c>
      <c r="C284">
        <f>IF($N284="","",IF(INDEX('Per Invoice'!$C$2:$C$801,$N284)="","",INDEX('Per Invoice'!$C$2:$C$801,$N284)))</f>
        <v/>
      </c>
      <c r="D284">
        <f>IF($N284="","",IF(INDEX('Per Invoice'!$D$2:$D$801,$N284)="","",INDEX('Per Invoice'!$D$2:$D$801,$N284)))</f>
        <v/>
      </c>
      <c r="E284">
        <f>IF($N284="","",IF(INDEX('Per Invoice'!$E$2:$E$801,$N284)="","",INDEX('Per Invoice'!$E$2:$E$801,$N284)))</f>
        <v/>
      </c>
      <c r="F284">
        <f>IF($N284="","",IF(INDEX('Per Invoice'!$F$2:$F$801,$N284)="","",INDEX('Per Invoice'!$F$2:$F$801,$N284)))</f>
        <v/>
      </c>
      <c r="G284">
        <f>IF($N284="","",IF(INDEX('Per Invoice'!$G$2:$G$801,$N284)="","",INDEX('Per Invoice'!$G$2:$G$801,$N284)))</f>
        <v/>
      </c>
      <c r="H284">
        <f>IF($N284="","",IF(INDEX('Per Invoice'!$H$2:$H$801,$N284)="","",INDEX('Per Invoice'!$H$2:$H$801,$N284)))</f>
        <v/>
      </c>
      <c r="I284" s="5">
        <f>IF($N284="","",IF(INDEX('Per Invoice'!$I$2:$I$801,$N284)="","",INDEX('Per Invoice'!$I$2:$I$801,$N284)))</f>
        <v/>
      </c>
      <c r="J284" s="5">
        <f>IF($N284="","",IF(INDEX('Per Invoice'!$J$2:$J$801,$N284)="","",INDEX('Per Invoice'!$J$2:$J$801,$N284)))</f>
        <v/>
      </c>
      <c r="K284" s="5">
        <f>IF($N284="","",IF(INDEX('Per Invoice'!$K$2:$K$801,$N284)="","",INDEX('Per Invoice'!$K$2:$K$801,$N284)))</f>
        <v/>
      </c>
      <c r="L284" s="5">
        <f>IF($N284="","",IF(INDEX('Per Invoice'!$L$2:$L$801,$N284)="","",INDEX('Per Invoice'!$L$2:$L$801,$N284)))</f>
        <v/>
      </c>
      <c r="M284" s="5">
        <f>IF($N284="","",IF(INDEX('Per Invoice'!$M$2:$M$801,$N284)="","",INDEX('Per Invoice'!$M$2:$M$801,$N284)))</f>
        <v/>
      </c>
      <c r="N284">
        <f>IF(ROWS($N$2:$N284)&lt;=COUNT('Per Invoice'!$P$2:$P$801),MATCH(ROWS($N$2:$N284),'Per Invoice'!$P$2:$P$801,0),"")</f>
        <v/>
      </c>
    </row>
    <row r="285">
      <c r="A285">
        <f>IF($N285="","",IF(INDEX('Per Invoice'!$A$2:$A$801,$N285)="","",INDEX('Per Invoice'!$A$2:$A$801,$N285)))</f>
        <v/>
      </c>
      <c r="B285">
        <f>IF($N285="","",IF(INDEX('Per Invoice'!$B$2:$B$801,$N285)="","",INDEX('Per Invoice'!$B$2:$B$801,$N285)))</f>
        <v/>
      </c>
      <c r="C285">
        <f>IF($N285="","",IF(INDEX('Per Invoice'!$C$2:$C$801,$N285)="","",INDEX('Per Invoice'!$C$2:$C$801,$N285)))</f>
        <v/>
      </c>
      <c r="D285">
        <f>IF($N285="","",IF(INDEX('Per Invoice'!$D$2:$D$801,$N285)="","",INDEX('Per Invoice'!$D$2:$D$801,$N285)))</f>
        <v/>
      </c>
      <c r="E285">
        <f>IF($N285="","",IF(INDEX('Per Invoice'!$E$2:$E$801,$N285)="","",INDEX('Per Invoice'!$E$2:$E$801,$N285)))</f>
        <v/>
      </c>
      <c r="F285">
        <f>IF($N285="","",IF(INDEX('Per Invoice'!$F$2:$F$801,$N285)="","",INDEX('Per Invoice'!$F$2:$F$801,$N285)))</f>
        <v/>
      </c>
      <c r="G285">
        <f>IF($N285="","",IF(INDEX('Per Invoice'!$G$2:$G$801,$N285)="","",INDEX('Per Invoice'!$G$2:$G$801,$N285)))</f>
        <v/>
      </c>
      <c r="H285">
        <f>IF($N285="","",IF(INDEX('Per Invoice'!$H$2:$H$801,$N285)="","",INDEX('Per Invoice'!$H$2:$H$801,$N285)))</f>
        <v/>
      </c>
      <c r="I285" s="5">
        <f>IF($N285="","",IF(INDEX('Per Invoice'!$I$2:$I$801,$N285)="","",INDEX('Per Invoice'!$I$2:$I$801,$N285)))</f>
        <v/>
      </c>
      <c r="J285" s="5">
        <f>IF($N285="","",IF(INDEX('Per Invoice'!$J$2:$J$801,$N285)="","",INDEX('Per Invoice'!$J$2:$J$801,$N285)))</f>
        <v/>
      </c>
      <c r="K285" s="5">
        <f>IF($N285="","",IF(INDEX('Per Invoice'!$K$2:$K$801,$N285)="","",INDEX('Per Invoice'!$K$2:$K$801,$N285)))</f>
        <v/>
      </c>
      <c r="L285" s="5">
        <f>IF($N285="","",IF(INDEX('Per Invoice'!$L$2:$L$801,$N285)="","",INDEX('Per Invoice'!$L$2:$L$801,$N285)))</f>
        <v/>
      </c>
      <c r="M285" s="5">
        <f>IF($N285="","",IF(INDEX('Per Invoice'!$M$2:$M$801,$N285)="","",INDEX('Per Invoice'!$M$2:$M$801,$N285)))</f>
        <v/>
      </c>
      <c r="N285">
        <f>IF(ROWS($N$2:$N285)&lt;=COUNT('Per Invoice'!$P$2:$P$801),MATCH(ROWS($N$2:$N285),'Per Invoice'!$P$2:$P$801,0),"")</f>
        <v/>
      </c>
    </row>
    <row r="286">
      <c r="A286">
        <f>IF($N286="","",IF(INDEX('Per Invoice'!$A$2:$A$801,$N286)="","",INDEX('Per Invoice'!$A$2:$A$801,$N286)))</f>
        <v/>
      </c>
      <c r="B286">
        <f>IF($N286="","",IF(INDEX('Per Invoice'!$B$2:$B$801,$N286)="","",INDEX('Per Invoice'!$B$2:$B$801,$N286)))</f>
        <v/>
      </c>
      <c r="C286">
        <f>IF($N286="","",IF(INDEX('Per Invoice'!$C$2:$C$801,$N286)="","",INDEX('Per Invoice'!$C$2:$C$801,$N286)))</f>
        <v/>
      </c>
      <c r="D286">
        <f>IF($N286="","",IF(INDEX('Per Invoice'!$D$2:$D$801,$N286)="","",INDEX('Per Invoice'!$D$2:$D$801,$N286)))</f>
        <v/>
      </c>
      <c r="E286">
        <f>IF($N286="","",IF(INDEX('Per Invoice'!$E$2:$E$801,$N286)="","",INDEX('Per Invoice'!$E$2:$E$801,$N286)))</f>
        <v/>
      </c>
      <c r="F286">
        <f>IF($N286="","",IF(INDEX('Per Invoice'!$F$2:$F$801,$N286)="","",INDEX('Per Invoice'!$F$2:$F$801,$N286)))</f>
        <v/>
      </c>
      <c r="G286">
        <f>IF($N286="","",IF(INDEX('Per Invoice'!$G$2:$G$801,$N286)="","",INDEX('Per Invoice'!$G$2:$G$801,$N286)))</f>
        <v/>
      </c>
      <c r="H286">
        <f>IF($N286="","",IF(INDEX('Per Invoice'!$H$2:$H$801,$N286)="","",INDEX('Per Invoice'!$H$2:$H$801,$N286)))</f>
        <v/>
      </c>
      <c r="I286" s="5">
        <f>IF($N286="","",IF(INDEX('Per Invoice'!$I$2:$I$801,$N286)="","",INDEX('Per Invoice'!$I$2:$I$801,$N286)))</f>
        <v/>
      </c>
      <c r="J286" s="5">
        <f>IF($N286="","",IF(INDEX('Per Invoice'!$J$2:$J$801,$N286)="","",INDEX('Per Invoice'!$J$2:$J$801,$N286)))</f>
        <v/>
      </c>
      <c r="K286" s="5">
        <f>IF($N286="","",IF(INDEX('Per Invoice'!$K$2:$K$801,$N286)="","",INDEX('Per Invoice'!$K$2:$K$801,$N286)))</f>
        <v/>
      </c>
      <c r="L286" s="5">
        <f>IF($N286="","",IF(INDEX('Per Invoice'!$L$2:$L$801,$N286)="","",INDEX('Per Invoice'!$L$2:$L$801,$N286)))</f>
        <v/>
      </c>
      <c r="M286" s="5">
        <f>IF($N286="","",IF(INDEX('Per Invoice'!$M$2:$M$801,$N286)="","",INDEX('Per Invoice'!$M$2:$M$801,$N286)))</f>
        <v/>
      </c>
      <c r="N286">
        <f>IF(ROWS($N$2:$N286)&lt;=COUNT('Per Invoice'!$P$2:$P$801),MATCH(ROWS($N$2:$N286),'Per Invoice'!$P$2:$P$801,0),"")</f>
        <v/>
      </c>
    </row>
    <row r="287">
      <c r="A287">
        <f>IF($N287="","",IF(INDEX('Per Invoice'!$A$2:$A$801,$N287)="","",INDEX('Per Invoice'!$A$2:$A$801,$N287)))</f>
        <v/>
      </c>
      <c r="B287">
        <f>IF($N287="","",IF(INDEX('Per Invoice'!$B$2:$B$801,$N287)="","",INDEX('Per Invoice'!$B$2:$B$801,$N287)))</f>
        <v/>
      </c>
      <c r="C287">
        <f>IF($N287="","",IF(INDEX('Per Invoice'!$C$2:$C$801,$N287)="","",INDEX('Per Invoice'!$C$2:$C$801,$N287)))</f>
        <v/>
      </c>
      <c r="D287">
        <f>IF($N287="","",IF(INDEX('Per Invoice'!$D$2:$D$801,$N287)="","",INDEX('Per Invoice'!$D$2:$D$801,$N287)))</f>
        <v/>
      </c>
      <c r="E287">
        <f>IF($N287="","",IF(INDEX('Per Invoice'!$E$2:$E$801,$N287)="","",INDEX('Per Invoice'!$E$2:$E$801,$N287)))</f>
        <v/>
      </c>
      <c r="F287">
        <f>IF($N287="","",IF(INDEX('Per Invoice'!$F$2:$F$801,$N287)="","",INDEX('Per Invoice'!$F$2:$F$801,$N287)))</f>
        <v/>
      </c>
      <c r="G287">
        <f>IF($N287="","",IF(INDEX('Per Invoice'!$G$2:$G$801,$N287)="","",INDEX('Per Invoice'!$G$2:$G$801,$N287)))</f>
        <v/>
      </c>
      <c r="H287">
        <f>IF($N287="","",IF(INDEX('Per Invoice'!$H$2:$H$801,$N287)="","",INDEX('Per Invoice'!$H$2:$H$801,$N287)))</f>
        <v/>
      </c>
      <c r="I287" s="5">
        <f>IF($N287="","",IF(INDEX('Per Invoice'!$I$2:$I$801,$N287)="","",INDEX('Per Invoice'!$I$2:$I$801,$N287)))</f>
        <v/>
      </c>
      <c r="J287" s="5">
        <f>IF($N287="","",IF(INDEX('Per Invoice'!$J$2:$J$801,$N287)="","",INDEX('Per Invoice'!$J$2:$J$801,$N287)))</f>
        <v/>
      </c>
      <c r="K287" s="5">
        <f>IF($N287="","",IF(INDEX('Per Invoice'!$K$2:$K$801,$N287)="","",INDEX('Per Invoice'!$K$2:$K$801,$N287)))</f>
        <v/>
      </c>
      <c r="L287" s="5">
        <f>IF($N287="","",IF(INDEX('Per Invoice'!$L$2:$L$801,$N287)="","",INDEX('Per Invoice'!$L$2:$L$801,$N287)))</f>
        <v/>
      </c>
      <c r="M287" s="5">
        <f>IF($N287="","",IF(INDEX('Per Invoice'!$M$2:$M$801,$N287)="","",INDEX('Per Invoice'!$M$2:$M$801,$N287)))</f>
        <v/>
      </c>
      <c r="N287">
        <f>IF(ROWS($N$2:$N287)&lt;=COUNT('Per Invoice'!$P$2:$P$801),MATCH(ROWS($N$2:$N287),'Per Invoice'!$P$2:$P$801,0),"")</f>
        <v/>
      </c>
    </row>
    <row r="288">
      <c r="A288">
        <f>IF($N288="","",IF(INDEX('Per Invoice'!$A$2:$A$801,$N288)="","",INDEX('Per Invoice'!$A$2:$A$801,$N288)))</f>
        <v/>
      </c>
      <c r="B288">
        <f>IF($N288="","",IF(INDEX('Per Invoice'!$B$2:$B$801,$N288)="","",INDEX('Per Invoice'!$B$2:$B$801,$N288)))</f>
        <v/>
      </c>
      <c r="C288">
        <f>IF($N288="","",IF(INDEX('Per Invoice'!$C$2:$C$801,$N288)="","",INDEX('Per Invoice'!$C$2:$C$801,$N288)))</f>
        <v/>
      </c>
      <c r="D288">
        <f>IF($N288="","",IF(INDEX('Per Invoice'!$D$2:$D$801,$N288)="","",INDEX('Per Invoice'!$D$2:$D$801,$N288)))</f>
        <v/>
      </c>
      <c r="E288">
        <f>IF($N288="","",IF(INDEX('Per Invoice'!$E$2:$E$801,$N288)="","",INDEX('Per Invoice'!$E$2:$E$801,$N288)))</f>
        <v/>
      </c>
      <c r="F288">
        <f>IF($N288="","",IF(INDEX('Per Invoice'!$F$2:$F$801,$N288)="","",INDEX('Per Invoice'!$F$2:$F$801,$N288)))</f>
        <v/>
      </c>
      <c r="G288">
        <f>IF($N288="","",IF(INDEX('Per Invoice'!$G$2:$G$801,$N288)="","",INDEX('Per Invoice'!$G$2:$G$801,$N288)))</f>
        <v/>
      </c>
      <c r="H288">
        <f>IF($N288="","",IF(INDEX('Per Invoice'!$H$2:$H$801,$N288)="","",INDEX('Per Invoice'!$H$2:$H$801,$N288)))</f>
        <v/>
      </c>
      <c r="I288" s="5">
        <f>IF($N288="","",IF(INDEX('Per Invoice'!$I$2:$I$801,$N288)="","",INDEX('Per Invoice'!$I$2:$I$801,$N288)))</f>
        <v/>
      </c>
      <c r="J288" s="5">
        <f>IF($N288="","",IF(INDEX('Per Invoice'!$J$2:$J$801,$N288)="","",INDEX('Per Invoice'!$J$2:$J$801,$N288)))</f>
        <v/>
      </c>
      <c r="K288" s="5">
        <f>IF($N288="","",IF(INDEX('Per Invoice'!$K$2:$K$801,$N288)="","",INDEX('Per Invoice'!$K$2:$K$801,$N288)))</f>
        <v/>
      </c>
      <c r="L288" s="5">
        <f>IF($N288="","",IF(INDEX('Per Invoice'!$L$2:$L$801,$N288)="","",INDEX('Per Invoice'!$L$2:$L$801,$N288)))</f>
        <v/>
      </c>
      <c r="M288" s="5">
        <f>IF($N288="","",IF(INDEX('Per Invoice'!$M$2:$M$801,$N288)="","",INDEX('Per Invoice'!$M$2:$M$801,$N288)))</f>
        <v/>
      </c>
      <c r="N288">
        <f>IF(ROWS($N$2:$N288)&lt;=COUNT('Per Invoice'!$P$2:$P$801),MATCH(ROWS($N$2:$N288),'Per Invoice'!$P$2:$P$801,0),"")</f>
        <v/>
      </c>
    </row>
    <row r="289">
      <c r="A289">
        <f>IF($N289="","",IF(INDEX('Per Invoice'!$A$2:$A$801,$N289)="","",INDEX('Per Invoice'!$A$2:$A$801,$N289)))</f>
        <v/>
      </c>
      <c r="B289">
        <f>IF($N289="","",IF(INDEX('Per Invoice'!$B$2:$B$801,$N289)="","",INDEX('Per Invoice'!$B$2:$B$801,$N289)))</f>
        <v/>
      </c>
      <c r="C289">
        <f>IF($N289="","",IF(INDEX('Per Invoice'!$C$2:$C$801,$N289)="","",INDEX('Per Invoice'!$C$2:$C$801,$N289)))</f>
        <v/>
      </c>
      <c r="D289">
        <f>IF($N289="","",IF(INDEX('Per Invoice'!$D$2:$D$801,$N289)="","",INDEX('Per Invoice'!$D$2:$D$801,$N289)))</f>
        <v/>
      </c>
      <c r="E289">
        <f>IF($N289="","",IF(INDEX('Per Invoice'!$E$2:$E$801,$N289)="","",INDEX('Per Invoice'!$E$2:$E$801,$N289)))</f>
        <v/>
      </c>
      <c r="F289">
        <f>IF($N289="","",IF(INDEX('Per Invoice'!$F$2:$F$801,$N289)="","",INDEX('Per Invoice'!$F$2:$F$801,$N289)))</f>
        <v/>
      </c>
      <c r="G289">
        <f>IF($N289="","",IF(INDEX('Per Invoice'!$G$2:$G$801,$N289)="","",INDEX('Per Invoice'!$G$2:$G$801,$N289)))</f>
        <v/>
      </c>
      <c r="H289">
        <f>IF($N289="","",IF(INDEX('Per Invoice'!$H$2:$H$801,$N289)="","",INDEX('Per Invoice'!$H$2:$H$801,$N289)))</f>
        <v/>
      </c>
      <c r="I289" s="5">
        <f>IF($N289="","",IF(INDEX('Per Invoice'!$I$2:$I$801,$N289)="","",INDEX('Per Invoice'!$I$2:$I$801,$N289)))</f>
        <v/>
      </c>
      <c r="J289" s="5">
        <f>IF($N289="","",IF(INDEX('Per Invoice'!$J$2:$J$801,$N289)="","",INDEX('Per Invoice'!$J$2:$J$801,$N289)))</f>
        <v/>
      </c>
      <c r="K289" s="5">
        <f>IF($N289="","",IF(INDEX('Per Invoice'!$K$2:$K$801,$N289)="","",INDEX('Per Invoice'!$K$2:$K$801,$N289)))</f>
        <v/>
      </c>
      <c r="L289" s="5">
        <f>IF($N289="","",IF(INDEX('Per Invoice'!$L$2:$L$801,$N289)="","",INDEX('Per Invoice'!$L$2:$L$801,$N289)))</f>
        <v/>
      </c>
      <c r="M289" s="5">
        <f>IF($N289="","",IF(INDEX('Per Invoice'!$M$2:$M$801,$N289)="","",INDEX('Per Invoice'!$M$2:$M$801,$N289)))</f>
        <v/>
      </c>
      <c r="N289">
        <f>IF(ROWS($N$2:$N289)&lt;=COUNT('Per Invoice'!$P$2:$P$801),MATCH(ROWS($N$2:$N289),'Per Invoice'!$P$2:$P$801,0),"")</f>
        <v/>
      </c>
    </row>
    <row r="290">
      <c r="A290">
        <f>IF($N290="","",IF(INDEX('Per Invoice'!$A$2:$A$801,$N290)="","",INDEX('Per Invoice'!$A$2:$A$801,$N290)))</f>
        <v/>
      </c>
      <c r="B290">
        <f>IF($N290="","",IF(INDEX('Per Invoice'!$B$2:$B$801,$N290)="","",INDEX('Per Invoice'!$B$2:$B$801,$N290)))</f>
        <v/>
      </c>
      <c r="C290">
        <f>IF($N290="","",IF(INDEX('Per Invoice'!$C$2:$C$801,$N290)="","",INDEX('Per Invoice'!$C$2:$C$801,$N290)))</f>
        <v/>
      </c>
      <c r="D290">
        <f>IF($N290="","",IF(INDEX('Per Invoice'!$D$2:$D$801,$N290)="","",INDEX('Per Invoice'!$D$2:$D$801,$N290)))</f>
        <v/>
      </c>
      <c r="E290">
        <f>IF($N290="","",IF(INDEX('Per Invoice'!$E$2:$E$801,$N290)="","",INDEX('Per Invoice'!$E$2:$E$801,$N290)))</f>
        <v/>
      </c>
      <c r="F290">
        <f>IF($N290="","",IF(INDEX('Per Invoice'!$F$2:$F$801,$N290)="","",INDEX('Per Invoice'!$F$2:$F$801,$N290)))</f>
        <v/>
      </c>
      <c r="G290">
        <f>IF($N290="","",IF(INDEX('Per Invoice'!$G$2:$G$801,$N290)="","",INDEX('Per Invoice'!$G$2:$G$801,$N290)))</f>
        <v/>
      </c>
      <c r="H290">
        <f>IF($N290="","",IF(INDEX('Per Invoice'!$H$2:$H$801,$N290)="","",INDEX('Per Invoice'!$H$2:$H$801,$N290)))</f>
        <v/>
      </c>
      <c r="I290" s="5">
        <f>IF($N290="","",IF(INDEX('Per Invoice'!$I$2:$I$801,$N290)="","",INDEX('Per Invoice'!$I$2:$I$801,$N290)))</f>
        <v/>
      </c>
      <c r="J290" s="5">
        <f>IF($N290="","",IF(INDEX('Per Invoice'!$J$2:$J$801,$N290)="","",INDEX('Per Invoice'!$J$2:$J$801,$N290)))</f>
        <v/>
      </c>
      <c r="K290" s="5">
        <f>IF($N290="","",IF(INDEX('Per Invoice'!$K$2:$K$801,$N290)="","",INDEX('Per Invoice'!$K$2:$K$801,$N290)))</f>
        <v/>
      </c>
      <c r="L290" s="5">
        <f>IF($N290="","",IF(INDEX('Per Invoice'!$L$2:$L$801,$N290)="","",INDEX('Per Invoice'!$L$2:$L$801,$N290)))</f>
        <v/>
      </c>
      <c r="M290" s="5">
        <f>IF($N290="","",IF(INDEX('Per Invoice'!$M$2:$M$801,$N290)="","",INDEX('Per Invoice'!$M$2:$M$801,$N290)))</f>
        <v/>
      </c>
      <c r="N290">
        <f>IF(ROWS($N$2:$N290)&lt;=COUNT('Per Invoice'!$P$2:$P$801),MATCH(ROWS($N$2:$N290),'Per Invoice'!$P$2:$P$801,0),"")</f>
        <v/>
      </c>
    </row>
    <row r="291">
      <c r="A291">
        <f>IF($N291="","",IF(INDEX('Per Invoice'!$A$2:$A$801,$N291)="","",INDEX('Per Invoice'!$A$2:$A$801,$N291)))</f>
        <v/>
      </c>
      <c r="B291">
        <f>IF($N291="","",IF(INDEX('Per Invoice'!$B$2:$B$801,$N291)="","",INDEX('Per Invoice'!$B$2:$B$801,$N291)))</f>
        <v/>
      </c>
      <c r="C291">
        <f>IF($N291="","",IF(INDEX('Per Invoice'!$C$2:$C$801,$N291)="","",INDEX('Per Invoice'!$C$2:$C$801,$N291)))</f>
        <v/>
      </c>
      <c r="D291">
        <f>IF($N291="","",IF(INDEX('Per Invoice'!$D$2:$D$801,$N291)="","",INDEX('Per Invoice'!$D$2:$D$801,$N291)))</f>
        <v/>
      </c>
      <c r="E291">
        <f>IF($N291="","",IF(INDEX('Per Invoice'!$E$2:$E$801,$N291)="","",INDEX('Per Invoice'!$E$2:$E$801,$N291)))</f>
        <v/>
      </c>
      <c r="F291">
        <f>IF($N291="","",IF(INDEX('Per Invoice'!$F$2:$F$801,$N291)="","",INDEX('Per Invoice'!$F$2:$F$801,$N291)))</f>
        <v/>
      </c>
      <c r="G291">
        <f>IF($N291="","",IF(INDEX('Per Invoice'!$G$2:$G$801,$N291)="","",INDEX('Per Invoice'!$G$2:$G$801,$N291)))</f>
        <v/>
      </c>
      <c r="H291">
        <f>IF($N291="","",IF(INDEX('Per Invoice'!$H$2:$H$801,$N291)="","",INDEX('Per Invoice'!$H$2:$H$801,$N291)))</f>
        <v/>
      </c>
      <c r="I291" s="5">
        <f>IF($N291="","",IF(INDEX('Per Invoice'!$I$2:$I$801,$N291)="","",INDEX('Per Invoice'!$I$2:$I$801,$N291)))</f>
        <v/>
      </c>
      <c r="J291" s="5">
        <f>IF($N291="","",IF(INDEX('Per Invoice'!$J$2:$J$801,$N291)="","",INDEX('Per Invoice'!$J$2:$J$801,$N291)))</f>
        <v/>
      </c>
      <c r="K291" s="5">
        <f>IF($N291="","",IF(INDEX('Per Invoice'!$K$2:$K$801,$N291)="","",INDEX('Per Invoice'!$K$2:$K$801,$N291)))</f>
        <v/>
      </c>
      <c r="L291" s="5">
        <f>IF($N291="","",IF(INDEX('Per Invoice'!$L$2:$L$801,$N291)="","",INDEX('Per Invoice'!$L$2:$L$801,$N291)))</f>
        <v/>
      </c>
      <c r="M291" s="5">
        <f>IF($N291="","",IF(INDEX('Per Invoice'!$M$2:$M$801,$N291)="","",INDEX('Per Invoice'!$M$2:$M$801,$N291)))</f>
        <v/>
      </c>
      <c r="N291">
        <f>IF(ROWS($N$2:$N291)&lt;=COUNT('Per Invoice'!$P$2:$P$801),MATCH(ROWS($N$2:$N291),'Per Invoice'!$P$2:$P$801,0),"")</f>
        <v/>
      </c>
    </row>
    <row r="292">
      <c r="A292">
        <f>IF($N292="","",IF(INDEX('Per Invoice'!$A$2:$A$801,$N292)="","",INDEX('Per Invoice'!$A$2:$A$801,$N292)))</f>
        <v/>
      </c>
      <c r="B292">
        <f>IF($N292="","",IF(INDEX('Per Invoice'!$B$2:$B$801,$N292)="","",INDEX('Per Invoice'!$B$2:$B$801,$N292)))</f>
        <v/>
      </c>
      <c r="C292">
        <f>IF($N292="","",IF(INDEX('Per Invoice'!$C$2:$C$801,$N292)="","",INDEX('Per Invoice'!$C$2:$C$801,$N292)))</f>
        <v/>
      </c>
      <c r="D292">
        <f>IF($N292="","",IF(INDEX('Per Invoice'!$D$2:$D$801,$N292)="","",INDEX('Per Invoice'!$D$2:$D$801,$N292)))</f>
        <v/>
      </c>
      <c r="E292">
        <f>IF($N292="","",IF(INDEX('Per Invoice'!$E$2:$E$801,$N292)="","",INDEX('Per Invoice'!$E$2:$E$801,$N292)))</f>
        <v/>
      </c>
      <c r="F292">
        <f>IF($N292="","",IF(INDEX('Per Invoice'!$F$2:$F$801,$N292)="","",INDEX('Per Invoice'!$F$2:$F$801,$N292)))</f>
        <v/>
      </c>
      <c r="G292">
        <f>IF($N292="","",IF(INDEX('Per Invoice'!$G$2:$G$801,$N292)="","",INDEX('Per Invoice'!$G$2:$G$801,$N292)))</f>
        <v/>
      </c>
      <c r="H292">
        <f>IF($N292="","",IF(INDEX('Per Invoice'!$H$2:$H$801,$N292)="","",INDEX('Per Invoice'!$H$2:$H$801,$N292)))</f>
        <v/>
      </c>
      <c r="I292" s="5">
        <f>IF($N292="","",IF(INDEX('Per Invoice'!$I$2:$I$801,$N292)="","",INDEX('Per Invoice'!$I$2:$I$801,$N292)))</f>
        <v/>
      </c>
      <c r="J292" s="5">
        <f>IF($N292="","",IF(INDEX('Per Invoice'!$J$2:$J$801,$N292)="","",INDEX('Per Invoice'!$J$2:$J$801,$N292)))</f>
        <v/>
      </c>
      <c r="K292" s="5">
        <f>IF($N292="","",IF(INDEX('Per Invoice'!$K$2:$K$801,$N292)="","",INDEX('Per Invoice'!$K$2:$K$801,$N292)))</f>
        <v/>
      </c>
      <c r="L292" s="5">
        <f>IF($N292="","",IF(INDEX('Per Invoice'!$L$2:$L$801,$N292)="","",INDEX('Per Invoice'!$L$2:$L$801,$N292)))</f>
        <v/>
      </c>
      <c r="M292" s="5">
        <f>IF($N292="","",IF(INDEX('Per Invoice'!$M$2:$M$801,$N292)="","",INDEX('Per Invoice'!$M$2:$M$801,$N292)))</f>
        <v/>
      </c>
      <c r="N292">
        <f>IF(ROWS($N$2:$N292)&lt;=COUNT('Per Invoice'!$P$2:$P$801),MATCH(ROWS($N$2:$N292),'Per Invoice'!$P$2:$P$801,0),"")</f>
        <v/>
      </c>
    </row>
    <row r="293">
      <c r="A293">
        <f>IF($N293="","",IF(INDEX('Per Invoice'!$A$2:$A$801,$N293)="","",INDEX('Per Invoice'!$A$2:$A$801,$N293)))</f>
        <v/>
      </c>
      <c r="B293">
        <f>IF($N293="","",IF(INDEX('Per Invoice'!$B$2:$B$801,$N293)="","",INDEX('Per Invoice'!$B$2:$B$801,$N293)))</f>
        <v/>
      </c>
      <c r="C293">
        <f>IF($N293="","",IF(INDEX('Per Invoice'!$C$2:$C$801,$N293)="","",INDEX('Per Invoice'!$C$2:$C$801,$N293)))</f>
        <v/>
      </c>
      <c r="D293">
        <f>IF($N293="","",IF(INDEX('Per Invoice'!$D$2:$D$801,$N293)="","",INDEX('Per Invoice'!$D$2:$D$801,$N293)))</f>
        <v/>
      </c>
      <c r="E293">
        <f>IF($N293="","",IF(INDEX('Per Invoice'!$E$2:$E$801,$N293)="","",INDEX('Per Invoice'!$E$2:$E$801,$N293)))</f>
        <v/>
      </c>
      <c r="F293">
        <f>IF($N293="","",IF(INDEX('Per Invoice'!$F$2:$F$801,$N293)="","",INDEX('Per Invoice'!$F$2:$F$801,$N293)))</f>
        <v/>
      </c>
      <c r="G293">
        <f>IF($N293="","",IF(INDEX('Per Invoice'!$G$2:$G$801,$N293)="","",INDEX('Per Invoice'!$G$2:$G$801,$N293)))</f>
        <v/>
      </c>
      <c r="H293">
        <f>IF($N293="","",IF(INDEX('Per Invoice'!$H$2:$H$801,$N293)="","",INDEX('Per Invoice'!$H$2:$H$801,$N293)))</f>
        <v/>
      </c>
      <c r="I293" s="5">
        <f>IF($N293="","",IF(INDEX('Per Invoice'!$I$2:$I$801,$N293)="","",INDEX('Per Invoice'!$I$2:$I$801,$N293)))</f>
        <v/>
      </c>
      <c r="J293" s="5">
        <f>IF($N293="","",IF(INDEX('Per Invoice'!$J$2:$J$801,$N293)="","",INDEX('Per Invoice'!$J$2:$J$801,$N293)))</f>
        <v/>
      </c>
      <c r="K293" s="5">
        <f>IF($N293="","",IF(INDEX('Per Invoice'!$K$2:$K$801,$N293)="","",INDEX('Per Invoice'!$K$2:$K$801,$N293)))</f>
        <v/>
      </c>
      <c r="L293" s="5">
        <f>IF($N293="","",IF(INDEX('Per Invoice'!$L$2:$L$801,$N293)="","",INDEX('Per Invoice'!$L$2:$L$801,$N293)))</f>
        <v/>
      </c>
      <c r="M293" s="5">
        <f>IF($N293="","",IF(INDEX('Per Invoice'!$M$2:$M$801,$N293)="","",INDEX('Per Invoice'!$M$2:$M$801,$N293)))</f>
        <v/>
      </c>
      <c r="N293">
        <f>IF(ROWS($N$2:$N293)&lt;=COUNT('Per Invoice'!$P$2:$P$801),MATCH(ROWS($N$2:$N293),'Per Invoice'!$P$2:$P$801,0),"")</f>
        <v/>
      </c>
    </row>
    <row r="294">
      <c r="A294">
        <f>IF($N294="","",IF(INDEX('Per Invoice'!$A$2:$A$801,$N294)="","",INDEX('Per Invoice'!$A$2:$A$801,$N294)))</f>
        <v/>
      </c>
      <c r="B294">
        <f>IF($N294="","",IF(INDEX('Per Invoice'!$B$2:$B$801,$N294)="","",INDEX('Per Invoice'!$B$2:$B$801,$N294)))</f>
        <v/>
      </c>
      <c r="C294">
        <f>IF($N294="","",IF(INDEX('Per Invoice'!$C$2:$C$801,$N294)="","",INDEX('Per Invoice'!$C$2:$C$801,$N294)))</f>
        <v/>
      </c>
      <c r="D294">
        <f>IF($N294="","",IF(INDEX('Per Invoice'!$D$2:$D$801,$N294)="","",INDEX('Per Invoice'!$D$2:$D$801,$N294)))</f>
        <v/>
      </c>
      <c r="E294">
        <f>IF($N294="","",IF(INDEX('Per Invoice'!$E$2:$E$801,$N294)="","",INDEX('Per Invoice'!$E$2:$E$801,$N294)))</f>
        <v/>
      </c>
      <c r="F294">
        <f>IF($N294="","",IF(INDEX('Per Invoice'!$F$2:$F$801,$N294)="","",INDEX('Per Invoice'!$F$2:$F$801,$N294)))</f>
        <v/>
      </c>
      <c r="G294">
        <f>IF($N294="","",IF(INDEX('Per Invoice'!$G$2:$G$801,$N294)="","",INDEX('Per Invoice'!$G$2:$G$801,$N294)))</f>
        <v/>
      </c>
      <c r="H294">
        <f>IF($N294="","",IF(INDEX('Per Invoice'!$H$2:$H$801,$N294)="","",INDEX('Per Invoice'!$H$2:$H$801,$N294)))</f>
        <v/>
      </c>
      <c r="I294" s="5">
        <f>IF($N294="","",IF(INDEX('Per Invoice'!$I$2:$I$801,$N294)="","",INDEX('Per Invoice'!$I$2:$I$801,$N294)))</f>
        <v/>
      </c>
      <c r="J294" s="5">
        <f>IF($N294="","",IF(INDEX('Per Invoice'!$J$2:$J$801,$N294)="","",INDEX('Per Invoice'!$J$2:$J$801,$N294)))</f>
        <v/>
      </c>
      <c r="K294" s="5">
        <f>IF($N294="","",IF(INDEX('Per Invoice'!$K$2:$K$801,$N294)="","",INDEX('Per Invoice'!$K$2:$K$801,$N294)))</f>
        <v/>
      </c>
      <c r="L294" s="5">
        <f>IF($N294="","",IF(INDEX('Per Invoice'!$L$2:$L$801,$N294)="","",INDEX('Per Invoice'!$L$2:$L$801,$N294)))</f>
        <v/>
      </c>
      <c r="M294" s="5">
        <f>IF($N294="","",IF(INDEX('Per Invoice'!$M$2:$M$801,$N294)="","",INDEX('Per Invoice'!$M$2:$M$801,$N294)))</f>
        <v/>
      </c>
      <c r="N294">
        <f>IF(ROWS($N$2:$N294)&lt;=COUNT('Per Invoice'!$P$2:$P$801),MATCH(ROWS($N$2:$N294),'Per Invoice'!$P$2:$P$801,0),"")</f>
        <v/>
      </c>
    </row>
    <row r="295">
      <c r="A295">
        <f>IF($N295="","",IF(INDEX('Per Invoice'!$A$2:$A$801,$N295)="","",INDEX('Per Invoice'!$A$2:$A$801,$N295)))</f>
        <v/>
      </c>
      <c r="B295">
        <f>IF($N295="","",IF(INDEX('Per Invoice'!$B$2:$B$801,$N295)="","",INDEX('Per Invoice'!$B$2:$B$801,$N295)))</f>
        <v/>
      </c>
      <c r="C295">
        <f>IF($N295="","",IF(INDEX('Per Invoice'!$C$2:$C$801,$N295)="","",INDEX('Per Invoice'!$C$2:$C$801,$N295)))</f>
        <v/>
      </c>
      <c r="D295">
        <f>IF($N295="","",IF(INDEX('Per Invoice'!$D$2:$D$801,$N295)="","",INDEX('Per Invoice'!$D$2:$D$801,$N295)))</f>
        <v/>
      </c>
      <c r="E295">
        <f>IF($N295="","",IF(INDEX('Per Invoice'!$E$2:$E$801,$N295)="","",INDEX('Per Invoice'!$E$2:$E$801,$N295)))</f>
        <v/>
      </c>
      <c r="F295">
        <f>IF($N295="","",IF(INDEX('Per Invoice'!$F$2:$F$801,$N295)="","",INDEX('Per Invoice'!$F$2:$F$801,$N295)))</f>
        <v/>
      </c>
      <c r="G295">
        <f>IF($N295="","",IF(INDEX('Per Invoice'!$G$2:$G$801,$N295)="","",INDEX('Per Invoice'!$G$2:$G$801,$N295)))</f>
        <v/>
      </c>
      <c r="H295">
        <f>IF($N295="","",IF(INDEX('Per Invoice'!$H$2:$H$801,$N295)="","",INDEX('Per Invoice'!$H$2:$H$801,$N295)))</f>
        <v/>
      </c>
      <c r="I295" s="5">
        <f>IF($N295="","",IF(INDEX('Per Invoice'!$I$2:$I$801,$N295)="","",INDEX('Per Invoice'!$I$2:$I$801,$N295)))</f>
        <v/>
      </c>
      <c r="J295" s="5">
        <f>IF($N295="","",IF(INDEX('Per Invoice'!$J$2:$J$801,$N295)="","",INDEX('Per Invoice'!$J$2:$J$801,$N295)))</f>
        <v/>
      </c>
      <c r="K295" s="5">
        <f>IF($N295="","",IF(INDEX('Per Invoice'!$K$2:$K$801,$N295)="","",INDEX('Per Invoice'!$K$2:$K$801,$N295)))</f>
        <v/>
      </c>
      <c r="L295" s="5">
        <f>IF($N295="","",IF(INDEX('Per Invoice'!$L$2:$L$801,$N295)="","",INDEX('Per Invoice'!$L$2:$L$801,$N295)))</f>
        <v/>
      </c>
      <c r="M295" s="5">
        <f>IF($N295="","",IF(INDEX('Per Invoice'!$M$2:$M$801,$N295)="","",INDEX('Per Invoice'!$M$2:$M$801,$N295)))</f>
        <v/>
      </c>
      <c r="N295">
        <f>IF(ROWS($N$2:$N295)&lt;=COUNT('Per Invoice'!$P$2:$P$801),MATCH(ROWS($N$2:$N295),'Per Invoice'!$P$2:$P$801,0),"")</f>
        <v/>
      </c>
    </row>
    <row r="296">
      <c r="A296">
        <f>IF($N296="","",IF(INDEX('Per Invoice'!$A$2:$A$801,$N296)="","",INDEX('Per Invoice'!$A$2:$A$801,$N296)))</f>
        <v/>
      </c>
      <c r="B296">
        <f>IF($N296="","",IF(INDEX('Per Invoice'!$B$2:$B$801,$N296)="","",INDEX('Per Invoice'!$B$2:$B$801,$N296)))</f>
        <v/>
      </c>
      <c r="C296">
        <f>IF($N296="","",IF(INDEX('Per Invoice'!$C$2:$C$801,$N296)="","",INDEX('Per Invoice'!$C$2:$C$801,$N296)))</f>
        <v/>
      </c>
      <c r="D296">
        <f>IF($N296="","",IF(INDEX('Per Invoice'!$D$2:$D$801,$N296)="","",INDEX('Per Invoice'!$D$2:$D$801,$N296)))</f>
        <v/>
      </c>
      <c r="E296">
        <f>IF($N296="","",IF(INDEX('Per Invoice'!$E$2:$E$801,$N296)="","",INDEX('Per Invoice'!$E$2:$E$801,$N296)))</f>
        <v/>
      </c>
      <c r="F296">
        <f>IF($N296="","",IF(INDEX('Per Invoice'!$F$2:$F$801,$N296)="","",INDEX('Per Invoice'!$F$2:$F$801,$N296)))</f>
        <v/>
      </c>
      <c r="G296">
        <f>IF($N296="","",IF(INDEX('Per Invoice'!$G$2:$G$801,$N296)="","",INDEX('Per Invoice'!$G$2:$G$801,$N296)))</f>
        <v/>
      </c>
      <c r="H296">
        <f>IF($N296="","",IF(INDEX('Per Invoice'!$H$2:$H$801,$N296)="","",INDEX('Per Invoice'!$H$2:$H$801,$N296)))</f>
        <v/>
      </c>
      <c r="I296" s="5">
        <f>IF($N296="","",IF(INDEX('Per Invoice'!$I$2:$I$801,$N296)="","",INDEX('Per Invoice'!$I$2:$I$801,$N296)))</f>
        <v/>
      </c>
      <c r="J296" s="5">
        <f>IF($N296="","",IF(INDEX('Per Invoice'!$J$2:$J$801,$N296)="","",INDEX('Per Invoice'!$J$2:$J$801,$N296)))</f>
        <v/>
      </c>
      <c r="K296" s="5">
        <f>IF($N296="","",IF(INDEX('Per Invoice'!$K$2:$K$801,$N296)="","",INDEX('Per Invoice'!$K$2:$K$801,$N296)))</f>
        <v/>
      </c>
      <c r="L296" s="5">
        <f>IF($N296="","",IF(INDEX('Per Invoice'!$L$2:$L$801,$N296)="","",INDEX('Per Invoice'!$L$2:$L$801,$N296)))</f>
        <v/>
      </c>
      <c r="M296" s="5">
        <f>IF($N296="","",IF(INDEX('Per Invoice'!$M$2:$M$801,$N296)="","",INDEX('Per Invoice'!$M$2:$M$801,$N296)))</f>
        <v/>
      </c>
      <c r="N296">
        <f>IF(ROWS($N$2:$N296)&lt;=COUNT('Per Invoice'!$P$2:$P$801),MATCH(ROWS($N$2:$N296),'Per Invoice'!$P$2:$P$801,0),"")</f>
        <v/>
      </c>
    </row>
    <row r="297">
      <c r="A297">
        <f>IF($N297="","",IF(INDEX('Per Invoice'!$A$2:$A$801,$N297)="","",INDEX('Per Invoice'!$A$2:$A$801,$N297)))</f>
        <v/>
      </c>
      <c r="B297">
        <f>IF($N297="","",IF(INDEX('Per Invoice'!$B$2:$B$801,$N297)="","",INDEX('Per Invoice'!$B$2:$B$801,$N297)))</f>
        <v/>
      </c>
      <c r="C297">
        <f>IF($N297="","",IF(INDEX('Per Invoice'!$C$2:$C$801,$N297)="","",INDEX('Per Invoice'!$C$2:$C$801,$N297)))</f>
        <v/>
      </c>
      <c r="D297">
        <f>IF($N297="","",IF(INDEX('Per Invoice'!$D$2:$D$801,$N297)="","",INDEX('Per Invoice'!$D$2:$D$801,$N297)))</f>
        <v/>
      </c>
      <c r="E297">
        <f>IF($N297="","",IF(INDEX('Per Invoice'!$E$2:$E$801,$N297)="","",INDEX('Per Invoice'!$E$2:$E$801,$N297)))</f>
        <v/>
      </c>
      <c r="F297">
        <f>IF($N297="","",IF(INDEX('Per Invoice'!$F$2:$F$801,$N297)="","",INDEX('Per Invoice'!$F$2:$F$801,$N297)))</f>
        <v/>
      </c>
      <c r="G297">
        <f>IF($N297="","",IF(INDEX('Per Invoice'!$G$2:$G$801,$N297)="","",INDEX('Per Invoice'!$G$2:$G$801,$N297)))</f>
        <v/>
      </c>
      <c r="H297">
        <f>IF($N297="","",IF(INDEX('Per Invoice'!$H$2:$H$801,$N297)="","",INDEX('Per Invoice'!$H$2:$H$801,$N297)))</f>
        <v/>
      </c>
      <c r="I297" s="5">
        <f>IF($N297="","",IF(INDEX('Per Invoice'!$I$2:$I$801,$N297)="","",INDEX('Per Invoice'!$I$2:$I$801,$N297)))</f>
        <v/>
      </c>
      <c r="J297" s="5">
        <f>IF($N297="","",IF(INDEX('Per Invoice'!$J$2:$J$801,$N297)="","",INDEX('Per Invoice'!$J$2:$J$801,$N297)))</f>
        <v/>
      </c>
      <c r="K297" s="5">
        <f>IF($N297="","",IF(INDEX('Per Invoice'!$K$2:$K$801,$N297)="","",INDEX('Per Invoice'!$K$2:$K$801,$N297)))</f>
        <v/>
      </c>
      <c r="L297" s="5">
        <f>IF($N297="","",IF(INDEX('Per Invoice'!$L$2:$L$801,$N297)="","",INDEX('Per Invoice'!$L$2:$L$801,$N297)))</f>
        <v/>
      </c>
      <c r="M297" s="5">
        <f>IF($N297="","",IF(INDEX('Per Invoice'!$M$2:$M$801,$N297)="","",INDEX('Per Invoice'!$M$2:$M$801,$N297)))</f>
        <v/>
      </c>
      <c r="N297">
        <f>IF(ROWS($N$2:$N297)&lt;=COUNT('Per Invoice'!$P$2:$P$801),MATCH(ROWS($N$2:$N297),'Per Invoice'!$P$2:$P$801,0),"")</f>
        <v/>
      </c>
    </row>
    <row r="298">
      <c r="A298">
        <f>IF($N298="","",IF(INDEX('Per Invoice'!$A$2:$A$801,$N298)="","",INDEX('Per Invoice'!$A$2:$A$801,$N298)))</f>
        <v/>
      </c>
      <c r="B298">
        <f>IF($N298="","",IF(INDEX('Per Invoice'!$B$2:$B$801,$N298)="","",INDEX('Per Invoice'!$B$2:$B$801,$N298)))</f>
        <v/>
      </c>
      <c r="C298">
        <f>IF($N298="","",IF(INDEX('Per Invoice'!$C$2:$C$801,$N298)="","",INDEX('Per Invoice'!$C$2:$C$801,$N298)))</f>
        <v/>
      </c>
      <c r="D298">
        <f>IF($N298="","",IF(INDEX('Per Invoice'!$D$2:$D$801,$N298)="","",INDEX('Per Invoice'!$D$2:$D$801,$N298)))</f>
        <v/>
      </c>
      <c r="E298">
        <f>IF($N298="","",IF(INDEX('Per Invoice'!$E$2:$E$801,$N298)="","",INDEX('Per Invoice'!$E$2:$E$801,$N298)))</f>
        <v/>
      </c>
      <c r="F298">
        <f>IF($N298="","",IF(INDEX('Per Invoice'!$F$2:$F$801,$N298)="","",INDEX('Per Invoice'!$F$2:$F$801,$N298)))</f>
        <v/>
      </c>
      <c r="G298">
        <f>IF($N298="","",IF(INDEX('Per Invoice'!$G$2:$G$801,$N298)="","",INDEX('Per Invoice'!$G$2:$G$801,$N298)))</f>
        <v/>
      </c>
      <c r="H298">
        <f>IF($N298="","",IF(INDEX('Per Invoice'!$H$2:$H$801,$N298)="","",INDEX('Per Invoice'!$H$2:$H$801,$N298)))</f>
        <v/>
      </c>
      <c r="I298" s="5">
        <f>IF($N298="","",IF(INDEX('Per Invoice'!$I$2:$I$801,$N298)="","",INDEX('Per Invoice'!$I$2:$I$801,$N298)))</f>
        <v/>
      </c>
      <c r="J298" s="5">
        <f>IF($N298="","",IF(INDEX('Per Invoice'!$J$2:$J$801,$N298)="","",INDEX('Per Invoice'!$J$2:$J$801,$N298)))</f>
        <v/>
      </c>
      <c r="K298" s="5">
        <f>IF($N298="","",IF(INDEX('Per Invoice'!$K$2:$K$801,$N298)="","",INDEX('Per Invoice'!$K$2:$K$801,$N298)))</f>
        <v/>
      </c>
      <c r="L298" s="5">
        <f>IF($N298="","",IF(INDEX('Per Invoice'!$L$2:$L$801,$N298)="","",INDEX('Per Invoice'!$L$2:$L$801,$N298)))</f>
        <v/>
      </c>
      <c r="M298" s="5">
        <f>IF($N298="","",IF(INDEX('Per Invoice'!$M$2:$M$801,$N298)="","",INDEX('Per Invoice'!$M$2:$M$801,$N298)))</f>
        <v/>
      </c>
      <c r="N298">
        <f>IF(ROWS($N$2:$N298)&lt;=COUNT('Per Invoice'!$P$2:$P$801),MATCH(ROWS($N$2:$N298),'Per Invoice'!$P$2:$P$801,0),"")</f>
        <v/>
      </c>
    </row>
    <row r="299">
      <c r="A299">
        <f>IF($N299="","",IF(INDEX('Per Invoice'!$A$2:$A$801,$N299)="","",INDEX('Per Invoice'!$A$2:$A$801,$N299)))</f>
        <v/>
      </c>
      <c r="B299">
        <f>IF($N299="","",IF(INDEX('Per Invoice'!$B$2:$B$801,$N299)="","",INDEX('Per Invoice'!$B$2:$B$801,$N299)))</f>
        <v/>
      </c>
      <c r="C299">
        <f>IF($N299="","",IF(INDEX('Per Invoice'!$C$2:$C$801,$N299)="","",INDEX('Per Invoice'!$C$2:$C$801,$N299)))</f>
        <v/>
      </c>
      <c r="D299">
        <f>IF($N299="","",IF(INDEX('Per Invoice'!$D$2:$D$801,$N299)="","",INDEX('Per Invoice'!$D$2:$D$801,$N299)))</f>
        <v/>
      </c>
      <c r="E299">
        <f>IF($N299="","",IF(INDEX('Per Invoice'!$E$2:$E$801,$N299)="","",INDEX('Per Invoice'!$E$2:$E$801,$N299)))</f>
        <v/>
      </c>
      <c r="F299">
        <f>IF($N299="","",IF(INDEX('Per Invoice'!$F$2:$F$801,$N299)="","",INDEX('Per Invoice'!$F$2:$F$801,$N299)))</f>
        <v/>
      </c>
      <c r="G299">
        <f>IF($N299="","",IF(INDEX('Per Invoice'!$G$2:$G$801,$N299)="","",INDEX('Per Invoice'!$G$2:$G$801,$N299)))</f>
        <v/>
      </c>
      <c r="H299">
        <f>IF($N299="","",IF(INDEX('Per Invoice'!$H$2:$H$801,$N299)="","",INDEX('Per Invoice'!$H$2:$H$801,$N299)))</f>
        <v/>
      </c>
      <c r="I299" s="5">
        <f>IF($N299="","",IF(INDEX('Per Invoice'!$I$2:$I$801,$N299)="","",INDEX('Per Invoice'!$I$2:$I$801,$N299)))</f>
        <v/>
      </c>
      <c r="J299" s="5">
        <f>IF($N299="","",IF(INDEX('Per Invoice'!$J$2:$J$801,$N299)="","",INDEX('Per Invoice'!$J$2:$J$801,$N299)))</f>
        <v/>
      </c>
      <c r="K299" s="5">
        <f>IF($N299="","",IF(INDEX('Per Invoice'!$K$2:$K$801,$N299)="","",INDEX('Per Invoice'!$K$2:$K$801,$N299)))</f>
        <v/>
      </c>
      <c r="L299" s="5">
        <f>IF($N299="","",IF(INDEX('Per Invoice'!$L$2:$L$801,$N299)="","",INDEX('Per Invoice'!$L$2:$L$801,$N299)))</f>
        <v/>
      </c>
      <c r="M299" s="5">
        <f>IF($N299="","",IF(INDEX('Per Invoice'!$M$2:$M$801,$N299)="","",INDEX('Per Invoice'!$M$2:$M$801,$N299)))</f>
        <v/>
      </c>
      <c r="N299">
        <f>IF(ROWS($N$2:$N299)&lt;=COUNT('Per Invoice'!$P$2:$P$801),MATCH(ROWS($N$2:$N299),'Per Invoice'!$P$2:$P$801,0),"")</f>
        <v/>
      </c>
    </row>
    <row r="300">
      <c r="A300">
        <f>IF($N300="","",IF(INDEX('Per Invoice'!$A$2:$A$801,$N300)="","",INDEX('Per Invoice'!$A$2:$A$801,$N300)))</f>
        <v/>
      </c>
      <c r="B300">
        <f>IF($N300="","",IF(INDEX('Per Invoice'!$B$2:$B$801,$N300)="","",INDEX('Per Invoice'!$B$2:$B$801,$N300)))</f>
        <v/>
      </c>
      <c r="C300">
        <f>IF($N300="","",IF(INDEX('Per Invoice'!$C$2:$C$801,$N300)="","",INDEX('Per Invoice'!$C$2:$C$801,$N300)))</f>
        <v/>
      </c>
      <c r="D300">
        <f>IF($N300="","",IF(INDEX('Per Invoice'!$D$2:$D$801,$N300)="","",INDEX('Per Invoice'!$D$2:$D$801,$N300)))</f>
        <v/>
      </c>
      <c r="E300">
        <f>IF($N300="","",IF(INDEX('Per Invoice'!$E$2:$E$801,$N300)="","",INDEX('Per Invoice'!$E$2:$E$801,$N300)))</f>
        <v/>
      </c>
      <c r="F300">
        <f>IF($N300="","",IF(INDEX('Per Invoice'!$F$2:$F$801,$N300)="","",INDEX('Per Invoice'!$F$2:$F$801,$N300)))</f>
        <v/>
      </c>
      <c r="G300">
        <f>IF($N300="","",IF(INDEX('Per Invoice'!$G$2:$G$801,$N300)="","",INDEX('Per Invoice'!$G$2:$G$801,$N300)))</f>
        <v/>
      </c>
      <c r="H300">
        <f>IF($N300="","",IF(INDEX('Per Invoice'!$H$2:$H$801,$N300)="","",INDEX('Per Invoice'!$H$2:$H$801,$N300)))</f>
        <v/>
      </c>
      <c r="I300" s="5">
        <f>IF($N300="","",IF(INDEX('Per Invoice'!$I$2:$I$801,$N300)="","",INDEX('Per Invoice'!$I$2:$I$801,$N300)))</f>
        <v/>
      </c>
      <c r="J300" s="5">
        <f>IF($N300="","",IF(INDEX('Per Invoice'!$J$2:$J$801,$N300)="","",INDEX('Per Invoice'!$J$2:$J$801,$N300)))</f>
        <v/>
      </c>
      <c r="K300" s="5">
        <f>IF($N300="","",IF(INDEX('Per Invoice'!$K$2:$K$801,$N300)="","",INDEX('Per Invoice'!$K$2:$K$801,$N300)))</f>
        <v/>
      </c>
      <c r="L300" s="5">
        <f>IF($N300="","",IF(INDEX('Per Invoice'!$L$2:$L$801,$N300)="","",INDEX('Per Invoice'!$L$2:$L$801,$N300)))</f>
        <v/>
      </c>
      <c r="M300" s="5">
        <f>IF($N300="","",IF(INDEX('Per Invoice'!$M$2:$M$801,$N300)="","",INDEX('Per Invoice'!$M$2:$M$801,$N300)))</f>
        <v/>
      </c>
      <c r="N300">
        <f>IF(ROWS($N$2:$N300)&lt;=COUNT('Per Invoice'!$P$2:$P$801),MATCH(ROWS($N$2:$N300),'Per Invoice'!$P$2:$P$801,0),"")</f>
        <v/>
      </c>
    </row>
    <row r="301">
      <c r="A301">
        <f>IF($N301="","",IF(INDEX('Per Invoice'!$A$2:$A$801,$N301)="","",INDEX('Per Invoice'!$A$2:$A$801,$N301)))</f>
        <v/>
      </c>
      <c r="B301">
        <f>IF($N301="","",IF(INDEX('Per Invoice'!$B$2:$B$801,$N301)="","",INDEX('Per Invoice'!$B$2:$B$801,$N301)))</f>
        <v/>
      </c>
      <c r="C301">
        <f>IF($N301="","",IF(INDEX('Per Invoice'!$C$2:$C$801,$N301)="","",INDEX('Per Invoice'!$C$2:$C$801,$N301)))</f>
        <v/>
      </c>
      <c r="D301">
        <f>IF($N301="","",IF(INDEX('Per Invoice'!$D$2:$D$801,$N301)="","",INDEX('Per Invoice'!$D$2:$D$801,$N301)))</f>
        <v/>
      </c>
      <c r="E301">
        <f>IF($N301="","",IF(INDEX('Per Invoice'!$E$2:$E$801,$N301)="","",INDEX('Per Invoice'!$E$2:$E$801,$N301)))</f>
        <v/>
      </c>
      <c r="F301">
        <f>IF($N301="","",IF(INDEX('Per Invoice'!$F$2:$F$801,$N301)="","",INDEX('Per Invoice'!$F$2:$F$801,$N301)))</f>
        <v/>
      </c>
      <c r="G301">
        <f>IF($N301="","",IF(INDEX('Per Invoice'!$G$2:$G$801,$N301)="","",INDEX('Per Invoice'!$G$2:$G$801,$N301)))</f>
        <v/>
      </c>
      <c r="H301">
        <f>IF($N301="","",IF(INDEX('Per Invoice'!$H$2:$H$801,$N301)="","",INDEX('Per Invoice'!$H$2:$H$801,$N301)))</f>
        <v/>
      </c>
      <c r="I301" s="5">
        <f>IF($N301="","",IF(INDEX('Per Invoice'!$I$2:$I$801,$N301)="","",INDEX('Per Invoice'!$I$2:$I$801,$N301)))</f>
        <v/>
      </c>
      <c r="J301" s="5">
        <f>IF($N301="","",IF(INDEX('Per Invoice'!$J$2:$J$801,$N301)="","",INDEX('Per Invoice'!$J$2:$J$801,$N301)))</f>
        <v/>
      </c>
      <c r="K301" s="5">
        <f>IF($N301="","",IF(INDEX('Per Invoice'!$K$2:$K$801,$N301)="","",INDEX('Per Invoice'!$K$2:$K$801,$N301)))</f>
        <v/>
      </c>
      <c r="L301" s="5">
        <f>IF($N301="","",IF(INDEX('Per Invoice'!$L$2:$L$801,$N301)="","",INDEX('Per Invoice'!$L$2:$L$801,$N301)))</f>
        <v/>
      </c>
      <c r="M301" s="5">
        <f>IF($N301="","",IF(INDEX('Per Invoice'!$M$2:$M$801,$N301)="","",INDEX('Per Invoice'!$M$2:$M$801,$N301)))</f>
        <v/>
      </c>
      <c r="N301">
        <f>IF(ROWS($N$2:$N301)&lt;=COUNT('Per Invoice'!$P$2:$P$801),MATCH(ROWS($N$2:$N301),'Per Invoice'!$P$2:$P$801,0),"")</f>
        <v/>
      </c>
    </row>
    <row r="302">
      <c r="A302">
        <f>IF($N302="","",IF(INDEX('Per Invoice'!$A$2:$A$801,$N302)="","",INDEX('Per Invoice'!$A$2:$A$801,$N302)))</f>
        <v/>
      </c>
      <c r="B302">
        <f>IF($N302="","",IF(INDEX('Per Invoice'!$B$2:$B$801,$N302)="","",INDEX('Per Invoice'!$B$2:$B$801,$N302)))</f>
        <v/>
      </c>
      <c r="C302">
        <f>IF($N302="","",IF(INDEX('Per Invoice'!$C$2:$C$801,$N302)="","",INDEX('Per Invoice'!$C$2:$C$801,$N302)))</f>
        <v/>
      </c>
      <c r="D302">
        <f>IF($N302="","",IF(INDEX('Per Invoice'!$D$2:$D$801,$N302)="","",INDEX('Per Invoice'!$D$2:$D$801,$N302)))</f>
        <v/>
      </c>
      <c r="E302">
        <f>IF($N302="","",IF(INDEX('Per Invoice'!$E$2:$E$801,$N302)="","",INDEX('Per Invoice'!$E$2:$E$801,$N302)))</f>
        <v/>
      </c>
      <c r="F302">
        <f>IF($N302="","",IF(INDEX('Per Invoice'!$F$2:$F$801,$N302)="","",INDEX('Per Invoice'!$F$2:$F$801,$N302)))</f>
        <v/>
      </c>
      <c r="G302">
        <f>IF($N302="","",IF(INDEX('Per Invoice'!$G$2:$G$801,$N302)="","",INDEX('Per Invoice'!$G$2:$G$801,$N302)))</f>
        <v/>
      </c>
      <c r="H302">
        <f>IF($N302="","",IF(INDEX('Per Invoice'!$H$2:$H$801,$N302)="","",INDEX('Per Invoice'!$H$2:$H$801,$N302)))</f>
        <v/>
      </c>
      <c r="I302" s="5">
        <f>IF($N302="","",IF(INDEX('Per Invoice'!$I$2:$I$801,$N302)="","",INDEX('Per Invoice'!$I$2:$I$801,$N302)))</f>
        <v/>
      </c>
      <c r="J302" s="5">
        <f>IF($N302="","",IF(INDEX('Per Invoice'!$J$2:$J$801,$N302)="","",INDEX('Per Invoice'!$J$2:$J$801,$N302)))</f>
        <v/>
      </c>
      <c r="K302" s="5">
        <f>IF($N302="","",IF(INDEX('Per Invoice'!$K$2:$K$801,$N302)="","",INDEX('Per Invoice'!$K$2:$K$801,$N302)))</f>
        <v/>
      </c>
      <c r="L302" s="5">
        <f>IF($N302="","",IF(INDEX('Per Invoice'!$L$2:$L$801,$N302)="","",INDEX('Per Invoice'!$L$2:$L$801,$N302)))</f>
        <v/>
      </c>
      <c r="M302" s="5">
        <f>IF($N302="","",IF(INDEX('Per Invoice'!$M$2:$M$801,$N302)="","",INDEX('Per Invoice'!$M$2:$M$801,$N302)))</f>
        <v/>
      </c>
      <c r="N302">
        <f>IF(ROWS($N$2:$N302)&lt;=COUNT('Per Invoice'!$P$2:$P$801),MATCH(ROWS($N$2:$N302),'Per Invoice'!$P$2:$P$801,0),"")</f>
        <v/>
      </c>
    </row>
    <row r="303">
      <c r="A303">
        <f>IF($N303="","",IF(INDEX('Per Invoice'!$A$2:$A$801,$N303)="","",INDEX('Per Invoice'!$A$2:$A$801,$N303)))</f>
        <v/>
      </c>
      <c r="B303">
        <f>IF($N303="","",IF(INDEX('Per Invoice'!$B$2:$B$801,$N303)="","",INDEX('Per Invoice'!$B$2:$B$801,$N303)))</f>
        <v/>
      </c>
      <c r="C303">
        <f>IF($N303="","",IF(INDEX('Per Invoice'!$C$2:$C$801,$N303)="","",INDEX('Per Invoice'!$C$2:$C$801,$N303)))</f>
        <v/>
      </c>
      <c r="D303">
        <f>IF($N303="","",IF(INDEX('Per Invoice'!$D$2:$D$801,$N303)="","",INDEX('Per Invoice'!$D$2:$D$801,$N303)))</f>
        <v/>
      </c>
      <c r="E303">
        <f>IF($N303="","",IF(INDEX('Per Invoice'!$E$2:$E$801,$N303)="","",INDEX('Per Invoice'!$E$2:$E$801,$N303)))</f>
        <v/>
      </c>
      <c r="F303">
        <f>IF($N303="","",IF(INDEX('Per Invoice'!$F$2:$F$801,$N303)="","",INDEX('Per Invoice'!$F$2:$F$801,$N303)))</f>
        <v/>
      </c>
      <c r="G303">
        <f>IF($N303="","",IF(INDEX('Per Invoice'!$G$2:$G$801,$N303)="","",INDEX('Per Invoice'!$G$2:$G$801,$N303)))</f>
        <v/>
      </c>
      <c r="H303">
        <f>IF($N303="","",IF(INDEX('Per Invoice'!$H$2:$H$801,$N303)="","",INDEX('Per Invoice'!$H$2:$H$801,$N303)))</f>
        <v/>
      </c>
      <c r="I303" s="5">
        <f>IF($N303="","",IF(INDEX('Per Invoice'!$I$2:$I$801,$N303)="","",INDEX('Per Invoice'!$I$2:$I$801,$N303)))</f>
        <v/>
      </c>
      <c r="J303" s="5">
        <f>IF($N303="","",IF(INDEX('Per Invoice'!$J$2:$J$801,$N303)="","",INDEX('Per Invoice'!$J$2:$J$801,$N303)))</f>
        <v/>
      </c>
      <c r="K303" s="5">
        <f>IF($N303="","",IF(INDEX('Per Invoice'!$K$2:$K$801,$N303)="","",INDEX('Per Invoice'!$K$2:$K$801,$N303)))</f>
        <v/>
      </c>
      <c r="L303" s="5">
        <f>IF($N303="","",IF(INDEX('Per Invoice'!$L$2:$L$801,$N303)="","",INDEX('Per Invoice'!$L$2:$L$801,$N303)))</f>
        <v/>
      </c>
      <c r="M303" s="5">
        <f>IF($N303="","",IF(INDEX('Per Invoice'!$M$2:$M$801,$N303)="","",INDEX('Per Invoice'!$M$2:$M$801,$N303)))</f>
        <v/>
      </c>
      <c r="N303">
        <f>IF(ROWS($N$2:$N303)&lt;=COUNT('Per Invoice'!$P$2:$P$801),MATCH(ROWS($N$2:$N303),'Per Invoice'!$P$2:$P$801,0),"")</f>
        <v/>
      </c>
    </row>
    <row r="304">
      <c r="A304">
        <f>IF($N304="","",IF(INDEX('Per Invoice'!$A$2:$A$801,$N304)="","",INDEX('Per Invoice'!$A$2:$A$801,$N304)))</f>
        <v/>
      </c>
      <c r="B304">
        <f>IF($N304="","",IF(INDEX('Per Invoice'!$B$2:$B$801,$N304)="","",INDEX('Per Invoice'!$B$2:$B$801,$N304)))</f>
        <v/>
      </c>
      <c r="C304">
        <f>IF($N304="","",IF(INDEX('Per Invoice'!$C$2:$C$801,$N304)="","",INDEX('Per Invoice'!$C$2:$C$801,$N304)))</f>
        <v/>
      </c>
      <c r="D304">
        <f>IF($N304="","",IF(INDEX('Per Invoice'!$D$2:$D$801,$N304)="","",INDEX('Per Invoice'!$D$2:$D$801,$N304)))</f>
        <v/>
      </c>
      <c r="E304">
        <f>IF($N304="","",IF(INDEX('Per Invoice'!$E$2:$E$801,$N304)="","",INDEX('Per Invoice'!$E$2:$E$801,$N304)))</f>
        <v/>
      </c>
      <c r="F304">
        <f>IF($N304="","",IF(INDEX('Per Invoice'!$F$2:$F$801,$N304)="","",INDEX('Per Invoice'!$F$2:$F$801,$N304)))</f>
        <v/>
      </c>
      <c r="G304">
        <f>IF($N304="","",IF(INDEX('Per Invoice'!$G$2:$G$801,$N304)="","",INDEX('Per Invoice'!$G$2:$G$801,$N304)))</f>
        <v/>
      </c>
      <c r="H304">
        <f>IF($N304="","",IF(INDEX('Per Invoice'!$H$2:$H$801,$N304)="","",INDEX('Per Invoice'!$H$2:$H$801,$N304)))</f>
        <v/>
      </c>
      <c r="I304" s="5">
        <f>IF($N304="","",IF(INDEX('Per Invoice'!$I$2:$I$801,$N304)="","",INDEX('Per Invoice'!$I$2:$I$801,$N304)))</f>
        <v/>
      </c>
      <c r="J304" s="5">
        <f>IF($N304="","",IF(INDEX('Per Invoice'!$J$2:$J$801,$N304)="","",INDEX('Per Invoice'!$J$2:$J$801,$N304)))</f>
        <v/>
      </c>
      <c r="K304" s="5">
        <f>IF($N304="","",IF(INDEX('Per Invoice'!$K$2:$K$801,$N304)="","",INDEX('Per Invoice'!$K$2:$K$801,$N304)))</f>
        <v/>
      </c>
      <c r="L304" s="5">
        <f>IF($N304="","",IF(INDEX('Per Invoice'!$L$2:$L$801,$N304)="","",INDEX('Per Invoice'!$L$2:$L$801,$N304)))</f>
        <v/>
      </c>
      <c r="M304" s="5">
        <f>IF($N304="","",IF(INDEX('Per Invoice'!$M$2:$M$801,$N304)="","",INDEX('Per Invoice'!$M$2:$M$801,$N304)))</f>
        <v/>
      </c>
      <c r="N304">
        <f>IF(ROWS($N$2:$N304)&lt;=COUNT('Per Invoice'!$P$2:$P$801),MATCH(ROWS($N$2:$N304),'Per Invoice'!$P$2:$P$801,0),"")</f>
        <v/>
      </c>
    </row>
    <row r="305">
      <c r="A305">
        <f>IF($N305="","",IF(INDEX('Per Invoice'!$A$2:$A$801,$N305)="","",INDEX('Per Invoice'!$A$2:$A$801,$N305)))</f>
        <v/>
      </c>
      <c r="B305">
        <f>IF($N305="","",IF(INDEX('Per Invoice'!$B$2:$B$801,$N305)="","",INDEX('Per Invoice'!$B$2:$B$801,$N305)))</f>
        <v/>
      </c>
      <c r="C305">
        <f>IF($N305="","",IF(INDEX('Per Invoice'!$C$2:$C$801,$N305)="","",INDEX('Per Invoice'!$C$2:$C$801,$N305)))</f>
        <v/>
      </c>
      <c r="D305">
        <f>IF($N305="","",IF(INDEX('Per Invoice'!$D$2:$D$801,$N305)="","",INDEX('Per Invoice'!$D$2:$D$801,$N305)))</f>
        <v/>
      </c>
      <c r="E305">
        <f>IF($N305="","",IF(INDEX('Per Invoice'!$E$2:$E$801,$N305)="","",INDEX('Per Invoice'!$E$2:$E$801,$N305)))</f>
        <v/>
      </c>
      <c r="F305">
        <f>IF($N305="","",IF(INDEX('Per Invoice'!$F$2:$F$801,$N305)="","",INDEX('Per Invoice'!$F$2:$F$801,$N305)))</f>
        <v/>
      </c>
      <c r="G305">
        <f>IF($N305="","",IF(INDEX('Per Invoice'!$G$2:$G$801,$N305)="","",INDEX('Per Invoice'!$G$2:$G$801,$N305)))</f>
        <v/>
      </c>
      <c r="H305">
        <f>IF($N305="","",IF(INDEX('Per Invoice'!$H$2:$H$801,$N305)="","",INDEX('Per Invoice'!$H$2:$H$801,$N305)))</f>
        <v/>
      </c>
      <c r="I305" s="5">
        <f>IF($N305="","",IF(INDEX('Per Invoice'!$I$2:$I$801,$N305)="","",INDEX('Per Invoice'!$I$2:$I$801,$N305)))</f>
        <v/>
      </c>
      <c r="J305" s="5">
        <f>IF($N305="","",IF(INDEX('Per Invoice'!$J$2:$J$801,$N305)="","",INDEX('Per Invoice'!$J$2:$J$801,$N305)))</f>
        <v/>
      </c>
      <c r="K305" s="5">
        <f>IF($N305="","",IF(INDEX('Per Invoice'!$K$2:$K$801,$N305)="","",INDEX('Per Invoice'!$K$2:$K$801,$N305)))</f>
        <v/>
      </c>
      <c r="L305" s="5">
        <f>IF($N305="","",IF(INDEX('Per Invoice'!$L$2:$L$801,$N305)="","",INDEX('Per Invoice'!$L$2:$L$801,$N305)))</f>
        <v/>
      </c>
      <c r="M305" s="5">
        <f>IF($N305="","",IF(INDEX('Per Invoice'!$M$2:$M$801,$N305)="","",INDEX('Per Invoice'!$M$2:$M$801,$N305)))</f>
        <v/>
      </c>
      <c r="N305">
        <f>IF(ROWS($N$2:$N305)&lt;=COUNT('Per Invoice'!$P$2:$P$801),MATCH(ROWS($N$2:$N305),'Per Invoice'!$P$2:$P$801,0),"")</f>
        <v/>
      </c>
    </row>
    <row r="306">
      <c r="A306">
        <f>IF($N306="","",IF(INDEX('Per Invoice'!$A$2:$A$801,$N306)="","",INDEX('Per Invoice'!$A$2:$A$801,$N306)))</f>
        <v/>
      </c>
      <c r="B306">
        <f>IF($N306="","",IF(INDEX('Per Invoice'!$B$2:$B$801,$N306)="","",INDEX('Per Invoice'!$B$2:$B$801,$N306)))</f>
        <v/>
      </c>
      <c r="C306">
        <f>IF($N306="","",IF(INDEX('Per Invoice'!$C$2:$C$801,$N306)="","",INDEX('Per Invoice'!$C$2:$C$801,$N306)))</f>
        <v/>
      </c>
      <c r="D306">
        <f>IF($N306="","",IF(INDEX('Per Invoice'!$D$2:$D$801,$N306)="","",INDEX('Per Invoice'!$D$2:$D$801,$N306)))</f>
        <v/>
      </c>
      <c r="E306">
        <f>IF($N306="","",IF(INDEX('Per Invoice'!$E$2:$E$801,$N306)="","",INDEX('Per Invoice'!$E$2:$E$801,$N306)))</f>
        <v/>
      </c>
      <c r="F306">
        <f>IF($N306="","",IF(INDEX('Per Invoice'!$F$2:$F$801,$N306)="","",INDEX('Per Invoice'!$F$2:$F$801,$N306)))</f>
        <v/>
      </c>
      <c r="G306">
        <f>IF($N306="","",IF(INDEX('Per Invoice'!$G$2:$G$801,$N306)="","",INDEX('Per Invoice'!$G$2:$G$801,$N306)))</f>
        <v/>
      </c>
      <c r="H306">
        <f>IF($N306="","",IF(INDEX('Per Invoice'!$H$2:$H$801,$N306)="","",INDEX('Per Invoice'!$H$2:$H$801,$N306)))</f>
        <v/>
      </c>
      <c r="I306" s="5">
        <f>IF($N306="","",IF(INDEX('Per Invoice'!$I$2:$I$801,$N306)="","",INDEX('Per Invoice'!$I$2:$I$801,$N306)))</f>
        <v/>
      </c>
      <c r="J306" s="5">
        <f>IF($N306="","",IF(INDEX('Per Invoice'!$J$2:$J$801,$N306)="","",INDEX('Per Invoice'!$J$2:$J$801,$N306)))</f>
        <v/>
      </c>
      <c r="K306" s="5">
        <f>IF($N306="","",IF(INDEX('Per Invoice'!$K$2:$K$801,$N306)="","",INDEX('Per Invoice'!$K$2:$K$801,$N306)))</f>
        <v/>
      </c>
      <c r="L306" s="5">
        <f>IF($N306="","",IF(INDEX('Per Invoice'!$L$2:$L$801,$N306)="","",INDEX('Per Invoice'!$L$2:$L$801,$N306)))</f>
        <v/>
      </c>
      <c r="M306" s="5">
        <f>IF($N306="","",IF(INDEX('Per Invoice'!$M$2:$M$801,$N306)="","",INDEX('Per Invoice'!$M$2:$M$801,$N306)))</f>
        <v/>
      </c>
      <c r="N306">
        <f>IF(ROWS($N$2:$N306)&lt;=COUNT('Per Invoice'!$P$2:$P$801),MATCH(ROWS($N$2:$N306),'Per Invoice'!$P$2:$P$801,0),"")</f>
        <v/>
      </c>
    </row>
    <row r="307">
      <c r="A307">
        <f>IF($N307="","",IF(INDEX('Per Invoice'!$A$2:$A$801,$N307)="","",INDEX('Per Invoice'!$A$2:$A$801,$N307)))</f>
        <v/>
      </c>
      <c r="B307">
        <f>IF($N307="","",IF(INDEX('Per Invoice'!$B$2:$B$801,$N307)="","",INDEX('Per Invoice'!$B$2:$B$801,$N307)))</f>
        <v/>
      </c>
      <c r="C307">
        <f>IF($N307="","",IF(INDEX('Per Invoice'!$C$2:$C$801,$N307)="","",INDEX('Per Invoice'!$C$2:$C$801,$N307)))</f>
        <v/>
      </c>
      <c r="D307">
        <f>IF($N307="","",IF(INDEX('Per Invoice'!$D$2:$D$801,$N307)="","",INDEX('Per Invoice'!$D$2:$D$801,$N307)))</f>
        <v/>
      </c>
      <c r="E307">
        <f>IF($N307="","",IF(INDEX('Per Invoice'!$E$2:$E$801,$N307)="","",INDEX('Per Invoice'!$E$2:$E$801,$N307)))</f>
        <v/>
      </c>
      <c r="F307">
        <f>IF($N307="","",IF(INDEX('Per Invoice'!$F$2:$F$801,$N307)="","",INDEX('Per Invoice'!$F$2:$F$801,$N307)))</f>
        <v/>
      </c>
      <c r="G307">
        <f>IF($N307="","",IF(INDEX('Per Invoice'!$G$2:$G$801,$N307)="","",INDEX('Per Invoice'!$G$2:$G$801,$N307)))</f>
        <v/>
      </c>
      <c r="H307">
        <f>IF($N307="","",IF(INDEX('Per Invoice'!$H$2:$H$801,$N307)="","",INDEX('Per Invoice'!$H$2:$H$801,$N307)))</f>
        <v/>
      </c>
      <c r="I307" s="5">
        <f>IF($N307="","",IF(INDEX('Per Invoice'!$I$2:$I$801,$N307)="","",INDEX('Per Invoice'!$I$2:$I$801,$N307)))</f>
        <v/>
      </c>
      <c r="J307" s="5">
        <f>IF($N307="","",IF(INDEX('Per Invoice'!$J$2:$J$801,$N307)="","",INDEX('Per Invoice'!$J$2:$J$801,$N307)))</f>
        <v/>
      </c>
      <c r="K307" s="5">
        <f>IF($N307="","",IF(INDEX('Per Invoice'!$K$2:$K$801,$N307)="","",INDEX('Per Invoice'!$K$2:$K$801,$N307)))</f>
        <v/>
      </c>
      <c r="L307" s="5">
        <f>IF($N307="","",IF(INDEX('Per Invoice'!$L$2:$L$801,$N307)="","",INDEX('Per Invoice'!$L$2:$L$801,$N307)))</f>
        <v/>
      </c>
      <c r="M307" s="5">
        <f>IF($N307="","",IF(INDEX('Per Invoice'!$M$2:$M$801,$N307)="","",INDEX('Per Invoice'!$M$2:$M$801,$N307)))</f>
        <v/>
      </c>
      <c r="N307">
        <f>IF(ROWS($N$2:$N307)&lt;=COUNT('Per Invoice'!$P$2:$P$801),MATCH(ROWS($N$2:$N307),'Per Invoice'!$P$2:$P$801,0),"")</f>
        <v/>
      </c>
    </row>
    <row r="308">
      <c r="A308">
        <f>IF($N308="","",IF(INDEX('Per Invoice'!$A$2:$A$801,$N308)="","",INDEX('Per Invoice'!$A$2:$A$801,$N308)))</f>
        <v/>
      </c>
      <c r="B308">
        <f>IF($N308="","",IF(INDEX('Per Invoice'!$B$2:$B$801,$N308)="","",INDEX('Per Invoice'!$B$2:$B$801,$N308)))</f>
        <v/>
      </c>
      <c r="C308">
        <f>IF($N308="","",IF(INDEX('Per Invoice'!$C$2:$C$801,$N308)="","",INDEX('Per Invoice'!$C$2:$C$801,$N308)))</f>
        <v/>
      </c>
      <c r="D308">
        <f>IF($N308="","",IF(INDEX('Per Invoice'!$D$2:$D$801,$N308)="","",INDEX('Per Invoice'!$D$2:$D$801,$N308)))</f>
        <v/>
      </c>
      <c r="E308">
        <f>IF($N308="","",IF(INDEX('Per Invoice'!$E$2:$E$801,$N308)="","",INDEX('Per Invoice'!$E$2:$E$801,$N308)))</f>
        <v/>
      </c>
      <c r="F308">
        <f>IF($N308="","",IF(INDEX('Per Invoice'!$F$2:$F$801,$N308)="","",INDEX('Per Invoice'!$F$2:$F$801,$N308)))</f>
        <v/>
      </c>
      <c r="G308">
        <f>IF($N308="","",IF(INDEX('Per Invoice'!$G$2:$G$801,$N308)="","",INDEX('Per Invoice'!$G$2:$G$801,$N308)))</f>
        <v/>
      </c>
      <c r="H308">
        <f>IF($N308="","",IF(INDEX('Per Invoice'!$H$2:$H$801,$N308)="","",INDEX('Per Invoice'!$H$2:$H$801,$N308)))</f>
        <v/>
      </c>
      <c r="I308" s="5">
        <f>IF($N308="","",IF(INDEX('Per Invoice'!$I$2:$I$801,$N308)="","",INDEX('Per Invoice'!$I$2:$I$801,$N308)))</f>
        <v/>
      </c>
      <c r="J308" s="5">
        <f>IF($N308="","",IF(INDEX('Per Invoice'!$J$2:$J$801,$N308)="","",INDEX('Per Invoice'!$J$2:$J$801,$N308)))</f>
        <v/>
      </c>
      <c r="K308" s="5">
        <f>IF($N308="","",IF(INDEX('Per Invoice'!$K$2:$K$801,$N308)="","",INDEX('Per Invoice'!$K$2:$K$801,$N308)))</f>
        <v/>
      </c>
      <c r="L308" s="5">
        <f>IF($N308="","",IF(INDEX('Per Invoice'!$L$2:$L$801,$N308)="","",INDEX('Per Invoice'!$L$2:$L$801,$N308)))</f>
        <v/>
      </c>
      <c r="M308" s="5">
        <f>IF($N308="","",IF(INDEX('Per Invoice'!$M$2:$M$801,$N308)="","",INDEX('Per Invoice'!$M$2:$M$801,$N308)))</f>
        <v/>
      </c>
      <c r="N308">
        <f>IF(ROWS($N$2:$N308)&lt;=COUNT('Per Invoice'!$P$2:$P$801),MATCH(ROWS($N$2:$N308),'Per Invoice'!$P$2:$P$801,0),"")</f>
        <v/>
      </c>
    </row>
    <row r="309">
      <c r="A309">
        <f>IF($N309="","",IF(INDEX('Per Invoice'!$A$2:$A$801,$N309)="","",INDEX('Per Invoice'!$A$2:$A$801,$N309)))</f>
        <v/>
      </c>
      <c r="B309">
        <f>IF($N309="","",IF(INDEX('Per Invoice'!$B$2:$B$801,$N309)="","",INDEX('Per Invoice'!$B$2:$B$801,$N309)))</f>
        <v/>
      </c>
      <c r="C309">
        <f>IF($N309="","",IF(INDEX('Per Invoice'!$C$2:$C$801,$N309)="","",INDEX('Per Invoice'!$C$2:$C$801,$N309)))</f>
        <v/>
      </c>
      <c r="D309">
        <f>IF($N309="","",IF(INDEX('Per Invoice'!$D$2:$D$801,$N309)="","",INDEX('Per Invoice'!$D$2:$D$801,$N309)))</f>
        <v/>
      </c>
      <c r="E309">
        <f>IF($N309="","",IF(INDEX('Per Invoice'!$E$2:$E$801,$N309)="","",INDEX('Per Invoice'!$E$2:$E$801,$N309)))</f>
        <v/>
      </c>
      <c r="F309">
        <f>IF($N309="","",IF(INDEX('Per Invoice'!$F$2:$F$801,$N309)="","",INDEX('Per Invoice'!$F$2:$F$801,$N309)))</f>
        <v/>
      </c>
      <c r="G309">
        <f>IF($N309="","",IF(INDEX('Per Invoice'!$G$2:$G$801,$N309)="","",INDEX('Per Invoice'!$G$2:$G$801,$N309)))</f>
        <v/>
      </c>
      <c r="H309">
        <f>IF($N309="","",IF(INDEX('Per Invoice'!$H$2:$H$801,$N309)="","",INDEX('Per Invoice'!$H$2:$H$801,$N309)))</f>
        <v/>
      </c>
      <c r="I309" s="5">
        <f>IF($N309="","",IF(INDEX('Per Invoice'!$I$2:$I$801,$N309)="","",INDEX('Per Invoice'!$I$2:$I$801,$N309)))</f>
        <v/>
      </c>
      <c r="J309" s="5">
        <f>IF($N309="","",IF(INDEX('Per Invoice'!$J$2:$J$801,$N309)="","",INDEX('Per Invoice'!$J$2:$J$801,$N309)))</f>
        <v/>
      </c>
      <c r="K309" s="5">
        <f>IF($N309="","",IF(INDEX('Per Invoice'!$K$2:$K$801,$N309)="","",INDEX('Per Invoice'!$K$2:$K$801,$N309)))</f>
        <v/>
      </c>
      <c r="L309" s="5">
        <f>IF($N309="","",IF(INDEX('Per Invoice'!$L$2:$L$801,$N309)="","",INDEX('Per Invoice'!$L$2:$L$801,$N309)))</f>
        <v/>
      </c>
      <c r="M309" s="5">
        <f>IF($N309="","",IF(INDEX('Per Invoice'!$M$2:$M$801,$N309)="","",INDEX('Per Invoice'!$M$2:$M$801,$N309)))</f>
        <v/>
      </c>
      <c r="N309">
        <f>IF(ROWS($N$2:$N309)&lt;=COUNT('Per Invoice'!$P$2:$P$801),MATCH(ROWS($N$2:$N309),'Per Invoice'!$P$2:$P$801,0),"")</f>
        <v/>
      </c>
    </row>
    <row r="310">
      <c r="A310">
        <f>IF($N310="","",IF(INDEX('Per Invoice'!$A$2:$A$801,$N310)="","",INDEX('Per Invoice'!$A$2:$A$801,$N310)))</f>
        <v/>
      </c>
      <c r="B310">
        <f>IF($N310="","",IF(INDEX('Per Invoice'!$B$2:$B$801,$N310)="","",INDEX('Per Invoice'!$B$2:$B$801,$N310)))</f>
        <v/>
      </c>
      <c r="C310">
        <f>IF($N310="","",IF(INDEX('Per Invoice'!$C$2:$C$801,$N310)="","",INDEX('Per Invoice'!$C$2:$C$801,$N310)))</f>
        <v/>
      </c>
      <c r="D310">
        <f>IF($N310="","",IF(INDEX('Per Invoice'!$D$2:$D$801,$N310)="","",INDEX('Per Invoice'!$D$2:$D$801,$N310)))</f>
        <v/>
      </c>
      <c r="E310">
        <f>IF($N310="","",IF(INDEX('Per Invoice'!$E$2:$E$801,$N310)="","",INDEX('Per Invoice'!$E$2:$E$801,$N310)))</f>
        <v/>
      </c>
      <c r="F310">
        <f>IF($N310="","",IF(INDEX('Per Invoice'!$F$2:$F$801,$N310)="","",INDEX('Per Invoice'!$F$2:$F$801,$N310)))</f>
        <v/>
      </c>
      <c r="G310">
        <f>IF($N310="","",IF(INDEX('Per Invoice'!$G$2:$G$801,$N310)="","",INDEX('Per Invoice'!$G$2:$G$801,$N310)))</f>
        <v/>
      </c>
      <c r="H310">
        <f>IF($N310="","",IF(INDEX('Per Invoice'!$H$2:$H$801,$N310)="","",INDEX('Per Invoice'!$H$2:$H$801,$N310)))</f>
        <v/>
      </c>
      <c r="I310" s="5">
        <f>IF($N310="","",IF(INDEX('Per Invoice'!$I$2:$I$801,$N310)="","",INDEX('Per Invoice'!$I$2:$I$801,$N310)))</f>
        <v/>
      </c>
      <c r="J310" s="5">
        <f>IF($N310="","",IF(INDEX('Per Invoice'!$J$2:$J$801,$N310)="","",INDEX('Per Invoice'!$J$2:$J$801,$N310)))</f>
        <v/>
      </c>
      <c r="K310" s="5">
        <f>IF($N310="","",IF(INDEX('Per Invoice'!$K$2:$K$801,$N310)="","",INDEX('Per Invoice'!$K$2:$K$801,$N310)))</f>
        <v/>
      </c>
      <c r="L310" s="5">
        <f>IF($N310="","",IF(INDEX('Per Invoice'!$L$2:$L$801,$N310)="","",INDEX('Per Invoice'!$L$2:$L$801,$N310)))</f>
        <v/>
      </c>
      <c r="M310" s="5">
        <f>IF($N310="","",IF(INDEX('Per Invoice'!$M$2:$M$801,$N310)="","",INDEX('Per Invoice'!$M$2:$M$801,$N310)))</f>
        <v/>
      </c>
      <c r="N310">
        <f>IF(ROWS($N$2:$N310)&lt;=COUNT('Per Invoice'!$P$2:$P$801),MATCH(ROWS($N$2:$N310),'Per Invoice'!$P$2:$P$801,0),"")</f>
        <v/>
      </c>
    </row>
    <row r="311">
      <c r="A311">
        <f>IF($N311="","",IF(INDEX('Per Invoice'!$A$2:$A$801,$N311)="","",INDEX('Per Invoice'!$A$2:$A$801,$N311)))</f>
        <v/>
      </c>
      <c r="B311">
        <f>IF($N311="","",IF(INDEX('Per Invoice'!$B$2:$B$801,$N311)="","",INDEX('Per Invoice'!$B$2:$B$801,$N311)))</f>
        <v/>
      </c>
      <c r="C311">
        <f>IF($N311="","",IF(INDEX('Per Invoice'!$C$2:$C$801,$N311)="","",INDEX('Per Invoice'!$C$2:$C$801,$N311)))</f>
        <v/>
      </c>
      <c r="D311">
        <f>IF($N311="","",IF(INDEX('Per Invoice'!$D$2:$D$801,$N311)="","",INDEX('Per Invoice'!$D$2:$D$801,$N311)))</f>
        <v/>
      </c>
      <c r="E311">
        <f>IF($N311="","",IF(INDEX('Per Invoice'!$E$2:$E$801,$N311)="","",INDEX('Per Invoice'!$E$2:$E$801,$N311)))</f>
        <v/>
      </c>
      <c r="F311">
        <f>IF($N311="","",IF(INDEX('Per Invoice'!$F$2:$F$801,$N311)="","",INDEX('Per Invoice'!$F$2:$F$801,$N311)))</f>
        <v/>
      </c>
      <c r="G311">
        <f>IF($N311="","",IF(INDEX('Per Invoice'!$G$2:$G$801,$N311)="","",INDEX('Per Invoice'!$G$2:$G$801,$N311)))</f>
        <v/>
      </c>
      <c r="H311">
        <f>IF($N311="","",IF(INDEX('Per Invoice'!$H$2:$H$801,$N311)="","",INDEX('Per Invoice'!$H$2:$H$801,$N311)))</f>
        <v/>
      </c>
      <c r="I311" s="5">
        <f>IF($N311="","",IF(INDEX('Per Invoice'!$I$2:$I$801,$N311)="","",INDEX('Per Invoice'!$I$2:$I$801,$N311)))</f>
        <v/>
      </c>
      <c r="J311" s="5">
        <f>IF($N311="","",IF(INDEX('Per Invoice'!$J$2:$J$801,$N311)="","",INDEX('Per Invoice'!$J$2:$J$801,$N311)))</f>
        <v/>
      </c>
      <c r="K311" s="5">
        <f>IF($N311="","",IF(INDEX('Per Invoice'!$K$2:$K$801,$N311)="","",INDEX('Per Invoice'!$K$2:$K$801,$N311)))</f>
        <v/>
      </c>
      <c r="L311" s="5">
        <f>IF($N311="","",IF(INDEX('Per Invoice'!$L$2:$L$801,$N311)="","",INDEX('Per Invoice'!$L$2:$L$801,$N311)))</f>
        <v/>
      </c>
      <c r="M311" s="5">
        <f>IF($N311="","",IF(INDEX('Per Invoice'!$M$2:$M$801,$N311)="","",INDEX('Per Invoice'!$M$2:$M$801,$N311)))</f>
        <v/>
      </c>
      <c r="N311">
        <f>IF(ROWS($N$2:$N311)&lt;=COUNT('Per Invoice'!$P$2:$P$801),MATCH(ROWS($N$2:$N311),'Per Invoice'!$P$2:$P$801,0),"")</f>
        <v/>
      </c>
    </row>
    <row r="312">
      <c r="A312">
        <f>IF($N312="","",IF(INDEX('Per Invoice'!$A$2:$A$801,$N312)="","",INDEX('Per Invoice'!$A$2:$A$801,$N312)))</f>
        <v/>
      </c>
      <c r="B312">
        <f>IF($N312="","",IF(INDEX('Per Invoice'!$B$2:$B$801,$N312)="","",INDEX('Per Invoice'!$B$2:$B$801,$N312)))</f>
        <v/>
      </c>
      <c r="C312">
        <f>IF($N312="","",IF(INDEX('Per Invoice'!$C$2:$C$801,$N312)="","",INDEX('Per Invoice'!$C$2:$C$801,$N312)))</f>
        <v/>
      </c>
      <c r="D312">
        <f>IF($N312="","",IF(INDEX('Per Invoice'!$D$2:$D$801,$N312)="","",INDEX('Per Invoice'!$D$2:$D$801,$N312)))</f>
        <v/>
      </c>
      <c r="E312">
        <f>IF($N312="","",IF(INDEX('Per Invoice'!$E$2:$E$801,$N312)="","",INDEX('Per Invoice'!$E$2:$E$801,$N312)))</f>
        <v/>
      </c>
      <c r="F312">
        <f>IF($N312="","",IF(INDEX('Per Invoice'!$F$2:$F$801,$N312)="","",INDEX('Per Invoice'!$F$2:$F$801,$N312)))</f>
        <v/>
      </c>
      <c r="G312">
        <f>IF($N312="","",IF(INDEX('Per Invoice'!$G$2:$G$801,$N312)="","",INDEX('Per Invoice'!$G$2:$G$801,$N312)))</f>
        <v/>
      </c>
      <c r="H312">
        <f>IF($N312="","",IF(INDEX('Per Invoice'!$H$2:$H$801,$N312)="","",INDEX('Per Invoice'!$H$2:$H$801,$N312)))</f>
        <v/>
      </c>
      <c r="I312" s="5">
        <f>IF($N312="","",IF(INDEX('Per Invoice'!$I$2:$I$801,$N312)="","",INDEX('Per Invoice'!$I$2:$I$801,$N312)))</f>
        <v/>
      </c>
      <c r="J312" s="5">
        <f>IF($N312="","",IF(INDEX('Per Invoice'!$J$2:$J$801,$N312)="","",INDEX('Per Invoice'!$J$2:$J$801,$N312)))</f>
        <v/>
      </c>
      <c r="K312" s="5">
        <f>IF($N312="","",IF(INDEX('Per Invoice'!$K$2:$K$801,$N312)="","",INDEX('Per Invoice'!$K$2:$K$801,$N312)))</f>
        <v/>
      </c>
      <c r="L312" s="5">
        <f>IF($N312="","",IF(INDEX('Per Invoice'!$L$2:$L$801,$N312)="","",INDEX('Per Invoice'!$L$2:$L$801,$N312)))</f>
        <v/>
      </c>
      <c r="M312" s="5">
        <f>IF($N312="","",IF(INDEX('Per Invoice'!$M$2:$M$801,$N312)="","",INDEX('Per Invoice'!$M$2:$M$801,$N312)))</f>
        <v/>
      </c>
      <c r="N312">
        <f>IF(ROWS($N$2:$N312)&lt;=COUNT('Per Invoice'!$P$2:$P$801),MATCH(ROWS($N$2:$N312),'Per Invoice'!$P$2:$P$801,0),"")</f>
        <v/>
      </c>
    </row>
    <row r="313">
      <c r="A313">
        <f>IF($N313="","",IF(INDEX('Per Invoice'!$A$2:$A$801,$N313)="","",INDEX('Per Invoice'!$A$2:$A$801,$N313)))</f>
        <v/>
      </c>
      <c r="B313">
        <f>IF($N313="","",IF(INDEX('Per Invoice'!$B$2:$B$801,$N313)="","",INDEX('Per Invoice'!$B$2:$B$801,$N313)))</f>
        <v/>
      </c>
      <c r="C313">
        <f>IF($N313="","",IF(INDEX('Per Invoice'!$C$2:$C$801,$N313)="","",INDEX('Per Invoice'!$C$2:$C$801,$N313)))</f>
        <v/>
      </c>
      <c r="D313">
        <f>IF($N313="","",IF(INDEX('Per Invoice'!$D$2:$D$801,$N313)="","",INDEX('Per Invoice'!$D$2:$D$801,$N313)))</f>
        <v/>
      </c>
      <c r="E313">
        <f>IF($N313="","",IF(INDEX('Per Invoice'!$E$2:$E$801,$N313)="","",INDEX('Per Invoice'!$E$2:$E$801,$N313)))</f>
        <v/>
      </c>
      <c r="F313">
        <f>IF($N313="","",IF(INDEX('Per Invoice'!$F$2:$F$801,$N313)="","",INDEX('Per Invoice'!$F$2:$F$801,$N313)))</f>
        <v/>
      </c>
      <c r="G313">
        <f>IF($N313="","",IF(INDEX('Per Invoice'!$G$2:$G$801,$N313)="","",INDEX('Per Invoice'!$G$2:$G$801,$N313)))</f>
        <v/>
      </c>
      <c r="H313">
        <f>IF($N313="","",IF(INDEX('Per Invoice'!$H$2:$H$801,$N313)="","",INDEX('Per Invoice'!$H$2:$H$801,$N313)))</f>
        <v/>
      </c>
      <c r="I313" s="5">
        <f>IF($N313="","",IF(INDEX('Per Invoice'!$I$2:$I$801,$N313)="","",INDEX('Per Invoice'!$I$2:$I$801,$N313)))</f>
        <v/>
      </c>
      <c r="J313" s="5">
        <f>IF($N313="","",IF(INDEX('Per Invoice'!$J$2:$J$801,$N313)="","",INDEX('Per Invoice'!$J$2:$J$801,$N313)))</f>
        <v/>
      </c>
      <c r="K313" s="5">
        <f>IF($N313="","",IF(INDEX('Per Invoice'!$K$2:$K$801,$N313)="","",INDEX('Per Invoice'!$K$2:$K$801,$N313)))</f>
        <v/>
      </c>
      <c r="L313" s="5">
        <f>IF($N313="","",IF(INDEX('Per Invoice'!$L$2:$L$801,$N313)="","",INDEX('Per Invoice'!$L$2:$L$801,$N313)))</f>
        <v/>
      </c>
      <c r="M313" s="5">
        <f>IF($N313="","",IF(INDEX('Per Invoice'!$M$2:$M$801,$N313)="","",INDEX('Per Invoice'!$M$2:$M$801,$N313)))</f>
        <v/>
      </c>
      <c r="N313">
        <f>IF(ROWS($N$2:$N313)&lt;=COUNT('Per Invoice'!$P$2:$P$801),MATCH(ROWS($N$2:$N313),'Per Invoice'!$P$2:$P$801,0),"")</f>
        <v/>
      </c>
    </row>
    <row r="314">
      <c r="A314">
        <f>IF($N314="","",IF(INDEX('Per Invoice'!$A$2:$A$801,$N314)="","",INDEX('Per Invoice'!$A$2:$A$801,$N314)))</f>
        <v/>
      </c>
      <c r="B314">
        <f>IF($N314="","",IF(INDEX('Per Invoice'!$B$2:$B$801,$N314)="","",INDEX('Per Invoice'!$B$2:$B$801,$N314)))</f>
        <v/>
      </c>
      <c r="C314">
        <f>IF($N314="","",IF(INDEX('Per Invoice'!$C$2:$C$801,$N314)="","",INDEX('Per Invoice'!$C$2:$C$801,$N314)))</f>
        <v/>
      </c>
      <c r="D314">
        <f>IF($N314="","",IF(INDEX('Per Invoice'!$D$2:$D$801,$N314)="","",INDEX('Per Invoice'!$D$2:$D$801,$N314)))</f>
        <v/>
      </c>
      <c r="E314">
        <f>IF($N314="","",IF(INDEX('Per Invoice'!$E$2:$E$801,$N314)="","",INDEX('Per Invoice'!$E$2:$E$801,$N314)))</f>
        <v/>
      </c>
      <c r="F314">
        <f>IF($N314="","",IF(INDEX('Per Invoice'!$F$2:$F$801,$N314)="","",INDEX('Per Invoice'!$F$2:$F$801,$N314)))</f>
        <v/>
      </c>
      <c r="G314">
        <f>IF($N314="","",IF(INDEX('Per Invoice'!$G$2:$G$801,$N314)="","",INDEX('Per Invoice'!$G$2:$G$801,$N314)))</f>
        <v/>
      </c>
      <c r="H314">
        <f>IF($N314="","",IF(INDEX('Per Invoice'!$H$2:$H$801,$N314)="","",INDEX('Per Invoice'!$H$2:$H$801,$N314)))</f>
        <v/>
      </c>
      <c r="I314" s="5">
        <f>IF($N314="","",IF(INDEX('Per Invoice'!$I$2:$I$801,$N314)="","",INDEX('Per Invoice'!$I$2:$I$801,$N314)))</f>
        <v/>
      </c>
      <c r="J314" s="5">
        <f>IF($N314="","",IF(INDEX('Per Invoice'!$J$2:$J$801,$N314)="","",INDEX('Per Invoice'!$J$2:$J$801,$N314)))</f>
        <v/>
      </c>
      <c r="K314" s="5">
        <f>IF($N314="","",IF(INDEX('Per Invoice'!$K$2:$K$801,$N314)="","",INDEX('Per Invoice'!$K$2:$K$801,$N314)))</f>
        <v/>
      </c>
      <c r="L314" s="5">
        <f>IF($N314="","",IF(INDEX('Per Invoice'!$L$2:$L$801,$N314)="","",INDEX('Per Invoice'!$L$2:$L$801,$N314)))</f>
        <v/>
      </c>
      <c r="M314" s="5">
        <f>IF($N314="","",IF(INDEX('Per Invoice'!$M$2:$M$801,$N314)="","",INDEX('Per Invoice'!$M$2:$M$801,$N314)))</f>
        <v/>
      </c>
      <c r="N314">
        <f>IF(ROWS($N$2:$N314)&lt;=COUNT('Per Invoice'!$P$2:$P$801),MATCH(ROWS($N$2:$N314),'Per Invoice'!$P$2:$P$801,0),"")</f>
        <v/>
      </c>
    </row>
    <row r="315">
      <c r="A315">
        <f>IF($N315="","",IF(INDEX('Per Invoice'!$A$2:$A$801,$N315)="","",INDEX('Per Invoice'!$A$2:$A$801,$N315)))</f>
        <v/>
      </c>
      <c r="B315">
        <f>IF($N315="","",IF(INDEX('Per Invoice'!$B$2:$B$801,$N315)="","",INDEX('Per Invoice'!$B$2:$B$801,$N315)))</f>
        <v/>
      </c>
      <c r="C315">
        <f>IF($N315="","",IF(INDEX('Per Invoice'!$C$2:$C$801,$N315)="","",INDEX('Per Invoice'!$C$2:$C$801,$N315)))</f>
        <v/>
      </c>
      <c r="D315">
        <f>IF($N315="","",IF(INDEX('Per Invoice'!$D$2:$D$801,$N315)="","",INDEX('Per Invoice'!$D$2:$D$801,$N315)))</f>
        <v/>
      </c>
      <c r="E315">
        <f>IF($N315="","",IF(INDEX('Per Invoice'!$E$2:$E$801,$N315)="","",INDEX('Per Invoice'!$E$2:$E$801,$N315)))</f>
        <v/>
      </c>
      <c r="F315">
        <f>IF($N315="","",IF(INDEX('Per Invoice'!$F$2:$F$801,$N315)="","",INDEX('Per Invoice'!$F$2:$F$801,$N315)))</f>
        <v/>
      </c>
      <c r="G315">
        <f>IF($N315="","",IF(INDEX('Per Invoice'!$G$2:$G$801,$N315)="","",INDEX('Per Invoice'!$G$2:$G$801,$N315)))</f>
        <v/>
      </c>
      <c r="H315">
        <f>IF($N315="","",IF(INDEX('Per Invoice'!$H$2:$H$801,$N315)="","",INDEX('Per Invoice'!$H$2:$H$801,$N315)))</f>
        <v/>
      </c>
      <c r="I315" s="5">
        <f>IF($N315="","",IF(INDEX('Per Invoice'!$I$2:$I$801,$N315)="","",INDEX('Per Invoice'!$I$2:$I$801,$N315)))</f>
        <v/>
      </c>
      <c r="J315" s="5">
        <f>IF($N315="","",IF(INDEX('Per Invoice'!$J$2:$J$801,$N315)="","",INDEX('Per Invoice'!$J$2:$J$801,$N315)))</f>
        <v/>
      </c>
      <c r="K315" s="5">
        <f>IF($N315="","",IF(INDEX('Per Invoice'!$K$2:$K$801,$N315)="","",INDEX('Per Invoice'!$K$2:$K$801,$N315)))</f>
        <v/>
      </c>
      <c r="L315" s="5">
        <f>IF($N315="","",IF(INDEX('Per Invoice'!$L$2:$L$801,$N315)="","",INDEX('Per Invoice'!$L$2:$L$801,$N315)))</f>
        <v/>
      </c>
      <c r="M315" s="5">
        <f>IF($N315="","",IF(INDEX('Per Invoice'!$M$2:$M$801,$N315)="","",INDEX('Per Invoice'!$M$2:$M$801,$N315)))</f>
        <v/>
      </c>
      <c r="N315">
        <f>IF(ROWS($N$2:$N315)&lt;=COUNT('Per Invoice'!$P$2:$P$801),MATCH(ROWS($N$2:$N315),'Per Invoice'!$P$2:$P$801,0),"")</f>
        <v/>
      </c>
    </row>
    <row r="316">
      <c r="A316">
        <f>IF($N316="","",IF(INDEX('Per Invoice'!$A$2:$A$801,$N316)="","",INDEX('Per Invoice'!$A$2:$A$801,$N316)))</f>
        <v/>
      </c>
      <c r="B316">
        <f>IF($N316="","",IF(INDEX('Per Invoice'!$B$2:$B$801,$N316)="","",INDEX('Per Invoice'!$B$2:$B$801,$N316)))</f>
        <v/>
      </c>
      <c r="C316">
        <f>IF($N316="","",IF(INDEX('Per Invoice'!$C$2:$C$801,$N316)="","",INDEX('Per Invoice'!$C$2:$C$801,$N316)))</f>
        <v/>
      </c>
      <c r="D316">
        <f>IF($N316="","",IF(INDEX('Per Invoice'!$D$2:$D$801,$N316)="","",INDEX('Per Invoice'!$D$2:$D$801,$N316)))</f>
        <v/>
      </c>
      <c r="E316">
        <f>IF($N316="","",IF(INDEX('Per Invoice'!$E$2:$E$801,$N316)="","",INDEX('Per Invoice'!$E$2:$E$801,$N316)))</f>
        <v/>
      </c>
      <c r="F316">
        <f>IF($N316="","",IF(INDEX('Per Invoice'!$F$2:$F$801,$N316)="","",INDEX('Per Invoice'!$F$2:$F$801,$N316)))</f>
        <v/>
      </c>
      <c r="G316">
        <f>IF($N316="","",IF(INDEX('Per Invoice'!$G$2:$G$801,$N316)="","",INDEX('Per Invoice'!$G$2:$G$801,$N316)))</f>
        <v/>
      </c>
      <c r="H316">
        <f>IF($N316="","",IF(INDEX('Per Invoice'!$H$2:$H$801,$N316)="","",INDEX('Per Invoice'!$H$2:$H$801,$N316)))</f>
        <v/>
      </c>
      <c r="I316" s="5">
        <f>IF($N316="","",IF(INDEX('Per Invoice'!$I$2:$I$801,$N316)="","",INDEX('Per Invoice'!$I$2:$I$801,$N316)))</f>
        <v/>
      </c>
      <c r="J316" s="5">
        <f>IF($N316="","",IF(INDEX('Per Invoice'!$J$2:$J$801,$N316)="","",INDEX('Per Invoice'!$J$2:$J$801,$N316)))</f>
        <v/>
      </c>
      <c r="K316" s="5">
        <f>IF($N316="","",IF(INDEX('Per Invoice'!$K$2:$K$801,$N316)="","",INDEX('Per Invoice'!$K$2:$K$801,$N316)))</f>
        <v/>
      </c>
      <c r="L316" s="5">
        <f>IF($N316="","",IF(INDEX('Per Invoice'!$L$2:$L$801,$N316)="","",INDEX('Per Invoice'!$L$2:$L$801,$N316)))</f>
        <v/>
      </c>
      <c r="M316" s="5">
        <f>IF($N316="","",IF(INDEX('Per Invoice'!$M$2:$M$801,$N316)="","",INDEX('Per Invoice'!$M$2:$M$801,$N316)))</f>
        <v/>
      </c>
      <c r="N316">
        <f>IF(ROWS($N$2:$N316)&lt;=COUNT('Per Invoice'!$P$2:$P$801),MATCH(ROWS($N$2:$N316),'Per Invoice'!$P$2:$P$801,0),"")</f>
        <v/>
      </c>
    </row>
    <row r="317">
      <c r="A317">
        <f>IF($N317="","",IF(INDEX('Per Invoice'!$A$2:$A$801,$N317)="","",INDEX('Per Invoice'!$A$2:$A$801,$N317)))</f>
        <v/>
      </c>
      <c r="B317">
        <f>IF($N317="","",IF(INDEX('Per Invoice'!$B$2:$B$801,$N317)="","",INDEX('Per Invoice'!$B$2:$B$801,$N317)))</f>
        <v/>
      </c>
      <c r="C317">
        <f>IF($N317="","",IF(INDEX('Per Invoice'!$C$2:$C$801,$N317)="","",INDEX('Per Invoice'!$C$2:$C$801,$N317)))</f>
        <v/>
      </c>
      <c r="D317">
        <f>IF($N317="","",IF(INDEX('Per Invoice'!$D$2:$D$801,$N317)="","",INDEX('Per Invoice'!$D$2:$D$801,$N317)))</f>
        <v/>
      </c>
      <c r="E317">
        <f>IF($N317="","",IF(INDEX('Per Invoice'!$E$2:$E$801,$N317)="","",INDEX('Per Invoice'!$E$2:$E$801,$N317)))</f>
        <v/>
      </c>
      <c r="F317">
        <f>IF($N317="","",IF(INDEX('Per Invoice'!$F$2:$F$801,$N317)="","",INDEX('Per Invoice'!$F$2:$F$801,$N317)))</f>
        <v/>
      </c>
      <c r="G317">
        <f>IF($N317="","",IF(INDEX('Per Invoice'!$G$2:$G$801,$N317)="","",INDEX('Per Invoice'!$G$2:$G$801,$N317)))</f>
        <v/>
      </c>
      <c r="H317">
        <f>IF($N317="","",IF(INDEX('Per Invoice'!$H$2:$H$801,$N317)="","",INDEX('Per Invoice'!$H$2:$H$801,$N317)))</f>
        <v/>
      </c>
      <c r="I317" s="5">
        <f>IF($N317="","",IF(INDEX('Per Invoice'!$I$2:$I$801,$N317)="","",INDEX('Per Invoice'!$I$2:$I$801,$N317)))</f>
        <v/>
      </c>
      <c r="J317" s="5">
        <f>IF($N317="","",IF(INDEX('Per Invoice'!$J$2:$J$801,$N317)="","",INDEX('Per Invoice'!$J$2:$J$801,$N317)))</f>
        <v/>
      </c>
      <c r="K317" s="5">
        <f>IF($N317="","",IF(INDEX('Per Invoice'!$K$2:$K$801,$N317)="","",INDEX('Per Invoice'!$K$2:$K$801,$N317)))</f>
        <v/>
      </c>
      <c r="L317" s="5">
        <f>IF($N317="","",IF(INDEX('Per Invoice'!$L$2:$L$801,$N317)="","",INDEX('Per Invoice'!$L$2:$L$801,$N317)))</f>
        <v/>
      </c>
      <c r="M317" s="5">
        <f>IF($N317="","",IF(INDEX('Per Invoice'!$M$2:$M$801,$N317)="","",INDEX('Per Invoice'!$M$2:$M$801,$N317)))</f>
        <v/>
      </c>
      <c r="N317">
        <f>IF(ROWS($N$2:$N317)&lt;=COUNT('Per Invoice'!$P$2:$P$801),MATCH(ROWS($N$2:$N317),'Per Invoice'!$P$2:$P$801,0),"")</f>
        <v/>
      </c>
    </row>
    <row r="318">
      <c r="A318">
        <f>IF($N318="","",IF(INDEX('Per Invoice'!$A$2:$A$801,$N318)="","",INDEX('Per Invoice'!$A$2:$A$801,$N318)))</f>
        <v/>
      </c>
      <c r="B318">
        <f>IF($N318="","",IF(INDEX('Per Invoice'!$B$2:$B$801,$N318)="","",INDEX('Per Invoice'!$B$2:$B$801,$N318)))</f>
        <v/>
      </c>
      <c r="C318">
        <f>IF($N318="","",IF(INDEX('Per Invoice'!$C$2:$C$801,$N318)="","",INDEX('Per Invoice'!$C$2:$C$801,$N318)))</f>
        <v/>
      </c>
      <c r="D318">
        <f>IF($N318="","",IF(INDEX('Per Invoice'!$D$2:$D$801,$N318)="","",INDEX('Per Invoice'!$D$2:$D$801,$N318)))</f>
        <v/>
      </c>
      <c r="E318">
        <f>IF($N318="","",IF(INDEX('Per Invoice'!$E$2:$E$801,$N318)="","",INDEX('Per Invoice'!$E$2:$E$801,$N318)))</f>
        <v/>
      </c>
      <c r="F318">
        <f>IF($N318="","",IF(INDEX('Per Invoice'!$F$2:$F$801,$N318)="","",INDEX('Per Invoice'!$F$2:$F$801,$N318)))</f>
        <v/>
      </c>
      <c r="G318">
        <f>IF($N318="","",IF(INDEX('Per Invoice'!$G$2:$G$801,$N318)="","",INDEX('Per Invoice'!$G$2:$G$801,$N318)))</f>
        <v/>
      </c>
      <c r="H318">
        <f>IF($N318="","",IF(INDEX('Per Invoice'!$H$2:$H$801,$N318)="","",INDEX('Per Invoice'!$H$2:$H$801,$N318)))</f>
        <v/>
      </c>
      <c r="I318" s="5">
        <f>IF($N318="","",IF(INDEX('Per Invoice'!$I$2:$I$801,$N318)="","",INDEX('Per Invoice'!$I$2:$I$801,$N318)))</f>
        <v/>
      </c>
      <c r="J318" s="5">
        <f>IF($N318="","",IF(INDEX('Per Invoice'!$J$2:$J$801,$N318)="","",INDEX('Per Invoice'!$J$2:$J$801,$N318)))</f>
        <v/>
      </c>
      <c r="K318" s="5">
        <f>IF($N318="","",IF(INDEX('Per Invoice'!$K$2:$K$801,$N318)="","",INDEX('Per Invoice'!$K$2:$K$801,$N318)))</f>
        <v/>
      </c>
      <c r="L318" s="5">
        <f>IF($N318="","",IF(INDEX('Per Invoice'!$L$2:$L$801,$N318)="","",INDEX('Per Invoice'!$L$2:$L$801,$N318)))</f>
        <v/>
      </c>
      <c r="M318" s="5">
        <f>IF($N318="","",IF(INDEX('Per Invoice'!$M$2:$M$801,$N318)="","",INDEX('Per Invoice'!$M$2:$M$801,$N318)))</f>
        <v/>
      </c>
      <c r="N318">
        <f>IF(ROWS($N$2:$N318)&lt;=COUNT('Per Invoice'!$P$2:$P$801),MATCH(ROWS($N$2:$N318),'Per Invoice'!$P$2:$P$801,0),"")</f>
        <v/>
      </c>
    </row>
    <row r="319">
      <c r="A319">
        <f>IF($N319="","",IF(INDEX('Per Invoice'!$A$2:$A$801,$N319)="","",INDEX('Per Invoice'!$A$2:$A$801,$N319)))</f>
        <v/>
      </c>
      <c r="B319">
        <f>IF($N319="","",IF(INDEX('Per Invoice'!$B$2:$B$801,$N319)="","",INDEX('Per Invoice'!$B$2:$B$801,$N319)))</f>
        <v/>
      </c>
      <c r="C319">
        <f>IF($N319="","",IF(INDEX('Per Invoice'!$C$2:$C$801,$N319)="","",INDEX('Per Invoice'!$C$2:$C$801,$N319)))</f>
        <v/>
      </c>
      <c r="D319">
        <f>IF($N319="","",IF(INDEX('Per Invoice'!$D$2:$D$801,$N319)="","",INDEX('Per Invoice'!$D$2:$D$801,$N319)))</f>
        <v/>
      </c>
      <c r="E319">
        <f>IF($N319="","",IF(INDEX('Per Invoice'!$E$2:$E$801,$N319)="","",INDEX('Per Invoice'!$E$2:$E$801,$N319)))</f>
        <v/>
      </c>
      <c r="F319">
        <f>IF($N319="","",IF(INDEX('Per Invoice'!$F$2:$F$801,$N319)="","",INDEX('Per Invoice'!$F$2:$F$801,$N319)))</f>
        <v/>
      </c>
      <c r="G319">
        <f>IF($N319="","",IF(INDEX('Per Invoice'!$G$2:$G$801,$N319)="","",INDEX('Per Invoice'!$G$2:$G$801,$N319)))</f>
        <v/>
      </c>
      <c r="H319">
        <f>IF($N319="","",IF(INDEX('Per Invoice'!$H$2:$H$801,$N319)="","",INDEX('Per Invoice'!$H$2:$H$801,$N319)))</f>
        <v/>
      </c>
      <c r="I319" s="5">
        <f>IF($N319="","",IF(INDEX('Per Invoice'!$I$2:$I$801,$N319)="","",INDEX('Per Invoice'!$I$2:$I$801,$N319)))</f>
        <v/>
      </c>
      <c r="J319" s="5">
        <f>IF($N319="","",IF(INDEX('Per Invoice'!$J$2:$J$801,$N319)="","",INDEX('Per Invoice'!$J$2:$J$801,$N319)))</f>
        <v/>
      </c>
      <c r="K319" s="5">
        <f>IF($N319="","",IF(INDEX('Per Invoice'!$K$2:$K$801,$N319)="","",INDEX('Per Invoice'!$K$2:$K$801,$N319)))</f>
        <v/>
      </c>
      <c r="L319" s="5">
        <f>IF($N319="","",IF(INDEX('Per Invoice'!$L$2:$L$801,$N319)="","",INDEX('Per Invoice'!$L$2:$L$801,$N319)))</f>
        <v/>
      </c>
      <c r="M319" s="5">
        <f>IF($N319="","",IF(INDEX('Per Invoice'!$M$2:$M$801,$N319)="","",INDEX('Per Invoice'!$M$2:$M$801,$N319)))</f>
        <v/>
      </c>
      <c r="N319">
        <f>IF(ROWS($N$2:$N319)&lt;=COUNT('Per Invoice'!$P$2:$P$801),MATCH(ROWS($N$2:$N319),'Per Invoice'!$P$2:$P$801,0),"")</f>
        <v/>
      </c>
    </row>
    <row r="320">
      <c r="A320">
        <f>IF($N320="","",IF(INDEX('Per Invoice'!$A$2:$A$801,$N320)="","",INDEX('Per Invoice'!$A$2:$A$801,$N320)))</f>
        <v/>
      </c>
      <c r="B320">
        <f>IF($N320="","",IF(INDEX('Per Invoice'!$B$2:$B$801,$N320)="","",INDEX('Per Invoice'!$B$2:$B$801,$N320)))</f>
        <v/>
      </c>
      <c r="C320">
        <f>IF($N320="","",IF(INDEX('Per Invoice'!$C$2:$C$801,$N320)="","",INDEX('Per Invoice'!$C$2:$C$801,$N320)))</f>
        <v/>
      </c>
      <c r="D320">
        <f>IF($N320="","",IF(INDEX('Per Invoice'!$D$2:$D$801,$N320)="","",INDEX('Per Invoice'!$D$2:$D$801,$N320)))</f>
        <v/>
      </c>
      <c r="E320">
        <f>IF($N320="","",IF(INDEX('Per Invoice'!$E$2:$E$801,$N320)="","",INDEX('Per Invoice'!$E$2:$E$801,$N320)))</f>
        <v/>
      </c>
      <c r="F320">
        <f>IF($N320="","",IF(INDEX('Per Invoice'!$F$2:$F$801,$N320)="","",INDEX('Per Invoice'!$F$2:$F$801,$N320)))</f>
        <v/>
      </c>
      <c r="G320">
        <f>IF($N320="","",IF(INDEX('Per Invoice'!$G$2:$G$801,$N320)="","",INDEX('Per Invoice'!$G$2:$G$801,$N320)))</f>
        <v/>
      </c>
      <c r="H320">
        <f>IF($N320="","",IF(INDEX('Per Invoice'!$H$2:$H$801,$N320)="","",INDEX('Per Invoice'!$H$2:$H$801,$N320)))</f>
        <v/>
      </c>
      <c r="I320" s="5">
        <f>IF($N320="","",IF(INDEX('Per Invoice'!$I$2:$I$801,$N320)="","",INDEX('Per Invoice'!$I$2:$I$801,$N320)))</f>
        <v/>
      </c>
      <c r="J320" s="5">
        <f>IF($N320="","",IF(INDEX('Per Invoice'!$J$2:$J$801,$N320)="","",INDEX('Per Invoice'!$J$2:$J$801,$N320)))</f>
        <v/>
      </c>
      <c r="K320" s="5">
        <f>IF($N320="","",IF(INDEX('Per Invoice'!$K$2:$K$801,$N320)="","",INDEX('Per Invoice'!$K$2:$K$801,$N320)))</f>
        <v/>
      </c>
      <c r="L320" s="5">
        <f>IF($N320="","",IF(INDEX('Per Invoice'!$L$2:$L$801,$N320)="","",INDEX('Per Invoice'!$L$2:$L$801,$N320)))</f>
        <v/>
      </c>
      <c r="M320" s="5">
        <f>IF($N320="","",IF(INDEX('Per Invoice'!$M$2:$M$801,$N320)="","",INDEX('Per Invoice'!$M$2:$M$801,$N320)))</f>
        <v/>
      </c>
      <c r="N320">
        <f>IF(ROWS($N$2:$N320)&lt;=COUNT('Per Invoice'!$P$2:$P$801),MATCH(ROWS($N$2:$N320),'Per Invoice'!$P$2:$P$801,0),"")</f>
        <v/>
      </c>
    </row>
    <row r="321">
      <c r="A321">
        <f>IF($N321="","",IF(INDEX('Per Invoice'!$A$2:$A$801,$N321)="","",INDEX('Per Invoice'!$A$2:$A$801,$N321)))</f>
        <v/>
      </c>
      <c r="B321">
        <f>IF($N321="","",IF(INDEX('Per Invoice'!$B$2:$B$801,$N321)="","",INDEX('Per Invoice'!$B$2:$B$801,$N321)))</f>
        <v/>
      </c>
      <c r="C321">
        <f>IF($N321="","",IF(INDEX('Per Invoice'!$C$2:$C$801,$N321)="","",INDEX('Per Invoice'!$C$2:$C$801,$N321)))</f>
        <v/>
      </c>
      <c r="D321">
        <f>IF($N321="","",IF(INDEX('Per Invoice'!$D$2:$D$801,$N321)="","",INDEX('Per Invoice'!$D$2:$D$801,$N321)))</f>
        <v/>
      </c>
      <c r="E321">
        <f>IF($N321="","",IF(INDEX('Per Invoice'!$E$2:$E$801,$N321)="","",INDEX('Per Invoice'!$E$2:$E$801,$N321)))</f>
        <v/>
      </c>
      <c r="F321">
        <f>IF($N321="","",IF(INDEX('Per Invoice'!$F$2:$F$801,$N321)="","",INDEX('Per Invoice'!$F$2:$F$801,$N321)))</f>
        <v/>
      </c>
      <c r="G321">
        <f>IF($N321="","",IF(INDEX('Per Invoice'!$G$2:$G$801,$N321)="","",INDEX('Per Invoice'!$G$2:$G$801,$N321)))</f>
        <v/>
      </c>
      <c r="H321">
        <f>IF($N321="","",IF(INDEX('Per Invoice'!$H$2:$H$801,$N321)="","",INDEX('Per Invoice'!$H$2:$H$801,$N321)))</f>
        <v/>
      </c>
      <c r="I321" s="5">
        <f>IF($N321="","",IF(INDEX('Per Invoice'!$I$2:$I$801,$N321)="","",INDEX('Per Invoice'!$I$2:$I$801,$N321)))</f>
        <v/>
      </c>
      <c r="J321" s="5">
        <f>IF($N321="","",IF(INDEX('Per Invoice'!$J$2:$J$801,$N321)="","",INDEX('Per Invoice'!$J$2:$J$801,$N321)))</f>
        <v/>
      </c>
      <c r="K321" s="5">
        <f>IF($N321="","",IF(INDEX('Per Invoice'!$K$2:$K$801,$N321)="","",INDEX('Per Invoice'!$K$2:$K$801,$N321)))</f>
        <v/>
      </c>
      <c r="L321" s="5">
        <f>IF($N321="","",IF(INDEX('Per Invoice'!$L$2:$L$801,$N321)="","",INDEX('Per Invoice'!$L$2:$L$801,$N321)))</f>
        <v/>
      </c>
      <c r="M321" s="5">
        <f>IF($N321="","",IF(INDEX('Per Invoice'!$M$2:$M$801,$N321)="","",INDEX('Per Invoice'!$M$2:$M$801,$N321)))</f>
        <v/>
      </c>
      <c r="N321">
        <f>IF(ROWS($N$2:$N321)&lt;=COUNT('Per Invoice'!$P$2:$P$801),MATCH(ROWS($N$2:$N321),'Per Invoice'!$P$2:$P$801,0),"")</f>
        <v/>
      </c>
    </row>
    <row r="322">
      <c r="A322">
        <f>IF($N322="","",IF(INDEX('Per Invoice'!$A$2:$A$801,$N322)="","",INDEX('Per Invoice'!$A$2:$A$801,$N322)))</f>
        <v/>
      </c>
      <c r="B322">
        <f>IF($N322="","",IF(INDEX('Per Invoice'!$B$2:$B$801,$N322)="","",INDEX('Per Invoice'!$B$2:$B$801,$N322)))</f>
        <v/>
      </c>
      <c r="C322">
        <f>IF($N322="","",IF(INDEX('Per Invoice'!$C$2:$C$801,$N322)="","",INDEX('Per Invoice'!$C$2:$C$801,$N322)))</f>
        <v/>
      </c>
      <c r="D322">
        <f>IF($N322="","",IF(INDEX('Per Invoice'!$D$2:$D$801,$N322)="","",INDEX('Per Invoice'!$D$2:$D$801,$N322)))</f>
        <v/>
      </c>
      <c r="E322">
        <f>IF($N322="","",IF(INDEX('Per Invoice'!$E$2:$E$801,$N322)="","",INDEX('Per Invoice'!$E$2:$E$801,$N322)))</f>
        <v/>
      </c>
      <c r="F322">
        <f>IF($N322="","",IF(INDEX('Per Invoice'!$F$2:$F$801,$N322)="","",INDEX('Per Invoice'!$F$2:$F$801,$N322)))</f>
        <v/>
      </c>
      <c r="G322">
        <f>IF($N322="","",IF(INDEX('Per Invoice'!$G$2:$G$801,$N322)="","",INDEX('Per Invoice'!$G$2:$G$801,$N322)))</f>
        <v/>
      </c>
      <c r="H322">
        <f>IF($N322="","",IF(INDEX('Per Invoice'!$H$2:$H$801,$N322)="","",INDEX('Per Invoice'!$H$2:$H$801,$N322)))</f>
        <v/>
      </c>
      <c r="I322" s="5">
        <f>IF($N322="","",IF(INDEX('Per Invoice'!$I$2:$I$801,$N322)="","",INDEX('Per Invoice'!$I$2:$I$801,$N322)))</f>
        <v/>
      </c>
      <c r="J322" s="5">
        <f>IF($N322="","",IF(INDEX('Per Invoice'!$J$2:$J$801,$N322)="","",INDEX('Per Invoice'!$J$2:$J$801,$N322)))</f>
        <v/>
      </c>
      <c r="K322" s="5">
        <f>IF($N322="","",IF(INDEX('Per Invoice'!$K$2:$K$801,$N322)="","",INDEX('Per Invoice'!$K$2:$K$801,$N322)))</f>
        <v/>
      </c>
      <c r="L322" s="5">
        <f>IF($N322="","",IF(INDEX('Per Invoice'!$L$2:$L$801,$N322)="","",INDEX('Per Invoice'!$L$2:$L$801,$N322)))</f>
        <v/>
      </c>
      <c r="M322" s="5">
        <f>IF($N322="","",IF(INDEX('Per Invoice'!$M$2:$M$801,$N322)="","",INDEX('Per Invoice'!$M$2:$M$801,$N322)))</f>
        <v/>
      </c>
      <c r="N322">
        <f>IF(ROWS($N$2:$N322)&lt;=COUNT('Per Invoice'!$P$2:$P$801),MATCH(ROWS($N$2:$N322),'Per Invoice'!$P$2:$P$801,0),"")</f>
        <v/>
      </c>
    </row>
    <row r="323">
      <c r="A323">
        <f>IF($N323="","",IF(INDEX('Per Invoice'!$A$2:$A$801,$N323)="","",INDEX('Per Invoice'!$A$2:$A$801,$N323)))</f>
        <v/>
      </c>
      <c r="B323">
        <f>IF($N323="","",IF(INDEX('Per Invoice'!$B$2:$B$801,$N323)="","",INDEX('Per Invoice'!$B$2:$B$801,$N323)))</f>
        <v/>
      </c>
      <c r="C323">
        <f>IF($N323="","",IF(INDEX('Per Invoice'!$C$2:$C$801,$N323)="","",INDEX('Per Invoice'!$C$2:$C$801,$N323)))</f>
        <v/>
      </c>
      <c r="D323">
        <f>IF($N323="","",IF(INDEX('Per Invoice'!$D$2:$D$801,$N323)="","",INDEX('Per Invoice'!$D$2:$D$801,$N323)))</f>
        <v/>
      </c>
      <c r="E323">
        <f>IF($N323="","",IF(INDEX('Per Invoice'!$E$2:$E$801,$N323)="","",INDEX('Per Invoice'!$E$2:$E$801,$N323)))</f>
        <v/>
      </c>
      <c r="F323">
        <f>IF($N323="","",IF(INDEX('Per Invoice'!$F$2:$F$801,$N323)="","",INDEX('Per Invoice'!$F$2:$F$801,$N323)))</f>
        <v/>
      </c>
      <c r="G323">
        <f>IF($N323="","",IF(INDEX('Per Invoice'!$G$2:$G$801,$N323)="","",INDEX('Per Invoice'!$G$2:$G$801,$N323)))</f>
        <v/>
      </c>
      <c r="H323">
        <f>IF($N323="","",IF(INDEX('Per Invoice'!$H$2:$H$801,$N323)="","",INDEX('Per Invoice'!$H$2:$H$801,$N323)))</f>
        <v/>
      </c>
      <c r="I323" s="5">
        <f>IF($N323="","",IF(INDEX('Per Invoice'!$I$2:$I$801,$N323)="","",INDEX('Per Invoice'!$I$2:$I$801,$N323)))</f>
        <v/>
      </c>
      <c r="J323" s="5">
        <f>IF($N323="","",IF(INDEX('Per Invoice'!$J$2:$J$801,$N323)="","",INDEX('Per Invoice'!$J$2:$J$801,$N323)))</f>
        <v/>
      </c>
      <c r="K323" s="5">
        <f>IF($N323="","",IF(INDEX('Per Invoice'!$K$2:$K$801,$N323)="","",INDEX('Per Invoice'!$K$2:$K$801,$N323)))</f>
        <v/>
      </c>
      <c r="L323" s="5">
        <f>IF($N323="","",IF(INDEX('Per Invoice'!$L$2:$L$801,$N323)="","",INDEX('Per Invoice'!$L$2:$L$801,$N323)))</f>
        <v/>
      </c>
      <c r="M323" s="5">
        <f>IF($N323="","",IF(INDEX('Per Invoice'!$M$2:$M$801,$N323)="","",INDEX('Per Invoice'!$M$2:$M$801,$N323)))</f>
        <v/>
      </c>
      <c r="N323">
        <f>IF(ROWS($N$2:$N323)&lt;=COUNT('Per Invoice'!$P$2:$P$801),MATCH(ROWS($N$2:$N323),'Per Invoice'!$P$2:$P$801,0),"")</f>
        <v/>
      </c>
    </row>
    <row r="324">
      <c r="A324">
        <f>IF($N324="","",IF(INDEX('Per Invoice'!$A$2:$A$801,$N324)="","",INDEX('Per Invoice'!$A$2:$A$801,$N324)))</f>
        <v/>
      </c>
      <c r="B324">
        <f>IF($N324="","",IF(INDEX('Per Invoice'!$B$2:$B$801,$N324)="","",INDEX('Per Invoice'!$B$2:$B$801,$N324)))</f>
        <v/>
      </c>
      <c r="C324">
        <f>IF($N324="","",IF(INDEX('Per Invoice'!$C$2:$C$801,$N324)="","",INDEX('Per Invoice'!$C$2:$C$801,$N324)))</f>
        <v/>
      </c>
      <c r="D324">
        <f>IF($N324="","",IF(INDEX('Per Invoice'!$D$2:$D$801,$N324)="","",INDEX('Per Invoice'!$D$2:$D$801,$N324)))</f>
        <v/>
      </c>
      <c r="E324">
        <f>IF($N324="","",IF(INDEX('Per Invoice'!$E$2:$E$801,$N324)="","",INDEX('Per Invoice'!$E$2:$E$801,$N324)))</f>
        <v/>
      </c>
      <c r="F324">
        <f>IF($N324="","",IF(INDEX('Per Invoice'!$F$2:$F$801,$N324)="","",INDEX('Per Invoice'!$F$2:$F$801,$N324)))</f>
        <v/>
      </c>
      <c r="G324">
        <f>IF($N324="","",IF(INDEX('Per Invoice'!$G$2:$G$801,$N324)="","",INDEX('Per Invoice'!$G$2:$G$801,$N324)))</f>
        <v/>
      </c>
      <c r="H324">
        <f>IF($N324="","",IF(INDEX('Per Invoice'!$H$2:$H$801,$N324)="","",INDEX('Per Invoice'!$H$2:$H$801,$N324)))</f>
        <v/>
      </c>
      <c r="I324" s="5">
        <f>IF($N324="","",IF(INDEX('Per Invoice'!$I$2:$I$801,$N324)="","",INDEX('Per Invoice'!$I$2:$I$801,$N324)))</f>
        <v/>
      </c>
      <c r="J324" s="5">
        <f>IF($N324="","",IF(INDEX('Per Invoice'!$J$2:$J$801,$N324)="","",INDEX('Per Invoice'!$J$2:$J$801,$N324)))</f>
        <v/>
      </c>
      <c r="K324" s="5">
        <f>IF($N324="","",IF(INDEX('Per Invoice'!$K$2:$K$801,$N324)="","",INDEX('Per Invoice'!$K$2:$K$801,$N324)))</f>
        <v/>
      </c>
      <c r="L324" s="5">
        <f>IF($N324="","",IF(INDEX('Per Invoice'!$L$2:$L$801,$N324)="","",INDEX('Per Invoice'!$L$2:$L$801,$N324)))</f>
        <v/>
      </c>
      <c r="M324" s="5">
        <f>IF($N324="","",IF(INDEX('Per Invoice'!$M$2:$M$801,$N324)="","",INDEX('Per Invoice'!$M$2:$M$801,$N324)))</f>
        <v/>
      </c>
      <c r="N324">
        <f>IF(ROWS($N$2:$N324)&lt;=COUNT('Per Invoice'!$P$2:$P$801),MATCH(ROWS($N$2:$N324),'Per Invoice'!$P$2:$P$801,0),"")</f>
        <v/>
      </c>
    </row>
    <row r="325">
      <c r="A325">
        <f>IF($N325="","",IF(INDEX('Per Invoice'!$A$2:$A$801,$N325)="","",INDEX('Per Invoice'!$A$2:$A$801,$N325)))</f>
        <v/>
      </c>
      <c r="B325">
        <f>IF($N325="","",IF(INDEX('Per Invoice'!$B$2:$B$801,$N325)="","",INDEX('Per Invoice'!$B$2:$B$801,$N325)))</f>
        <v/>
      </c>
      <c r="C325">
        <f>IF($N325="","",IF(INDEX('Per Invoice'!$C$2:$C$801,$N325)="","",INDEX('Per Invoice'!$C$2:$C$801,$N325)))</f>
        <v/>
      </c>
      <c r="D325">
        <f>IF($N325="","",IF(INDEX('Per Invoice'!$D$2:$D$801,$N325)="","",INDEX('Per Invoice'!$D$2:$D$801,$N325)))</f>
        <v/>
      </c>
      <c r="E325">
        <f>IF($N325="","",IF(INDEX('Per Invoice'!$E$2:$E$801,$N325)="","",INDEX('Per Invoice'!$E$2:$E$801,$N325)))</f>
        <v/>
      </c>
      <c r="F325">
        <f>IF($N325="","",IF(INDEX('Per Invoice'!$F$2:$F$801,$N325)="","",INDEX('Per Invoice'!$F$2:$F$801,$N325)))</f>
        <v/>
      </c>
      <c r="G325">
        <f>IF($N325="","",IF(INDEX('Per Invoice'!$G$2:$G$801,$N325)="","",INDEX('Per Invoice'!$G$2:$G$801,$N325)))</f>
        <v/>
      </c>
      <c r="H325">
        <f>IF($N325="","",IF(INDEX('Per Invoice'!$H$2:$H$801,$N325)="","",INDEX('Per Invoice'!$H$2:$H$801,$N325)))</f>
        <v/>
      </c>
      <c r="I325" s="5">
        <f>IF($N325="","",IF(INDEX('Per Invoice'!$I$2:$I$801,$N325)="","",INDEX('Per Invoice'!$I$2:$I$801,$N325)))</f>
        <v/>
      </c>
      <c r="J325" s="5">
        <f>IF($N325="","",IF(INDEX('Per Invoice'!$J$2:$J$801,$N325)="","",INDEX('Per Invoice'!$J$2:$J$801,$N325)))</f>
        <v/>
      </c>
      <c r="K325" s="5">
        <f>IF($N325="","",IF(INDEX('Per Invoice'!$K$2:$K$801,$N325)="","",INDEX('Per Invoice'!$K$2:$K$801,$N325)))</f>
        <v/>
      </c>
      <c r="L325" s="5">
        <f>IF($N325="","",IF(INDEX('Per Invoice'!$L$2:$L$801,$N325)="","",INDEX('Per Invoice'!$L$2:$L$801,$N325)))</f>
        <v/>
      </c>
      <c r="M325" s="5">
        <f>IF($N325="","",IF(INDEX('Per Invoice'!$M$2:$M$801,$N325)="","",INDEX('Per Invoice'!$M$2:$M$801,$N325)))</f>
        <v/>
      </c>
      <c r="N325">
        <f>IF(ROWS($N$2:$N325)&lt;=COUNT('Per Invoice'!$P$2:$P$801),MATCH(ROWS($N$2:$N325),'Per Invoice'!$P$2:$P$801,0),"")</f>
        <v/>
      </c>
    </row>
    <row r="326">
      <c r="A326">
        <f>IF($N326="","",IF(INDEX('Per Invoice'!$A$2:$A$801,$N326)="","",INDEX('Per Invoice'!$A$2:$A$801,$N326)))</f>
        <v/>
      </c>
      <c r="B326">
        <f>IF($N326="","",IF(INDEX('Per Invoice'!$B$2:$B$801,$N326)="","",INDEX('Per Invoice'!$B$2:$B$801,$N326)))</f>
        <v/>
      </c>
      <c r="C326">
        <f>IF($N326="","",IF(INDEX('Per Invoice'!$C$2:$C$801,$N326)="","",INDEX('Per Invoice'!$C$2:$C$801,$N326)))</f>
        <v/>
      </c>
      <c r="D326">
        <f>IF($N326="","",IF(INDEX('Per Invoice'!$D$2:$D$801,$N326)="","",INDEX('Per Invoice'!$D$2:$D$801,$N326)))</f>
        <v/>
      </c>
      <c r="E326">
        <f>IF($N326="","",IF(INDEX('Per Invoice'!$E$2:$E$801,$N326)="","",INDEX('Per Invoice'!$E$2:$E$801,$N326)))</f>
        <v/>
      </c>
      <c r="F326">
        <f>IF($N326="","",IF(INDEX('Per Invoice'!$F$2:$F$801,$N326)="","",INDEX('Per Invoice'!$F$2:$F$801,$N326)))</f>
        <v/>
      </c>
      <c r="G326">
        <f>IF($N326="","",IF(INDEX('Per Invoice'!$G$2:$G$801,$N326)="","",INDEX('Per Invoice'!$G$2:$G$801,$N326)))</f>
        <v/>
      </c>
      <c r="H326">
        <f>IF($N326="","",IF(INDEX('Per Invoice'!$H$2:$H$801,$N326)="","",INDEX('Per Invoice'!$H$2:$H$801,$N326)))</f>
        <v/>
      </c>
      <c r="I326" s="5">
        <f>IF($N326="","",IF(INDEX('Per Invoice'!$I$2:$I$801,$N326)="","",INDEX('Per Invoice'!$I$2:$I$801,$N326)))</f>
        <v/>
      </c>
      <c r="J326" s="5">
        <f>IF($N326="","",IF(INDEX('Per Invoice'!$J$2:$J$801,$N326)="","",INDEX('Per Invoice'!$J$2:$J$801,$N326)))</f>
        <v/>
      </c>
      <c r="K326" s="5">
        <f>IF($N326="","",IF(INDEX('Per Invoice'!$K$2:$K$801,$N326)="","",INDEX('Per Invoice'!$K$2:$K$801,$N326)))</f>
        <v/>
      </c>
      <c r="L326" s="5">
        <f>IF($N326="","",IF(INDEX('Per Invoice'!$L$2:$L$801,$N326)="","",INDEX('Per Invoice'!$L$2:$L$801,$N326)))</f>
        <v/>
      </c>
      <c r="M326" s="5">
        <f>IF($N326="","",IF(INDEX('Per Invoice'!$M$2:$M$801,$N326)="","",INDEX('Per Invoice'!$M$2:$M$801,$N326)))</f>
        <v/>
      </c>
      <c r="N326">
        <f>IF(ROWS($N$2:$N326)&lt;=COUNT('Per Invoice'!$P$2:$P$801),MATCH(ROWS($N$2:$N326),'Per Invoice'!$P$2:$P$801,0),"")</f>
        <v/>
      </c>
    </row>
    <row r="327">
      <c r="A327">
        <f>IF($N327="","",IF(INDEX('Per Invoice'!$A$2:$A$801,$N327)="","",INDEX('Per Invoice'!$A$2:$A$801,$N327)))</f>
        <v/>
      </c>
      <c r="B327">
        <f>IF($N327="","",IF(INDEX('Per Invoice'!$B$2:$B$801,$N327)="","",INDEX('Per Invoice'!$B$2:$B$801,$N327)))</f>
        <v/>
      </c>
      <c r="C327">
        <f>IF($N327="","",IF(INDEX('Per Invoice'!$C$2:$C$801,$N327)="","",INDEX('Per Invoice'!$C$2:$C$801,$N327)))</f>
        <v/>
      </c>
      <c r="D327">
        <f>IF($N327="","",IF(INDEX('Per Invoice'!$D$2:$D$801,$N327)="","",INDEX('Per Invoice'!$D$2:$D$801,$N327)))</f>
        <v/>
      </c>
      <c r="E327">
        <f>IF($N327="","",IF(INDEX('Per Invoice'!$E$2:$E$801,$N327)="","",INDEX('Per Invoice'!$E$2:$E$801,$N327)))</f>
        <v/>
      </c>
      <c r="F327">
        <f>IF($N327="","",IF(INDEX('Per Invoice'!$F$2:$F$801,$N327)="","",INDEX('Per Invoice'!$F$2:$F$801,$N327)))</f>
        <v/>
      </c>
      <c r="G327">
        <f>IF($N327="","",IF(INDEX('Per Invoice'!$G$2:$G$801,$N327)="","",INDEX('Per Invoice'!$G$2:$G$801,$N327)))</f>
        <v/>
      </c>
      <c r="H327">
        <f>IF($N327="","",IF(INDEX('Per Invoice'!$H$2:$H$801,$N327)="","",INDEX('Per Invoice'!$H$2:$H$801,$N327)))</f>
        <v/>
      </c>
      <c r="I327" s="5">
        <f>IF($N327="","",IF(INDEX('Per Invoice'!$I$2:$I$801,$N327)="","",INDEX('Per Invoice'!$I$2:$I$801,$N327)))</f>
        <v/>
      </c>
      <c r="J327" s="5">
        <f>IF($N327="","",IF(INDEX('Per Invoice'!$J$2:$J$801,$N327)="","",INDEX('Per Invoice'!$J$2:$J$801,$N327)))</f>
        <v/>
      </c>
      <c r="K327" s="5">
        <f>IF($N327="","",IF(INDEX('Per Invoice'!$K$2:$K$801,$N327)="","",INDEX('Per Invoice'!$K$2:$K$801,$N327)))</f>
        <v/>
      </c>
      <c r="L327" s="5">
        <f>IF($N327="","",IF(INDEX('Per Invoice'!$L$2:$L$801,$N327)="","",INDEX('Per Invoice'!$L$2:$L$801,$N327)))</f>
        <v/>
      </c>
      <c r="M327" s="5">
        <f>IF($N327="","",IF(INDEX('Per Invoice'!$M$2:$M$801,$N327)="","",INDEX('Per Invoice'!$M$2:$M$801,$N327)))</f>
        <v/>
      </c>
      <c r="N327">
        <f>IF(ROWS($N$2:$N327)&lt;=COUNT('Per Invoice'!$P$2:$P$801),MATCH(ROWS($N$2:$N327),'Per Invoice'!$P$2:$P$801,0),"")</f>
        <v/>
      </c>
    </row>
    <row r="328">
      <c r="A328">
        <f>IF($N328="","",IF(INDEX('Per Invoice'!$A$2:$A$801,$N328)="","",INDEX('Per Invoice'!$A$2:$A$801,$N328)))</f>
        <v/>
      </c>
      <c r="B328">
        <f>IF($N328="","",IF(INDEX('Per Invoice'!$B$2:$B$801,$N328)="","",INDEX('Per Invoice'!$B$2:$B$801,$N328)))</f>
        <v/>
      </c>
      <c r="C328">
        <f>IF($N328="","",IF(INDEX('Per Invoice'!$C$2:$C$801,$N328)="","",INDEX('Per Invoice'!$C$2:$C$801,$N328)))</f>
        <v/>
      </c>
      <c r="D328">
        <f>IF($N328="","",IF(INDEX('Per Invoice'!$D$2:$D$801,$N328)="","",INDEX('Per Invoice'!$D$2:$D$801,$N328)))</f>
        <v/>
      </c>
      <c r="E328">
        <f>IF($N328="","",IF(INDEX('Per Invoice'!$E$2:$E$801,$N328)="","",INDEX('Per Invoice'!$E$2:$E$801,$N328)))</f>
        <v/>
      </c>
      <c r="F328">
        <f>IF($N328="","",IF(INDEX('Per Invoice'!$F$2:$F$801,$N328)="","",INDEX('Per Invoice'!$F$2:$F$801,$N328)))</f>
        <v/>
      </c>
      <c r="G328">
        <f>IF($N328="","",IF(INDEX('Per Invoice'!$G$2:$G$801,$N328)="","",INDEX('Per Invoice'!$G$2:$G$801,$N328)))</f>
        <v/>
      </c>
      <c r="H328">
        <f>IF($N328="","",IF(INDEX('Per Invoice'!$H$2:$H$801,$N328)="","",INDEX('Per Invoice'!$H$2:$H$801,$N328)))</f>
        <v/>
      </c>
      <c r="I328" s="5">
        <f>IF($N328="","",IF(INDEX('Per Invoice'!$I$2:$I$801,$N328)="","",INDEX('Per Invoice'!$I$2:$I$801,$N328)))</f>
        <v/>
      </c>
      <c r="J328" s="5">
        <f>IF($N328="","",IF(INDEX('Per Invoice'!$J$2:$J$801,$N328)="","",INDEX('Per Invoice'!$J$2:$J$801,$N328)))</f>
        <v/>
      </c>
      <c r="K328" s="5">
        <f>IF($N328="","",IF(INDEX('Per Invoice'!$K$2:$K$801,$N328)="","",INDEX('Per Invoice'!$K$2:$K$801,$N328)))</f>
        <v/>
      </c>
      <c r="L328" s="5">
        <f>IF($N328="","",IF(INDEX('Per Invoice'!$L$2:$L$801,$N328)="","",INDEX('Per Invoice'!$L$2:$L$801,$N328)))</f>
        <v/>
      </c>
      <c r="M328" s="5">
        <f>IF($N328="","",IF(INDEX('Per Invoice'!$M$2:$M$801,$N328)="","",INDEX('Per Invoice'!$M$2:$M$801,$N328)))</f>
        <v/>
      </c>
      <c r="N328">
        <f>IF(ROWS($N$2:$N328)&lt;=COUNT('Per Invoice'!$P$2:$P$801),MATCH(ROWS($N$2:$N328),'Per Invoice'!$P$2:$P$801,0),"")</f>
        <v/>
      </c>
    </row>
    <row r="329">
      <c r="A329">
        <f>IF($N329="","",IF(INDEX('Per Invoice'!$A$2:$A$801,$N329)="","",INDEX('Per Invoice'!$A$2:$A$801,$N329)))</f>
        <v/>
      </c>
      <c r="B329">
        <f>IF($N329="","",IF(INDEX('Per Invoice'!$B$2:$B$801,$N329)="","",INDEX('Per Invoice'!$B$2:$B$801,$N329)))</f>
        <v/>
      </c>
      <c r="C329">
        <f>IF($N329="","",IF(INDEX('Per Invoice'!$C$2:$C$801,$N329)="","",INDEX('Per Invoice'!$C$2:$C$801,$N329)))</f>
        <v/>
      </c>
      <c r="D329">
        <f>IF($N329="","",IF(INDEX('Per Invoice'!$D$2:$D$801,$N329)="","",INDEX('Per Invoice'!$D$2:$D$801,$N329)))</f>
        <v/>
      </c>
      <c r="E329">
        <f>IF($N329="","",IF(INDEX('Per Invoice'!$E$2:$E$801,$N329)="","",INDEX('Per Invoice'!$E$2:$E$801,$N329)))</f>
        <v/>
      </c>
      <c r="F329">
        <f>IF($N329="","",IF(INDEX('Per Invoice'!$F$2:$F$801,$N329)="","",INDEX('Per Invoice'!$F$2:$F$801,$N329)))</f>
        <v/>
      </c>
      <c r="G329">
        <f>IF($N329="","",IF(INDEX('Per Invoice'!$G$2:$G$801,$N329)="","",INDEX('Per Invoice'!$G$2:$G$801,$N329)))</f>
        <v/>
      </c>
      <c r="H329">
        <f>IF($N329="","",IF(INDEX('Per Invoice'!$H$2:$H$801,$N329)="","",INDEX('Per Invoice'!$H$2:$H$801,$N329)))</f>
        <v/>
      </c>
      <c r="I329" s="5">
        <f>IF($N329="","",IF(INDEX('Per Invoice'!$I$2:$I$801,$N329)="","",INDEX('Per Invoice'!$I$2:$I$801,$N329)))</f>
        <v/>
      </c>
      <c r="J329" s="5">
        <f>IF($N329="","",IF(INDEX('Per Invoice'!$J$2:$J$801,$N329)="","",INDEX('Per Invoice'!$J$2:$J$801,$N329)))</f>
        <v/>
      </c>
      <c r="K329" s="5">
        <f>IF($N329="","",IF(INDEX('Per Invoice'!$K$2:$K$801,$N329)="","",INDEX('Per Invoice'!$K$2:$K$801,$N329)))</f>
        <v/>
      </c>
      <c r="L329" s="5">
        <f>IF($N329="","",IF(INDEX('Per Invoice'!$L$2:$L$801,$N329)="","",INDEX('Per Invoice'!$L$2:$L$801,$N329)))</f>
        <v/>
      </c>
      <c r="M329" s="5">
        <f>IF($N329="","",IF(INDEX('Per Invoice'!$M$2:$M$801,$N329)="","",INDEX('Per Invoice'!$M$2:$M$801,$N329)))</f>
        <v/>
      </c>
      <c r="N329">
        <f>IF(ROWS($N$2:$N329)&lt;=COUNT('Per Invoice'!$P$2:$P$801),MATCH(ROWS($N$2:$N329),'Per Invoice'!$P$2:$P$801,0),"")</f>
        <v/>
      </c>
    </row>
    <row r="330">
      <c r="A330">
        <f>IF($N330="","",IF(INDEX('Per Invoice'!$A$2:$A$801,$N330)="","",INDEX('Per Invoice'!$A$2:$A$801,$N330)))</f>
        <v/>
      </c>
      <c r="B330">
        <f>IF($N330="","",IF(INDEX('Per Invoice'!$B$2:$B$801,$N330)="","",INDEX('Per Invoice'!$B$2:$B$801,$N330)))</f>
        <v/>
      </c>
      <c r="C330">
        <f>IF($N330="","",IF(INDEX('Per Invoice'!$C$2:$C$801,$N330)="","",INDEX('Per Invoice'!$C$2:$C$801,$N330)))</f>
        <v/>
      </c>
      <c r="D330">
        <f>IF($N330="","",IF(INDEX('Per Invoice'!$D$2:$D$801,$N330)="","",INDEX('Per Invoice'!$D$2:$D$801,$N330)))</f>
        <v/>
      </c>
      <c r="E330">
        <f>IF($N330="","",IF(INDEX('Per Invoice'!$E$2:$E$801,$N330)="","",INDEX('Per Invoice'!$E$2:$E$801,$N330)))</f>
        <v/>
      </c>
      <c r="F330">
        <f>IF($N330="","",IF(INDEX('Per Invoice'!$F$2:$F$801,$N330)="","",INDEX('Per Invoice'!$F$2:$F$801,$N330)))</f>
        <v/>
      </c>
      <c r="G330">
        <f>IF($N330="","",IF(INDEX('Per Invoice'!$G$2:$G$801,$N330)="","",INDEX('Per Invoice'!$G$2:$G$801,$N330)))</f>
        <v/>
      </c>
      <c r="H330">
        <f>IF($N330="","",IF(INDEX('Per Invoice'!$H$2:$H$801,$N330)="","",INDEX('Per Invoice'!$H$2:$H$801,$N330)))</f>
        <v/>
      </c>
      <c r="I330" s="5">
        <f>IF($N330="","",IF(INDEX('Per Invoice'!$I$2:$I$801,$N330)="","",INDEX('Per Invoice'!$I$2:$I$801,$N330)))</f>
        <v/>
      </c>
      <c r="J330" s="5">
        <f>IF($N330="","",IF(INDEX('Per Invoice'!$J$2:$J$801,$N330)="","",INDEX('Per Invoice'!$J$2:$J$801,$N330)))</f>
        <v/>
      </c>
      <c r="K330" s="5">
        <f>IF($N330="","",IF(INDEX('Per Invoice'!$K$2:$K$801,$N330)="","",INDEX('Per Invoice'!$K$2:$K$801,$N330)))</f>
        <v/>
      </c>
      <c r="L330" s="5">
        <f>IF($N330="","",IF(INDEX('Per Invoice'!$L$2:$L$801,$N330)="","",INDEX('Per Invoice'!$L$2:$L$801,$N330)))</f>
        <v/>
      </c>
      <c r="M330" s="5">
        <f>IF($N330="","",IF(INDEX('Per Invoice'!$M$2:$M$801,$N330)="","",INDEX('Per Invoice'!$M$2:$M$801,$N330)))</f>
        <v/>
      </c>
      <c r="N330">
        <f>IF(ROWS($N$2:$N330)&lt;=COUNT('Per Invoice'!$P$2:$P$801),MATCH(ROWS($N$2:$N330),'Per Invoice'!$P$2:$P$801,0),"")</f>
        <v/>
      </c>
    </row>
    <row r="331">
      <c r="A331">
        <f>IF($N331="","",IF(INDEX('Per Invoice'!$A$2:$A$801,$N331)="","",INDEX('Per Invoice'!$A$2:$A$801,$N331)))</f>
        <v/>
      </c>
      <c r="B331">
        <f>IF($N331="","",IF(INDEX('Per Invoice'!$B$2:$B$801,$N331)="","",INDEX('Per Invoice'!$B$2:$B$801,$N331)))</f>
        <v/>
      </c>
      <c r="C331">
        <f>IF($N331="","",IF(INDEX('Per Invoice'!$C$2:$C$801,$N331)="","",INDEX('Per Invoice'!$C$2:$C$801,$N331)))</f>
        <v/>
      </c>
      <c r="D331">
        <f>IF($N331="","",IF(INDEX('Per Invoice'!$D$2:$D$801,$N331)="","",INDEX('Per Invoice'!$D$2:$D$801,$N331)))</f>
        <v/>
      </c>
      <c r="E331">
        <f>IF($N331="","",IF(INDEX('Per Invoice'!$E$2:$E$801,$N331)="","",INDEX('Per Invoice'!$E$2:$E$801,$N331)))</f>
        <v/>
      </c>
      <c r="F331">
        <f>IF($N331="","",IF(INDEX('Per Invoice'!$F$2:$F$801,$N331)="","",INDEX('Per Invoice'!$F$2:$F$801,$N331)))</f>
        <v/>
      </c>
      <c r="G331">
        <f>IF($N331="","",IF(INDEX('Per Invoice'!$G$2:$G$801,$N331)="","",INDEX('Per Invoice'!$G$2:$G$801,$N331)))</f>
        <v/>
      </c>
      <c r="H331">
        <f>IF($N331="","",IF(INDEX('Per Invoice'!$H$2:$H$801,$N331)="","",INDEX('Per Invoice'!$H$2:$H$801,$N331)))</f>
        <v/>
      </c>
      <c r="I331" s="5">
        <f>IF($N331="","",IF(INDEX('Per Invoice'!$I$2:$I$801,$N331)="","",INDEX('Per Invoice'!$I$2:$I$801,$N331)))</f>
        <v/>
      </c>
      <c r="J331" s="5">
        <f>IF($N331="","",IF(INDEX('Per Invoice'!$J$2:$J$801,$N331)="","",INDEX('Per Invoice'!$J$2:$J$801,$N331)))</f>
        <v/>
      </c>
      <c r="K331" s="5">
        <f>IF($N331="","",IF(INDEX('Per Invoice'!$K$2:$K$801,$N331)="","",INDEX('Per Invoice'!$K$2:$K$801,$N331)))</f>
        <v/>
      </c>
      <c r="L331" s="5">
        <f>IF($N331="","",IF(INDEX('Per Invoice'!$L$2:$L$801,$N331)="","",INDEX('Per Invoice'!$L$2:$L$801,$N331)))</f>
        <v/>
      </c>
      <c r="M331" s="5">
        <f>IF($N331="","",IF(INDEX('Per Invoice'!$M$2:$M$801,$N331)="","",INDEX('Per Invoice'!$M$2:$M$801,$N331)))</f>
        <v/>
      </c>
      <c r="N331">
        <f>IF(ROWS($N$2:$N331)&lt;=COUNT('Per Invoice'!$P$2:$P$801),MATCH(ROWS($N$2:$N331),'Per Invoice'!$P$2:$P$801,0),"")</f>
        <v/>
      </c>
    </row>
    <row r="332">
      <c r="A332">
        <f>IF($N332="","",IF(INDEX('Per Invoice'!$A$2:$A$801,$N332)="","",INDEX('Per Invoice'!$A$2:$A$801,$N332)))</f>
        <v/>
      </c>
      <c r="B332">
        <f>IF($N332="","",IF(INDEX('Per Invoice'!$B$2:$B$801,$N332)="","",INDEX('Per Invoice'!$B$2:$B$801,$N332)))</f>
        <v/>
      </c>
      <c r="C332">
        <f>IF($N332="","",IF(INDEX('Per Invoice'!$C$2:$C$801,$N332)="","",INDEX('Per Invoice'!$C$2:$C$801,$N332)))</f>
        <v/>
      </c>
      <c r="D332">
        <f>IF($N332="","",IF(INDEX('Per Invoice'!$D$2:$D$801,$N332)="","",INDEX('Per Invoice'!$D$2:$D$801,$N332)))</f>
        <v/>
      </c>
      <c r="E332">
        <f>IF($N332="","",IF(INDEX('Per Invoice'!$E$2:$E$801,$N332)="","",INDEX('Per Invoice'!$E$2:$E$801,$N332)))</f>
        <v/>
      </c>
      <c r="F332">
        <f>IF($N332="","",IF(INDEX('Per Invoice'!$F$2:$F$801,$N332)="","",INDEX('Per Invoice'!$F$2:$F$801,$N332)))</f>
        <v/>
      </c>
      <c r="G332">
        <f>IF($N332="","",IF(INDEX('Per Invoice'!$G$2:$G$801,$N332)="","",INDEX('Per Invoice'!$G$2:$G$801,$N332)))</f>
        <v/>
      </c>
      <c r="H332">
        <f>IF($N332="","",IF(INDEX('Per Invoice'!$H$2:$H$801,$N332)="","",INDEX('Per Invoice'!$H$2:$H$801,$N332)))</f>
        <v/>
      </c>
      <c r="I332" s="5">
        <f>IF($N332="","",IF(INDEX('Per Invoice'!$I$2:$I$801,$N332)="","",INDEX('Per Invoice'!$I$2:$I$801,$N332)))</f>
        <v/>
      </c>
      <c r="J332" s="5">
        <f>IF($N332="","",IF(INDEX('Per Invoice'!$J$2:$J$801,$N332)="","",INDEX('Per Invoice'!$J$2:$J$801,$N332)))</f>
        <v/>
      </c>
      <c r="K332" s="5">
        <f>IF($N332="","",IF(INDEX('Per Invoice'!$K$2:$K$801,$N332)="","",INDEX('Per Invoice'!$K$2:$K$801,$N332)))</f>
        <v/>
      </c>
      <c r="L332" s="5">
        <f>IF($N332="","",IF(INDEX('Per Invoice'!$L$2:$L$801,$N332)="","",INDEX('Per Invoice'!$L$2:$L$801,$N332)))</f>
        <v/>
      </c>
      <c r="M332" s="5">
        <f>IF($N332="","",IF(INDEX('Per Invoice'!$M$2:$M$801,$N332)="","",INDEX('Per Invoice'!$M$2:$M$801,$N332)))</f>
        <v/>
      </c>
      <c r="N332">
        <f>IF(ROWS($N$2:$N332)&lt;=COUNT('Per Invoice'!$P$2:$P$801),MATCH(ROWS($N$2:$N332),'Per Invoice'!$P$2:$P$801,0),"")</f>
        <v/>
      </c>
    </row>
    <row r="333">
      <c r="A333">
        <f>IF($N333="","",IF(INDEX('Per Invoice'!$A$2:$A$801,$N333)="","",INDEX('Per Invoice'!$A$2:$A$801,$N333)))</f>
        <v/>
      </c>
      <c r="B333">
        <f>IF($N333="","",IF(INDEX('Per Invoice'!$B$2:$B$801,$N333)="","",INDEX('Per Invoice'!$B$2:$B$801,$N333)))</f>
        <v/>
      </c>
      <c r="C333">
        <f>IF($N333="","",IF(INDEX('Per Invoice'!$C$2:$C$801,$N333)="","",INDEX('Per Invoice'!$C$2:$C$801,$N333)))</f>
        <v/>
      </c>
      <c r="D333">
        <f>IF($N333="","",IF(INDEX('Per Invoice'!$D$2:$D$801,$N333)="","",INDEX('Per Invoice'!$D$2:$D$801,$N333)))</f>
        <v/>
      </c>
      <c r="E333">
        <f>IF($N333="","",IF(INDEX('Per Invoice'!$E$2:$E$801,$N333)="","",INDEX('Per Invoice'!$E$2:$E$801,$N333)))</f>
        <v/>
      </c>
      <c r="F333">
        <f>IF($N333="","",IF(INDEX('Per Invoice'!$F$2:$F$801,$N333)="","",INDEX('Per Invoice'!$F$2:$F$801,$N333)))</f>
        <v/>
      </c>
      <c r="G333">
        <f>IF($N333="","",IF(INDEX('Per Invoice'!$G$2:$G$801,$N333)="","",INDEX('Per Invoice'!$G$2:$G$801,$N333)))</f>
        <v/>
      </c>
      <c r="H333">
        <f>IF($N333="","",IF(INDEX('Per Invoice'!$H$2:$H$801,$N333)="","",INDEX('Per Invoice'!$H$2:$H$801,$N333)))</f>
        <v/>
      </c>
      <c r="I333" s="5">
        <f>IF($N333="","",IF(INDEX('Per Invoice'!$I$2:$I$801,$N333)="","",INDEX('Per Invoice'!$I$2:$I$801,$N333)))</f>
        <v/>
      </c>
      <c r="J333" s="5">
        <f>IF($N333="","",IF(INDEX('Per Invoice'!$J$2:$J$801,$N333)="","",INDEX('Per Invoice'!$J$2:$J$801,$N333)))</f>
        <v/>
      </c>
      <c r="K333" s="5">
        <f>IF($N333="","",IF(INDEX('Per Invoice'!$K$2:$K$801,$N333)="","",INDEX('Per Invoice'!$K$2:$K$801,$N333)))</f>
        <v/>
      </c>
      <c r="L333" s="5">
        <f>IF($N333="","",IF(INDEX('Per Invoice'!$L$2:$L$801,$N333)="","",INDEX('Per Invoice'!$L$2:$L$801,$N333)))</f>
        <v/>
      </c>
      <c r="M333" s="5">
        <f>IF($N333="","",IF(INDEX('Per Invoice'!$M$2:$M$801,$N333)="","",INDEX('Per Invoice'!$M$2:$M$801,$N333)))</f>
        <v/>
      </c>
      <c r="N333">
        <f>IF(ROWS($N$2:$N333)&lt;=COUNT('Per Invoice'!$P$2:$P$801),MATCH(ROWS($N$2:$N333),'Per Invoice'!$P$2:$P$801,0),"")</f>
        <v/>
      </c>
    </row>
    <row r="334">
      <c r="A334">
        <f>IF($N334="","",IF(INDEX('Per Invoice'!$A$2:$A$801,$N334)="","",INDEX('Per Invoice'!$A$2:$A$801,$N334)))</f>
        <v/>
      </c>
      <c r="B334">
        <f>IF($N334="","",IF(INDEX('Per Invoice'!$B$2:$B$801,$N334)="","",INDEX('Per Invoice'!$B$2:$B$801,$N334)))</f>
        <v/>
      </c>
      <c r="C334">
        <f>IF($N334="","",IF(INDEX('Per Invoice'!$C$2:$C$801,$N334)="","",INDEX('Per Invoice'!$C$2:$C$801,$N334)))</f>
        <v/>
      </c>
      <c r="D334">
        <f>IF($N334="","",IF(INDEX('Per Invoice'!$D$2:$D$801,$N334)="","",INDEX('Per Invoice'!$D$2:$D$801,$N334)))</f>
        <v/>
      </c>
      <c r="E334">
        <f>IF($N334="","",IF(INDEX('Per Invoice'!$E$2:$E$801,$N334)="","",INDEX('Per Invoice'!$E$2:$E$801,$N334)))</f>
        <v/>
      </c>
      <c r="F334">
        <f>IF($N334="","",IF(INDEX('Per Invoice'!$F$2:$F$801,$N334)="","",INDEX('Per Invoice'!$F$2:$F$801,$N334)))</f>
        <v/>
      </c>
      <c r="G334">
        <f>IF($N334="","",IF(INDEX('Per Invoice'!$G$2:$G$801,$N334)="","",INDEX('Per Invoice'!$G$2:$G$801,$N334)))</f>
        <v/>
      </c>
      <c r="H334">
        <f>IF($N334="","",IF(INDEX('Per Invoice'!$H$2:$H$801,$N334)="","",INDEX('Per Invoice'!$H$2:$H$801,$N334)))</f>
        <v/>
      </c>
      <c r="I334" s="5">
        <f>IF($N334="","",IF(INDEX('Per Invoice'!$I$2:$I$801,$N334)="","",INDEX('Per Invoice'!$I$2:$I$801,$N334)))</f>
        <v/>
      </c>
      <c r="J334" s="5">
        <f>IF($N334="","",IF(INDEX('Per Invoice'!$J$2:$J$801,$N334)="","",INDEX('Per Invoice'!$J$2:$J$801,$N334)))</f>
        <v/>
      </c>
      <c r="K334" s="5">
        <f>IF($N334="","",IF(INDEX('Per Invoice'!$K$2:$K$801,$N334)="","",INDEX('Per Invoice'!$K$2:$K$801,$N334)))</f>
        <v/>
      </c>
      <c r="L334" s="5">
        <f>IF($N334="","",IF(INDEX('Per Invoice'!$L$2:$L$801,$N334)="","",INDEX('Per Invoice'!$L$2:$L$801,$N334)))</f>
        <v/>
      </c>
      <c r="M334" s="5">
        <f>IF($N334="","",IF(INDEX('Per Invoice'!$M$2:$M$801,$N334)="","",INDEX('Per Invoice'!$M$2:$M$801,$N334)))</f>
        <v/>
      </c>
      <c r="N334">
        <f>IF(ROWS($N$2:$N334)&lt;=COUNT('Per Invoice'!$P$2:$P$801),MATCH(ROWS($N$2:$N334),'Per Invoice'!$P$2:$P$801,0),"")</f>
        <v/>
      </c>
    </row>
    <row r="335">
      <c r="A335">
        <f>IF($N335="","",IF(INDEX('Per Invoice'!$A$2:$A$801,$N335)="","",INDEX('Per Invoice'!$A$2:$A$801,$N335)))</f>
        <v/>
      </c>
      <c r="B335">
        <f>IF($N335="","",IF(INDEX('Per Invoice'!$B$2:$B$801,$N335)="","",INDEX('Per Invoice'!$B$2:$B$801,$N335)))</f>
        <v/>
      </c>
      <c r="C335">
        <f>IF($N335="","",IF(INDEX('Per Invoice'!$C$2:$C$801,$N335)="","",INDEX('Per Invoice'!$C$2:$C$801,$N335)))</f>
        <v/>
      </c>
      <c r="D335">
        <f>IF($N335="","",IF(INDEX('Per Invoice'!$D$2:$D$801,$N335)="","",INDEX('Per Invoice'!$D$2:$D$801,$N335)))</f>
        <v/>
      </c>
      <c r="E335">
        <f>IF($N335="","",IF(INDEX('Per Invoice'!$E$2:$E$801,$N335)="","",INDEX('Per Invoice'!$E$2:$E$801,$N335)))</f>
        <v/>
      </c>
      <c r="F335">
        <f>IF($N335="","",IF(INDEX('Per Invoice'!$F$2:$F$801,$N335)="","",INDEX('Per Invoice'!$F$2:$F$801,$N335)))</f>
        <v/>
      </c>
      <c r="G335">
        <f>IF($N335="","",IF(INDEX('Per Invoice'!$G$2:$G$801,$N335)="","",INDEX('Per Invoice'!$G$2:$G$801,$N335)))</f>
        <v/>
      </c>
      <c r="H335">
        <f>IF($N335="","",IF(INDEX('Per Invoice'!$H$2:$H$801,$N335)="","",INDEX('Per Invoice'!$H$2:$H$801,$N335)))</f>
        <v/>
      </c>
      <c r="I335" s="5">
        <f>IF($N335="","",IF(INDEX('Per Invoice'!$I$2:$I$801,$N335)="","",INDEX('Per Invoice'!$I$2:$I$801,$N335)))</f>
        <v/>
      </c>
      <c r="J335" s="5">
        <f>IF($N335="","",IF(INDEX('Per Invoice'!$J$2:$J$801,$N335)="","",INDEX('Per Invoice'!$J$2:$J$801,$N335)))</f>
        <v/>
      </c>
      <c r="K335" s="5">
        <f>IF($N335="","",IF(INDEX('Per Invoice'!$K$2:$K$801,$N335)="","",INDEX('Per Invoice'!$K$2:$K$801,$N335)))</f>
        <v/>
      </c>
      <c r="L335" s="5">
        <f>IF($N335="","",IF(INDEX('Per Invoice'!$L$2:$L$801,$N335)="","",INDEX('Per Invoice'!$L$2:$L$801,$N335)))</f>
        <v/>
      </c>
      <c r="M335" s="5">
        <f>IF($N335="","",IF(INDEX('Per Invoice'!$M$2:$M$801,$N335)="","",INDEX('Per Invoice'!$M$2:$M$801,$N335)))</f>
        <v/>
      </c>
      <c r="N335">
        <f>IF(ROWS($N$2:$N335)&lt;=COUNT('Per Invoice'!$P$2:$P$801),MATCH(ROWS($N$2:$N335),'Per Invoice'!$P$2:$P$801,0),"")</f>
        <v/>
      </c>
    </row>
    <row r="336">
      <c r="A336">
        <f>IF($N336="","",IF(INDEX('Per Invoice'!$A$2:$A$801,$N336)="","",INDEX('Per Invoice'!$A$2:$A$801,$N336)))</f>
        <v/>
      </c>
      <c r="B336">
        <f>IF($N336="","",IF(INDEX('Per Invoice'!$B$2:$B$801,$N336)="","",INDEX('Per Invoice'!$B$2:$B$801,$N336)))</f>
        <v/>
      </c>
      <c r="C336">
        <f>IF($N336="","",IF(INDEX('Per Invoice'!$C$2:$C$801,$N336)="","",INDEX('Per Invoice'!$C$2:$C$801,$N336)))</f>
        <v/>
      </c>
      <c r="D336">
        <f>IF($N336="","",IF(INDEX('Per Invoice'!$D$2:$D$801,$N336)="","",INDEX('Per Invoice'!$D$2:$D$801,$N336)))</f>
        <v/>
      </c>
      <c r="E336">
        <f>IF($N336="","",IF(INDEX('Per Invoice'!$E$2:$E$801,$N336)="","",INDEX('Per Invoice'!$E$2:$E$801,$N336)))</f>
        <v/>
      </c>
      <c r="F336">
        <f>IF($N336="","",IF(INDEX('Per Invoice'!$F$2:$F$801,$N336)="","",INDEX('Per Invoice'!$F$2:$F$801,$N336)))</f>
        <v/>
      </c>
      <c r="G336">
        <f>IF($N336="","",IF(INDEX('Per Invoice'!$G$2:$G$801,$N336)="","",INDEX('Per Invoice'!$G$2:$G$801,$N336)))</f>
        <v/>
      </c>
      <c r="H336">
        <f>IF($N336="","",IF(INDEX('Per Invoice'!$H$2:$H$801,$N336)="","",INDEX('Per Invoice'!$H$2:$H$801,$N336)))</f>
        <v/>
      </c>
      <c r="I336" s="5">
        <f>IF($N336="","",IF(INDEX('Per Invoice'!$I$2:$I$801,$N336)="","",INDEX('Per Invoice'!$I$2:$I$801,$N336)))</f>
        <v/>
      </c>
      <c r="J336" s="5">
        <f>IF($N336="","",IF(INDEX('Per Invoice'!$J$2:$J$801,$N336)="","",INDEX('Per Invoice'!$J$2:$J$801,$N336)))</f>
        <v/>
      </c>
      <c r="K336" s="5">
        <f>IF($N336="","",IF(INDEX('Per Invoice'!$K$2:$K$801,$N336)="","",INDEX('Per Invoice'!$K$2:$K$801,$N336)))</f>
        <v/>
      </c>
      <c r="L336" s="5">
        <f>IF($N336="","",IF(INDEX('Per Invoice'!$L$2:$L$801,$N336)="","",INDEX('Per Invoice'!$L$2:$L$801,$N336)))</f>
        <v/>
      </c>
      <c r="M336" s="5">
        <f>IF($N336="","",IF(INDEX('Per Invoice'!$M$2:$M$801,$N336)="","",INDEX('Per Invoice'!$M$2:$M$801,$N336)))</f>
        <v/>
      </c>
      <c r="N336">
        <f>IF(ROWS($N$2:$N336)&lt;=COUNT('Per Invoice'!$P$2:$P$801),MATCH(ROWS($N$2:$N336),'Per Invoice'!$P$2:$P$801,0),"")</f>
        <v/>
      </c>
    </row>
    <row r="337">
      <c r="A337">
        <f>IF($N337="","",IF(INDEX('Per Invoice'!$A$2:$A$801,$N337)="","",INDEX('Per Invoice'!$A$2:$A$801,$N337)))</f>
        <v/>
      </c>
      <c r="B337">
        <f>IF($N337="","",IF(INDEX('Per Invoice'!$B$2:$B$801,$N337)="","",INDEX('Per Invoice'!$B$2:$B$801,$N337)))</f>
        <v/>
      </c>
      <c r="C337">
        <f>IF($N337="","",IF(INDEX('Per Invoice'!$C$2:$C$801,$N337)="","",INDEX('Per Invoice'!$C$2:$C$801,$N337)))</f>
        <v/>
      </c>
      <c r="D337">
        <f>IF($N337="","",IF(INDEX('Per Invoice'!$D$2:$D$801,$N337)="","",INDEX('Per Invoice'!$D$2:$D$801,$N337)))</f>
        <v/>
      </c>
      <c r="E337">
        <f>IF($N337="","",IF(INDEX('Per Invoice'!$E$2:$E$801,$N337)="","",INDEX('Per Invoice'!$E$2:$E$801,$N337)))</f>
        <v/>
      </c>
      <c r="F337">
        <f>IF($N337="","",IF(INDEX('Per Invoice'!$F$2:$F$801,$N337)="","",INDEX('Per Invoice'!$F$2:$F$801,$N337)))</f>
        <v/>
      </c>
      <c r="G337">
        <f>IF($N337="","",IF(INDEX('Per Invoice'!$G$2:$G$801,$N337)="","",INDEX('Per Invoice'!$G$2:$G$801,$N337)))</f>
        <v/>
      </c>
      <c r="H337">
        <f>IF($N337="","",IF(INDEX('Per Invoice'!$H$2:$H$801,$N337)="","",INDEX('Per Invoice'!$H$2:$H$801,$N337)))</f>
        <v/>
      </c>
      <c r="I337" s="5">
        <f>IF($N337="","",IF(INDEX('Per Invoice'!$I$2:$I$801,$N337)="","",INDEX('Per Invoice'!$I$2:$I$801,$N337)))</f>
        <v/>
      </c>
      <c r="J337" s="5">
        <f>IF($N337="","",IF(INDEX('Per Invoice'!$J$2:$J$801,$N337)="","",INDEX('Per Invoice'!$J$2:$J$801,$N337)))</f>
        <v/>
      </c>
      <c r="K337" s="5">
        <f>IF($N337="","",IF(INDEX('Per Invoice'!$K$2:$K$801,$N337)="","",INDEX('Per Invoice'!$K$2:$K$801,$N337)))</f>
        <v/>
      </c>
      <c r="L337" s="5">
        <f>IF($N337="","",IF(INDEX('Per Invoice'!$L$2:$L$801,$N337)="","",INDEX('Per Invoice'!$L$2:$L$801,$N337)))</f>
        <v/>
      </c>
      <c r="M337" s="5">
        <f>IF($N337="","",IF(INDEX('Per Invoice'!$M$2:$M$801,$N337)="","",INDEX('Per Invoice'!$M$2:$M$801,$N337)))</f>
        <v/>
      </c>
      <c r="N337">
        <f>IF(ROWS($N$2:$N337)&lt;=COUNT('Per Invoice'!$P$2:$P$801),MATCH(ROWS($N$2:$N337),'Per Invoice'!$P$2:$P$801,0),"")</f>
        <v/>
      </c>
    </row>
    <row r="338">
      <c r="A338">
        <f>IF($N338="","",IF(INDEX('Per Invoice'!$A$2:$A$801,$N338)="","",INDEX('Per Invoice'!$A$2:$A$801,$N338)))</f>
        <v/>
      </c>
      <c r="B338">
        <f>IF($N338="","",IF(INDEX('Per Invoice'!$B$2:$B$801,$N338)="","",INDEX('Per Invoice'!$B$2:$B$801,$N338)))</f>
        <v/>
      </c>
      <c r="C338">
        <f>IF($N338="","",IF(INDEX('Per Invoice'!$C$2:$C$801,$N338)="","",INDEX('Per Invoice'!$C$2:$C$801,$N338)))</f>
        <v/>
      </c>
      <c r="D338">
        <f>IF($N338="","",IF(INDEX('Per Invoice'!$D$2:$D$801,$N338)="","",INDEX('Per Invoice'!$D$2:$D$801,$N338)))</f>
        <v/>
      </c>
      <c r="E338">
        <f>IF($N338="","",IF(INDEX('Per Invoice'!$E$2:$E$801,$N338)="","",INDEX('Per Invoice'!$E$2:$E$801,$N338)))</f>
        <v/>
      </c>
      <c r="F338">
        <f>IF($N338="","",IF(INDEX('Per Invoice'!$F$2:$F$801,$N338)="","",INDEX('Per Invoice'!$F$2:$F$801,$N338)))</f>
        <v/>
      </c>
      <c r="G338">
        <f>IF($N338="","",IF(INDEX('Per Invoice'!$G$2:$G$801,$N338)="","",INDEX('Per Invoice'!$G$2:$G$801,$N338)))</f>
        <v/>
      </c>
      <c r="H338">
        <f>IF($N338="","",IF(INDEX('Per Invoice'!$H$2:$H$801,$N338)="","",INDEX('Per Invoice'!$H$2:$H$801,$N338)))</f>
        <v/>
      </c>
      <c r="I338" s="5">
        <f>IF($N338="","",IF(INDEX('Per Invoice'!$I$2:$I$801,$N338)="","",INDEX('Per Invoice'!$I$2:$I$801,$N338)))</f>
        <v/>
      </c>
      <c r="J338" s="5">
        <f>IF($N338="","",IF(INDEX('Per Invoice'!$J$2:$J$801,$N338)="","",INDEX('Per Invoice'!$J$2:$J$801,$N338)))</f>
        <v/>
      </c>
      <c r="K338" s="5">
        <f>IF($N338="","",IF(INDEX('Per Invoice'!$K$2:$K$801,$N338)="","",INDEX('Per Invoice'!$K$2:$K$801,$N338)))</f>
        <v/>
      </c>
      <c r="L338" s="5">
        <f>IF($N338="","",IF(INDEX('Per Invoice'!$L$2:$L$801,$N338)="","",INDEX('Per Invoice'!$L$2:$L$801,$N338)))</f>
        <v/>
      </c>
      <c r="M338" s="5">
        <f>IF($N338="","",IF(INDEX('Per Invoice'!$M$2:$M$801,$N338)="","",INDEX('Per Invoice'!$M$2:$M$801,$N338)))</f>
        <v/>
      </c>
      <c r="N338">
        <f>IF(ROWS($N$2:$N338)&lt;=COUNT('Per Invoice'!$P$2:$P$801),MATCH(ROWS($N$2:$N338),'Per Invoice'!$P$2:$P$801,0),"")</f>
        <v/>
      </c>
    </row>
    <row r="339">
      <c r="A339">
        <f>IF($N339="","",IF(INDEX('Per Invoice'!$A$2:$A$801,$N339)="","",INDEX('Per Invoice'!$A$2:$A$801,$N339)))</f>
        <v/>
      </c>
      <c r="B339">
        <f>IF($N339="","",IF(INDEX('Per Invoice'!$B$2:$B$801,$N339)="","",INDEX('Per Invoice'!$B$2:$B$801,$N339)))</f>
        <v/>
      </c>
      <c r="C339">
        <f>IF($N339="","",IF(INDEX('Per Invoice'!$C$2:$C$801,$N339)="","",INDEX('Per Invoice'!$C$2:$C$801,$N339)))</f>
        <v/>
      </c>
      <c r="D339">
        <f>IF($N339="","",IF(INDEX('Per Invoice'!$D$2:$D$801,$N339)="","",INDEX('Per Invoice'!$D$2:$D$801,$N339)))</f>
        <v/>
      </c>
      <c r="E339">
        <f>IF($N339="","",IF(INDEX('Per Invoice'!$E$2:$E$801,$N339)="","",INDEX('Per Invoice'!$E$2:$E$801,$N339)))</f>
        <v/>
      </c>
      <c r="F339">
        <f>IF($N339="","",IF(INDEX('Per Invoice'!$F$2:$F$801,$N339)="","",INDEX('Per Invoice'!$F$2:$F$801,$N339)))</f>
        <v/>
      </c>
      <c r="G339">
        <f>IF($N339="","",IF(INDEX('Per Invoice'!$G$2:$G$801,$N339)="","",INDEX('Per Invoice'!$G$2:$G$801,$N339)))</f>
        <v/>
      </c>
      <c r="H339">
        <f>IF($N339="","",IF(INDEX('Per Invoice'!$H$2:$H$801,$N339)="","",INDEX('Per Invoice'!$H$2:$H$801,$N339)))</f>
        <v/>
      </c>
      <c r="I339" s="5">
        <f>IF($N339="","",IF(INDEX('Per Invoice'!$I$2:$I$801,$N339)="","",INDEX('Per Invoice'!$I$2:$I$801,$N339)))</f>
        <v/>
      </c>
      <c r="J339" s="5">
        <f>IF($N339="","",IF(INDEX('Per Invoice'!$J$2:$J$801,$N339)="","",INDEX('Per Invoice'!$J$2:$J$801,$N339)))</f>
        <v/>
      </c>
      <c r="K339" s="5">
        <f>IF($N339="","",IF(INDEX('Per Invoice'!$K$2:$K$801,$N339)="","",INDEX('Per Invoice'!$K$2:$K$801,$N339)))</f>
        <v/>
      </c>
      <c r="L339" s="5">
        <f>IF($N339="","",IF(INDEX('Per Invoice'!$L$2:$L$801,$N339)="","",INDEX('Per Invoice'!$L$2:$L$801,$N339)))</f>
        <v/>
      </c>
      <c r="M339" s="5">
        <f>IF($N339="","",IF(INDEX('Per Invoice'!$M$2:$M$801,$N339)="","",INDEX('Per Invoice'!$M$2:$M$801,$N339)))</f>
        <v/>
      </c>
      <c r="N339">
        <f>IF(ROWS($N$2:$N339)&lt;=COUNT('Per Invoice'!$P$2:$P$801),MATCH(ROWS($N$2:$N339),'Per Invoice'!$P$2:$P$801,0),"")</f>
        <v/>
      </c>
    </row>
    <row r="340">
      <c r="A340">
        <f>IF($N340="","",IF(INDEX('Per Invoice'!$A$2:$A$801,$N340)="","",INDEX('Per Invoice'!$A$2:$A$801,$N340)))</f>
        <v/>
      </c>
      <c r="B340">
        <f>IF($N340="","",IF(INDEX('Per Invoice'!$B$2:$B$801,$N340)="","",INDEX('Per Invoice'!$B$2:$B$801,$N340)))</f>
        <v/>
      </c>
      <c r="C340">
        <f>IF($N340="","",IF(INDEX('Per Invoice'!$C$2:$C$801,$N340)="","",INDEX('Per Invoice'!$C$2:$C$801,$N340)))</f>
        <v/>
      </c>
      <c r="D340">
        <f>IF($N340="","",IF(INDEX('Per Invoice'!$D$2:$D$801,$N340)="","",INDEX('Per Invoice'!$D$2:$D$801,$N340)))</f>
        <v/>
      </c>
      <c r="E340">
        <f>IF($N340="","",IF(INDEX('Per Invoice'!$E$2:$E$801,$N340)="","",INDEX('Per Invoice'!$E$2:$E$801,$N340)))</f>
        <v/>
      </c>
      <c r="F340">
        <f>IF($N340="","",IF(INDEX('Per Invoice'!$F$2:$F$801,$N340)="","",INDEX('Per Invoice'!$F$2:$F$801,$N340)))</f>
        <v/>
      </c>
      <c r="G340">
        <f>IF($N340="","",IF(INDEX('Per Invoice'!$G$2:$G$801,$N340)="","",INDEX('Per Invoice'!$G$2:$G$801,$N340)))</f>
        <v/>
      </c>
      <c r="H340">
        <f>IF($N340="","",IF(INDEX('Per Invoice'!$H$2:$H$801,$N340)="","",INDEX('Per Invoice'!$H$2:$H$801,$N340)))</f>
        <v/>
      </c>
      <c r="I340" s="5">
        <f>IF($N340="","",IF(INDEX('Per Invoice'!$I$2:$I$801,$N340)="","",INDEX('Per Invoice'!$I$2:$I$801,$N340)))</f>
        <v/>
      </c>
      <c r="J340" s="5">
        <f>IF($N340="","",IF(INDEX('Per Invoice'!$J$2:$J$801,$N340)="","",INDEX('Per Invoice'!$J$2:$J$801,$N340)))</f>
        <v/>
      </c>
      <c r="K340" s="5">
        <f>IF($N340="","",IF(INDEX('Per Invoice'!$K$2:$K$801,$N340)="","",INDEX('Per Invoice'!$K$2:$K$801,$N340)))</f>
        <v/>
      </c>
      <c r="L340" s="5">
        <f>IF($N340="","",IF(INDEX('Per Invoice'!$L$2:$L$801,$N340)="","",INDEX('Per Invoice'!$L$2:$L$801,$N340)))</f>
        <v/>
      </c>
      <c r="M340" s="5">
        <f>IF($N340="","",IF(INDEX('Per Invoice'!$M$2:$M$801,$N340)="","",INDEX('Per Invoice'!$M$2:$M$801,$N340)))</f>
        <v/>
      </c>
      <c r="N340">
        <f>IF(ROWS($N$2:$N340)&lt;=COUNT('Per Invoice'!$P$2:$P$801),MATCH(ROWS($N$2:$N340),'Per Invoice'!$P$2:$P$801,0),"")</f>
        <v/>
      </c>
    </row>
    <row r="341">
      <c r="A341">
        <f>IF($N341="","",IF(INDEX('Per Invoice'!$A$2:$A$801,$N341)="","",INDEX('Per Invoice'!$A$2:$A$801,$N341)))</f>
        <v/>
      </c>
      <c r="B341">
        <f>IF($N341="","",IF(INDEX('Per Invoice'!$B$2:$B$801,$N341)="","",INDEX('Per Invoice'!$B$2:$B$801,$N341)))</f>
        <v/>
      </c>
      <c r="C341">
        <f>IF($N341="","",IF(INDEX('Per Invoice'!$C$2:$C$801,$N341)="","",INDEX('Per Invoice'!$C$2:$C$801,$N341)))</f>
        <v/>
      </c>
      <c r="D341">
        <f>IF($N341="","",IF(INDEX('Per Invoice'!$D$2:$D$801,$N341)="","",INDEX('Per Invoice'!$D$2:$D$801,$N341)))</f>
        <v/>
      </c>
      <c r="E341">
        <f>IF($N341="","",IF(INDEX('Per Invoice'!$E$2:$E$801,$N341)="","",INDEX('Per Invoice'!$E$2:$E$801,$N341)))</f>
        <v/>
      </c>
      <c r="F341">
        <f>IF($N341="","",IF(INDEX('Per Invoice'!$F$2:$F$801,$N341)="","",INDEX('Per Invoice'!$F$2:$F$801,$N341)))</f>
        <v/>
      </c>
      <c r="G341">
        <f>IF($N341="","",IF(INDEX('Per Invoice'!$G$2:$G$801,$N341)="","",INDEX('Per Invoice'!$G$2:$G$801,$N341)))</f>
        <v/>
      </c>
      <c r="H341">
        <f>IF($N341="","",IF(INDEX('Per Invoice'!$H$2:$H$801,$N341)="","",INDEX('Per Invoice'!$H$2:$H$801,$N341)))</f>
        <v/>
      </c>
      <c r="I341" s="5">
        <f>IF($N341="","",IF(INDEX('Per Invoice'!$I$2:$I$801,$N341)="","",INDEX('Per Invoice'!$I$2:$I$801,$N341)))</f>
        <v/>
      </c>
      <c r="J341" s="5">
        <f>IF($N341="","",IF(INDEX('Per Invoice'!$J$2:$J$801,$N341)="","",INDEX('Per Invoice'!$J$2:$J$801,$N341)))</f>
        <v/>
      </c>
      <c r="K341" s="5">
        <f>IF($N341="","",IF(INDEX('Per Invoice'!$K$2:$K$801,$N341)="","",INDEX('Per Invoice'!$K$2:$K$801,$N341)))</f>
        <v/>
      </c>
      <c r="L341" s="5">
        <f>IF($N341="","",IF(INDEX('Per Invoice'!$L$2:$L$801,$N341)="","",INDEX('Per Invoice'!$L$2:$L$801,$N341)))</f>
        <v/>
      </c>
      <c r="M341" s="5">
        <f>IF($N341="","",IF(INDEX('Per Invoice'!$M$2:$M$801,$N341)="","",INDEX('Per Invoice'!$M$2:$M$801,$N341)))</f>
        <v/>
      </c>
      <c r="N341">
        <f>IF(ROWS($N$2:$N341)&lt;=COUNT('Per Invoice'!$P$2:$P$801),MATCH(ROWS($N$2:$N341),'Per Invoice'!$P$2:$P$801,0),"")</f>
        <v/>
      </c>
    </row>
    <row r="342">
      <c r="A342">
        <f>IF($N342="","",IF(INDEX('Per Invoice'!$A$2:$A$801,$N342)="","",INDEX('Per Invoice'!$A$2:$A$801,$N342)))</f>
        <v/>
      </c>
      <c r="B342">
        <f>IF($N342="","",IF(INDEX('Per Invoice'!$B$2:$B$801,$N342)="","",INDEX('Per Invoice'!$B$2:$B$801,$N342)))</f>
        <v/>
      </c>
      <c r="C342">
        <f>IF($N342="","",IF(INDEX('Per Invoice'!$C$2:$C$801,$N342)="","",INDEX('Per Invoice'!$C$2:$C$801,$N342)))</f>
        <v/>
      </c>
      <c r="D342">
        <f>IF($N342="","",IF(INDEX('Per Invoice'!$D$2:$D$801,$N342)="","",INDEX('Per Invoice'!$D$2:$D$801,$N342)))</f>
        <v/>
      </c>
      <c r="E342">
        <f>IF($N342="","",IF(INDEX('Per Invoice'!$E$2:$E$801,$N342)="","",INDEX('Per Invoice'!$E$2:$E$801,$N342)))</f>
        <v/>
      </c>
      <c r="F342">
        <f>IF($N342="","",IF(INDEX('Per Invoice'!$F$2:$F$801,$N342)="","",INDEX('Per Invoice'!$F$2:$F$801,$N342)))</f>
        <v/>
      </c>
      <c r="G342">
        <f>IF($N342="","",IF(INDEX('Per Invoice'!$G$2:$G$801,$N342)="","",INDEX('Per Invoice'!$G$2:$G$801,$N342)))</f>
        <v/>
      </c>
      <c r="H342">
        <f>IF($N342="","",IF(INDEX('Per Invoice'!$H$2:$H$801,$N342)="","",INDEX('Per Invoice'!$H$2:$H$801,$N342)))</f>
        <v/>
      </c>
      <c r="I342" s="5">
        <f>IF($N342="","",IF(INDEX('Per Invoice'!$I$2:$I$801,$N342)="","",INDEX('Per Invoice'!$I$2:$I$801,$N342)))</f>
        <v/>
      </c>
      <c r="J342" s="5">
        <f>IF($N342="","",IF(INDEX('Per Invoice'!$J$2:$J$801,$N342)="","",INDEX('Per Invoice'!$J$2:$J$801,$N342)))</f>
        <v/>
      </c>
      <c r="K342" s="5">
        <f>IF($N342="","",IF(INDEX('Per Invoice'!$K$2:$K$801,$N342)="","",INDEX('Per Invoice'!$K$2:$K$801,$N342)))</f>
        <v/>
      </c>
      <c r="L342" s="5">
        <f>IF($N342="","",IF(INDEX('Per Invoice'!$L$2:$L$801,$N342)="","",INDEX('Per Invoice'!$L$2:$L$801,$N342)))</f>
        <v/>
      </c>
      <c r="M342" s="5">
        <f>IF($N342="","",IF(INDEX('Per Invoice'!$M$2:$M$801,$N342)="","",INDEX('Per Invoice'!$M$2:$M$801,$N342)))</f>
        <v/>
      </c>
      <c r="N342">
        <f>IF(ROWS($N$2:$N342)&lt;=COUNT('Per Invoice'!$P$2:$P$801),MATCH(ROWS($N$2:$N342),'Per Invoice'!$P$2:$P$801,0),"")</f>
        <v/>
      </c>
    </row>
    <row r="343">
      <c r="A343">
        <f>IF($N343="","",IF(INDEX('Per Invoice'!$A$2:$A$801,$N343)="","",INDEX('Per Invoice'!$A$2:$A$801,$N343)))</f>
        <v/>
      </c>
      <c r="B343">
        <f>IF($N343="","",IF(INDEX('Per Invoice'!$B$2:$B$801,$N343)="","",INDEX('Per Invoice'!$B$2:$B$801,$N343)))</f>
        <v/>
      </c>
      <c r="C343">
        <f>IF($N343="","",IF(INDEX('Per Invoice'!$C$2:$C$801,$N343)="","",INDEX('Per Invoice'!$C$2:$C$801,$N343)))</f>
        <v/>
      </c>
      <c r="D343">
        <f>IF($N343="","",IF(INDEX('Per Invoice'!$D$2:$D$801,$N343)="","",INDEX('Per Invoice'!$D$2:$D$801,$N343)))</f>
        <v/>
      </c>
      <c r="E343">
        <f>IF($N343="","",IF(INDEX('Per Invoice'!$E$2:$E$801,$N343)="","",INDEX('Per Invoice'!$E$2:$E$801,$N343)))</f>
        <v/>
      </c>
      <c r="F343">
        <f>IF($N343="","",IF(INDEX('Per Invoice'!$F$2:$F$801,$N343)="","",INDEX('Per Invoice'!$F$2:$F$801,$N343)))</f>
        <v/>
      </c>
      <c r="G343">
        <f>IF($N343="","",IF(INDEX('Per Invoice'!$G$2:$G$801,$N343)="","",INDEX('Per Invoice'!$G$2:$G$801,$N343)))</f>
        <v/>
      </c>
      <c r="H343">
        <f>IF($N343="","",IF(INDEX('Per Invoice'!$H$2:$H$801,$N343)="","",INDEX('Per Invoice'!$H$2:$H$801,$N343)))</f>
        <v/>
      </c>
      <c r="I343" s="5">
        <f>IF($N343="","",IF(INDEX('Per Invoice'!$I$2:$I$801,$N343)="","",INDEX('Per Invoice'!$I$2:$I$801,$N343)))</f>
        <v/>
      </c>
      <c r="J343" s="5">
        <f>IF($N343="","",IF(INDEX('Per Invoice'!$J$2:$J$801,$N343)="","",INDEX('Per Invoice'!$J$2:$J$801,$N343)))</f>
        <v/>
      </c>
      <c r="K343" s="5">
        <f>IF($N343="","",IF(INDEX('Per Invoice'!$K$2:$K$801,$N343)="","",INDEX('Per Invoice'!$K$2:$K$801,$N343)))</f>
        <v/>
      </c>
      <c r="L343" s="5">
        <f>IF($N343="","",IF(INDEX('Per Invoice'!$L$2:$L$801,$N343)="","",INDEX('Per Invoice'!$L$2:$L$801,$N343)))</f>
        <v/>
      </c>
      <c r="M343" s="5">
        <f>IF($N343="","",IF(INDEX('Per Invoice'!$M$2:$M$801,$N343)="","",INDEX('Per Invoice'!$M$2:$M$801,$N343)))</f>
        <v/>
      </c>
      <c r="N343">
        <f>IF(ROWS($N$2:$N343)&lt;=COUNT('Per Invoice'!$P$2:$P$801),MATCH(ROWS($N$2:$N343),'Per Invoice'!$P$2:$P$801,0),"")</f>
        <v/>
      </c>
    </row>
    <row r="344">
      <c r="A344">
        <f>IF($N344="","",IF(INDEX('Per Invoice'!$A$2:$A$801,$N344)="","",INDEX('Per Invoice'!$A$2:$A$801,$N344)))</f>
        <v/>
      </c>
      <c r="B344">
        <f>IF($N344="","",IF(INDEX('Per Invoice'!$B$2:$B$801,$N344)="","",INDEX('Per Invoice'!$B$2:$B$801,$N344)))</f>
        <v/>
      </c>
      <c r="C344">
        <f>IF($N344="","",IF(INDEX('Per Invoice'!$C$2:$C$801,$N344)="","",INDEX('Per Invoice'!$C$2:$C$801,$N344)))</f>
        <v/>
      </c>
      <c r="D344">
        <f>IF($N344="","",IF(INDEX('Per Invoice'!$D$2:$D$801,$N344)="","",INDEX('Per Invoice'!$D$2:$D$801,$N344)))</f>
        <v/>
      </c>
      <c r="E344">
        <f>IF($N344="","",IF(INDEX('Per Invoice'!$E$2:$E$801,$N344)="","",INDEX('Per Invoice'!$E$2:$E$801,$N344)))</f>
        <v/>
      </c>
      <c r="F344">
        <f>IF($N344="","",IF(INDEX('Per Invoice'!$F$2:$F$801,$N344)="","",INDEX('Per Invoice'!$F$2:$F$801,$N344)))</f>
        <v/>
      </c>
      <c r="G344">
        <f>IF($N344="","",IF(INDEX('Per Invoice'!$G$2:$G$801,$N344)="","",INDEX('Per Invoice'!$G$2:$G$801,$N344)))</f>
        <v/>
      </c>
      <c r="H344">
        <f>IF($N344="","",IF(INDEX('Per Invoice'!$H$2:$H$801,$N344)="","",INDEX('Per Invoice'!$H$2:$H$801,$N344)))</f>
        <v/>
      </c>
      <c r="I344" s="5">
        <f>IF($N344="","",IF(INDEX('Per Invoice'!$I$2:$I$801,$N344)="","",INDEX('Per Invoice'!$I$2:$I$801,$N344)))</f>
        <v/>
      </c>
      <c r="J344" s="5">
        <f>IF($N344="","",IF(INDEX('Per Invoice'!$J$2:$J$801,$N344)="","",INDEX('Per Invoice'!$J$2:$J$801,$N344)))</f>
        <v/>
      </c>
      <c r="K344" s="5">
        <f>IF($N344="","",IF(INDEX('Per Invoice'!$K$2:$K$801,$N344)="","",INDEX('Per Invoice'!$K$2:$K$801,$N344)))</f>
        <v/>
      </c>
      <c r="L344" s="5">
        <f>IF($N344="","",IF(INDEX('Per Invoice'!$L$2:$L$801,$N344)="","",INDEX('Per Invoice'!$L$2:$L$801,$N344)))</f>
        <v/>
      </c>
      <c r="M344" s="5">
        <f>IF($N344="","",IF(INDEX('Per Invoice'!$M$2:$M$801,$N344)="","",INDEX('Per Invoice'!$M$2:$M$801,$N344)))</f>
        <v/>
      </c>
      <c r="N344">
        <f>IF(ROWS($N$2:$N344)&lt;=COUNT('Per Invoice'!$P$2:$P$801),MATCH(ROWS($N$2:$N344),'Per Invoice'!$P$2:$P$801,0),"")</f>
        <v/>
      </c>
    </row>
    <row r="345">
      <c r="A345">
        <f>IF($N345="","",IF(INDEX('Per Invoice'!$A$2:$A$801,$N345)="","",INDEX('Per Invoice'!$A$2:$A$801,$N345)))</f>
        <v/>
      </c>
      <c r="B345">
        <f>IF($N345="","",IF(INDEX('Per Invoice'!$B$2:$B$801,$N345)="","",INDEX('Per Invoice'!$B$2:$B$801,$N345)))</f>
        <v/>
      </c>
      <c r="C345">
        <f>IF($N345="","",IF(INDEX('Per Invoice'!$C$2:$C$801,$N345)="","",INDEX('Per Invoice'!$C$2:$C$801,$N345)))</f>
        <v/>
      </c>
      <c r="D345">
        <f>IF($N345="","",IF(INDEX('Per Invoice'!$D$2:$D$801,$N345)="","",INDEX('Per Invoice'!$D$2:$D$801,$N345)))</f>
        <v/>
      </c>
      <c r="E345">
        <f>IF($N345="","",IF(INDEX('Per Invoice'!$E$2:$E$801,$N345)="","",INDEX('Per Invoice'!$E$2:$E$801,$N345)))</f>
        <v/>
      </c>
      <c r="F345">
        <f>IF($N345="","",IF(INDEX('Per Invoice'!$F$2:$F$801,$N345)="","",INDEX('Per Invoice'!$F$2:$F$801,$N345)))</f>
        <v/>
      </c>
      <c r="G345">
        <f>IF($N345="","",IF(INDEX('Per Invoice'!$G$2:$G$801,$N345)="","",INDEX('Per Invoice'!$G$2:$G$801,$N345)))</f>
        <v/>
      </c>
      <c r="H345">
        <f>IF($N345="","",IF(INDEX('Per Invoice'!$H$2:$H$801,$N345)="","",INDEX('Per Invoice'!$H$2:$H$801,$N345)))</f>
        <v/>
      </c>
      <c r="I345" s="5">
        <f>IF($N345="","",IF(INDEX('Per Invoice'!$I$2:$I$801,$N345)="","",INDEX('Per Invoice'!$I$2:$I$801,$N345)))</f>
        <v/>
      </c>
      <c r="J345" s="5">
        <f>IF($N345="","",IF(INDEX('Per Invoice'!$J$2:$J$801,$N345)="","",INDEX('Per Invoice'!$J$2:$J$801,$N345)))</f>
        <v/>
      </c>
      <c r="K345" s="5">
        <f>IF($N345="","",IF(INDEX('Per Invoice'!$K$2:$K$801,$N345)="","",INDEX('Per Invoice'!$K$2:$K$801,$N345)))</f>
        <v/>
      </c>
      <c r="L345" s="5">
        <f>IF($N345="","",IF(INDEX('Per Invoice'!$L$2:$L$801,$N345)="","",INDEX('Per Invoice'!$L$2:$L$801,$N345)))</f>
        <v/>
      </c>
      <c r="M345" s="5">
        <f>IF($N345="","",IF(INDEX('Per Invoice'!$M$2:$M$801,$N345)="","",INDEX('Per Invoice'!$M$2:$M$801,$N345)))</f>
        <v/>
      </c>
      <c r="N345">
        <f>IF(ROWS($N$2:$N345)&lt;=COUNT('Per Invoice'!$P$2:$P$801),MATCH(ROWS($N$2:$N345),'Per Invoice'!$P$2:$P$801,0),"")</f>
        <v/>
      </c>
    </row>
    <row r="346">
      <c r="A346">
        <f>IF($N346="","",IF(INDEX('Per Invoice'!$A$2:$A$801,$N346)="","",INDEX('Per Invoice'!$A$2:$A$801,$N346)))</f>
        <v/>
      </c>
      <c r="B346">
        <f>IF($N346="","",IF(INDEX('Per Invoice'!$B$2:$B$801,$N346)="","",INDEX('Per Invoice'!$B$2:$B$801,$N346)))</f>
        <v/>
      </c>
      <c r="C346">
        <f>IF($N346="","",IF(INDEX('Per Invoice'!$C$2:$C$801,$N346)="","",INDEX('Per Invoice'!$C$2:$C$801,$N346)))</f>
        <v/>
      </c>
      <c r="D346">
        <f>IF($N346="","",IF(INDEX('Per Invoice'!$D$2:$D$801,$N346)="","",INDEX('Per Invoice'!$D$2:$D$801,$N346)))</f>
        <v/>
      </c>
      <c r="E346">
        <f>IF($N346="","",IF(INDEX('Per Invoice'!$E$2:$E$801,$N346)="","",INDEX('Per Invoice'!$E$2:$E$801,$N346)))</f>
        <v/>
      </c>
      <c r="F346">
        <f>IF($N346="","",IF(INDEX('Per Invoice'!$F$2:$F$801,$N346)="","",INDEX('Per Invoice'!$F$2:$F$801,$N346)))</f>
        <v/>
      </c>
      <c r="G346">
        <f>IF($N346="","",IF(INDEX('Per Invoice'!$G$2:$G$801,$N346)="","",INDEX('Per Invoice'!$G$2:$G$801,$N346)))</f>
        <v/>
      </c>
      <c r="H346">
        <f>IF($N346="","",IF(INDEX('Per Invoice'!$H$2:$H$801,$N346)="","",INDEX('Per Invoice'!$H$2:$H$801,$N346)))</f>
        <v/>
      </c>
      <c r="I346" s="5">
        <f>IF($N346="","",IF(INDEX('Per Invoice'!$I$2:$I$801,$N346)="","",INDEX('Per Invoice'!$I$2:$I$801,$N346)))</f>
        <v/>
      </c>
      <c r="J346" s="5">
        <f>IF($N346="","",IF(INDEX('Per Invoice'!$J$2:$J$801,$N346)="","",INDEX('Per Invoice'!$J$2:$J$801,$N346)))</f>
        <v/>
      </c>
      <c r="K346" s="5">
        <f>IF($N346="","",IF(INDEX('Per Invoice'!$K$2:$K$801,$N346)="","",INDEX('Per Invoice'!$K$2:$K$801,$N346)))</f>
        <v/>
      </c>
      <c r="L346" s="5">
        <f>IF($N346="","",IF(INDEX('Per Invoice'!$L$2:$L$801,$N346)="","",INDEX('Per Invoice'!$L$2:$L$801,$N346)))</f>
        <v/>
      </c>
      <c r="M346" s="5">
        <f>IF($N346="","",IF(INDEX('Per Invoice'!$M$2:$M$801,$N346)="","",INDEX('Per Invoice'!$M$2:$M$801,$N346)))</f>
        <v/>
      </c>
      <c r="N346">
        <f>IF(ROWS($N$2:$N346)&lt;=COUNT('Per Invoice'!$P$2:$P$801),MATCH(ROWS($N$2:$N346),'Per Invoice'!$P$2:$P$801,0),"")</f>
        <v/>
      </c>
    </row>
    <row r="347">
      <c r="A347">
        <f>IF($N347="","",IF(INDEX('Per Invoice'!$A$2:$A$801,$N347)="","",INDEX('Per Invoice'!$A$2:$A$801,$N347)))</f>
        <v/>
      </c>
      <c r="B347">
        <f>IF($N347="","",IF(INDEX('Per Invoice'!$B$2:$B$801,$N347)="","",INDEX('Per Invoice'!$B$2:$B$801,$N347)))</f>
        <v/>
      </c>
      <c r="C347">
        <f>IF($N347="","",IF(INDEX('Per Invoice'!$C$2:$C$801,$N347)="","",INDEX('Per Invoice'!$C$2:$C$801,$N347)))</f>
        <v/>
      </c>
      <c r="D347">
        <f>IF($N347="","",IF(INDEX('Per Invoice'!$D$2:$D$801,$N347)="","",INDEX('Per Invoice'!$D$2:$D$801,$N347)))</f>
        <v/>
      </c>
      <c r="E347">
        <f>IF($N347="","",IF(INDEX('Per Invoice'!$E$2:$E$801,$N347)="","",INDEX('Per Invoice'!$E$2:$E$801,$N347)))</f>
        <v/>
      </c>
      <c r="F347">
        <f>IF($N347="","",IF(INDEX('Per Invoice'!$F$2:$F$801,$N347)="","",INDEX('Per Invoice'!$F$2:$F$801,$N347)))</f>
        <v/>
      </c>
      <c r="G347">
        <f>IF($N347="","",IF(INDEX('Per Invoice'!$G$2:$G$801,$N347)="","",INDEX('Per Invoice'!$G$2:$G$801,$N347)))</f>
        <v/>
      </c>
      <c r="H347">
        <f>IF($N347="","",IF(INDEX('Per Invoice'!$H$2:$H$801,$N347)="","",INDEX('Per Invoice'!$H$2:$H$801,$N347)))</f>
        <v/>
      </c>
      <c r="I347" s="5">
        <f>IF($N347="","",IF(INDEX('Per Invoice'!$I$2:$I$801,$N347)="","",INDEX('Per Invoice'!$I$2:$I$801,$N347)))</f>
        <v/>
      </c>
      <c r="J347" s="5">
        <f>IF($N347="","",IF(INDEX('Per Invoice'!$J$2:$J$801,$N347)="","",INDEX('Per Invoice'!$J$2:$J$801,$N347)))</f>
        <v/>
      </c>
      <c r="K347" s="5">
        <f>IF($N347="","",IF(INDEX('Per Invoice'!$K$2:$K$801,$N347)="","",INDEX('Per Invoice'!$K$2:$K$801,$N347)))</f>
        <v/>
      </c>
      <c r="L347" s="5">
        <f>IF($N347="","",IF(INDEX('Per Invoice'!$L$2:$L$801,$N347)="","",INDEX('Per Invoice'!$L$2:$L$801,$N347)))</f>
        <v/>
      </c>
      <c r="M347" s="5">
        <f>IF($N347="","",IF(INDEX('Per Invoice'!$M$2:$M$801,$N347)="","",INDEX('Per Invoice'!$M$2:$M$801,$N347)))</f>
        <v/>
      </c>
      <c r="N347">
        <f>IF(ROWS($N$2:$N347)&lt;=COUNT('Per Invoice'!$P$2:$P$801),MATCH(ROWS($N$2:$N347),'Per Invoice'!$P$2:$P$801,0),"")</f>
        <v/>
      </c>
    </row>
    <row r="348">
      <c r="A348">
        <f>IF($N348="","",IF(INDEX('Per Invoice'!$A$2:$A$801,$N348)="","",INDEX('Per Invoice'!$A$2:$A$801,$N348)))</f>
        <v/>
      </c>
      <c r="B348">
        <f>IF($N348="","",IF(INDEX('Per Invoice'!$B$2:$B$801,$N348)="","",INDEX('Per Invoice'!$B$2:$B$801,$N348)))</f>
        <v/>
      </c>
      <c r="C348">
        <f>IF($N348="","",IF(INDEX('Per Invoice'!$C$2:$C$801,$N348)="","",INDEX('Per Invoice'!$C$2:$C$801,$N348)))</f>
        <v/>
      </c>
      <c r="D348">
        <f>IF($N348="","",IF(INDEX('Per Invoice'!$D$2:$D$801,$N348)="","",INDEX('Per Invoice'!$D$2:$D$801,$N348)))</f>
        <v/>
      </c>
      <c r="E348">
        <f>IF($N348="","",IF(INDEX('Per Invoice'!$E$2:$E$801,$N348)="","",INDEX('Per Invoice'!$E$2:$E$801,$N348)))</f>
        <v/>
      </c>
      <c r="F348">
        <f>IF($N348="","",IF(INDEX('Per Invoice'!$F$2:$F$801,$N348)="","",INDEX('Per Invoice'!$F$2:$F$801,$N348)))</f>
        <v/>
      </c>
      <c r="G348">
        <f>IF($N348="","",IF(INDEX('Per Invoice'!$G$2:$G$801,$N348)="","",INDEX('Per Invoice'!$G$2:$G$801,$N348)))</f>
        <v/>
      </c>
      <c r="H348">
        <f>IF($N348="","",IF(INDEX('Per Invoice'!$H$2:$H$801,$N348)="","",INDEX('Per Invoice'!$H$2:$H$801,$N348)))</f>
        <v/>
      </c>
      <c r="I348" s="5">
        <f>IF($N348="","",IF(INDEX('Per Invoice'!$I$2:$I$801,$N348)="","",INDEX('Per Invoice'!$I$2:$I$801,$N348)))</f>
        <v/>
      </c>
      <c r="J348" s="5">
        <f>IF($N348="","",IF(INDEX('Per Invoice'!$J$2:$J$801,$N348)="","",INDEX('Per Invoice'!$J$2:$J$801,$N348)))</f>
        <v/>
      </c>
      <c r="K348" s="5">
        <f>IF($N348="","",IF(INDEX('Per Invoice'!$K$2:$K$801,$N348)="","",INDEX('Per Invoice'!$K$2:$K$801,$N348)))</f>
        <v/>
      </c>
      <c r="L348" s="5">
        <f>IF($N348="","",IF(INDEX('Per Invoice'!$L$2:$L$801,$N348)="","",INDEX('Per Invoice'!$L$2:$L$801,$N348)))</f>
        <v/>
      </c>
      <c r="M348" s="5">
        <f>IF($N348="","",IF(INDEX('Per Invoice'!$M$2:$M$801,$N348)="","",INDEX('Per Invoice'!$M$2:$M$801,$N348)))</f>
        <v/>
      </c>
      <c r="N348">
        <f>IF(ROWS($N$2:$N348)&lt;=COUNT('Per Invoice'!$P$2:$P$801),MATCH(ROWS($N$2:$N348),'Per Invoice'!$P$2:$P$801,0),"")</f>
        <v/>
      </c>
    </row>
    <row r="349">
      <c r="A349">
        <f>IF($N349="","",IF(INDEX('Per Invoice'!$A$2:$A$801,$N349)="","",INDEX('Per Invoice'!$A$2:$A$801,$N349)))</f>
        <v/>
      </c>
      <c r="B349">
        <f>IF($N349="","",IF(INDEX('Per Invoice'!$B$2:$B$801,$N349)="","",INDEX('Per Invoice'!$B$2:$B$801,$N349)))</f>
        <v/>
      </c>
      <c r="C349">
        <f>IF($N349="","",IF(INDEX('Per Invoice'!$C$2:$C$801,$N349)="","",INDEX('Per Invoice'!$C$2:$C$801,$N349)))</f>
        <v/>
      </c>
      <c r="D349">
        <f>IF($N349="","",IF(INDEX('Per Invoice'!$D$2:$D$801,$N349)="","",INDEX('Per Invoice'!$D$2:$D$801,$N349)))</f>
        <v/>
      </c>
      <c r="E349">
        <f>IF($N349="","",IF(INDEX('Per Invoice'!$E$2:$E$801,$N349)="","",INDEX('Per Invoice'!$E$2:$E$801,$N349)))</f>
        <v/>
      </c>
      <c r="F349">
        <f>IF($N349="","",IF(INDEX('Per Invoice'!$F$2:$F$801,$N349)="","",INDEX('Per Invoice'!$F$2:$F$801,$N349)))</f>
        <v/>
      </c>
      <c r="G349">
        <f>IF($N349="","",IF(INDEX('Per Invoice'!$G$2:$G$801,$N349)="","",INDEX('Per Invoice'!$G$2:$G$801,$N349)))</f>
        <v/>
      </c>
      <c r="H349">
        <f>IF($N349="","",IF(INDEX('Per Invoice'!$H$2:$H$801,$N349)="","",INDEX('Per Invoice'!$H$2:$H$801,$N349)))</f>
        <v/>
      </c>
      <c r="I349" s="5">
        <f>IF($N349="","",IF(INDEX('Per Invoice'!$I$2:$I$801,$N349)="","",INDEX('Per Invoice'!$I$2:$I$801,$N349)))</f>
        <v/>
      </c>
      <c r="J349" s="5">
        <f>IF($N349="","",IF(INDEX('Per Invoice'!$J$2:$J$801,$N349)="","",INDEX('Per Invoice'!$J$2:$J$801,$N349)))</f>
        <v/>
      </c>
      <c r="K349" s="5">
        <f>IF($N349="","",IF(INDEX('Per Invoice'!$K$2:$K$801,$N349)="","",INDEX('Per Invoice'!$K$2:$K$801,$N349)))</f>
        <v/>
      </c>
      <c r="L349" s="5">
        <f>IF($N349="","",IF(INDEX('Per Invoice'!$L$2:$L$801,$N349)="","",INDEX('Per Invoice'!$L$2:$L$801,$N349)))</f>
        <v/>
      </c>
      <c r="M349" s="5">
        <f>IF($N349="","",IF(INDEX('Per Invoice'!$M$2:$M$801,$N349)="","",INDEX('Per Invoice'!$M$2:$M$801,$N349)))</f>
        <v/>
      </c>
      <c r="N349">
        <f>IF(ROWS($N$2:$N349)&lt;=COUNT('Per Invoice'!$P$2:$P$801),MATCH(ROWS($N$2:$N349),'Per Invoice'!$P$2:$P$801,0),"")</f>
        <v/>
      </c>
    </row>
    <row r="350">
      <c r="A350">
        <f>IF($N350="","",IF(INDEX('Per Invoice'!$A$2:$A$801,$N350)="","",INDEX('Per Invoice'!$A$2:$A$801,$N350)))</f>
        <v/>
      </c>
      <c r="B350">
        <f>IF($N350="","",IF(INDEX('Per Invoice'!$B$2:$B$801,$N350)="","",INDEX('Per Invoice'!$B$2:$B$801,$N350)))</f>
        <v/>
      </c>
      <c r="C350">
        <f>IF($N350="","",IF(INDEX('Per Invoice'!$C$2:$C$801,$N350)="","",INDEX('Per Invoice'!$C$2:$C$801,$N350)))</f>
        <v/>
      </c>
      <c r="D350">
        <f>IF($N350="","",IF(INDEX('Per Invoice'!$D$2:$D$801,$N350)="","",INDEX('Per Invoice'!$D$2:$D$801,$N350)))</f>
        <v/>
      </c>
      <c r="E350">
        <f>IF($N350="","",IF(INDEX('Per Invoice'!$E$2:$E$801,$N350)="","",INDEX('Per Invoice'!$E$2:$E$801,$N350)))</f>
        <v/>
      </c>
      <c r="F350">
        <f>IF($N350="","",IF(INDEX('Per Invoice'!$F$2:$F$801,$N350)="","",INDEX('Per Invoice'!$F$2:$F$801,$N350)))</f>
        <v/>
      </c>
      <c r="G350">
        <f>IF($N350="","",IF(INDEX('Per Invoice'!$G$2:$G$801,$N350)="","",INDEX('Per Invoice'!$G$2:$G$801,$N350)))</f>
        <v/>
      </c>
      <c r="H350">
        <f>IF($N350="","",IF(INDEX('Per Invoice'!$H$2:$H$801,$N350)="","",INDEX('Per Invoice'!$H$2:$H$801,$N350)))</f>
        <v/>
      </c>
      <c r="I350" s="5">
        <f>IF($N350="","",IF(INDEX('Per Invoice'!$I$2:$I$801,$N350)="","",INDEX('Per Invoice'!$I$2:$I$801,$N350)))</f>
        <v/>
      </c>
      <c r="J350" s="5">
        <f>IF($N350="","",IF(INDEX('Per Invoice'!$J$2:$J$801,$N350)="","",INDEX('Per Invoice'!$J$2:$J$801,$N350)))</f>
        <v/>
      </c>
      <c r="K350" s="5">
        <f>IF($N350="","",IF(INDEX('Per Invoice'!$K$2:$K$801,$N350)="","",INDEX('Per Invoice'!$K$2:$K$801,$N350)))</f>
        <v/>
      </c>
      <c r="L350" s="5">
        <f>IF($N350="","",IF(INDEX('Per Invoice'!$L$2:$L$801,$N350)="","",INDEX('Per Invoice'!$L$2:$L$801,$N350)))</f>
        <v/>
      </c>
      <c r="M350" s="5">
        <f>IF($N350="","",IF(INDEX('Per Invoice'!$M$2:$M$801,$N350)="","",INDEX('Per Invoice'!$M$2:$M$801,$N350)))</f>
        <v/>
      </c>
      <c r="N350">
        <f>IF(ROWS($N$2:$N350)&lt;=COUNT('Per Invoice'!$P$2:$P$801),MATCH(ROWS($N$2:$N350),'Per Invoice'!$P$2:$P$801,0),"")</f>
        <v/>
      </c>
    </row>
    <row r="351">
      <c r="A351">
        <f>IF($N351="","",IF(INDEX('Per Invoice'!$A$2:$A$801,$N351)="","",INDEX('Per Invoice'!$A$2:$A$801,$N351)))</f>
        <v/>
      </c>
      <c r="B351">
        <f>IF($N351="","",IF(INDEX('Per Invoice'!$B$2:$B$801,$N351)="","",INDEX('Per Invoice'!$B$2:$B$801,$N351)))</f>
        <v/>
      </c>
      <c r="C351">
        <f>IF($N351="","",IF(INDEX('Per Invoice'!$C$2:$C$801,$N351)="","",INDEX('Per Invoice'!$C$2:$C$801,$N351)))</f>
        <v/>
      </c>
      <c r="D351">
        <f>IF($N351="","",IF(INDEX('Per Invoice'!$D$2:$D$801,$N351)="","",INDEX('Per Invoice'!$D$2:$D$801,$N351)))</f>
        <v/>
      </c>
      <c r="E351">
        <f>IF($N351="","",IF(INDEX('Per Invoice'!$E$2:$E$801,$N351)="","",INDEX('Per Invoice'!$E$2:$E$801,$N351)))</f>
        <v/>
      </c>
      <c r="F351">
        <f>IF($N351="","",IF(INDEX('Per Invoice'!$F$2:$F$801,$N351)="","",INDEX('Per Invoice'!$F$2:$F$801,$N351)))</f>
        <v/>
      </c>
      <c r="G351">
        <f>IF($N351="","",IF(INDEX('Per Invoice'!$G$2:$G$801,$N351)="","",INDEX('Per Invoice'!$G$2:$G$801,$N351)))</f>
        <v/>
      </c>
      <c r="H351">
        <f>IF($N351="","",IF(INDEX('Per Invoice'!$H$2:$H$801,$N351)="","",INDEX('Per Invoice'!$H$2:$H$801,$N351)))</f>
        <v/>
      </c>
      <c r="I351" s="5">
        <f>IF($N351="","",IF(INDEX('Per Invoice'!$I$2:$I$801,$N351)="","",INDEX('Per Invoice'!$I$2:$I$801,$N351)))</f>
        <v/>
      </c>
      <c r="J351" s="5">
        <f>IF($N351="","",IF(INDEX('Per Invoice'!$J$2:$J$801,$N351)="","",INDEX('Per Invoice'!$J$2:$J$801,$N351)))</f>
        <v/>
      </c>
      <c r="K351" s="5">
        <f>IF($N351="","",IF(INDEX('Per Invoice'!$K$2:$K$801,$N351)="","",INDEX('Per Invoice'!$K$2:$K$801,$N351)))</f>
        <v/>
      </c>
      <c r="L351" s="5">
        <f>IF($N351="","",IF(INDEX('Per Invoice'!$L$2:$L$801,$N351)="","",INDEX('Per Invoice'!$L$2:$L$801,$N351)))</f>
        <v/>
      </c>
      <c r="M351" s="5">
        <f>IF($N351="","",IF(INDEX('Per Invoice'!$M$2:$M$801,$N351)="","",INDEX('Per Invoice'!$M$2:$M$801,$N351)))</f>
        <v/>
      </c>
      <c r="N351">
        <f>IF(ROWS($N$2:$N351)&lt;=COUNT('Per Invoice'!$P$2:$P$801),MATCH(ROWS($N$2:$N351),'Per Invoice'!$P$2:$P$801,0),"")</f>
        <v/>
      </c>
    </row>
    <row r="352">
      <c r="A352">
        <f>IF($N352="","",IF(INDEX('Per Invoice'!$A$2:$A$801,$N352)="","",INDEX('Per Invoice'!$A$2:$A$801,$N352)))</f>
        <v/>
      </c>
      <c r="B352">
        <f>IF($N352="","",IF(INDEX('Per Invoice'!$B$2:$B$801,$N352)="","",INDEX('Per Invoice'!$B$2:$B$801,$N352)))</f>
        <v/>
      </c>
      <c r="C352">
        <f>IF($N352="","",IF(INDEX('Per Invoice'!$C$2:$C$801,$N352)="","",INDEX('Per Invoice'!$C$2:$C$801,$N352)))</f>
        <v/>
      </c>
      <c r="D352">
        <f>IF($N352="","",IF(INDEX('Per Invoice'!$D$2:$D$801,$N352)="","",INDEX('Per Invoice'!$D$2:$D$801,$N352)))</f>
        <v/>
      </c>
      <c r="E352">
        <f>IF($N352="","",IF(INDEX('Per Invoice'!$E$2:$E$801,$N352)="","",INDEX('Per Invoice'!$E$2:$E$801,$N352)))</f>
        <v/>
      </c>
      <c r="F352">
        <f>IF($N352="","",IF(INDEX('Per Invoice'!$F$2:$F$801,$N352)="","",INDEX('Per Invoice'!$F$2:$F$801,$N352)))</f>
        <v/>
      </c>
      <c r="G352">
        <f>IF($N352="","",IF(INDEX('Per Invoice'!$G$2:$G$801,$N352)="","",INDEX('Per Invoice'!$G$2:$G$801,$N352)))</f>
        <v/>
      </c>
      <c r="H352">
        <f>IF($N352="","",IF(INDEX('Per Invoice'!$H$2:$H$801,$N352)="","",INDEX('Per Invoice'!$H$2:$H$801,$N352)))</f>
        <v/>
      </c>
      <c r="I352" s="5">
        <f>IF($N352="","",IF(INDEX('Per Invoice'!$I$2:$I$801,$N352)="","",INDEX('Per Invoice'!$I$2:$I$801,$N352)))</f>
        <v/>
      </c>
      <c r="J352" s="5">
        <f>IF($N352="","",IF(INDEX('Per Invoice'!$J$2:$J$801,$N352)="","",INDEX('Per Invoice'!$J$2:$J$801,$N352)))</f>
        <v/>
      </c>
      <c r="K352" s="5">
        <f>IF($N352="","",IF(INDEX('Per Invoice'!$K$2:$K$801,$N352)="","",INDEX('Per Invoice'!$K$2:$K$801,$N352)))</f>
        <v/>
      </c>
      <c r="L352" s="5">
        <f>IF($N352="","",IF(INDEX('Per Invoice'!$L$2:$L$801,$N352)="","",INDEX('Per Invoice'!$L$2:$L$801,$N352)))</f>
        <v/>
      </c>
      <c r="M352" s="5">
        <f>IF($N352="","",IF(INDEX('Per Invoice'!$M$2:$M$801,$N352)="","",INDEX('Per Invoice'!$M$2:$M$801,$N352)))</f>
        <v/>
      </c>
      <c r="N352">
        <f>IF(ROWS($N$2:$N352)&lt;=COUNT('Per Invoice'!$P$2:$P$801),MATCH(ROWS($N$2:$N352),'Per Invoice'!$P$2:$P$801,0),"")</f>
        <v/>
      </c>
    </row>
    <row r="353">
      <c r="A353">
        <f>IF($N353="","",IF(INDEX('Per Invoice'!$A$2:$A$801,$N353)="","",INDEX('Per Invoice'!$A$2:$A$801,$N353)))</f>
        <v/>
      </c>
      <c r="B353">
        <f>IF($N353="","",IF(INDEX('Per Invoice'!$B$2:$B$801,$N353)="","",INDEX('Per Invoice'!$B$2:$B$801,$N353)))</f>
        <v/>
      </c>
      <c r="C353">
        <f>IF($N353="","",IF(INDEX('Per Invoice'!$C$2:$C$801,$N353)="","",INDEX('Per Invoice'!$C$2:$C$801,$N353)))</f>
        <v/>
      </c>
      <c r="D353">
        <f>IF($N353="","",IF(INDEX('Per Invoice'!$D$2:$D$801,$N353)="","",INDEX('Per Invoice'!$D$2:$D$801,$N353)))</f>
        <v/>
      </c>
      <c r="E353">
        <f>IF($N353="","",IF(INDEX('Per Invoice'!$E$2:$E$801,$N353)="","",INDEX('Per Invoice'!$E$2:$E$801,$N353)))</f>
        <v/>
      </c>
      <c r="F353">
        <f>IF($N353="","",IF(INDEX('Per Invoice'!$F$2:$F$801,$N353)="","",INDEX('Per Invoice'!$F$2:$F$801,$N353)))</f>
        <v/>
      </c>
      <c r="G353">
        <f>IF($N353="","",IF(INDEX('Per Invoice'!$G$2:$G$801,$N353)="","",INDEX('Per Invoice'!$G$2:$G$801,$N353)))</f>
        <v/>
      </c>
      <c r="H353">
        <f>IF($N353="","",IF(INDEX('Per Invoice'!$H$2:$H$801,$N353)="","",INDEX('Per Invoice'!$H$2:$H$801,$N353)))</f>
        <v/>
      </c>
      <c r="I353" s="5">
        <f>IF($N353="","",IF(INDEX('Per Invoice'!$I$2:$I$801,$N353)="","",INDEX('Per Invoice'!$I$2:$I$801,$N353)))</f>
        <v/>
      </c>
      <c r="J353" s="5">
        <f>IF($N353="","",IF(INDEX('Per Invoice'!$J$2:$J$801,$N353)="","",INDEX('Per Invoice'!$J$2:$J$801,$N353)))</f>
        <v/>
      </c>
      <c r="K353" s="5">
        <f>IF($N353="","",IF(INDEX('Per Invoice'!$K$2:$K$801,$N353)="","",INDEX('Per Invoice'!$K$2:$K$801,$N353)))</f>
        <v/>
      </c>
      <c r="L353" s="5">
        <f>IF($N353="","",IF(INDEX('Per Invoice'!$L$2:$L$801,$N353)="","",INDEX('Per Invoice'!$L$2:$L$801,$N353)))</f>
        <v/>
      </c>
      <c r="M353" s="5">
        <f>IF($N353="","",IF(INDEX('Per Invoice'!$M$2:$M$801,$N353)="","",INDEX('Per Invoice'!$M$2:$M$801,$N353)))</f>
        <v/>
      </c>
      <c r="N353">
        <f>IF(ROWS($N$2:$N353)&lt;=COUNT('Per Invoice'!$P$2:$P$801),MATCH(ROWS($N$2:$N353),'Per Invoice'!$P$2:$P$801,0),"")</f>
        <v/>
      </c>
    </row>
    <row r="354">
      <c r="A354">
        <f>IF($N354="","",IF(INDEX('Per Invoice'!$A$2:$A$801,$N354)="","",INDEX('Per Invoice'!$A$2:$A$801,$N354)))</f>
        <v/>
      </c>
      <c r="B354">
        <f>IF($N354="","",IF(INDEX('Per Invoice'!$B$2:$B$801,$N354)="","",INDEX('Per Invoice'!$B$2:$B$801,$N354)))</f>
        <v/>
      </c>
      <c r="C354">
        <f>IF($N354="","",IF(INDEX('Per Invoice'!$C$2:$C$801,$N354)="","",INDEX('Per Invoice'!$C$2:$C$801,$N354)))</f>
        <v/>
      </c>
      <c r="D354">
        <f>IF($N354="","",IF(INDEX('Per Invoice'!$D$2:$D$801,$N354)="","",INDEX('Per Invoice'!$D$2:$D$801,$N354)))</f>
        <v/>
      </c>
      <c r="E354">
        <f>IF($N354="","",IF(INDEX('Per Invoice'!$E$2:$E$801,$N354)="","",INDEX('Per Invoice'!$E$2:$E$801,$N354)))</f>
        <v/>
      </c>
      <c r="F354">
        <f>IF($N354="","",IF(INDEX('Per Invoice'!$F$2:$F$801,$N354)="","",INDEX('Per Invoice'!$F$2:$F$801,$N354)))</f>
        <v/>
      </c>
      <c r="G354">
        <f>IF($N354="","",IF(INDEX('Per Invoice'!$G$2:$G$801,$N354)="","",INDEX('Per Invoice'!$G$2:$G$801,$N354)))</f>
        <v/>
      </c>
      <c r="H354">
        <f>IF($N354="","",IF(INDEX('Per Invoice'!$H$2:$H$801,$N354)="","",INDEX('Per Invoice'!$H$2:$H$801,$N354)))</f>
        <v/>
      </c>
      <c r="I354" s="5">
        <f>IF($N354="","",IF(INDEX('Per Invoice'!$I$2:$I$801,$N354)="","",INDEX('Per Invoice'!$I$2:$I$801,$N354)))</f>
        <v/>
      </c>
      <c r="J354" s="5">
        <f>IF($N354="","",IF(INDEX('Per Invoice'!$J$2:$J$801,$N354)="","",INDEX('Per Invoice'!$J$2:$J$801,$N354)))</f>
        <v/>
      </c>
      <c r="K354" s="5">
        <f>IF($N354="","",IF(INDEX('Per Invoice'!$K$2:$K$801,$N354)="","",INDEX('Per Invoice'!$K$2:$K$801,$N354)))</f>
        <v/>
      </c>
      <c r="L354" s="5">
        <f>IF($N354="","",IF(INDEX('Per Invoice'!$L$2:$L$801,$N354)="","",INDEX('Per Invoice'!$L$2:$L$801,$N354)))</f>
        <v/>
      </c>
      <c r="M354" s="5">
        <f>IF($N354="","",IF(INDEX('Per Invoice'!$M$2:$M$801,$N354)="","",INDEX('Per Invoice'!$M$2:$M$801,$N354)))</f>
        <v/>
      </c>
      <c r="N354">
        <f>IF(ROWS($N$2:$N354)&lt;=COUNT('Per Invoice'!$P$2:$P$801),MATCH(ROWS($N$2:$N354),'Per Invoice'!$P$2:$P$801,0),"")</f>
        <v/>
      </c>
    </row>
    <row r="355">
      <c r="A355">
        <f>IF($N355="","",IF(INDEX('Per Invoice'!$A$2:$A$801,$N355)="","",INDEX('Per Invoice'!$A$2:$A$801,$N355)))</f>
        <v/>
      </c>
      <c r="B355">
        <f>IF($N355="","",IF(INDEX('Per Invoice'!$B$2:$B$801,$N355)="","",INDEX('Per Invoice'!$B$2:$B$801,$N355)))</f>
        <v/>
      </c>
      <c r="C355">
        <f>IF($N355="","",IF(INDEX('Per Invoice'!$C$2:$C$801,$N355)="","",INDEX('Per Invoice'!$C$2:$C$801,$N355)))</f>
        <v/>
      </c>
      <c r="D355">
        <f>IF($N355="","",IF(INDEX('Per Invoice'!$D$2:$D$801,$N355)="","",INDEX('Per Invoice'!$D$2:$D$801,$N355)))</f>
        <v/>
      </c>
      <c r="E355">
        <f>IF($N355="","",IF(INDEX('Per Invoice'!$E$2:$E$801,$N355)="","",INDEX('Per Invoice'!$E$2:$E$801,$N355)))</f>
        <v/>
      </c>
      <c r="F355">
        <f>IF($N355="","",IF(INDEX('Per Invoice'!$F$2:$F$801,$N355)="","",INDEX('Per Invoice'!$F$2:$F$801,$N355)))</f>
        <v/>
      </c>
      <c r="G355">
        <f>IF($N355="","",IF(INDEX('Per Invoice'!$G$2:$G$801,$N355)="","",INDEX('Per Invoice'!$G$2:$G$801,$N355)))</f>
        <v/>
      </c>
      <c r="H355">
        <f>IF($N355="","",IF(INDEX('Per Invoice'!$H$2:$H$801,$N355)="","",INDEX('Per Invoice'!$H$2:$H$801,$N355)))</f>
        <v/>
      </c>
      <c r="I355" s="5">
        <f>IF($N355="","",IF(INDEX('Per Invoice'!$I$2:$I$801,$N355)="","",INDEX('Per Invoice'!$I$2:$I$801,$N355)))</f>
        <v/>
      </c>
      <c r="J355" s="5">
        <f>IF($N355="","",IF(INDEX('Per Invoice'!$J$2:$J$801,$N355)="","",INDEX('Per Invoice'!$J$2:$J$801,$N355)))</f>
        <v/>
      </c>
      <c r="K355" s="5">
        <f>IF($N355="","",IF(INDEX('Per Invoice'!$K$2:$K$801,$N355)="","",INDEX('Per Invoice'!$K$2:$K$801,$N355)))</f>
        <v/>
      </c>
      <c r="L355" s="5">
        <f>IF($N355="","",IF(INDEX('Per Invoice'!$L$2:$L$801,$N355)="","",INDEX('Per Invoice'!$L$2:$L$801,$N355)))</f>
        <v/>
      </c>
      <c r="M355" s="5">
        <f>IF($N355="","",IF(INDEX('Per Invoice'!$M$2:$M$801,$N355)="","",INDEX('Per Invoice'!$M$2:$M$801,$N355)))</f>
        <v/>
      </c>
      <c r="N355">
        <f>IF(ROWS($N$2:$N355)&lt;=COUNT('Per Invoice'!$P$2:$P$801),MATCH(ROWS($N$2:$N355),'Per Invoice'!$P$2:$P$801,0),"")</f>
        <v/>
      </c>
    </row>
    <row r="356">
      <c r="A356">
        <f>IF($N356="","",IF(INDEX('Per Invoice'!$A$2:$A$801,$N356)="","",INDEX('Per Invoice'!$A$2:$A$801,$N356)))</f>
        <v/>
      </c>
      <c r="B356">
        <f>IF($N356="","",IF(INDEX('Per Invoice'!$B$2:$B$801,$N356)="","",INDEX('Per Invoice'!$B$2:$B$801,$N356)))</f>
        <v/>
      </c>
      <c r="C356">
        <f>IF($N356="","",IF(INDEX('Per Invoice'!$C$2:$C$801,$N356)="","",INDEX('Per Invoice'!$C$2:$C$801,$N356)))</f>
        <v/>
      </c>
      <c r="D356">
        <f>IF($N356="","",IF(INDEX('Per Invoice'!$D$2:$D$801,$N356)="","",INDEX('Per Invoice'!$D$2:$D$801,$N356)))</f>
        <v/>
      </c>
      <c r="E356">
        <f>IF($N356="","",IF(INDEX('Per Invoice'!$E$2:$E$801,$N356)="","",INDEX('Per Invoice'!$E$2:$E$801,$N356)))</f>
        <v/>
      </c>
      <c r="F356">
        <f>IF($N356="","",IF(INDEX('Per Invoice'!$F$2:$F$801,$N356)="","",INDEX('Per Invoice'!$F$2:$F$801,$N356)))</f>
        <v/>
      </c>
      <c r="G356">
        <f>IF($N356="","",IF(INDEX('Per Invoice'!$G$2:$G$801,$N356)="","",INDEX('Per Invoice'!$G$2:$G$801,$N356)))</f>
        <v/>
      </c>
      <c r="H356">
        <f>IF($N356="","",IF(INDEX('Per Invoice'!$H$2:$H$801,$N356)="","",INDEX('Per Invoice'!$H$2:$H$801,$N356)))</f>
        <v/>
      </c>
      <c r="I356" s="5">
        <f>IF($N356="","",IF(INDEX('Per Invoice'!$I$2:$I$801,$N356)="","",INDEX('Per Invoice'!$I$2:$I$801,$N356)))</f>
        <v/>
      </c>
      <c r="J356" s="5">
        <f>IF($N356="","",IF(INDEX('Per Invoice'!$J$2:$J$801,$N356)="","",INDEX('Per Invoice'!$J$2:$J$801,$N356)))</f>
        <v/>
      </c>
      <c r="K356" s="5">
        <f>IF($N356="","",IF(INDEX('Per Invoice'!$K$2:$K$801,$N356)="","",INDEX('Per Invoice'!$K$2:$K$801,$N356)))</f>
        <v/>
      </c>
      <c r="L356" s="5">
        <f>IF($N356="","",IF(INDEX('Per Invoice'!$L$2:$L$801,$N356)="","",INDEX('Per Invoice'!$L$2:$L$801,$N356)))</f>
        <v/>
      </c>
      <c r="M356" s="5">
        <f>IF($N356="","",IF(INDEX('Per Invoice'!$M$2:$M$801,$N356)="","",INDEX('Per Invoice'!$M$2:$M$801,$N356)))</f>
        <v/>
      </c>
      <c r="N356">
        <f>IF(ROWS($N$2:$N356)&lt;=COUNT('Per Invoice'!$P$2:$P$801),MATCH(ROWS($N$2:$N356),'Per Invoice'!$P$2:$P$801,0),"")</f>
        <v/>
      </c>
    </row>
    <row r="357">
      <c r="A357">
        <f>IF($N357="","",IF(INDEX('Per Invoice'!$A$2:$A$801,$N357)="","",INDEX('Per Invoice'!$A$2:$A$801,$N357)))</f>
        <v/>
      </c>
      <c r="B357">
        <f>IF($N357="","",IF(INDEX('Per Invoice'!$B$2:$B$801,$N357)="","",INDEX('Per Invoice'!$B$2:$B$801,$N357)))</f>
        <v/>
      </c>
      <c r="C357">
        <f>IF($N357="","",IF(INDEX('Per Invoice'!$C$2:$C$801,$N357)="","",INDEX('Per Invoice'!$C$2:$C$801,$N357)))</f>
        <v/>
      </c>
      <c r="D357">
        <f>IF($N357="","",IF(INDEX('Per Invoice'!$D$2:$D$801,$N357)="","",INDEX('Per Invoice'!$D$2:$D$801,$N357)))</f>
        <v/>
      </c>
      <c r="E357">
        <f>IF($N357="","",IF(INDEX('Per Invoice'!$E$2:$E$801,$N357)="","",INDEX('Per Invoice'!$E$2:$E$801,$N357)))</f>
        <v/>
      </c>
      <c r="F357">
        <f>IF($N357="","",IF(INDEX('Per Invoice'!$F$2:$F$801,$N357)="","",INDEX('Per Invoice'!$F$2:$F$801,$N357)))</f>
        <v/>
      </c>
      <c r="G357">
        <f>IF($N357="","",IF(INDEX('Per Invoice'!$G$2:$G$801,$N357)="","",INDEX('Per Invoice'!$G$2:$G$801,$N357)))</f>
        <v/>
      </c>
      <c r="H357">
        <f>IF($N357="","",IF(INDEX('Per Invoice'!$H$2:$H$801,$N357)="","",INDEX('Per Invoice'!$H$2:$H$801,$N357)))</f>
        <v/>
      </c>
      <c r="I357" s="5">
        <f>IF($N357="","",IF(INDEX('Per Invoice'!$I$2:$I$801,$N357)="","",INDEX('Per Invoice'!$I$2:$I$801,$N357)))</f>
        <v/>
      </c>
      <c r="J357" s="5">
        <f>IF($N357="","",IF(INDEX('Per Invoice'!$J$2:$J$801,$N357)="","",INDEX('Per Invoice'!$J$2:$J$801,$N357)))</f>
        <v/>
      </c>
      <c r="K357" s="5">
        <f>IF($N357="","",IF(INDEX('Per Invoice'!$K$2:$K$801,$N357)="","",INDEX('Per Invoice'!$K$2:$K$801,$N357)))</f>
        <v/>
      </c>
      <c r="L357" s="5">
        <f>IF($N357="","",IF(INDEX('Per Invoice'!$L$2:$L$801,$N357)="","",INDEX('Per Invoice'!$L$2:$L$801,$N357)))</f>
        <v/>
      </c>
      <c r="M357" s="5">
        <f>IF($N357="","",IF(INDEX('Per Invoice'!$M$2:$M$801,$N357)="","",INDEX('Per Invoice'!$M$2:$M$801,$N357)))</f>
        <v/>
      </c>
      <c r="N357">
        <f>IF(ROWS($N$2:$N357)&lt;=COUNT('Per Invoice'!$P$2:$P$801),MATCH(ROWS($N$2:$N357),'Per Invoice'!$P$2:$P$801,0),"")</f>
        <v/>
      </c>
    </row>
    <row r="358">
      <c r="A358">
        <f>IF($N358="","",IF(INDEX('Per Invoice'!$A$2:$A$801,$N358)="","",INDEX('Per Invoice'!$A$2:$A$801,$N358)))</f>
        <v/>
      </c>
      <c r="B358">
        <f>IF($N358="","",IF(INDEX('Per Invoice'!$B$2:$B$801,$N358)="","",INDEX('Per Invoice'!$B$2:$B$801,$N358)))</f>
        <v/>
      </c>
      <c r="C358">
        <f>IF($N358="","",IF(INDEX('Per Invoice'!$C$2:$C$801,$N358)="","",INDEX('Per Invoice'!$C$2:$C$801,$N358)))</f>
        <v/>
      </c>
      <c r="D358">
        <f>IF($N358="","",IF(INDEX('Per Invoice'!$D$2:$D$801,$N358)="","",INDEX('Per Invoice'!$D$2:$D$801,$N358)))</f>
        <v/>
      </c>
      <c r="E358">
        <f>IF($N358="","",IF(INDEX('Per Invoice'!$E$2:$E$801,$N358)="","",INDEX('Per Invoice'!$E$2:$E$801,$N358)))</f>
        <v/>
      </c>
      <c r="F358">
        <f>IF($N358="","",IF(INDEX('Per Invoice'!$F$2:$F$801,$N358)="","",INDEX('Per Invoice'!$F$2:$F$801,$N358)))</f>
        <v/>
      </c>
      <c r="G358">
        <f>IF($N358="","",IF(INDEX('Per Invoice'!$G$2:$G$801,$N358)="","",INDEX('Per Invoice'!$G$2:$G$801,$N358)))</f>
        <v/>
      </c>
      <c r="H358">
        <f>IF($N358="","",IF(INDEX('Per Invoice'!$H$2:$H$801,$N358)="","",INDEX('Per Invoice'!$H$2:$H$801,$N358)))</f>
        <v/>
      </c>
      <c r="I358" s="5">
        <f>IF($N358="","",IF(INDEX('Per Invoice'!$I$2:$I$801,$N358)="","",INDEX('Per Invoice'!$I$2:$I$801,$N358)))</f>
        <v/>
      </c>
      <c r="J358" s="5">
        <f>IF($N358="","",IF(INDEX('Per Invoice'!$J$2:$J$801,$N358)="","",INDEX('Per Invoice'!$J$2:$J$801,$N358)))</f>
        <v/>
      </c>
      <c r="K358" s="5">
        <f>IF($N358="","",IF(INDEX('Per Invoice'!$K$2:$K$801,$N358)="","",INDEX('Per Invoice'!$K$2:$K$801,$N358)))</f>
        <v/>
      </c>
      <c r="L358" s="5">
        <f>IF($N358="","",IF(INDEX('Per Invoice'!$L$2:$L$801,$N358)="","",INDEX('Per Invoice'!$L$2:$L$801,$N358)))</f>
        <v/>
      </c>
      <c r="M358" s="5">
        <f>IF($N358="","",IF(INDEX('Per Invoice'!$M$2:$M$801,$N358)="","",INDEX('Per Invoice'!$M$2:$M$801,$N358)))</f>
        <v/>
      </c>
      <c r="N358">
        <f>IF(ROWS($N$2:$N358)&lt;=COUNT('Per Invoice'!$P$2:$P$801),MATCH(ROWS($N$2:$N358),'Per Invoice'!$P$2:$P$801,0),"")</f>
        <v/>
      </c>
    </row>
    <row r="359">
      <c r="A359">
        <f>IF($N359="","",IF(INDEX('Per Invoice'!$A$2:$A$801,$N359)="","",INDEX('Per Invoice'!$A$2:$A$801,$N359)))</f>
        <v/>
      </c>
      <c r="B359">
        <f>IF($N359="","",IF(INDEX('Per Invoice'!$B$2:$B$801,$N359)="","",INDEX('Per Invoice'!$B$2:$B$801,$N359)))</f>
        <v/>
      </c>
      <c r="C359">
        <f>IF($N359="","",IF(INDEX('Per Invoice'!$C$2:$C$801,$N359)="","",INDEX('Per Invoice'!$C$2:$C$801,$N359)))</f>
        <v/>
      </c>
      <c r="D359">
        <f>IF($N359="","",IF(INDEX('Per Invoice'!$D$2:$D$801,$N359)="","",INDEX('Per Invoice'!$D$2:$D$801,$N359)))</f>
        <v/>
      </c>
      <c r="E359">
        <f>IF($N359="","",IF(INDEX('Per Invoice'!$E$2:$E$801,$N359)="","",INDEX('Per Invoice'!$E$2:$E$801,$N359)))</f>
        <v/>
      </c>
      <c r="F359">
        <f>IF($N359="","",IF(INDEX('Per Invoice'!$F$2:$F$801,$N359)="","",INDEX('Per Invoice'!$F$2:$F$801,$N359)))</f>
        <v/>
      </c>
      <c r="G359">
        <f>IF($N359="","",IF(INDEX('Per Invoice'!$G$2:$G$801,$N359)="","",INDEX('Per Invoice'!$G$2:$G$801,$N359)))</f>
        <v/>
      </c>
      <c r="H359">
        <f>IF($N359="","",IF(INDEX('Per Invoice'!$H$2:$H$801,$N359)="","",INDEX('Per Invoice'!$H$2:$H$801,$N359)))</f>
        <v/>
      </c>
      <c r="I359" s="5">
        <f>IF($N359="","",IF(INDEX('Per Invoice'!$I$2:$I$801,$N359)="","",INDEX('Per Invoice'!$I$2:$I$801,$N359)))</f>
        <v/>
      </c>
      <c r="J359" s="5">
        <f>IF($N359="","",IF(INDEX('Per Invoice'!$J$2:$J$801,$N359)="","",INDEX('Per Invoice'!$J$2:$J$801,$N359)))</f>
        <v/>
      </c>
      <c r="K359" s="5">
        <f>IF($N359="","",IF(INDEX('Per Invoice'!$K$2:$K$801,$N359)="","",INDEX('Per Invoice'!$K$2:$K$801,$N359)))</f>
        <v/>
      </c>
      <c r="L359" s="5">
        <f>IF($N359="","",IF(INDEX('Per Invoice'!$L$2:$L$801,$N359)="","",INDEX('Per Invoice'!$L$2:$L$801,$N359)))</f>
        <v/>
      </c>
      <c r="M359" s="5">
        <f>IF($N359="","",IF(INDEX('Per Invoice'!$M$2:$M$801,$N359)="","",INDEX('Per Invoice'!$M$2:$M$801,$N359)))</f>
        <v/>
      </c>
      <c r="N359">
        <f>IF(ROWS($N$2:$N359)&lt;=COUNT('Per Invoice'!$P$2:$P$801),MATCH(ROWS($N$2:$N359),'Per Invoice'!$P$2:$P$801,0),"")</f>
        <v/>
      </c>
    </row>
    <row r="360">
      <c r="A360">
        <f>IF($N360="","",IF(INDEX('Per Invoice'!$A$2:$A$801,$N360)="","",INDEX('Per Invoice'!$A$2:$A$801,$N360)))</f>
        <v/>
      </c>
      <c r="B360">
        <f>IF($N360="","",IF(INDEX('Per Invoice'!$B$2:$B$801,$N360)="","",INDEX('Per Invoice'!$B$2:$B$801,$N360)))</f>
        <v/>
      </c>
      <c r="C360">
        <f>IF($N360="","",IF(INDEX('Per Invoice'!$C$2:$C$801,$N360)="","",INDEX('Per Invoice'!$C$2:$C$801,$N360)))</f>
        <v/>
      </c>
      <c r="D360">
        <f>IF($N360="","",IF(INDEX('Per Invoice'!$D$2:$D$801,$N360)="","",INDEX('Per Invoice'!$D$2:$D$801,$N360)))</f>
        <v/>
      </c>
      <c r="E360">
        <f>IF($N360="","",IF(INDEX('Per Invoice'!$E$2:$E$801,$N360)="","",INDEX('Per Invoice'!$E$2:$E$801,$N360)))</f>
        <v/>
      </c>
      <c r="F360">
        <f>IF($N360="","",IF(INDEX('Per Invoice'!$F$2:$F$801,$N360)="","",INDEX('Per Invoice'!$F$2:$F$801,$N360)))</f>
        <v/>
      </c>
      <c r="G360">
        <f>IF($N360="","",IF(INDEX('Per Invoice'!$G$2:$G$801,$N360)="","",INDEX('Per Invoice'!$G$2:$G$801,$N360)))</f>
        <v/>
      </c>
      <c r="H360">
        <f>IF($N360="","",IF(INDEX('Per Invoice'!$H$2:$H$801,$N360)="","",INDEX('Per Invoice'!$H$2:$H$801,$N360)))</f>
        <v/>
      </c>
      <c r="I360" s="5">
        <f>IF($N360="","",IF(INDEX('Per Invoice'!$I$2:$I$801,$N360)="","",INDEX('Per Invoice'!$I$2:$I$801,$N360)))</f>
        <v/>
      </c>
      <c r="J360" s="5">
        <f>IF($N360="","",IF(INDEX('Per Invoice'!$J$2:$J$801,$N360)="","",INDEX('Per Invoice'!$J$2:$J$801,$N360)))</f>
        <v/>
      </c>
      <c r="K360" s="5">
        <f>IF($N360="","",IF(INDEX('Per Invoice'!$K$2:$K$801,$N360)="","",INDEX('Per Invoice'!$K$2:$K$801,$N360)))</f>
        <v/>
      </c>
      <c r="L360" s="5">
        <f>IF($N360="","",IF(INDEX('Per Invoice'!$L$2:$L$801,$N360)="","",INDEX('Per Invoice'!$L$2:$L$801,$N360)))</f>
        <v/>
      </c>
      <c r="M360" s="5">
        <f>IF($N360="","",IF(INDEX('Per Invoice'!$M$2:$M$801,$N360)="","",INDEX('Per Invoice'!$M$2:$M$801,$N360)))</f>
        <v/>
      </c>
      <c r="N360">
        <f>IF(ROWS($N$2:$N360)&lt;=COUNT('Per Invoice'!$P$2:$P$801),MATCH(ROWS($N$2:$N360),'Per Invoice'!$P$2:$P$801,0),"")</f>
        <v/>
      </c>
    </row>
    <row r="361">
      <c r="A361">
        <f>IF($N361="","",IF(INDEX('Per Invoice'!$A$2:$A$801,$N361)="","",INDEX('Per Invoice'!$A$2:$A$801,$N361)))</f>
        <v/>
      </c>
      <c r="B361">
        <f>IF($N361="","",IF(INDEX('Per Invoice'!$B$2:$B$801,$N361)="","",INDEX('Per Invoice'!$B$2:$B$801,$N361)))</f>
        <v/>
      </c>
      <c r="C361">
        <f>IF($N361="","",IF(INDEX('Per Invoice'!$C$2:$C$801,$N361)="","",INDEX('Per Invoice'!$C$2:$C$801,$N361)))</f>
        <v/>
      </c>
      <c r="D361">
        <f>IF($N361="","",IF(INDEX('Per Invoice'!$D$2:$D$801,$N361)="","",INDEX('Per Invoice'!$D$2:$D$801,$N361)))</f>
        <v/>
      </c>
      <c r="E361">
        <f>IF($N361="","",IF(INDEX('Per Invoice'!$E$2:$E$801,$N361)="","",INDEX('Per Invoice'!$E$2:$E$801,$N361)))</f>
        <v/>
      </c>
      <c r="F361">
        <f>IF($N361="","",IF(INDEX('Per Invoice'!$F$2:$F$801,$N361)="","",INDEX('Per Invoice'!$F$2:$F$801,$N361)))</f>
        <v/>
      </c>
      <c r="G361">
        <f>IF($N361="","",IF(INDEX('Per Invoice'!$G$2:$G$801,$N361)="","",INDEX('Per Invoice'!$G$2:$G$801,$N361)))</f>
        <v/>
      </c>
      <c r="H361">
        <f>IF($N361="","",IF(INDEX('Per Invoice'!$H$2:$H$801,$N361)="","",INDEX('Per Invoice'!$H$2:$H$801,$N361)))</f>
        <v/>
      </c>
      <c r="I361" s="5">
        <f>IF($N361="","",IF(INDEX('Per Invoice'!$I$2:$I$801,$N361)="","",INDEX('Per Invoice'!$I$2:$I$801,$N361)))</f>
        <v/>
      </c>
      <c r="J361" s="5">
        <f>IF($N361="","",IF(INDEX('Per Invoice'!$J$2:$J$801,$N361)="","",INDEX('Per Invoice'!$J$2:$J$801,$N361)))</f>
        <v/>
      </c>
      <c r="K361" s="5">
        <f>IF($N361="","",IF(INDEX('Per Invoice'!$K$2:$K$801,$N361)="","",INDEX('Per Invoice'!$K$2:$K$801,$N361)))</f>
        <v/>
      </c>
      <c r="L361" s="5">
        <f>IF($N361="","",IF(INDEX('Per Invoice'!$L$2:$L$801,$N361)="","",INDEX('Per Invoice'!$L$2:$L$801,$N361)))</f>
        <v/>
      </c>
      <c r="M361" s="5">
        <f>IF($N361="","",IF(INDEX('Per Invoice'!$M$2:$M$801,$N361)="","",INDEX('Per Invoice'!$M$2:$M$801,$N361)))</f>
        <v/>
      </c>
      <c r="N361">
        <f>IF(ROWS($N$2:$N361)&lt;=COUNT('Per Invoice'!$P$2:$P$801),MATCH(ROWS($N$2:$N361),'Per Invoice'!$P$2:$P$801,0),"")</f>
        <v/>
      </c>
    </row>
    <row r="362">
      <c r="A362">
        <f>IF($N362="","",IF(INDEX('Per Invoice'!$A$2:$A$801,$N362)="","",INDEX('Per Invoice'!$A$2:$A$801,$N362)))</f>
        <v/>
      </c>
      <c r="B362">
        <f>IF($N362="","",IF(INDEX('Per Invoice'!$B$2:$B$801,$N362)="","",INDEX('Per Invoice'!$B$2:$B$801,$N362)))</f>
        <v/>
      </c>
      <c r="C362">
        <f>IF($N362="","",IF(INDEX('Per Invoice'!$C$2:$C$801,$N362)="","",INDEX('Per Invoice'!$C$2:$C$801,$N362)))</f>
        <v/>
      </c>
      <c r="D362">
        <f>IF($N362="","",IF(INDEX('Per Invoice'!$D$2:$D$801,$N362)="","",INDEX('Per Invoice'!$D$2:$D$801,$N362)))</f>
        <v/>
      </c>
      <c r="E362">
        <f>IF($N362="","",IF(INDEX('Per Invoice'!$E$2:$E$801,$N362)="","",INDEX('Per Invoice'!$E$2:$E$801,$N362)))</f>
        <v/>
      </c>
      <c r="F362">
        <f>IF($N362="","",IF(INDEX('Per Invoice'!$F$2:$F$801,$N362)="","",INDEX('Per Invoice'!$F$2:$F$801,$N362)))</f>
        <v/>
      </c>
      <c r="G362">
        <f>IF($N362="","",IF(INDEX('Per Invoice'!$G$2:$G$801,$N362)="","",INDEX('Per Invoice'!$G$2:$G$801,$N362)))</f>
        <v/>
      </c>
      <c r="H362">
        <f>IF($N362="","",IF(INDEX('Per Invoice'!$H$2:$H$801,$N362)="","",INDEX('Per Invoice'!$H$2:$H$801,$N362)))</f>
        <v/>
      </c>
      <c r="I362" s="5">
        <f>IF($N362="","",IF(INDEX('Per Invoice'!$I$2:$I$801,$N362)="","",INDEX('Per Invoice'!$I$2:$I$801,$N362)))</f>
        <v/>
      </c>
      <c r="J362" s="5">
        <f>IF($N362="","",IF(INDEX('Per Invoice'!$J$2:$J$801,$N362)="","",INDEX('Per Invoice'!$J$2:$J$801,$N362)))</f>
        <v/>
      </c>
      <c r="K362" s="5">
        <f>IF($N362="","",IF(INDEX('Per Invoice'!$K$2:$K$801,$N362)="","",INDEX('Per Invoice'!$K$2:$K$801,$N362)))</f>
        <v/>
      </c>
      <c r="L362" s="5">
        <f>IF($N362="","",IF(INDEX('Per Invoice'!$L$2:$L$801,$N362)="","",INDEX('Per Invoice'!$L$2:$L$801,$N362)))</f>
        <v/>
      </c>
      <c r="M362" s="5">
        <f>IF($N362="","",IF(INDEX('Per Invoice'!$M$2:$M$801,$N362)="","",INDEX('Per Invoice'!$M$2:$M$801,$N362)))</f>
        <v/>
      </c>
      <c r="N362">
        <f>IF(ROWS($N$2:$N362)&lt;=COUNT('Per Invoice'!$P$2:$P$801),MATCH(ROWS($N$2:$N362),'Per Invoice'!$P$2:$P$801,0),"")</f>
        <v/>
      </c>
    </row>
    <row r="363">
      <c r="A363">
        <f>IF($N363="","",IF(INDEX('Per Invoice'!$A$2:$A$801,$N363)="","",INDEX('Per Invoice'!$A$2:$A$801,$N363)))</f>
        <v/>
      </c>
      <c r="B363">
        <f>IF($N363="","",IF(INDEX('Per Invoice'!$B$2:$B$801,$N363)="","",INDEX('Per Invoice'!$B$2:$B$801,$N363)))</f>
        <v/>
      </c>
      <c r="C363">
        <f>IF($N363="","",IF(INDEX('Per Invoice'!$C$2:$C$801,$N363)="","",INDEX('Per Invoice'!$C$2:$C$801,$N363)))</f>
        <v/>
      </c>
      <c r="D363">
        <f>IF($N363="","",IF(INDEX('Per Invoice'!$D$2:$D$801,$N363)="","",INDEX('Per Invoice'!$D$2:$D$801,$N363)))</f>
        <v/>
      </c>
      <c r="E363">
        <f>IF($N363="","",IF(INDEX('Per Invoice'!$E$2:$E$801,$N363)="","",INDEX('Per Invoice'!$E$2:$E$801,$N363)))</f>
        <v/>
      </c>
      <c r="F363">
        <f>IF($N363="","",IF(INDEX('Per Invoice'!$F$2:$F$801,$N363)="","",INDEX('Per Invoice'!$F$2:$F$801,$N363)))</f>
        <v/>
      </c>
      <c r="G363">
        <f>IF($N363="","",IF(INDEX('Per Invoice'!$G$2:$G$801,$N363)="","",INDEX('Per Invoice'!$G$2:$G$801,$N363)))</f>
        <v/>
      </c>
      <c r="H363">
        <f>IF($N363="","",IF(INDEX('Per Invoice'!$H$2:$H$801,$N363)="","",INDEX('Per Invoice'!$H$2:$H$801,$N363)))</f>
        <v/>
      </c>
      <c r="I363" s="5">
        <f>IF($N363="","",IF(INDEX('Per Invoice'!$I$2:$I$801,$N363)="","",INDEX('Per Invoice'!$I$2:$I$801,$N363)))</f>
        <v/>
      </c>
      <c r="J363" s="5">
        <f>IF($N363="","",IF(INDEX('Per Invoice'!$J$2:$J$801,$N363)="","",INDEX('Per Invoice'!$J$2:$J$801,$N363)))</f>
        <v/>
      </c>
      <c r="K363" s="5">
        <f>IF($N363="","",IF(INDEX('Per Invoice'!$K$2:$K$801,$N363)="","",INDEX('Per Invoice'!$K$2:$K$801,$N363)))</f>
        <v/>
      </c>
      <c r="L363" s="5">
        <f>IF($N363="","",IF(INDEX('Per Invoice'!$L$2:$L$801,$N363)="","",INDEX('Per Invoice'!$L$2:$L$801,$N363)))</f>
        <v/>
      </c>
      <c r="M363" s="5">
        <f>IF($N363="","",IF(INDEX('Per Invoice'!$M$2:$M$801,$N363)="","",INDEX('Per Invoice'!$M$2:$M$801,$N363)))</f>
        <v/>
      </c>
      <c r="N363">
        <f>IF(ROWS($N$2:$N363)&lt;=COUNT('Per Invoice'!$P$2:$P$801),MATCH(ROWS($N$2:$N363),'Per Invoice'!$P$2:$P$801,0),"")</f>
        <v/>
      </c>
    </row>
    <row r="364">
      <c r="A364">
        <f>IF($N364="","",IF(INDEX('Per Invoice'!$A$2:$A$801,$N364)="","",INDEX('Per Invoice'!$A$2:$A$801,$N364)))</f>
        <v/>
      </c>
      <c r="B364">
        <f>IF($N364="","",IF(INDEX('Per Invoice'!$B$2:$B$801,$N364)="","",INDEX('Per Invoice'!$B$2:$B$801,$N364)))</f>
        <v/>
      </c>
      <c r="C364">
        <f>IF($N364="","",IF(INDEX('Per Invoice'!$C$2:$C$801,$N364)="","",INDEX('Per Invoice'!$C$2:$C$801,$N364)))</f>
        <v/>
      </c>
      <c r="D364">
        <f>IF($N364="","",IF(INDEX('Per Invoice'!$D$2:$D$801,$N364)="","",INDEX('Per Invoice'!$D$2:$D$801,$N364)))</f>
        <v/>
      </c>
      <c r="E364">
        <f>IF($N364="","",IF(INDEX('Per Invoice'!$E$2:$E$801,$N364)="","",INDEX('Per Invoice'!$E$2:$E$801,$N364)))</f>
        <v/>
      </c>
      <c r="F364">
        <f>IF($N364="","",IF(INDEX('Per Invoice'!$F$2:$F$801,$N364)="","",INDEX('Per Invoice'!$F$2:$F$801,$N364)))</f>
        <v/>
      </c>
      <c r="G364">
        <f>IF($N364="","",IF(INDEX('Per Invoice'!$G$2:$G$801,$N364)="","",INDEX('Per Invoice'!$G$2:$G$801,$N364)))</f>
        <v/>
      </c>
      <c r="H364">
        <f>IF($N364="","",IF(INDEX('Per Invoice'!$H$2:$H$801,$N364)="","",INDEX('Per Invoice'!$H$2:$H$801,$N364)))</f>
        <v/>
      </c>
      <c r="I364" s="5">
        <f>IF($N364="","",IF(INDEX('Per Invoice'!$I$2:$I$801,$N364)="","",INDEX('Per Invoice'!$I$2:$I$801,$N364)))</f>
        <v/>
      </c>
      <c r="J364" s="5">
        <f>IF($N364="","",IF(INDEX('Per Invoice'!$J$2:$J$801,$N364)="","",INDEX('Per Invoice'!$J$2:$J$801,$N364)))</f>
        <v/>
      </c>
      <c r="K364" s="5">
        <f>IF($N364="","",IF(INDEX('Per Invoice'!$K$2:$K$801,$N364)="","",INDEX('Per Invoice'!$K$2:$K$801,$N364)))</f>
        <v/>
      </c>
      <c r="L364" s="5">
        <f>IF($N364="","",IF(INDEX('Per Invoice'!$L$2:$L$801,$N364)="","",INDEX('Per Invoice'!$L$2:$L$801,$N364)))</f>
        <v/>
      </c>
      <c r="M364" s="5">
        <f>IF($N364="","",IF(INDEX('Per Invoice'!$M$2:$M$801,$N364)="","",INDEX('Per Invoice'!$M$2:$M$801,$N364)))</f>
        <v/>
      </c>
      <c r="N364">
        <f>IF(ROWS($N$2:$N364)&lt;=COUNT('Per Invoice'!$P$2:$P$801),MATCH(ROWS($N$2:$N364),'Per Invoice'!$P$2:$P$801,0),"")</f>
        <v/>
      </c>
    </row>
    <row r="365">
      <c r="A365">
        <f>IF($N365="","",IF(INDEX('Per Invoice'!$A$2:$A$801,$N365)="","",INDEX('Per Invoice'!$A$2:$A$801,$N365)))</f>
        <v/>
      </c>
      <c r="B365">
        <f>IF($N365="","",IF(INDEX('Per Invoice'!$B$2:$B$801,$N365)="","",INDEX('Per Invoice'!$B$2:$B$801,$N365)))</f>
        <v/>
      </c>
      <c r="C365">
        <f>IF($N365="","",IF(INDEX('Per Invoice'!$C$2:$C$801,$N365)="","",INDEX('Per Invoice'!$C$2:$C$801,$N365)))</f>
        <v/>
      </c>
      <c r="D365">
        <f>IF($N365="","",IF(INDEX('Per Invoice'!$D$2:$D$801,$N365)="","",INDEX('Per Invoice'!$D$2:$D$801,$N365)))</f>
        <v/>
      </c>
      <c r="E365">
        <f>IF($N365="","",IF(INDEX('Per Invoice'!$E$2:$E$801,$N365)="","",INDEX('Per Invoice'!$E$2:$E$801,$N365)))</f>
        <v/>
      </c>
      <c r="F365">
        <f>IF($N365="","",IF(INDEX('Per Invoice'!$F$2:$F$801,$N365)="","",INDEX('Per Invoice'!$F$2:$F$801,$N365)))</f>
        <v/>
      </c>
      <c r="G365">
        <f>IF($N365="","",IF(INDEX('Per Invoice'!$G$2:$G$801,$N365)="","",INDEX('Per Invoice'!$G$2:$G$801,$N365)))</f>
        <v/>
      </c>
      <c r="H365">
        <f>IF($N365="","",IF(INDEX('Per Invoice'!$H$2:$H$801,$N365)="","",INDEX('Per Invoice'!$H$2:$H$801,$N365)))</f>
        <v/>
      </c>
      <c r="I365" s="5">
        <f>IF($N365="","",IF(INDEX('Per Invoice'!$I$2:$I$801,$N365)="","",INDEX('Per Invoice'!$I$2:$I$801,$N365)))</f>
        <v/>
      </c>
      <c r="J365" s="5">
        <f>IF($N365="","",IF(INDEX('Per Invoice'!$J$2:$J$801,$N365)="","",INDEX('Per Invoice'!$J$2:$J$801,$N365)))</f>
        <v/>
      </c>
      <c r="K365" s="5">
        <f>IF($N365="","",IF(INDEX('Per Invoice'!$K$2:$K$801,$N365)="","",INDEX('Per Invoice'!$K$2:$K$801,$N365)))</f>
        <v/>
      </c>
      <c r="L365" s="5">
        <f>IF($N365="","",IF(INDEX('Per Invoice'!$L$2:$L$801,$N365)="","",INDEX('Per Invoice'!$L$2:$L$801,$N365)))</f>
        <v/>
      </c>
      <c r="M365" s="5">
        <f>IF($N365="","",IF(INDEX('Per Invoice'!$M$2:$M$801,$N365)="","",INDEX('Per Invoice'!$M$2:$M$801,$N365)))</f>
        <v/>
      </c>
      <c r="N365">
        <f>IF(ROWS($N$2:$N365)&lt;=COUNT('Per Invoice'!$P$2:$P$801),MATCH(ROWS($N$2:$N365),'Per Invoice'!$P$2:$P$801,0),"")</f>
        <v/>
      </c>
    </row>
    <row r="366">
      <c r="A366">
        <f>IF($N366="","",IF(INDEX('Per Invoice'!$A$2:$A$801,$N366)="","",INDEX('Per Invoice'!$A$2:$A$801,$N366)))</f>
        <v/>
      </c>
      <c r="B366">
        <f>IF($N366="","",IF(INDEX('Per Invoice'!$B$2:$B$801,$N366)="","",INDEX('Per Invoice'!$B$2:$B$801,$N366)))</f>
        <v/>
      </c>
      <c r="C366">
        <f>IF($N366="","",IF(INDEX('Per Invoice'!$C$2:$C$801,$N366)="","",INDEX('Per Invoice'!$C$2:$C$801,$N366)))</f>
        <v/>
      </c>
      <c r="D366">
        <f>IF($N366="","",IF(INDEX('Per Invoice'!$D$2:$D$801,$N366)="","",INDEX('Per Invoice'!$D$2:$D$801,$N366)))</f>
        <v/>
      </c>
      <c r="E366">
        <f>IF($N366="","",IF(INDEX('Per Invoice'!$E$2:$E$801,$N366)="","",INDEX('Per Invoice'!$E$2:$E$801,$N366)))</f>
        <v/>
      </c>
      <c r="F366">
        <f>IF($N366="","",IF(INDEX('Per Invoice'!$F$2:$F$801,$N366)="","",INDEX('Per Invoice'!$F$2:$F$801,$N366)))</f>
        <v/>
      </c>
      <c r="G366">
        <f>IF($N366="","",IF(INDEX('Per Invoice'!$G$2:$G$801,$N366)="","",INDEX('Per Invoice'!$G$2:$G$801,$N366)))</f>
        <v/>
      </c>
      <c r="H366">
        <f>IF($N366="","",IF(INDEX('Per Invoice'!$H$2:$H$801,$N366)="","",INDEX('Per Invoice'!$H$2:$H$801,$N366)))</f>
        <v/>
      </c>
      <c r="I366" s="5">
        <f>IF($N366="","",IF(INDEX('Per Invoice'!$I$2:$I$801,$N366)="","",INDEX('Per Invoice'!$I$2:$I$801,$N366)))</f>
        <v/>
      </c>
      <c r="J366" s="5">
        <f>IF($N366="","",IF(INDEX('Per Invoice'!$J$2:$J$801,$N366)="","",INDEX('Per Invoice'!$J$2:$J$801,$N366)))</f>
        <v/>
      </c>
      <c r="K366" s="5">
        <f>IF($N366="","",IF(INDEX('Per Invoice'!$K$2:$K$801,$N366)="","",INDEX('Per Invoice'!$K$2:$K$801,$N366)))</f>
        <v/>
      </c>
      <c r="L366" s="5">
        <f>IF($N366="","",IF(INDEX('Per Invoice'!$L$2:$L$801,$N366)="","",INDEX('Per Invoice'!$L$2:$L$801,$N366)))</f>
        <v/>
      </c>
      <c r="M366" s="5">
        <f>IF($N366="","",IF(INDEX('Per Invoice'!$M$2:$M$801,$N366)="","",INDEX('Per Invoice'!$M$2:$M$801,$N366)))</f>
        <v/>
      </c>
      <c r="N366">
        <f>IF(ROWS($N$2:$N366)&lt;=COUNT('Per Invoice'!$P$2:$P$801),MATCH(ROWS($N$2:$N366),'Per Invoice'!$P$2:$P$801,0),"")</f>
        <v/>
      </c>
    </row>
    <row r="367">
      <c r="A367">
        <f>IF($N367="","",IF(INDEX('Per Invoice'!$A$2:$A$801,$N367)="","",INDEX('Per Invoice'!$A$2:$A$801,$N367)))</f>
        <v/>
      </c>
      <c r="B367">
        <f>IF($N367="","",IF(INDEX('Per Invoice'!$B$2:$B$801,$N367)="","",INDEX('Per Invoice'!$B$2:$B$801,$N367)))</f>
        <v/>
      </c>
      <c r="C367">
        <f>IF($N367="","",IF(INDEX('Per Invoice'!$C$2:$C$801,$N367)="","",INDEX('Per Invoice'!$C$2:$C$801,$N367)))</f>
        <v/>
      </c>
      <c r="D367">
        <f>IF($N367="","",IF(INDEX('Per Invoice'!$D$2:$D$801,$N367)="","",INDEX('Per Invoice'!$D$2:$D$801,$N367)))</f>
        <v/>
      </c>
      <c r="E367">
        <f>IF($N367="","",IF(INDEX('Per Invoice'!$E$2:$E$801,$N367)="","",INDEX('Per Invoice'!$E$2:$E$801,$N367)))</f>
        <v/>
      </c>
      <c r="F367">
        <f>IF($N367="","",IF(INDEX('Per Invoice'!$F$2:$F$801,$N367)="","",INDEX('Per Invoice'!$F$2:$F$801,$N367)))</f>
        <v/>
      </c>
      <c r="G367">
        <f>IF($N367="","",IF(INDEX('Per Invoice'!$G$2:$G$801,$N367)="","",INDEX('Per Invoice'!$G$2:$G$801,$N367)))</f>
        <v/>
      </c>
      <c r="H367">
        <f>IF($N367="","",IF(INDEX('Per Invoice'!$H$2:$H$801,$N367)="","",INDEX('Per Invoice'!$H$2:$H$801,$N367)))</f>
        <v/>
      </c>
      <c r="I367" s="5">
        <f>IF($N367="","",IF(INDEX('Per Invoice'!$I$2:$I$801,$N367)="","",INDEX('Per Invoice'!$I$2:$I$801,$N367)))</f>
        <v/>
      </c>
      <c r="J367" s="5">
        <f>IF($N367="","",IF(INDEX('Per Invoice'!$J$2:$J$801,$N367)="","",INDEX('Per Invoice'!$J$2:$J$801,$N367)))</f>
        <v/>
      </c>
      <c r="K367" s="5">
        <f>IF($N367="","",IF(INDEX('Per Invoice'!$K$2:$K$801,$N367)="","",INDEX('Per Invoice'!$K$2:$K$801,$N367)))</f>
        <v/>
      </c>
      <c r="L367" s="5">
        <f>IF($N367="","",IF(INDEX('Per Invoice'!$L$2:$L$801,$N367)="","",INDEX('Per Invoice'!$L$2:$L$801,$N367)))</f>
        <v/>
      </c>
      <c r="M367" s="5">
        <f>IF($N367="","",IF(INDEX('Per Invoice'!$M$2:$M$801,$N367)="","",INDEX('Per Invoice'!$M$2:$M$801,$N367)))</f>
        <v/>
      </c>
      <c r="N367">
        <f>IF(ROWS($N$2:$N367)&lt;=COUNT('Per Invoice'!$P$2:$P$801),MATCH(ROWS($N$2:$N367),'Per Invoice'!$P$2:$P$801,0),"")</f>
        <v/>
      </c>
    </row>
    <row r="368">
      <c r="A368">
        <f>IF($N368="","",IF(INDEX('Per Invoice'!$A$2:$A$801,$N368)="","",INDEX('Per Invoice'!$A$2:$A$801,$N368)))</f>
        <v/>
      </c>
      <c r="B368">
        <f>IF($N368="","",IF(INDEX('Per Invoice'!$B$2:$B$801,$N368)="","",INDEX('Per Invoice'!$B$2:$B$801,$N368)))</f>
        <v/>
      </c>
      <c r="C368">
        <f>IF($N368="","",IF(INDEX('Per Invoice'!$C$2:$C$801,$N368)="","",INDEX('Per Invoice'!$C$2:$C$801,$N368)))</f>
        <v/>
      </c>
      <c r="D368">
        <f>IF($N368="","",IF(INDEX('Per Invoice'!$D$2:$D$801,$N368)="","",INDEX('Per Invoice'!$D$2:$D$801,$N368)))</f>
        <v/>
      </c>
      <c r="E368">
        <f>IF($N368="","",IF(INDEX('Per Invoice'!$E$2:$E$801,$N368)="","",INDEX('Per Invoice'!$E$2:$E$801,$N368)))</f>
        <v/>
      </c>
      <c r="F368">
        <f>IF($N368="","",IF(INDEX('Per Invoice'!$F$2:$F$801,$N368)="","",INDEX('Per Invoice'!$F$2:$F$801,$N368)))</f>
        <v/>
      </c>
      <c r="G368">
        <f>IF($N368="","",IF(INDEX('Per Invoice'!$G$2:$G$801,$N368)="","",INDEX('Per Invoice'!$G$2:$G$801,$N368)))</f>
        <v/>
      </c>
      <c r="H368">
        <f>IF($N368="","",IF(INDEX('Per Invoice'!$H$2:$H$801,$N368)="","",INDEX('Per Invoice'!$H$2:$H$801,$N368)))</f>
        <v/>
      </c>
      <c r="I368" s="5">
        <f>IF($N368="","",IF(INDEX('Per Invoice'!$I$2:$I$801,$N368)="","",INDEX('Per Invoice'!$I$2:$I$801,$N368)))</f>
        <v/>
      </c>
      <c r="J368" s="5">
        <f>IF($N368="","",IF(INDEX('Per Invoice'!$J$2:$J$801,$N368)="","",INDEX('Per Invoice'!$J$2:$J$801,$N368)))</f>
        <v/>
      </c>
      <c r="K368" s="5">
        <f>IF($N368="","",IF(INDEX('Per Invoice'!$K$2:$K$801,$N368)="","",INDEX('Per Invoice'!$K$2:$K$801,$N368)))</f>
        <v/>
      </c>
      <c r="L368" s="5">
        <f>IF($N368="","",IF(INDEX('Per Invoice'!$L$2:$L$801,$N368)="","",INDEX('Per Invoice'!$L$2:$L$801,$N368)))</f>
        <v/>
      </c>
      <c r="M368" s="5">
        <f>IF($N368="","",IF(INDEX('Per Invoice'!$M$2:$M$801,$N368)="","",INDEX('Per Invoice'!$M$2:$M$801,$N368)))</f>
        <v/>
      </c>
      <c r="N368">
        <f>IF(ROWS($N$2:$N368)&lt;=COUNT('Per Invoice'!$P$2:$P$801),MATCH(ROWS($N$2:$N368),'Per Invoice'!$P$2:$P$801,0),"")</f>
        <v/>
      </c>
    </row>
    <row r="369">
      <c r="A369">
        <f>IF($N369="","",IF(INDEX('Per Invoice'!$A$2:$A$801,$N369)="","",INDEX('Per Invoice'!$A$2:$A$801,$N369)))</f>
        <v/>
      </c>
      <c r="B369">
        <f>IF($N369="","",IF(INDEX('Per Invoice'!$B$2:$B$801,$N369)="","",INDEX('Per Invoice'!$B$2:$B$801,$N369)))</f>
        <v/>
      </c>
      <c r="C369">
        <f>IF($N369="","",IF(INDEX('Per Invoice'!$C$2:$C$801,$N369)="","",INDEX('Per Invoice'!$C$2:$C$801,$N369)))</f>
        <v/>
      </c>
      <c r="D369">
        <f>IF($N369="","",IF(INDEX('Per Invoice'!$D$2:$D$801,$N369)="","",INDEX('Per Invoice'!$D$2:$D$801,$N369)))</f>
        <v/>
      </c>
      <c r="E369">
        <f>IF($N369="","",IF(INDEX('Per Invoice'!$E$2:$E$801,$N369)="","",INDEX('Per Invoice'!$E$2:$E$801,$N369)))</f>
        <v/>
      </c>
      <c r="F369">
        <f>IF($N369="","",IF(INDEX('Per Invoice'!$F$2:$F$801,$N369)="","",INDEX('Per Invoice'!$F$2:$F$801,$N369)))</f>
        <v/>
      </c>
      <c r="G369">
        <f>IF($N369="","",IF(INDEX('Per Invoice'!$G$2:$G$801,$N369)="","",INDEX('Per Invoice'!$G$2:$G$801,$N369)))</f>
        <v/>
      </c>
      <c r="H369">
        <f>IF($N369="","",IF(INDEX('Per Invoice'!$H$2:$H$801,$N369)="","",INDEX('Per Invoice'!$H$2:$H$801,$N369)))</f>
        <v/>
      </c>
      <c r="I369" s="5">
        <f>IF($N369="","",IF(INDEX('Per Invoice'!$I$2:$I$801,$N369)="","",INDEX('Per Invoice'!$I$2:$I$801,$N369)))</f>
        <v/>
      </c>
      <c r="J369" s="5">
        <f>IF($N369="","",IF(INDEX('Per Invoice'!$J$2:$J$801,$N369)="","",INDEX('Per Invoice'!$J$2:$J$801,$N369)))</f>
        <v/>
      </c>
      <c r="K369" s="5">
        <f>IF($N369="","",IF(INDEX('Per Invoice'!$K$2:$K$801,$N369)="","",INDEX('Per Invoice'!$K$2:$K$801,$N369)))</f>
        <v/>
      </c>
      <c r="L369" s="5">
        <f>IF($N369="","",IF(INDEX('Per Invoice'!$L$2:$L$801,$N369)="","",INDEX('Per Invoice'!$L$2:$L$801,$N369)))</f>
        <v/>
      </c>
      <c r="M369" s="5">
        <f>IF($N369="","",IF(INDEX('Per Invoice'!$M$2:$M$801,$N369)="","",INDEX('Per Invoice'!$M$2:$M$801,$N369)))</f>
        <v/>
      </c>
      <c r="N369">
        <f>IF(ROWS($N$2:$N369)&lt;=COUNT('Per Invoice'!$P$2:$P$801),MATCH(ROWS($N$2:$N369),'Per Invoice'!$P$2:$P$801,0),"")</f>
        <v/>
      </c>
    </row>
    <row r="370">
      <c r="A370">
        <f>IF($N370="","",IF(INDEX('Per Invoice'!$A$2:$A$801,$N370)="","",INDEX('Per Invoice'!$A$2:$A$801,$N370)))</f>
        <v/>
      </c>
      <c r="B370">
        <f>IF($N370="","",IF(INDEX('Per Invoice'!$B$2:$B$801,$N370)="","",INDEX('Per Invoice'!$B$2:$B$801,$N370)))</f>
        <v/>
      </c>
      <c r="C370">
        <f>IF($N370="","",IF(INDEX('Per Invoice'!$C$2:$C$801,$N370)="","",INDEX('Per Invoice'!$C$2:$C$801,$N370)))</f>
        <v/>
      </c>
      <c r="D370">
        <f>IF($N370="","",IF(INDEX('Per Invoice'!$D$2:$D$801,$N370)="","",INDEX('Per Invoice'!$D$2:$D$801,$N370)))</f>
        <v/>
      </c>
      <c r="E370">
        <f>IF($N370="","",IF(INDEX('Per Invoice'!$E$2:$E$801,$N370)="","",INDEX('Per Invoice'!$E$2:$E$801,$N370)))</f>
        <v/>
      </c>
      <c r="F370">
        <f>IF($N370="","",IF(INDEX('Per Invoice'!$F$2:$F$801,$N370)="","",INDEX('Per Invoice'!$F$2:$F$801,$N370)))</f>
        <v/>
      </c>
      <c r="G370">
        <f>IF($N370="","",IF(INDEX('Per Invoice'!$G$2:$G$801,$N370)="","",INDEX('Per Invoice'!$G$2:$G$801,$N370)))</f>
        <v/>
      </c>
      <c r="H370">
        <f>IF($N370="","",IF(INDEX('Per Invoice'!$H$2:$H$801,$N370)="","",INDEX('Per Invoice'!$H$2:$H$801,$N370)))</f>
        <v/>
      </c>
      <c r="I370" s="5">
        <f>IF($N370="","",IF(INDEX('Per Invoice'!$I$2:$I$801,$N370)="","",INDEX('Per Invoice'!$I$2:$I$801,$N370)))</f>
        <v/>
      </c>
      <c r="J370" s="5">
        <f>IF($N370="","",IF(INDEX('Per Invoice'!$J$2:$J$801,$N370)="","",INDEX('Per Invoice'!$J$2:$J$801,$N370)))</f>
        <v/>
      </c>
      <c r="K370" s="5">
        <f>IF($N370="","",IF(INDEX('Per Invoice'!$K$2:$K$801,$N370)="","",INDEX('Per Invoice'!$K$2:$K$801,$N370)))</f>
        <v/>
      </c>
      <c r="L370" s="5">
        <f>IF($N370="","",IF(INDEX('Per Invoice'!$L$2:$L$801,$N370)="","",INDEX('Per Invoice'!$L$2:$L$801,$N370)))</f>
        <v/>
      </c>
      <c r="M370" s="5">
        <f>IF($N370="","",IF(INDEX('Per Invoice'!$M$2:$M$801,$N370)="","",INDEX('Per Invoice'!$M$2:$M$801,$N370)))</f>
        <v/>
      </c>
      <c r="N370">
        <f>IF(ROWS($N$2:$N370)&lt;=COUNT('Per Invoice'!$P$2:$P$801),MATCH(ROWS($N$2:$N370),'Per Invoice'!$P$2:$P$801,0),"")</f>
        <v/>
      </c>
    </row>
    <row r="371">
      <c r="A371">
        <f>IF($N371="","",IF(INDEX('Per Invoice'!$A$2:$A$801,$N371)="","",INDEX('Per Invoice'!$A$2:$A$801,$N371)))</f>
        <v/>
      </c>
      <c r="B371">
        <f>IF($N371="","",IF(INDEX('Per Invoice'!$B$2:$B$801,$N371)="","",INDEX('Per Invoice'!$B$2:$B$801,$N371)))</f>
        <v/>
      </c>
      <c r="C371">
        <f>IF($N371="","",IF(INDEX('Per Invoice'!$C$2:$C$801,$N371)="","",INDEX('Per Invoice'!$C$2:$C$801,$N371)))</f>
        <v/>
      </c>
      <c r="D371">
        <f>IF($N371="","",IF(INDEX('Per Invoice'!$D$2:$D$801,$N371)="","",INDEX('Per Invoice'!$D$2:$D$801,$N371)))</f>
        <v/>
      </c>
      <c r="E371">
        <f>IF($N371="","",IF(INDEX('Per Invoice'!$E$2:$E$801,$N371)="","",INDEX('Per Invoice'!$E$2:$E$801,$N371)))</f>
        <v/>
      </c>
      <c r="F371">
        <f>IF($N371="","",IF(INDEX('Per Invoice'!$F$2:$F$801,$N371)="","",INDEX('Per Invoice'!$F$2:$F$801,$N371)))</f>
        <v/>
      </c>
      <c r="G371">
        <f>IF($N371="","",IF(INDEX('Per Invoice'!$G$2:$G$801,$N371)="","",INDEX('Per Invoice'!$G$2:$G$801,$N371)))</f>
        <v/>
      </c>
      <c r="H371">
        <f>IF($N371="","",IF(INDEX('Per Invoice'!$H$2:$H$801,$N371)="","",INDEX('Per Invoice'!$H$2:$H$801,$N371)))</f>
        <v/>
      </c>
      <c r="I371" s="5">
        <f>IF($N371="","",IF(INDEX('Per Invoice'!$I$2:$I$801,$N371)="","",INDEX('Per Invoice'!$I$2:$I$801,$N371)))</f>
        <v/>
      </c>
      <c r="J371" s="5">
        <f>IF($N371="","",IF(INDEX('Per Invoice'!$J$2:$J$801,$N371)="","",INDEX('Per Invoice'!$J$2:$J$801,$N371)))</f>
        <v/>
      </c>
      <c r="K371" s="5">
        <f>IF($N371="","",IF(INDEX('Per Invoice'!$K$2:$K$801,$N371)="","",INDEX('Per Invoice'!$K$2:$K$801,$N371)))</f>
        <v/>
      </c>
      <c r="L371" s="5">
        <f>IF($N371="","",IF(INDEX('Per Invoice'!$L$2:$L$801,$N371)="","",INDEX('Per Invoice'!$L$2:$L$801,$N371)))</f>
        <v/>
      </c>
      <c r="M371" s="5">
        <f>IF($N371="","",IF(INDEX('Per Invoice'!$M$2:$M$801,$N371)="","",INDEX('Per Invoice'!$M$2:$M$801,$N371)))</f>
        <v/>
      </c>
      <c r="N371">
        <f>IF(ROWS($N$2:$N371)&lt;=COUNT('Per Invoice'!$P$2:$P$801),MATCH(ROWS($N$2:$N371),'Per Invoice'!$P$2:$P$801,0),"")</f>
        <v/>
      </c>
    </row>
    <row r="372">
      <c r="A372">
        <f>IF($N372="","",IF(INDEX('Per Invoice'!$A$2:$A$801,$N372)="","",INDEX('Per Invoice'!$A$2:$A$801,$N372)))</f>
        <v/>
      </c>
      <c r="B372">
        <f>IF($N372="","",IF(INDEX('Per Invoice'!$B$2:$B$801,$N372)="","",INDEX('Per Invoice'!$B$2:$B$801,$N372)))</f>
        <v/>
      </c>
      <c r="C372">
        <f>IF($N372="","",IF(INDEX('Per Invoice'!$C$2:$C$801,$N372)="","",INDEX('Per Invoice'!$C$2:$C$801,$N372)))</f>
        <v/>
      </c>
      <c r="D372">
        <f>IF($N372="","",IF(INDEX('Per Invoice'!$D$2:$D$801,$N372)="","",INDEX('Per Invoice'!$D$2:$D$801,$N372)))</f>
        <v/>
      </c>
      <c r="E372">
        <f>IF($N372="","",IF(INDEX('Per Invoice'!$E$2:$E$801,$N372)="","",INDEX('Per Invoice'!$E$2:$E$801,$N372)))</f>
        <v/>
      </c>
      <c r="F372">
        <f>IF($N372="","",IF(INDEX('Per Invoice'!$F$2:$F$801,$N372)="","",INDEX('Per Invoice'!$F$2:$F$801,$N372)))</f>
        <v/>
      </c>
      <c r="G372">
        <f>IF($N372="","",IF(INDEX('Per Invoice'!$G$2:$G$801,$N372)="","",INDEX('Per Invoice'!$G$2:$G$801,$N372)))</f>
        <v/>
      </c>
      <c r="H372">
        <f>IF($N372="","",IF(INDEX('Per Invoice'!$H$2:$H$801,$N372)="","",INDEX('Per Invoice'!$H$2:$H$801,$N372)))</f>
        <v/>
      </c>
      <c r="I372" s="5">
        <f>IF($N372="","",IF(INDEX('Per Invoice'!$I$2:$I$801,$N372)="","",INDEX('Per Invoice'!$I$2:$I$801,$N372)))</f>
        <v/>
      </c>
      <c r="J372" s="5">
        <f>IF($N372="","",IF(INDEX('Per Invoice'!$J$2:$J$801,$N372)="","",INDEX('Per Invoice'!$J$2:$J$801,$N372)))</f>
        <v/>
      </c>
      <c r="K372" s="5">
        <f>IF($N372="","",IF(INDEX('Per Invoice'!$K$2:$K$801,$N372)="","",INDEX('Per Invoice'!$K$2:$K$801,$N372)))</f>
        <v/>
      </c>
      <c r="L372" s="5">
        <f>IF($N372="","",IF(INDEX('Per Invoice'!$L$2:$L$801,$N372)="","",INDEX('Per Invoice'!$L$2:$L$801,$N372)))</f>
        <v/>
      </c>
      <c r="M372" s="5">
        <f>IF($N372="","",IF(INDEX('Per Invoice'!$M$2:$M$801,$N372)="","",INDEX('Per Invoice'!$M$2:$M$801,$N372)))</f>
        <v/>
      </c>
      <c r="N372">
        <f>IF(ROWS($N$2:$N372)&lt;=COUNT('Per Invoice'!$P$2:$P$801),MATCH(ROWS($N$2:$N372),'Per Invoice'!$P$2:$P$801,0),"")</f>
        <v/>
      </c>
    </row>
    <row r="373">
      <c r="A373">
        <f>IF($N373="","",IF(INDEX('Per Invoice'!$A$2:$A$801,$N373)="","",INDEX('Per Invoice'!$A$2:$A$801,$N373)))</f>
        <v/>
      </c>
      <c r="B373">
        <f>IF($N373="","",IF(INDEX('Per Invoice'!$B$2:$B$801,$N373)="","",INDEX('Per Invoice'!$B$2:$B$801,$N373)))</f>
        <v/>
      </c>
      <c r="C373">
        <f>IF($N373="","",IF(INDEX('Per Invoice'!$C$2:$C$801,$N373)="","",INDEX('Per Invoice'!$C$2:$C$801,$N373)))</f>
        <v/>
      </c>
      <c r="D373">
        <f>IF($N373="","",IF(INDEX('Per Invoice'!$D$2:$D$801,$N373)="","",INDEX('Per Invoice'!$D$2:$D$801,$N373)))</f>
        <v/>
      </c>
      <c r="E373">
        <f>IF($N373="","",IF(INDEX('Per Invoice'!$E$2:$E$801,$N373)="","",INDEX('Per Invoice'!$E$2:$E$801,$N373)))</f>
        <v/>
      </c>
      <c r="F373">
        <f>IF($N373="","",IF(INDEX('Per Invoice'!$F$2:$F$801,$N373)="","",INDEX('Per Invoice'!$F$2:$F$801,$N373)))</f>
        <v/>
      </c>
      <c r="G373">
        <f>IF($N373="","",IF(INDEX('Per Invoice'!$G$2:$G$801,$N373)="","",INDEX('Per Invoice'!$G$2:$G$801,$N373)))</f>
        <v/>
      </c>
      <c r="H373">
        <f>IF($N373="","",IF(INDEX('Per Invoice'!$H$2:$H$801,$N373)="","",INDEX('Per Invoice'!$H$2:$H$801,$N373)))</f>
        <v/>
      </c>
      <c r="I373" s="5">
        <f>IF($N373="","",IF(INDEX('Per Invoice'!$I$2:$I$801,$N373)="","",INDEX('Per Invoice'!$I$2:$I$801,$N373)))</f>
        <v/>
      </c>
      <c r="J373" s="5">
        <f>IF($N373="","",IF(INDEX('Per Invoice'!$J$2:$J$801,$N373)="","",INDEX('Per Invoice'!$J$2:$J$801,$N373)))</f>
        <v/>
      </c>
      <c r="K373" s="5">
        <f>IF($N373="","",IF(INDEX('Per Invoice'!$K$2:$K$801,$N373)="","",INDEX('Per Invoice'!$K$2:$K$801,$N373)))</f>
        <v/>
      </c>
      <c r="L373" s="5">
        <f>IF($N373="","",IF(INDEX('Per Invoice'!$L$2:$L$801,$N373)="","",INDEX('Per Invoice'!$L$2:$L$801,$N373)))</f>
        <v/>
      </c>
      <c r="M373" s="5">
        <f>IF($N373="","",IF(INDEX('Per Invoice'!$M$2:$M$801,$N373)="","",INDEX('Per Invoice'!$M$2:$M$801,$N373)))</f>
        <v/>
      </c>
      <c r="N373">
        <f>IF(ROWS($N$2:$N373)&lt;=COUNT('Per Invoice'!$P$2:$P$801),MATCH(ROWS($N$2:$N373),'Per Invoice'!$P$2:$P$801,0),"")</f>
        <v/>
      </c>
    </row>
    <row r="374">
      <c r="A374">
        <f>IF($N374="","",IF(INDEX('Per Invoice'!$A$2:$A$801,$N374)="","",INDEX('Per Invoice'!$A$2:$A$801,$N374)))</f>
        <v/>
      </c>
      <c r="B374">
        <f>IF($N374="","",IF(INDEX('Per Invoice'!$B$2:$B$801,$N374)="","",INDEX('Per Invoice'!$B$2:$B$801,$N374)))</f>
        <v/>
      </c>
      <c r="C374">
        <f>IF($N374="","",IF(INDEX('Per Invoice'!$C$2:$C$801,$N374)="","",INDEX('Per Invoice'!$C$2:$C$801,$N374)))</f>
        <v/>
      </c>
      <c r="D374">
        <f>IF($N374="","",IF(INDEX('Per Invoice'!$D$2:$D$801,$N374)="","",INDEX('Per Invoice'!$D$2:$D$801,$N374)))</f>
        <v/>
      </c>
      <c r="E374">
        <f>IF($N374="","",IF(INDEX('Per Invoice'!$E$2:$E$801,$N374)="","",INDEX('Per Invoice'!$E$2:$E$801,$N374)))</f>
        <v/>
      </c>
      <c r="F374">
        <f>IF($N374="","",IF(INDEX('Per Invoice'!$F$2:$F$801,$N374)="","",INDEX('Per Invoice'!$F$2:$F$801,$N374)))</f>
        <v/>
      </c>
      <c r="G374">
        <f>IF($N374="","",IF(INDEX('Per Invoice'!$G$2:$G$801,$N374)="","",INDEX('Per Invoice'!$G$2:$G$801,$N374)))</f>
        <v/>
      </c>
      <c r="H374">
        <f>IF($N374="","",IF(INDEX('Per Invoice'!$H$2:$H$801,$N374)="","",INDEX('Per Invoice'!$H$2:$H$801,$N374)))</f>
        <v/>
      </c>
      <c r="I374" s="5">
        <f>IF($N374="","",IF(INDEX('Per Invoice'!$I$2:$I$801,$N374)="","",INDEX('Per Invoice'!$I$2:$I$801,$N374)))</f>
        <v/>
      </c>
      <c r="J374" s="5">
        <f>IF($N374="","",IF(INDEX('Per Invoice'!$J$2:$J$801,$N374)="","",INDEX('Per Invoice'!$J$2:$J$801,$N374)))</f>
        <v/>
      </c>
      <c r="K374" s="5">
        <f>IF($N374="","",IF(INDEX('Per Invoice'!$K$2:$K$801,$N374)="","",INDEX('Per Invoice'!$K$2:$K$801,$N374)))</f>
        <v/>
      </c>
      <c r="L374" s="5">
        <f>IF($N374="","",IF(INDEX('Per Invoice'!$L$2:$L$801,$N374)="","",INDEX('Per Invoice'!$L$2:$L$801,$N374)))</f>
        <v/>
      </c>
      <c r="M374" s="5">
        <f>IF($N374="","",IF(INDEX('Per Invoice'!$M$2:$M$801,$N374)="","",INDEX('Per Invoice'!$M$2:$M$801,$N374)))</f>
        <v/>
      </c>
      <c r="N374">
        <f>IF(ROWS($N$2:$N374)&lt;=COUNT('Per Invoice'!$P$2:$P$801),MATCH(ROWS($N$2:$N374),'Per Invoice'!$P$2:$P$801,0),"")</f>
        <v/>
      </c>
    </row>
    <row r="375">
      <c r="A375">
        <f>IF($N375="","",IF(INDEX('Per Invoice'!$A$2:$A$801,$N375)="","",INDEX('Per Invoice'!$A$2:$A$801,$N375)))</f>
        <v/>
      </c>
      <c r="B375">
        <f>IF($N375="","",IF(INDEX('Per Invoice'!$B$2:$B$801,$N375)="","",INDEX('Per Invoice'!$B$2:$B$801,$N375)))</f>
        <v/>
      </c>
      <c r="C375">
        <f>IF($N375="","",IF(INDEX('Per Invoice'!$C$2:$C$801,$N375)="","",INDEX('Per Invoice'!$C$2:$C$801,$N375)))</f>
        <v/>
      </c>
      <c r="D375">
        <f>IF($N375="","",IF(INDEX('Per Invoice'!$D$2:$D$801,$N375)="","",INDEX('Per Invoice'!$D$2:$D$801,$N375)))</f>
        <v/>
      </c>
      <c r="E375">
        <f>IF($N375="","",IF(INDEX('Per Invoice'!$E$2:$E$801,$N375)="","",INDEX('Per Invoice'!$E$2:$E$801,$N375)))</f>
        <v/>
      </c>
      <c r="F375">
        <f>IF($N375="","",IF(INDEX('Per Invoice'!$F$2:$F$801,$N375)="","",INDEX('Per Invoice'!$F$2:$F$801,$N375)))</f>
        <v/>
      </c>
      <c r="G375">
        <f>IF($N375="","",IF(INDEX('Per Invoice'!$G$2:$G$801,$N375)="","",INDEX('Per Invoice'!$G$2:$G$801,$N375)))</f>
        <v/>
      </c>
      <c r="H375">
        <f>IF($N375="","",IF(INDEX('Per Invoice'!$H$2:$H$801,$N375)="","",INDEX('Per Invoice'!$H$2:$H$801,$N375)))</f>
        <v/>
      </c>
      <c r="I375" s="5">
        <f>IF($N375="","",IF(INDEX('Per Invoice'!$I$2:$I$801,$N375)="","",INDEX('Per Invoice'!$I$2:$I$801,$N375)))</f>
        <v/>
      </c>
      <c r="J375" s="5">
        <f>IF($N375="","",IF(INDEX('Per Invoice'!$J$2:$J$801,$N375)="","",INDEX('Per Invoice'!$J$2:$J$801,$N375)))</f>
        <v/>
      </c>
      <c r="K375" s="5">
        <f>IF($N375="","",IF(INDEX('Per Invoice'!$K$2:$K$801,$N375)="","",INDEX('Per Invoice'!$K$2:$K$801,$N375)))</f>
        <v/>
      </c>
      <c r="L375" s="5">
        <f>IF($N375="","",IF(INDEX('Per Invoice'!$L$2:$L$801,$N375)="","",INDEX('Per Invoice'!$L$2:$L$801,$N375)))</f>
        <v/>
      </c>
      <c r="M375" s="5">
        <f>IF($N375="","",IF(INDEX('Per Invoice'!$M$2:$M$801,$N375)="","",INDEX('Per Invoice'!$M$2:$M$801,$N375)))</f>
        <v/>
      </c>
      <c r="N375">
        <f>IF(ROWS($N$2:$N375)&lt;=COUNT('Per Invoice'!$P$2:$P$801),MATCH(ROWS($N$2:$N375),'Per Invoice'!$P$2:$P$801,0),"")</f>
        <v/>
      </c>
    </row>
    <row r="376">
      <c r="A376">
        <f>IF($N376="","",IF(INDEX('Per Invoice'!$A$2:$A$801,$N376)="","",INDEX('Per Invoice'!$A$2:$A$801,$N376)))</f>
        <v/>
      </c>
      <c r="B376">
        <f>IF($N376="","",IF(INDEX('Per Invoice'!$B$2:$B$801,$N376)="","",INDEX('Per Invoice'!$B$2:$B$801,$N376)))</f>
        <v/>
      </c>
      <c r="C376">
        <f>IF($N376="","",IF(INDEX('Per Invoice'!$C$2:$C$801,$N376)="","",INDEX('Per Invoice'!$C$2:$C$801,$N376)))</f>
        <v/>
      </c>
      <c r="D376">
        <f>IF($N376="","",IF(INDEX('Per Invoice'!$D$2:$D$801,$N376)="","",INDEX('Per Invoice'!$D$2:$D$801,$N376)))</f>
        <v/>
      </c>
      <c r="E376">
        <f>IF($N376="","",IF(INDEX('Per Invoice'!$E$2:$E$801,$N376)="","",INDEX('Per Invoice'!$E$2:$E$801,$N376)))</f>
        <v/>
      </c>
      <c r="F376">
        <f>IF($N376="","",IF(INDEX('Per Invoice'!$F$2:$F$801,$N376)="","",INDEX('Per Invoice'!$F$2:$F$801,$N376)))</f>
        <v/>
      </c>
      <c r="G376">
        <f>IF($N376="","",IF(INDEX('Per Invoice'!$G$2:$G$801,$N376)="","",INDEX('Per Invoice'!$G$2:$G$801,$N376)))</f>
        <v/>
      </c>
      <c r="H376">
        <f>IF($N376="","",IF(INDEX('Per Invoice'!$H$2:$H$801,$N376)="","",INDEX('Per Invoice'!$H$2:$H$801,$N376)))</f>
        <v/>
      </c>
      <c r="I376" s="5">
        <f>IF($N376="","",IF(INDEX('Per Invoice'!$I$2:$I$801,$N376)="","",INDEX('Per Invoice'!$I$2:$I$801,$N376)))</f>
        <v/>
      </c>
      <c r="J376" s="5">
        <f>IF($N376="","",IF(INDEX('Per Invoice'!$J$2:$J$801,$N376)="","",INDEX('Per Invoice'!$J$2:$J$801,$N376)))</f>
        <v/>
      </c>
      <c r="K376" s="5">
        <f>IF($N376="","",IF(INDEX('Per Invoice'!$K$2:$K$801,$N376)="","",INDEX('Per Invoice'!$K$2:$K$801,$N376)))</f>
        <v/>
      </c>
      <c r="L376" s="5">
        <f>IF($N376="","",IF(INDEX('Per Invoice'!$L$2:$L$801,$N376)="","",INDEX('Per Invoice'!$L$2:$L$801,$N376)))</f>
        <v/>
      </c>
      <c r="M376" s="5">
        <f>IF($N376="","",IF(INDEX('Per Invoice'!$M$2:$M$801,$N376)="","",INDEX('Per Invoice'!$M$2:$M$801,$N376)))</f>
        <v/>
      </c>
      <c r="N376">
        <f>IF(ROWS($N$2:$N376)&lt;=COUNT('Per Invoice'!$P$2:$P$801),MATCH(ROWS($N$2:$N376),'Per Invoice'!$P$2:$P$801,0),"")</f>
        <v/>
      </c>
    </row>
    <row r="377">
      <c r="A377">
        <f>IF($N377="","",IF(INDEX('Per Invoice'!$A$2:$A$801,$N377)="","",INDEX('Per Invoice'!$A$2:$A$801,$N377)))</f>
        <v/>
      </c>
      <c r="B377">
        <f>IF($N377="","",IF(INDEX('Per Invoice'!$B$2:$B$801,$N377)="","",INDEX('Per Invoice'!$B$2:$B$801,$N377)))</f>
        <v/>
      </c>
      <c r="C377">
        <f>IF($N377="","",IF(INDEX('Per Invoice'!$C$2:$C$801,$N377)="","",INDEX('Per Invoice'!$C$2:$C$801,$N377)))</f>
        <v/>
      </c>
      <c r="D377">
        <f>IF($N377="","",IF(INDEX('Per Invoice'!$D$2:$D$801,$N377)="","",INDEX('Per Invoice'!$D$2:$D$801,$N377)))</f>
        <v/>
      </c>
      <c r="E377">
        <f>IF($N377="","",IF(INDEX('Per Invoice'!$E$2:$E$801,$N377)="","",INDEX('Per Invoice'!$E$2:$E$801,$N377)))</f>
        <v/>
      </c>
      <c r="F377">
        <f>IF($N377="","",IF(INDEX('Per Invoice'!$F$2:$F$801,$N377)="","",INDEX('Per Invoice'!$F$2:$F$801,$N377)))</f>
        <v/>
      </c>
      <c r="G377">
        <f>IF($N377="","",IF(INDEX('Per Invoice'!$G$2:$G$801,$N377)="","",INDEX('Per Invoice'!$G$2:$G$801,$N377)))</f>
        <v/>
      </c>
      <c r="H377">
        <f>IF($N377="","",IF(INDEX('Per Invoice'!$H$2:$H$801,$N377)="","",INDEX('Per Invoice'!$H$2:$H$801,$N377)))</f>
        <v/>
      </c>
      <c r="I377" s="5">
        <f>IF($N377="","",IF(INDEX('Per Invoice'!$I$2:$I$801,$N377)="","",INDEX('Per Invoice'!$I$2:$I$801,$N377)))</f>
        <v/>
      </c>
      <c r="J377" s="5">
        <f>IF($N377="","",IF(INDEX('Per Invoice'!$J$2:$J$801,$N377)="","",INDEX('Per Invoice'!$J$2:$J$801,$N377)))</f>
        <v/>
      </c>
      <c r="K377" s="5">
        <f>IF($N377="","",IF(INDEX('Per Invoice'!$K$2:$K$801,$N377)="","",INDEX('Per Invoice'!$K$2:$K$801,$N377)))</f>
        <v/>
      </c>
      <c r="L377" s="5">
        <f>IF($N377="","",IF(INDEX('Per Invoice'!$L$2:$L$801,$N377)="","",INDEX('Per Invoice'!$L$2:$L$801,$N377)))</f>
        <v/>
      </c>
      <c r="M377" s="5">
        <f>IF($N377="","",IF(INDEX('Per Invoice'!$M$2:$M$801,$N377)="","",INDEX('Per Invoice'!$M$2:$M$801,$N377)))</f>
        <v/>
      </c>
      <c r="N377">
        <f>IF(ROWS($N$2:$N377)&lt;=COUNT('Per Invoice'!$P$2:$P$801),MATCH(ROWS($N$2:$N377),'Per Invoice'!$P$2:$P$801,0),"")</f>
        <v/>
      </c>
    </row>
    <row r="378">
      <c r="A378">
        <f>IF($N378="","",IF(INDEX('Per Invoice'!$A$2:$A$801,$N378)="","",INDEX('Per Invoice'!$A$2:$A$801,$N378)))</f>
        <v/>
      </c>
      <c r="B378">
        <f>IF($N378="","",IF(INDEX('Per Invoice'!$B$2:$B$801,$N378)="","",INDEX('Per Invoice'!$B$2:$B$801,$N378)))</f>
        <v/>
      </c>
      <c r="C378">
        <f>IF($N378="","",IF(INDEX('Per Invoice'!$C$2:$C$801,$N378)="","",INDEX('Per Invoice'!$C$2:$C$801,$N378)))</f>
        <v/>
      </c>
      <c r="D378">
        <f>IF($N378="","",IF(INDEX('Per Invoice'!$D$2:$D$801,$N378)="","",INDEX('Per Invoice'!$D$2:$D$801,$N378)))</f>
        <v/>
      </c>
      <c r="E378">
        <f>IF($N378="","",IF(INDEX('Per Invoice'!$E$2:$E$801,$N378)="","",INDEX('Per Invoice'!$E$2:$E$801,$N378)))</f>
        <v/>
      </c>
      <c r="F378">
        <f>IF($N378="","",IF(INDEX('Per Invoice'!$F$2:$F$801,$N378)="","",INDEX('Per Invoice'!$F$2:$F$801,$N378)))</f>
        <v/>
      </c>
      <c r="G378">
        <f>IF($N378="","",IF(INDEX('Per Invoice'!$G$2:$G$801,$N378)="","",INDEX('Per Invoice'!$G$2:$G$801,$N378)))</f>
        <v/>
      </c>
      <c r="H378">
        <f>IF($N378="","",IF(INDEX('Per Invoice'!$H$2:$H$801,$N378)="","",INDEX('Per Invoice'!$H$2:$H$801,$N378)))</f>
        <v/>
      </c>
      <c r="I378" s="5">
        <f>IF($N378="","",IF(INDEX('Per Invoice'!$I$2:$I$801,$N378)="","",INDEX('Per Invoice'!$I$2:$I$801,$N378)))</f>
        <v/>
      </c>
      <c r="J378" s="5">
        <f>IF($N378="","",IF(INDEX('Per Invoice'!$J$2:$J$801,$N378)="","",INDEX('Per Invoice'!$J$2:$J$801,$N378)))</f>
        <v/>
      </c>
      <c r="K378" s="5">
        <f>IF($N378="","",IF(INDEX('Per Invoice'!$K$2:$K$801,$N378)="","",INDEX('Per Invoice'!$K$2:$K$801,$N378)))</f>
        <v/>
      </c>
      <c r="L378" s="5">
        <f>IF($N378="","",IF(INDEX('Per Invoice'!$L$2:$L$801,$N378)="","",INDEX('Per Invoice'!$L$2:$L$801,$N378)))</f>
        <v/>
      </c>
      <c r="M378" s="5">
        <f>IF($N378="","",IF(INDEX('Per Invoice'!$M$2:$M$801,$N378)="","",INDEX('Per Invoice'!$M$2:$M$801,$N378)))</f>
        <v/>
      </c>
      <c r="N378">
        <f>IF(ROWS($N$2:$N378)&lt;=COUNT('Per Invoice'!$P$2:$P$801),MATCH(ROWS($N$2:$N378),'Per Invoice'!$P$2:$P$801,0),"")</f>
        <v/>
      </c>
    </row>
    <row r="379">
      <c r="A379">
        <f>IF($N379="","",IF(INDEX('Per Invoice'!$A$2:$A$801,$N379)="","",INDEX('Per Invoice'!$A$2:$A$801,$N379)))</f>
        <v/>
      </c>
      <c r="B379">
        <f>IF($N379="","",IF(INDEX('Per Invoice'!$B$2:$B$801,$N379)="","",INDEX('Per Invoice'!$B$2:$B$801,$N379)))</f>
        <v/>
      </c>
      <c r="C379">
        <f>IF($N379="","",IF(INDEX('Per Invoice'!$C$2:$C$801,$N379)="","",INDEX('Per Invoice'!$C$2:$C$801,$N379)))</f>
        <v/>
      </c>
      <c r="D379">
        <f>IF($N379="","",IF(INDEX('Per Invoice'!$D$2:$D$801,$N379)="","",INDEX('Per Invoice'!$D$2:$D$801,$N379)))</f>
        <v/>
      </c>
      <c r="E379">
        <f>IF($N379="","",IF(INDEX('Per Invoice'!$E$2:$E$801,$N379)="","",INDEX('Per Invoice'!$E$2:$E$801,$N379)))</f>
        <v/>
      </c>
      <c r="F379">
        <f>IF($N379="","",IF(INDEX('Per Invoice'!$F$2:$F$801,$N379)="","",INDEX('Per Invoice'!$F$2:$F$801,$N379)))</f>
        <v/>
      </c>
      <c r="G379">
        <f>IF($N379="","",IF(INDEX('Per Invoice'!$G$2:$G$801,$N379)="","",INDEX('Per Invoice'!$G$2:$G$801,$N379)))</f>
        <v/>
      </c>
      <c r="H379">
        <f>IF($N379="","",IF(INDEX('Per Invoice'!$H$2:$H$801,$N379)="","",INDEX('Per Invoice'!$H$2:$H$801,$N379)))</f>
        <v/>
      </c>
      <c r="I379" s="5">
        <f>IF($N379="","",IF(INDEX('Per Invoice'!$I$2:$I$801,$N379)="","",INDEX('Per Invoice'!$I$2:$I$801,$N379)))</f>
        <v/>
      </c>
      <c r="J379" s="5">
        <f>IF($N379="","",IF(INDEX('Per Invoice'!$J$2:$J$801,$N379)="","",INDEX('Per Invoice'!$J$2:$J$801,$N379)))</f>
        <v/>
      </c>
      <c r="K379" s="5">
        <f>IF($N379="","",IF(INDEX('Per Invoice'!$K$2:$K$801,$N379)="","",INDEX('Per Invoice'!$K$2:$K$801,$N379)))</f>
        <v/>
      </c>
      <c r="L379" s="5">
        <f>IF($N379="","",IF(INDEX('Per Invoice'!$L$2:$L$801,$N379)="","",INDEX('Per Invoice'!$L$2:$L$801,$N379)))</f>
        <v/>
      </c>
      <c r="M379" s="5">
        <f>IF($N379="","",IF(INDEX('Per Invoice'!$M$2:$M$801,$N379)="","",INDEX('Per Invoice'!$M$2:$M$801,$N379)))</f>
        <v/>
      </c>
      <c r="N379">
        <f>IF(ROWS($N$2:$N379)&lt;=COUNT('Per Invoice'!$P$2:$P$801),MATCH(ROWS($N$2:$N379),'Per Invoice'!$P$2:$P$801,0),"")</f>
        <v/>
      </c>
    </row>
    <row r="380">
      <c r="A380">
        <f>IF($N380="","",IF(INDEX('Per Invoice'!$A$2:$A$801,$N380)="","",INDEX('Per Invoice'!$A$2:$A$801,$N380)))</f>
        <v/>
      </c>
      <c r="B380">
        <f>IF($N380="","",IF(INDEX('Per Invoice'!$B$2:$B$801,$N380)="","",INDEX('Per Invoice'!$B$2:$B$801,$N380)))</f>
        <v/>
      </c>
      <c r="C380">
        <f>IF($N380="","",IF(INDEX('Per Invoice'!$C$2:$C$801,$N380)="","",INDEX('Per Invoice'!$C$2:$C$801,$N380)))</f>
        <v/>
      </c>
      <c r="D380">
        <f>IF($N380="","",IF(INDEX('Per Invoice'!$D$2:$D$801,$N380)="","",INDEX('Per Invoice'!$D$2:$D$801,$N380)))</f>
        <v/>
      </c>
      <c r="E380">
        <f>IF($N380="","",IF(INDEX('Per Invoice'!$E$2:$E$801,$N380)="","",INDEX('Per Invoice'!$E$2:$E$801,$N380)))</f>
        <v/>
      </c>
      <c r="F380">
        <f>IF($N380="","",IF(INDEX('Per Invoice'!$F$2:$F$801,$N380)="","",INDEX('Per Invoice'!$F$2:$F$801,$N380)))</f>
        <v/>
      </c>
      <c r="G380">
        <f>IF($N380="","",IF(INDEX('Per Invoice'!$G$2:$G$801,$N380)="","",INDEX('Per Invoice'!$G$2:$G$801,$N380)))</f>
        <v/>
      </c>
      <c r="H380">
        <f>IF($N380="","",IF(INDEX('Per Invoice'!$H$2:$H$801,$N380)="","",INDEX('Per Invoice'!$H$2:$H$801,$N380)))</f>
        <v/>
      </c>
      <c r="I380" s="5">
        <f>IF($N380="","",IF(INDEX('Per Invoice'!$I$2:$I$801,$N380)="","",INDEX('Per Invoice'!$I$2:$I$801,$N380)))</f>
        <v/>
      </c>
      <c r="J380" s="5">
        <f>IF($N380="","",IF(INDEX('Per Invoice'!$J$2:$J$801,$N380)="","",INDEX('Per Invoice'!$J$2:$J$801,$N380)))</f>
        <v/>
      </c>
      <c r="K380" s="5">
        <f>IF($N380="","",IF(INDEX('Per Invoice'!$K$2:$K$801,$N380)="","",INDEX('Per Invoice'!$K$2:$K$801,$N380)))</f>
        <v/>
      </c>
      <c r="L380" s="5">
        <f>IF($N380="","",IF(INDEX('Per Invoice'!$L$2:$L$801,$N380)="","",INDEX('Per Invoice'!$L$2:$L$801,$N380)))</f>
        <v/>
      </c>
      <c r="M380" s="5">
        <f>IF($N380="","",IF(INDEX('Per Invoice'!$M$2:$M$801,$N380)="","",INDEX('Per Invoice'!$M$2:$M$801,$N380)))</f>
        <v/>
      </c>
      <c r="N380">
        <f>IF(ROWS($N$2:$N380)&lt;=COUNT('Per Invoice'!$P$2:$P$801),MATCH(ROWS($N$2:$N380),'Per Invoice'!$P$2:$P$801,0),"")</f>
        <v/>
      </c>
    </row>
    <row r="381">
      <c r="A381">
        <f>IF($N381="","",IF(INDEX('Per Invoice'!$A$2:$A$801,$N381)="","",INDEX('Per Invoice'!$A$2:$A$801,$N381)))</f>
        <v/>
      </c>
      <c r="B381">
        <f>IF($N381="","",IF(INDEX('Per Invoice'!$B$2:$B$801,$N381)="","",INDEX('Per Invoice'!$B$2:$B$801,$N381)))</f>
        <v/>
      </c>
      <c r="C381">
        <f>IF($N381="","",IF(INDEX('Per Invoice'!$C$2:$C$801,$N381)="","",INDEX('Per Invoice'!$C$2:$C$801,$N381)))</f>
        <v/>
      </c>
      <c r="D381">
        <f>IF($N381="","",IF(INDEX('Per Invoice'!$D$2:$D$801,$N381)="","",INDEX('Per Invoice'!$D$2:$D$801,$N381)))</f>
        <v/>
      </c>
      <c r="E381">
        <f>IF($N381="","",IF(INDEX('Per Invoice'!$E$2:$E$801,$N381)="","",INDEX('Per Invoice'!$E$2:$E$801,$N381)))</f>
        <v/>
      </c>
      <c r="F381">
        <f>IF($N381="","",IF(INDEX('Per Invoice'!$F$2:$F$801,$N381)="","",INDEX('Per Invoice'!$F$2:$F$801,$N381)))</f>
        <v/>
      </c>
      <c r="G381">
        <f>IF($N381="","",IF(INDEX('Per Invoice'!$G$2:$G$801,$N381)="","",INDEX('Per Invoice'!$G$2:$G$801,$N381)))</f>
        <v/>
      </c>
      <c r="H381">
        <f>IF($N381="","",IF(INDEX('Per Invoice'!$H$2:$H$801,$N381)="","",INDEX('Per Invoice'!$H$2:$H$801,$N381)))</f>
        <v/>
      </c>
      <c r="I381" s="5">
        <f>IF($N381="","",IF(INDEX('Per Invoice'!$I$2:$I$801,$N381)="","",INDEX('Per Invoice'!$I$2:$I$801,$N381)))</f>
        <v/>
      </c>
      <c r="J381" s="5">
        <f>IF($N381="","",IF(INDEX('Per Invoice'!$J$2:$J$801,$N381)="","",INDEX('Per Invoice'!$J$2:$J$801,$N381)))</f>
        <v/>
      </c>
      <c r="K381" s="5">
        <f>IF($N381="","",IF(INDEX('Per Invoice'!$K$2:$K$801,$N381)="","",INDEX('Per Invoice'!$K$2:$K$801,$N381)))</f>
        <v/>
      </c>
      <c r="L381" s="5">
        <f>IF($N381="","",IF(INDEX('Per Invoice'!$L$2:$L$801,$N381)="","",INDEX('Per Invoice'!$L$2:$L$801,$N381)))</f>
        <v/>
      </c>
      <c r="M381" s="5">
        <f>IF($N381="","",IF(INDEX('Per Invoice'!$M$2:$M$801,$N381)="","",INDEX('Per Invoice'!$M$2:$M$801,$N381)))</f>
        <v/>
      </c>
      <c r="N381">
        <f>IF(ROWS($N$2:$N381)&lt;=COUNT('Per Invoice'!$P$2:$P$801),MATCH(ROWS($N$2:$N381),'Per Invoice'!$P$2:$P$801,0),"")</f>
        <v/>
      </c>
    </row>
    <row r="382">
      <c r="A382">
        <f>IF($N382="","",IF(INDEX('Per Invoice'!$A$2:$A$801,$N382)="","",INDEX('Per Invoice'!$A$2:$A$801,$N382)))</f>
        <v/>
      </c>
      <c r="B382">
        <f>IF($N382="","",IF(INDEX('Per Invoice'!$B$2:$B$801,$N382)="","",INDEX('Per Invoice'!$B$2:$B$801,$N382)))</f>
        <v/>
      </c>
      <c r="C382">
        <f>IF($N382="","",IF(INDEX('Per Invoice'!$C$2:$C$801,$N382)="","",INDEX('Per Invoice'!$C$2:$C$801,$N382)))</f>
        <v/>
      </c>
      <c r="D382">
        <f>IF($N382="","",IF(INDEX('Per Invoice'!$D$2:$D$801,$N382)="","",INDEX('Per Invoice'!$D$2:$D$801,$N382)))</f>
        <v/>
      </c>
      <c r="E382">
        <f>IF($N382="","",IF(INDEX('Per Invoice'!$E$2:$E$801,$N382)="","",INDEX('Per Invoice'!$E$2:$E$801,$N382)))</f>
        <v/>
      </c>
      <c r="F382">
        <f>IF($N382="","",IF(INDEX('Per Invoice'!$F$2:$F$801,$N382)="","",INDEX('Per Invoice'!$F$2:$F$801,$N382)))</f>
        <v/>
      </c>
      <c r="G382">
        <f>IF($N382="","",IF(INDEX('Per Invoice'!$G$2:$G$801,$N382)="","",INDEX('Per Invoice'!$G$2:$G$801,$N382)))</f>
        <v/>
      </c>
      <c r="H382">
        <f>IF($N382="","",IF(INDEX('Per Invoice'!$H$2:$H$801,$N382)="","",INDEX('Per Invoice'!$H$2:$H$801,$N382)))</f>
        <v/>
      </c>
      <c r="I382" s="5">
        <f>IF($N382="","",IF(INDEX('Per Invoice'!$I$2:$I$801,$N382)="","",INDEX('Per Invoice'!$I$2:$I$801,$N382)))</f>
        <v/>
      </c>
      <c r="J382" s="5">
        <f>IF($N382="","",IF(INDEX('Per Invoice'!$J$2:$J$801,$N382)="","",INDEX('Per Invoice'!$J$2:$J$801,$N382)))</f>
        <v/>
      </c>
      <c r="K382" s="5">
        <f>IF($N382="","",IF(INDEX('Per Invoice'!$K$2:$K$801,$N382)="","",INDEX('Per Invoice'!$K$2:$K$801,$N382)))</f>
        <v/>
      </c>
      <c r="L382" s="5">
        <f>IF($N382="","",IF(INDEX('Per Invoice'!$L$2:$L$801,$N382)="","",INDEX('Per Invoice'!$L$2:$L$801,$N382)))</f>
        <v/>
      </c>
      <c r="M382" s="5">
        <f>IF($N382="","",IF(INDEX('Per Invoice'!$M$2:$M$801,$N382)="","",INDEX('Per Invoice'!$M$2:$M$801,$N382)))</f>
        <v/>
      </c>
      <c r="N382">
        <f>IF(ROWS($N$2:$N382)&lt;=COUNT('Per Invoice'!$P$2:$P$801),MATCH(ROWS($N$2:$N382),'Per Invoice'!$P$2:$P$801,0),"")</f>
        <v/>
      </c>
    </row>
    <row r="383">
      <c r="A383">
        <f>IF($N383="","",IF(INDEX('Per Invoice'!$A$2:$A$801,$N383)="","",INDEX('Per Invoice'!$A$2:$A$801,$N383)))</f>
        <v/>
      </c>
      <c r="B383">
        <f>IF($N383="","",IF(INDEX('Per Invoice'!$B$2:$B$801,$N383)="","",INDEX('Per Invoice'!$B$2:$B$801,$N383)))</f>
        <v/>
      </c>
      <c r="C383">
        <f>IF($N383="","",IF(INDEX('Per Invoice'!$C$2:$C$801,$N383)="","",INDEX('Per Invoice'!$C$2:$C$801,$N383)))</f>
        <v/>
      </c>
      <c r="D383">
        <f>IF($N383="","",IF(INDEX('Per Invoice'!$D$2:$D$801,$N383)="","",INDEX('Per Invoice'!$D$2:$D$801,$N383)))</f>
        <v/>
      </c>
      <c r="E383">
        <f>IF($N383="","",IF(INDEX('Per Invoice'!$E$2:$E$801,$N383)="","",INDEX('Per Invoice'!$E$2:$E$801,$N383)))</f>
        <v/>
      </c>
      <c r="F383">
        <f>IF($N383="","",IF(INDEX('Per Invoice'!$F$2:$F$801,$N383)="","",INDEX('Per Invoice'!$F$2:$F$801,$N383)))</f>
        <v/>
      </c>
      <c r="G383">
        <f>IF($N383="","",IF(INDEX('Per Invoice'!$G$2:$G$801,$N383)="","",INDEX('Per Invoice'!$G$2:$G$801,$N383)))</f>
        <v/>
      </c>
      <c r="H383">
        <f>IF($N383="","",IF(INDEX('Per Invoice'!$H$2:$H$801,$N383)="","",INDEX('Per Invoice'!$H$2:$H$801,$N383)))</f>
        <v/>
      </c>
      <c r="I383" s="5">
        <f>IF($N383="","",IF(INDEX('Per Invoice'!$I$2:$I$801,$N383)="","",INDEX('Per Invoice'!$I$2:$I$801,$N383)))</f>
        <v/>
      </c>
      <c r="J383" s="5">
        <f>IF($N383="","",IF(INDEX('Per Invoice'!$J$2:$J$801,$N383)="","",INDEX('Per Invoice'!$J$2:$J$801,$N383)))</f>
        <v/>
      </c>
      <c r="K383" s="5">
        <f>IF($N383="","",IF(INDEX('Per Invoice'!$K$2:$K$801,$N383)="","",INDEX('Per Invoice'!$K$2:$K$801,$N383)))</f>
        <v/>
      </c>
      <c r="L383" s="5">
        <f>IF($N383="","",IF(INDEX('Per Invoice'!$L$2:$L$801,$N383)="","",INDEX('Per Invoice'!$L$2:$L$801,$N383)))</f>
        <v/>
      </c>
      <c r="M383" s="5">
        <f>IF($N383="","",IF(INDEX('Per Invoice'!$M$2:$M$801,$N383)="","",INDEX('Per Invoice'!$M$2:$M$801,$N383)))</f>
        <v/>
      </c>
      <c r="N383">
        <f>IF(ROWS($N$2:$N383)&lt;=COUNT('Per Invoice'!$P$2:$P$801),MATCH(ROWS($N$2:$N383),'Per Invoice'!$P$2:$P$801,0),"")</f>
        <v/>
      </c>
    </row>
    <row r="384">
      <c r="A384">
        <f>IF($N384="","",IF(INDEX('Per Invoice'!$A$2:$A$801,$N384)="","",INDEX('Per Invoice'!$A$2:$A$801,$N384)))</f>
        <v/>
      </c>
      <c r="B384">
        <f>IF($N384="","",IF(INDEX('Per Invoice'!$B$2:$B$801,$N384)="","",INDEX('Per Invoice'!$B$2:$B$801,$N384)))</f>
        <v/>
      </c>
      <c r="C384">
        <f>IF($N384="","",IF(INDEX('Per Invoice'!$C$2:$C$801,$N384)="","",INDEX('Per Invoice'!$C$2:$C$801,$N384)))</f>
        <v/>
      </c>
      <c r="D384">
        <f>IF($N384="","",IF(INDEX('Per Invoice'!$D$2:$D$801,$N384)="","",INDEX('Per Invoice'!$D$2:$D$801,$N384)))</f>
        <v/>
      </c>
      <c r="E384">
        <f>IF($N384="","",IF(INDEX('Per Invoice'!$E$2:$E$801,$N384)="","",INDEX('Per Invoice'!$E$2:$E$801,$N384)))</f>
        <v/>
      </c>
      <c r="F384">
        <f>IF($N384="","",IF(INDEX('Per Invoice'!$F$2:$F$801,$N384)="","",INDEX('Per Invoice'!$F$2:$F$801,$N384)))</f>
        <v/>
      </c>
      <c r="G384">
        <f>IF($N384="","",IF(INDEX('Per Invoice'!$G$2:$G$801,$N384)="","",INDEX('Per Invoice'!$G$2:$G$801,$N384)))</f>
        <v/>
      </c>
      <c r="H384">
        <f>IF($N384="","",IF(INDEX('Per Invoice'!$H$2:$H$801,$N384)="","",INDEX('Per Invoice'!$H$2:$H$801,$N384)))</f>
        <v/>
      </c>
      <c r="I384" s="5">
        <f>IF($N384="","",IF(INDEX('Per Invoice'!$I$2:$I$801,$N384)="","",INDEX('Per Invoice'!$I$2:$I$801,$N384)))</f>
        <v/>
      </c>
      <c r="J384" s="5">
        <f>IF($N384="","",IF(INDEX('Per Invoice'!$J$2:$J$801,$N384)="","",INDEX('Per Invoice'!$J$2:$J$801,$N384)))</f>
        <v/>
      </c>
      <c r="K384" s="5">
        <f>IF($N384="","",IF(INDEX('Per Invoice'!$K$2:$K$801,$N384)="","",INDEX('Per Invoice'!$K$2:$K$801,$N384)))</f>
        <v/>
      </c>
      <c r="L384" s="5">
        <f>IF($N384="","",IF(INDEX('Per Invoice'!$L$2:$L$801,$N384)="","",INDEX('Per Invoice'!$L$2:$L$801,$N384)))</f>
        <v/>
      </c>
      <c r="M384" s="5">
        <f>IF($N384="","",IF(INDEX('Per Invoice'!$M$2:$M$801,$N384)="","",INDEX('Per Invoice'!$M$2:$M$801,$N384)))</f>
        <v/>
      </c>
      <c r="N384">
        <f>IF(ROWS($N$2:$N384)&lt;=COUNT('Per Invoice'!$P$2:$P$801),MATCH(ROWS($N$2:$N384),'Per Invoice'!$P$2:$P$801,0),"")</f>
        <v/>
      </c>
    </row>
    <row r="385">
      <c r="A385">
        <f>IF($N385="","",IF(INDEX('Per Invoice'!$A$2:$A$801,$N385)="","",INDEX('Per Invoice'!$A$2:$A$801,$N385)))</f>
        <v/>
      </c>
      <c r="B385">
        <f>IF($N385="","",IF(INDEX('Per Invoice'!$B$2:$B$801,$N385)="","",INDEX('Per Invoice'!$B$2:$B$801,$N385)))</f>
        <v/>
      </c>
      <c r="C385">
        <f>IF($N385="","",IF(INDEX('Per Invoice'!$C$2:$C$801,$N385)="","",INDEX('Per Invoice'!$C$2:$C$801,$N385)))</f>
        <v/>
      </c>
      <c r="D385">
        <f>IF($N385="","",IF(INDEX('Per Invoice'!$D$2:$D$801,$N385)="","",INDEX('Per Invoice'!$D$2:$D$801,$N385)))</f>
        <v/>
      </c>
      <c r="E385">
        <f>IF($N385="","",IF(INDEX('Per Invoice'!$E$2:$E$801,$N385)="","",INDEX('Per Invoice'!$E$2:$E$801,$N385)))</f>
        <v/>
      </c>
      <c r="F385">
        <f>IF($N385="","",IF(INDEX('Per Invoice'!$F$2:$F$801,$N385)="","",INDEX('Per Invoice'!$F$2:$F$801,$N385)))</f>
        <v/>
      </c>
      <c r="G385">
        <f>IF($N385="","",IF(INDEX('Per Invoice'!$G$2:$G$801,$N385)="","",INDEX('Per Invoice'!$G$2:$G$801,$N385)))</f>
        <v/>
      </c>
      <c r="H385">
        <f>IF($N385="","",IF(INDEX('Per Invoice'!$H$2:$H$801,$N385)="","",INDEX('Per Invoice'!$H$2:$H$801,$N385)))</f>
        <v/>
      </c>
      <c r="I385" s="5">
        <f>IF($N385="","",IF(INDEX('Per Invoice'!$I$2:$I$801,$N385)="","",INDEX('Per Invoice'!$I$2:$I$801,$N385)))</f>
        <v/>
      </c>
      <c r="J385" s="5">
        <f>IF($N385="","",IF(INDEX('Per Invoice'!$J$2:$J$801,$N385)="","",INDEX('Per Invoice'!$J$2:$J$801,$N385)))</f>
        <v/>
      </c>
      <c r="K385" s="5">
        <f>IF($N385="","",IF(INDEX('Per Invoice'!$K$2:$K$801,$N385)="","",INDEX('Per Invoice'!$K$2:$K$801,$N385)))</f>
        <v/>
      </c>
      <c r="L385" s="5">
        <f>IF($N385="","",IF(INDEX('Per Invoice'!$L$2:$L$801,$N385)="","",INDEX('Per Invoice'!$L$2:$L$801,$N385)))</f>
        <v/>
      </c>
      <c r="M385" s="5">
        <f>IF($N385="","",IF(INDEX('Per Invoice'!$M$2:$M$801,$N385)="","",INDEX('Per Invoice'!$M$2:$M$801,$N385)))</f>
        <v/>
      </c>
      <c r="N385">
        <f>IF(ROWS($N$2:$N385)&lt;=COUNT('Per Invoice'!$P$2:$P$801),MATCH(ROWS($N$2:$N385),'Per Invoice'!$P$2:$P$801,0),"")</f>
        <v/>
      </c>
    </row>
    <row r="386">
      <c r="A386">
        <f>IF($N386="","",IF(INDEX('Per Invoice'!$A$2:$A$801,$N386)="","",INDEX('Per Invoice'!$A$2:$A$801,$N386)))</f>
        <v/>
      </c>
      <c r="B386">
        <f>IF($N386="","",IF(INDEX('Per Invoice'!$B$2:$B$801,$N386)="","",INDEX('Per Invoice'!$B$2:$B$801,$N386)))</f>
        <v/>
      </c>
      <c r="C386">
        <f>IF($N386="","",IF(INDEX('Per Invoice'!$C$2:$C$801,$N386)="","",INDEX('Per Invoice'!$C$2:$C$801,$N386)))</f>
        <v/>
      </c>
      <c r="D386">
        <f>IF($N386="","",IF(INDEX('Per Invoice'!$D$2:$D$801,$N386)="","",INDEX('Per Invoice'!$D$2:$D$801,$N386)))</f>
        <v/>
      </c>
      <c r="E386">
        <f>IF($N386="","",IF(INDEX('Per Invoice'!$E$2:$E$801,$N386)="","",INDEX('Per Invoice'!$E$2:$E$801,$N386)))</f>
        <v/>
      </c>
      <c r="F386">
        <f>IF($N386="","",IF(INDEX('Per Invoice'!$F$2:$F$801,$N386)="","",INDEX('Per Invoice'!$F$2:$F$801,$N386)))</f>
        <v/>
      </c>
      <c r="G386">
        <f>IF($N386="","",IF(INDEX('Per Invoice'!$G$2:$G$801,$N386)="","",INDEX('Per Invoice'!$G$2:$G$801,$N386)))</f>
        <v/>
      </c>
      <c r="H386">
        <f>IF($N386="","",IF(INDEX('Per Invoice'!$H$2:$H$801,$N386)="","",INDEX('Per Invoice'!$H$2:$H$801,$N386)))</f>
        <v/>
      </c>
      <c r="I386" s="5">
        <f>IF($N386="","",IF(INDEX('Per Invoice'!$I$2:$I$801,$N386)="","",INDEX('Per Invoice'!$I$2:$I$801,$N386)))</f>
        <v/>
      </c>
      <c r="J386" s="5">
        <f>IF($N386="","",IF(INDEX('Per Invoice'!$J$2:$J$801,$N386)="","",INDEX('Per Invoice'!$J$2:$J$801,$N386)))</f>
        <v/>
      </c>
      <c r="K386" s="5">
        <f>IF($N386="","",IF(INDEX('Per Invoice'!$K$2:$K$801,$N386)="","",INDEX('Per Invoice'!$K$2:$K$801,$N386)))</f>
        <v/>
      </c>
      <c r="L386" s="5">
        <f>IF($N386="","",IF(INDEX('Per Invoice'!$L$2:$L$801,$N386)="","",INDEX('Per Invoice'!$L$2:$L$801,$N386)))</f>
        <v/>
      </c>
      <c r="M386" s="5">
        <f>IF($N386="","",IF(INDEX('Per Invoice'!$M$2:$M$801,$N386)="","",INDEX('Per Invoice'!$M$2:$M$801,$N386)))</f>
        <v/>
      </c>
      <c r="N386">
        <f>IF(ROWS($N$2:$N386)&lt;=COUNT('Per Invoice'!$P$2:$P$801),MATCH(ROWS($N$2:$N386),'Per Invoice'!$P$2:$P$801,0),"")</f>
        <v/>
      </c>
    </row>
    <row r="387">
      <c r="A387">
        <f>IF($N387="","",IF(INDEX('Per Invoice'!$A$2:$A$801,$N387)="","",INDEX('Per Invoice'!$A$2:$A$801,$N387)))</f>
        <v/>
      </c>
      <c r="B387">
        <f>IF($N387="","",IF(INDEX('Per Invoice'!$B$2:$B$801,$N387)="","",INDEX('Per Invoice'!$B$2:$B$801,$N387)))</f>
        <v/>
      </c>
      <c r="C387">
        <f>IF($N387="","",IF(INDEX('Per Invoice'!$C$2:$C$801,$N387)="","",INDEX('Per Invoice'!$C$2:$C$801,$N387)))</f>
        <v/>
      </c>
      <c r="D387">
        <f>IF($N387="","",IF(INDEX('Per Invoice'!$D$2:$D$801,$N387)="","",INDEX('Per Invoice'!$D$2:$D$801,$N387)))</f>
        <v/>
      </c>
      <c r="E387">
        <f>IF($N387="","",IF(INDEX('Per Invoice'!$E$2:$E$801,$N387)="","",INDEX('Per Invoice'!$E$2:$E$801,$N387)))</f>
        <v/>
      </c>
      <c r="F387">
        <f>IF($N387="","",IF(INDEX('Per Invoice'!$F$2:$F$801,$N387)="","",INDEX('Per Invoice'!$F$2:$F$801,$N387)))</f>
        <v/>
      </c>
      <c r="G387">
        <f>IF($N387="","",IF(INDEX('Per Invoice'!$G$2:$G$801,$N387)="","",INDEX('Per Invoice'!$G$2:$G$801,$N387)))</f>
        <v/>
      </c>
      <c r="H387">
        <f>IF($N387="","",IF(INDEX('Per Invoice'!$H$2:$H$801,$N387)="","",INDEX('Per Invoice'!$H$2:$H$801,$N387)))</f>
        <v/>
      </c>
      <c r="I387" s="5">
        <f>IF($N387="","",IF(INDEX('Per Invoice'!$I$2:$I$801,$N387)="","",INDEX('Per Invoice'!$I$2:$I$801,$N387)))</f>
        <v/>
      </c>
      <c r="J387" s="5">
        <f>IF($N387="","",IF(INDEX('Per Invoice'!$J$2:$J$801,$N387)="","",INDEX('Per Invoice'!$J$2:$J$801,$N387)))</f>
        <v/>
      </c>
      <c r="K387" s="5">
        <f>IF($N387="","",IF(INDEX('Per Invoice'!$K$2:$K$801,$N387)="","",INDEX('Per Invoice'!$K$2:$K$801,$N387)))</f>
        <v/>
      </c>
      <c r="L387" s="5">
        <f>IF($N387="","",IF(INDEX('Per Invoice'!$L$2:$L$801,$N387)="","",INDEX('Per Invoice'!$L$2:$L$801,$N387)))</f>
        <v/>
      </c>
      <c r="M387" s="5">
        <f>IF($N387="","",IF(INDEX('Per Invoice'!$M$2:$M$801,$N387)="","",INDEX('Per Invoice'!$M$2:$M$801,$N387)))</f>
        <v/>
      </c>
      <c r="N387">
        <f>IF(ROWS($N$2:$N387)&lt;=COUNT('Per Invoice'!$P$2:$P$801),MATCH(ROWS($N$2:$N387),'Per Invoice'!$P$2:$P$801,0),"")</f>
        <v/>
      </c>
    </row>
    <row r="388">
      <c r="A388">
        <f>IF($N388="","",IF(INDEX('Per Invoice'!$A$2:$A$801,$N388)="","",INDEX('Per Invoice'!$A$2:$A$801,$N388)))</f>
        <v/>
      </c>
      <c r="B388">
        <f>IF($N388="","",IF(INDEX('Per Invoice'!$B$2:$B$801,$N388)="","",INDEX('Per Invoice'!$B$2:$B$801,$N388)))</f>
        <v/>
      </c>
      <c r="C388">
        <f>IF($N388="","",IF(INDEX('Per Invoice'!$C$2:$C$801,$N388)="","",INDEX('Per Invoice'!$C$2:$C$801,$N388)))</f>
        <v/>
      </c>
      <c r="D388">
        <f>IF($N388="","",IF(INDEX('Per Invoice'!$D$2:$D$801,$N388)="","",INDEX('Per Invoice'!$D$2:$D$801,$N388)))</f>
        <v/>
      </c>
      <c r="E388">
        <f>IF($N388="","",IF(INDEX('Per Invoice'!$E$2:$E$801,$N388)="","",INDEX('Per Invoice'!$E$2:$E$801,$N388)))</f>
        <v/>
      </c>
      <c r="F388">
        <f>IF($N388="","",IF(INDEX('Per Invoice'!$F$2:$F$801,$N388)="","",INDEX('Per Invoice'!$F$2:$F$801,$N388)))</f>
        <v/>
      </c>
      <c r="G388">
        <f>IF($N388="","",IF(INDEX('Per Invoice'!$G$2:$G$801,$N388)="","",INDEX('Per Invoice'!$G$2:$G$801,$N388)))</f>
        <v/>
      </c>
      <c r="H388">
        <f>IF($N388="","",IF(INDEX('Per Invoice'!$H$2:$H$801,$N388)="","",INDEX('Per Invoice'!$H$2:$H$801,$N388)))</f>
        <v/>
      </c>
      <c r="I388" s="5">
        <f>IF($N388="","",IF(INDEX('Per Invoice'!$I$2:$I$801,$N388)="","",INDEX('Per Invoice'!$I$2:$I$801,$N388)))</f>
        <v/>
      </c>
      <c r="J388" s="5">
        <f>IF($N388="","",IF(INDEX('Per Invoice'!$J$2:$J$801,$N388)="","",INDEX('Per Invoice'!$J$2:$J$801,$N388)))</f>
        <v/>
      </c>
      <c r="K388" s="5">
        <f>IF($N388="","",IF(INDEX('Per Invoice'!$K$2:$K$801,$N388)="","",INDEX('Per Invoice'!$K$2:$K$801,$N388)))</f>
        <v/>
      </c>
      <c r="L388" s="5">
        <f>IF($N388="","",IF(INDEX('Per Invoice'!$L$2:$L$801,$N388)="","",INDEX('Per Invoice'!$L$2:$L$801,$N388)))</f>
        <v/>
      </c>
      <c r="M388" s="5">
        <f>IF($N388="","",IF(INDEX('Per Invoice'!$M$2:$M$801,$N388)="","",INDEX('Per Invoice'!$M$2:$M$801,$N388)))</f>
        <v/>
      </c>
      <c r="N388">
        <f>IF(ROWS($N$2:$N388)&lt;=COUNT('Per Invoice'!$P$2:$P$801),MATCH(ROWS($N$2:$N388),'Per Invoice'!$P$2:$P$801,0),"")</f>
        <v/>
      </c>
    </row>
    <row r="389">
      <c r="A389">
        <f>IF($N389="","",IF(INDEX('Per Invoice'!$A$2:$A$801,$N389)="","",INDEX('Per Invoice'!$A$2:$A$801,$N389)))</f>
        <v/>
      </c>
      <c r="B389">
        <f>IF($N389="","",IF(INDEX('Per Invoice'!$B$2:$B$801,$N389)="","",INDEX('Per Invoice'!$B$2:$B$801,$N389)))</f>
        <v/>
      </c>
      <c r="C389">
        <f>IF($N389="","",IF(INDEX('Per Invoice'!$C$2:$C$801,$N389)="","",INDEX('Per Invoice'!$C$2:$C$801,$N389)))</f>
        <v/>
      </c>
      <c r="D389">
        <f>IF($N389="","",IF(INDEX('Per Invoice'!$D$2:$D$801,$N389)="","",INDEX('Per Invoice'!$D$2:$D$801,$N389)))</f>
        <v/>
      </c>
      <c r="E389">
        <f>IF($N389="","",IF(INDEX('Per Invoice'!$E$2:$E$801,$N389)="","",INDEX('Per Invoice'!$E$2:$E$801,$N389)))</f>
        <v/>
      </c>
      <c r="F389">
        <f>IF($N389="","",IF(INDEX('Per Invoice'!$F$2:$F$801,$N389)="","",INDEX('Per Invoice'!$F$2:$F$801,$N389)))</f>
        <v/>
      </c>
      <c r="G389">
        <f>IF($N389="","",IF(INDEX('Per Invoice'!$G$2:$G$801,$N389)="","",INDEX('Per Invoice'!$G$2:$G$801,$N389)))</f>
        <v/>
      </c>
      <c r="H389">
        <f>IF($N389="","",IF(INDEX('Per Invoice'!$H$2:$H$801,$N389)="","",INDEX('Per Invoice'!$H$2:$H$801,$N389)))</f>
        <v/>
      </c>
      <c r="I389" s="5">
        <f>IF($N389="","",IF(INDEX('Per Invoice'!$I$2:$I$801,$N389)="","",INDEX('Per Invoice'!$I$2:$I$801,$N389)))</f>
        <v/>
      </c>
      <c r="J389" s="5">
        <f>IF($N389="","",IF(INDEX('Per Invoice'!$J$2:$J$801,$N389)="","",INDEX('Per Invoice'!$J$2:$J$801,$N389)))</f>
        <v/>
      </c>
      <c r="K389" s="5">
        <f>IF($N389="","",IF(INDEX('Per Invoice'!$K$2:$K$801,$N389)="","",INDEX('Per Invoice'!$K$2:$K$801,$N389)))</f>
        <v/>
      </c>
      <c r="L389" s="5">
        <f>IF($N389="","",IF(INDEX('Per Invoice'!$L$2:$L$801,$N389)="","",INDEX('Per Invoice'!$L$2:$L$801,$N389)))</f>
        <v/>
      </c>
      <c r="M389" s="5">
        <f>IF($N389="","",IF(INDEX('Per Invoice'!$M$2:$M$801,$N389)="","",INDEX('Per Invoice'!$M$2:$M$801,$N389)))</f>
        <v/>
      </c>
      <c r="N389">
        <f>IF(ROWS($N$2:$N389)&lt;=COUNT('Per Invoice'!$P$2:$P$801),MATCH(ROWS($N$2:$N389),'Per Invoice'!$P$2:$P$801,0),"")</f>
        <v/>
      </c>
    </row>
    <row r="390">
      <c r="A390">
        <f>IF($N390="","",IF(INDEX('Per Invoice'!$A$2:$A$801,$N390)="","",INDEX('Per Invoice'!$A$2:$A$801,$N390)))</f>
        <v/>
      </c>
      <c r="B390">
        <f>IF($N390="","",IF(INDEX('Per Invoice'!$B$2:$B$801,$N390)="","",INDEX('Per Invoice'!$B$2:$B$801,$N390)))</f>
        <v/>
      </c>
      <c r="C390">
        <f>IF($N390="","",IF(INDEX('Per Invoice'!$C$2:$C$801,$N390)="","",INDEX('Per Invoice'!$C$2:$C$801,$N390)))</f>
        <v/>
      </c>
      <c r="D390">
        <f>IF($N390="","",IF(INDEX('Per Invoice'!$D$2:$D$801,$N390)="","",INDEX('Per Invoice'!$D$2:$D$801,$N390)))</f>
        <v/>
      </c>
      <c r="E390">
        <f>IF($N390="","",IF(INDEX('Per Invoice'!$E$2:$E$801,$N390)="","",INDEX('Per Invoice'!$E$2:$E$801,$N390)))</f>
        <v/>
      </c>
      <c r="F390">
        <f>IF($N390="","",IF(INDEX('Per Invoice'!$F$2:$F$801,$N390)="","",INDEX('Per Invoice'!$F$2:$F$801,$N390)))</f>
        <v/>
      </c>
      <c r="G390">
        <f>IF($N390="","",IF(INDEX('Per Invoice'!$G$2:$G$801,$N390)="","",INDEX('Per Invoice'!$G$2:$G$801,$N390)))</f>
        <v/>
      </c>
      <c r="H390">
        <f>IF($N390="","",IF(INDEX('Per Invoice'!$H$2:$H$801,$N390)="","",INDEX('Per Invoice'!$H$2:$H$801,$N390)))</f>
        <v/>
      </c>
      <c r="I390" s="5">
        <f>IF($N390="","",IF(INDEX('Per Invoice'!$I$2:$I$801,$N390)="","",INDEX('Per Invoice'!$I$2:$I$801,$N390)))</f>
        <v/>
      </c>
      <c r="J390" s="5">
        <f>IF($N390="","",IF(INDEX('Per Invoice'!$J$2:$J$801,$N390)="","",INDEX('Per Invoice'!$J$2:$J$801,$N390)))</f>
        <v/>
      </c>
      <c r="K390" s="5">
        <f>IF($N390="","",IF(INDEX('Per Invoice'!$K$2:$K$801,$N390)="","",INDEX('Per Invoice'!$K$2:$K$801,$N390)))</f>
        <v/>
      </c>
      <c r="L390" s="5">
        <f>IF($N390="","",IF(INDEX('Per Invoice'!$L$2:$L$801,$N390)="","",INDEX('Per Invoice'!$L$2:$L$801,$N390)))</f>
        <v/>
      </c>
      <c r="M390" s="5">
        <f>IF($N390="","",IF(INDEX('Per Invoice'!$M$2:$M$801,$N390)="","",INDEX('Per Invoice'!$M$2:$M$801,$N390)))</f>
        <v/>
      </c>
      <c r="N390">
        <f>IF(ROWS($N$2:$N390)&lt;=COUNT('Per Invoice'!$P$2:$P$801),MATCH(ROWS($N$2:$N390),'Per Invoice'!$P$2:$P$801,0),"")</f>
        <v/>
      </c>
    </row>
    <row r="391">
      <c r="A391">
        <f>IF($N391="","",IF(INDEX('Per Invoice'!$A$2:$A$801,$N391)="","",INDEX('Per Invoice'!$A$2:$A$801,$N391)))</f>
        <v/>
      </c>
      <c r="B391">
        <f>IF($N391="","",IF(INDEX('Per Invoice'!$B$2:$B$801,$N391)="","",INDEX('Per Invoice'!$B$2:$B$801,$N391)))</f>
        <v/>
      </c>
      <c r="C391">
        <f>IF($N391="","",IF(INDEX('Per Invoice'!$C$2:$C$801,$N391)="","",INDEX('Per Invoice'!$C$2:$C$801,$N391)))</f>
        <v/>
      </c>
      <c r="D391">
        <f>IF($N391="","",IF(INDEX('Per Invoice'!$D$2:$D$801,$N391)="","",INDEX('Per Invoice'!$D$2:$D$801,$N391)))</f>
        <v/>
      </c>
      <c r="E391">
        <f>IF($N391="","",IF(INDEX('Per Invoice'!$E$2:$E$801,$N391)="","",INDEX('Per Invoice'!$E$2:$E$801,$N391)))</f>
        <v/>
      </c>
      <c r="F391">
        <f>IF($N391="","",IF(INDEX('Per Invoice'!$F$2:$F$801,$N391)="","",INDEX('Per Invoice'!$F$2:$F$801,$N391)))</f>
        <v/>
      </c>
      <c r="G391">
        <f>IF($N391="","",IF(INDEX('Per Invoice'!$G$2:$G$801,$N391)="","",INDEX('Per Invoice'!$G$2:$G$801,$N391)))</f>
        <v/>
      </c>
      <c r="H391">
        <f>IF($N391="","",IF(INDEX('Per Invoice'!$H$2:$H$801,$N391)="","",INDEX('Per Invoice'!$H$2:$H$801,$N391)))</f>
        <v/>
      </c>
      <c r="I391" s="5">
        <f>IF($N391="","",IF(INDEX('Per Invoice'!$I$2:$I$801,$N391)="","",INDEX('Per Invoice'!$I$2:$I$801,$N391)))</f>
        <v/>
      </c>
      <c r="J391" s="5">
        <f>IF($N391="","",IF(INDEX('Per Invoice'!$J$2:$J$801,$N391)="","",INDEX('Per Invoice'!$J$2:$J$801,$N391)))</f>
        <v/>
      </c>
      <c r="K391" s="5">
        <f>IF($N391="","",IF(INDEX('Per Invoice'!$K$2:$K$801,$N391)="","",INDEX('Per Invoice'!$K$2:$K$801,$N391)))</f>
        <v/>
      </c>
      <c r="L391" s="5">
        <f>IF($N391="","",IF(INDEX('Per Invoice'!$L$2:$L$801,$N391)="","",INDEX('Per Invoice'!$L$2:$L$801,$N391)))</f>
        <v/>
      </c>
      <c r="M391" s="5">
        <f>IF($N391="","",IF(INDEX('Per Invoice'!$M$2:$M$801,$N391)="","",INDEX('Per Invoice'!$M$2:$M$801,$N391)))</f>
        <v/>
      </c>
      <c r="N391">
        <f>IF(ROWS($N$2:$N391)&lt;=COUNT('Per Invoice'!$P$2:$P$801),MATCH(ROWS($N$2:$N391),'Per Invoice'!$P$2:$P$801,0),"")</f>
        <v/>
      </c>
    </row>
    <row r="392">
      <c r="A392">
        <f>IF($N392="","",IF(INDEX('Per Invoice'!$A$2:$A$801,$N392)="","",INDEX('Per Invoice'!$A$2:$A$801,$N392)))</f>
        <v/>
      </c>
      <c r="B392">
        <f>IF($N392="","",IF(INDEX('Per Invoice'!$B$2:$B$801,$N392)="","",INDEX('Per Invoice'!$B$2:$B$801,$N392)))</f>
        <v/>
      </c>
      <c r="C392">
        <f>IF($N392="","",IF(INDEX('Per Invoice'!$C$2:$C$801,$N392)="","",INDEX('Per Invoice'!$C$2:$C$801,$N392)))</f>
        <v/>
      </c>
      <c r="D392">
        <f>IF($N392="","",IF(INDEX('Per Invoice'!$D$2:$D$801,$N392)="","",INDEX('Per Invoice'!$D$2:$D$801,$N392)))</f>
        <v/>
      </c>
      <c r="E392">
        <f>IF($N392="","",IF(INDEX('Per Invoice'!$E$2:$E$801,$N392)="","",INDEX('Per Invoice'!$E$2:$E$801,$N392)))</f>
        <v/>
      </c>
      <c r="F392">
        <f>IF($N392="","",IF(INDEX('Per Invoice'!$F$2:$F$801,$N392)="","",INDEX('Per Invoice'!$F$2:$F$801,$N392)))</f>
        <v/>
      </c>
      <c r="G392">
        <f>IF($N392="","",IF(INDEX('Per Invoice'!$G$2:$G$801,$N392)="","",INDEX('Per Invoice'!$G$2:$G$801,$N392)))</f>
        <v/>
      </c>
      <c r="H392">
        <f>IF($N392="","",IF(INDEX('Per Invoice'!$H$2:$H$801,$N392)="","",INDEX('Per Invoice'!$H$2:$H$801,$N392)))</f>
        <v/>
      </c>
      <c r="I392" s="5">
        <f>IF($N392="","",IF(INDEX('Per Invoice'!$I$2:$I$801,$N392)="","",INDEX('Per Invoice'!$I$2:$I$801,$N392)))</f>
        <v/>
      </c>
      <c r="J392" s="5">
        <f>IF($N392="","",IF(INDEX('Per Invoice'!$J$2:$J$801,$N392)="","",INDEX('Per Invoice'!$J$2:$J$801,$N392)))</f>
        <v/>
      </c>
      <c r="K392" s="5">
        <f>IF($N392="","",IF(INDEX('Per Invoice'!$K$2:$K$801,$N392)="","",INDEX('Per Invoice'!$K$2:$K$801,$N392)))</f>
        <v/>
      </c>
      <c r="L392" s="5">
        <f>IF($N392="","",IF(INDEX('Per Invoice'!$L$2:$L$801,$N392)="","",INDEX('Per Invoice'!$L$2:$L$801,$N392)))</f>
        <v/>
      </c>
      <c r="M392" s="5">
        <f>IF($N392="","",IF(INDEX('Per Invoice'!$M$2:$M$801,$N392)="","",INDEX('Per Invoice'!$M$2:$M$801,$N392)))</f>
        <v/>
      </c>
      <c r="N392">
        <f>IF(ROWS($N$2:$N392)&lt;=COUNT('Per Invoice'!$P$2:$P$801),MATCH(ROWS($N$2:$N392),'Per Invoice'!$P$2:$P$801,0),"")</f>
        <v/>
      </c>
    </row>
    <row r="393">
      <c r="A393">
        <f>IF($N393="","",IF(INDEX('Per Invoice'!$A$2:$A$801,$N393)="","",INDEX('Per Invoice'!$A$2:$A$801,$N393)))</f>
        <v/>
      </c>
      <c r="B393">
        <f>IF($N393="","",IF(INDEX('Per Invoice'!$B$2:$B$801,$N393)="","",INDEX('Per Invoice'!$B$2:$B$801,$N393)))</f>
        <v/>
      </c>
      <c r="C393">
        <f>IF($N393="","",IF(INDEX('Per Invoice'!$C$2:$C$801,$N393)="","",INDEX('Per Invoice'!$C$2:$C$801,$N393)))</f>
        <v/>
      </c>
      <c r="D393">
        <f>IF($N393="","",IF(INDEX('Per Invoice'!$D$2:$D$801,$N393)="","",INDEX('Per Invoice'!$D$2:$D$801,$N393)))</f>
        <v/>
      </c>
      <c r="E393">
        <f>IF($N393="","",IF(INDEX('Per Invoice'!$E$2:$E$801,$N393)="","",INDEX('Per Invoice'!$E$2:$E$801,$N393)))</f>
        <v/>
      </c>
      <c r="F393">
        <f>IF($N393="","",IF(INDEX('Per Invoice'!$F$2:$F$801,$N393)="","",INDEX('Per Invoice'!$F$2:$F$801,$N393)))</f>
        <v/>
      </c>
      <c r="G393">
        <f>IF($N393="","",IF(INDEX('Per Invoice'!$G$2:$G$801,$N393)="","",INDEX('Per Invoice'!$G$2:$G$801,$N393)))</f>
        <v/>
      </c>
      <c r="H393">
        <f>IF($N393="","",IF(INDEX('Per Invoice'!$H$2:$H$801,$N393)="","",INDEX('Per Invoice'!$H$2:$H$801,$N393)))</f>
        <v/>
      </c>
      <c r="I393" s="5">
        <f>IF($N393="","",IF(INDEX('Per Invoice'!$I$2:$I$801,$N393)="","",INDEX('Per Invoice'!$I$2:$I$801,$N393)))</f>
        <v/>
      </c>
      <c r="J393" s="5">
        <f>IF($N393="","",IF(INDEX('Per Invoice'!$J$2:$J$801,$N393)="","",INDEX('Per Invoice'!$J$2:$J$801,$N393)))</f>
        <v/>
      </c>
      <c r="K393" s="5">
        <f>IF($N393="","",IF(INDEX('Per Invoice'!$K$2:$K$801,$N393)="","",INDEX('Per Invoice'!$K$2:$K$801,$N393)))</f>
        <v/>
      </c>
      <c r="L393" s="5">
        <f>IF($N393="","",IF(INDEX('Per Invoice'!$L$2:$L$801,$N393)="","",INDEX('Per Invoice'!$L$2:$L$801,$N393)))</f>
        <v/>
      </c>
      <c r="M393" s="5">
        <f>IF($N393="","",IF(INDEX('Per Invoice'!$M$2:$M$801,$N393)="","",INDEX('Per Invoice'!$M$2:$M$801,$N393)))</f>
        <v/>
      </c>
      <c r="N393">
        <f>IF(ROWS($N$2:$N393)&lt;=COUNT('Per Invoice'!$P$2:$P$801),MATCH(ROWS($N$2:$N393),'Per Invoice'!$P$2:$P$801,0),"")</f>
        <v/>
      </c>
    </row>
    <row r="394">
      <c r="A394">
        <f>IF($N394="","",IF(INDEX('Per Invoice'!$A$2:$A$801,$N394)="","",INDEX('Per Invoice'!$A$2:$A$801,$N394)))</f>
        <v/>
      </c>
      <c r="B394">
        <f>IF($N394="","",IF(INDEX('Per Invoice'!$B$2:$B$801,$N394)="","",INDEX('Per Invoice'!$B$2:$B$801,$N394)))</f>
        <v/>
      </c>
      <c r="C394">
        <f>IF($N394="","",IF(INDEX('Per Invoice'!$C$2:$C$801,$N394)="","",INDEX('Per Invoice'!$C$2:$C$801,$N394)))</f>
        <v/>
      </c>
      <c r="D394">
        <f>IF($N394="","",IF(INDEX('Per Invoice'!$D$2:$D$801,$N394)="","",INDEX('Per Invoice'!$D$2:$D$801,$N394)))</f>
        <v/>
      </c>
      <c r="E394">
        <f>IF($N394="","",IF(INDEX('Per Invoice'!$E$2:$E$801,$N394)="","",INDEX('Per Invoice'!$E$2:$E$801,$N394)))</f>
        <v/>
      </c>
      <c r="F394">
        <f>IF($N394="","",IF(INDEX('Per Invoice'!$F$2:$F$801,$N394)="","",INDEX('Per Invoice'!$F$2:$F$801,$N394)))</f>
        <v/>
      </c>
      <c r="G394">
        <f>IF($N394="","",IF(INDEX('Per Invoice'!$G$2:$G$801,$N394)="","",INDEX('Per Invoice'!$G$2:$G$801,$N394)))</f>
        <v/>
      </c>
      <c r="H394">
        <f>IF($N394="","",IF(INDEX('Per Invoice'!$H$2:$H$801,$N394)="","",INDEX('Per Invoice'!$H$2:$H$801,$N394)))</f>
        <v/>
      </c>
      <c r="I394" s="5">
        <f>IF($N394="","",IF(INDEX('Per Invoice'!$I$2:$I$801,$N394)="","",INDEX('Per Invoice'!$I$2:$I$801,$N394)))</f>
        <v/>
      </c>
      <c r="J394" s="5">
        <f>IF($N394="","",IF(INDEX('Per Invoice'!$J$2:$J$801,$N394)="","",INDEX('Per Invoice'!$J$2:$J$801,$N394)))</f>
        <v/>
      </c>
      <c r="K394" s="5">
        <f>IF($N394="","",IF(INDEX('Per Invoice'!$K$2:$K$801,$N394)="","",INDEX('Per Invoice'!$K$2:$K$801,$N394)))</f>
        <v/>
      </c>
      <c r="L394" s="5">
        <f>IF($N394="","",IF(INDEX('Per Invoice'!$L$2:$L$801,$N394)="","",INDEX('Per Invoice'!$L$2:$L$801,$N394)))</f>
        <v/>
      </c>
      <c r="M394" s="5">
        <f>IF($N394="","",IF(INDEX('Per Invoice'!$M$2:$M$801,$N394)="","",INDEX('Per Invoice'!$M$2:$M$801,$N394)))</f>
        <v/>
      </c>
      <c r="N394">
        <f>IF(ROWS($N$2:$N394)&lt;=COUNT('Per Invoice'!$P$2:$P$801),MATCH(ROWS($N$2:$N394),'Per Invoice'!$P$2:$P$801,0),"")</f>
        <v/>
      </c>
    </row>
    <row r="395">
      <c r="A395">
        <f>IF($N395="","",IF(INDEX('Per Invoice'!$A$2:$A$801,$N395)="","",INDEX('Per Invoice'!$A$2:$A$801,$N395)))</f>
        <v/>
      </c>
      <c r="B395">
        <f>IF($N395="","",IF(INDEX('Per Invoice'!$B$2:$B$801,$N395)="","",INDEX('Per Invoice'!$B$2:$B$801,$N395)))</f>
        <v/>
      </c>
      <c r="C395">
        <f>IF($N395="","",IF(INDEX('Per Invoice'!$C$2:$C$801,$N395)="","",INDEX('Per Invoice'!$C$2:$C$801,$N395)))</f>
        <v/>
      </c>
      <c r="D395">
        <f>IF($N395="","",IF(INDEX('Per Invoice'!$D$2:$D$801,$N395)="","",INDEX('Per Invoice'!$D$2:$D$801,$N395)))</f>
        <v/>
      </c>
      <c r="E395">
        <f>IF($N395="","",IF(INDEX('Per Invoice'!$E$2:$E$801,$N395)="","",INDEX('Per Invoice'!$E$2:$E$801,$N395)))</f>
        <v/>
      </c>
      <c r="F395">
        <f>IF($N395="","",IF(INDEX('Per Invoice'!$F$2:$F$801,$N395)="","",INDEX('Per Invoice'!$F$2:$F$801,$N395)))</f>
        <v/>
      </c>
      <c r="G395">
        <f>IF($N395="","",IF(INDEX('Per Invoice'!$G$2:$G$801,$N395)="","",INDEX('Per Invoice'!$G$2:$G$801,$N395)))</f>
        <v/>
      </c>
      <c r="H395">
        <f>IF($N395="","",IF(INDEX('Per Invoice'!$H$2:$H$801,$N395)="","",INDEX('Per Invoice'!$H$2:$H$801,$N395)))</f>
        <v/>
      </c>
      <c r="I395" s="5">
        <f>IF($N395="","",IF(INDEX('Per Invoice'!$I$2:$I$801,$N395)="","",INDEX('Per Invoice'!$I$2:$I$801,$N395)))</f>
        <v/>
      </c>
      <c r="J395" s="5">
        <f>IF($N395="","",IF(INDEX('Per Invoice'!$J$2:$J$801,$N395)="","",INDEX('Per Invoice'!$J$2:$J$801,$N395)))</f>
        <v/>
      </c>
      <c r="K395" s="5">
        <f>IF($N395="","",IF(INDEX('Per Invoice'!$K$2:$K$801,$N395)="","",INDEX('Per Invoice'!$K$2:$K$801,$N395)))</f>
        <v/>
      </c>
      <c r="L395" s="5">
        <f>IF($N395="","",IF(INDEX('Per Invoice'!$L$2:$L$801,$N395)="","",INDEX('Per Invoice'!$L$2:$L$801,$N395)))</f>
        <v/>
      </c>
      <c r="M395" s="5">
        <f>IF($N395="","",IF(INDEX('Per Invoice'!$M$2:$M$801,$N395)="","",INDEX('Per Invoice'!$M$2:$M$801,$N395)))</f>
        <v/>
      </c>
      <c r="N395">
        <f>IF(ROWS($N$2:$N395)&lt;=COUNT('Per Invoice'!$P$2:$P$801),MATCH(ROWS($N$2:$N395),'Per Invoice'!$P$2:$P$801,0),"")</f>
        <v/>
      </c>
    </row>
    <row r="396">
      <c r="A396">
        <f>IF($N396="","",IF(INDEX('Per Invoice'!$A$2:$A$801,$N396)="","",INDEX('Per Invoice'!$A$2:$A$801,$N396)))</f>
        <v/>
      </c>
      <c r="B396">
        <f>IF($N396="","",IF(INDEX('Per Invoice'!$B$2:$B$801,$N396)="","",INDEX('Per Invoice'!$B$2:$B$801,$N396)))</f>
        <v/>
      </c>
      <c r="C396">
        <f>IF($N396="","",IF(INDEX('Per Invoice'!$C$2:$C$801,$N396)="","",INDEX('Per Invoice'!$C$2:$C$801,$N396)))</f>
        <v/>
      </c>
      <c r="D396">
        <f>IF($N396="","",IF(INDEX('Per Invoice'!$D$2:$D$801,$N396)="","",INDEX('Per Invoice'!$D$2:$D$801,$N396)))</f>
        <v/>
      </c>
      <c r="E396">
        <f>IF($N396="","",IF(INDEX('Per Invoice'!$E$2:$E$801,$N396)="","",INDEX('Per Invoice'!$E$2:$E$801,$N396)))</f>
        <v/>
      </c>
      <c r="F396">
        <f>IF($N396="","",IF(INDEX('Per Invoice'!$F$2:$F$801,$N396)="","",INDEX('Per Invoice'!$F$2:$F$801,$N396)))</f>
        <v/>
      </c>
      <c r="G396">
        <f>IF($N396="","",IF(INDEX('Per Invoice'!$G$2:$G$801,$N396)="","",INDEX('Per Invoice'!$G$2:$G$801,$N396)))</f>
        <v/>
      </c>
      <c r="H396">
        <f>IF($N396="","",IF(INDEX('Per Invoice'!$H$2:$H$801,$N396)="","",INDEX('Per Invoice'!$H$2:$H$801,$N396)))</f>
        <v/>
      </c>
      <c r="I396" s="5">
        <f>IF($N396="","",IF(INDEX('Per Invoice'!$I$2:$I$801,$N396)="","",INDEX('Per Invoice'!$I$2:$I$801,$N396)))</f>
        <v/>
      </c>
      <c r="J396" s="5">
        <f>IF($N396="","",IF(INDEX('Per Invoice'!$J$2:$J$801,$N396)="","",INDEX('Per Invoice'!$J$2:$J$801,$N396)))</f>
        <v/>
      </c>
      <c r="K396" s="5">
        <f>IF($N396="","",IF(INDEX('Per Invoice'!$K$2:$K$801,$N396)="","",INDEX('Per Invoice'!$K$2:$K$801,$N396)))</f>
        <v/>
      </c>
      <c r="L396" s="5">
        <f>IF($N396="","",IF(INDEX('Per Invoice'!$L$2:$L$801,$N396)="","",INDEX('Per Invoice'!$L$2:$L$801,$N396)))</f>
        <v/>
      </c>
      <c r="M396" s="5">
        <f>IF($N396="","",IF(INDEX('Per Invoice'!$M$2:$M$801,$N396)="","",INDEX('Per Invoice'!$M$2:$M$801,$N396)))</f>
        <v/>
      </c>
      <c r="N396">
        <f>IF(ROWS($N$2:$N396)&lt;=COUNT('Per Invoice'!$P$2:$P$801),MATCH(ROWS($N$2:$N396),'Per Invoice'!$P$2:$P$801,0),"")</f>
        <v/>
      </c>
    </row>
    <row r="397">
      <c r="A397">
        <f>IF($N397="","",IF(INDEX('Per Invoice'!$A$2:$A$801,$N397)="","",INDEX('Per Invoice'!$A$2:$A$801,$N397)))</f>
        <v/>
      </c>
      <c r="B397">
        <f>IF($N397="","",IF(INDEX('Per Invoice'!$B$2:$B$801,$N397)="","",INDEX('Per Invoice'!$B$2:$B$801,$N397)))</f>
        <v/>
      </c>
      <c r="C397">
        <f>IF($N397="","",IF(INDEX('Per Invoice'!$C$2:$C$801,$N397)="","",INDEX('Per Invoice'!$C$2:$C$801,$N397)))</f>
        <v/>
      </c>
      <c r="D397">
        <f>IF($N397="","",IF(INDEX('Per Invoice'!$D$2:$D$801,$N397)="","",INDEX('Per Invoice'!$D$2:$D$801,$N397)))</f>
        <v/>
      </c>
      <c r="E397">
        <f>IF($N397="","",IF(INDEX('Per Invoice'!$E$2:$E$801,$N397)="","",INDEX('Per Invoice'!$E$2:$E$801,$N397)))</f>
        <v/>
      </c>
      <c r="F397">
        <f>IF($N397="","",IF(INDEX('Per Invoice'!$F$2:$F$801,$N397)="","",INDEX('Per Invoice'!$F$2:$F$801,$N397)))</f>
        <v/>
      </c>
      <c r="G397">
        <f>IF($N397="","",IF(INDEX('Per Invoice'!$G$2:$G$801,$N397)="","",INDEX('Per Invoice'!$G$2:$G$801,$N397)))</f>
        <v/>
      </c>
      <c r="H397">
        <f>IF($N397="","",IF(INDEX('Per Invoice'!$H$2:$H$801,$N397)="","",INDEX('Per Invoice'!$H$2:$H$801,$N397)))</f>
        <v/>
      </c>
      <c r="I397" s="5">
        <f>IF($N397="","",IF(INDEX('Per Invoice'!$I$2:$I$801,$N397)="","",INDEX('Per Invoice'!$I$2:$I$801,$N397)))</f>
        <v/>
      </c>
      <c r="J397" s="5">
        <f>IF($N397="","",IF(INDEX('Per Invoice'!$J$2:$J$801,$N397)="","",INDEX('Per Invoice'!$J$2:$J$801,$N397)))</f>
        <v/>
      </c>
      <c r="K397" s="5">
        <f>IF($N397="","",IF(INDEX('Per Invoice'!$K$2:$K$801,$N397)="","",INDEX('Per Invoice'!$K$2:$K$801,$N397)))</f>
        <v/>
      </c>
      <c r="L397" s="5">
        <f>IF($N397="","",IF(INDEX('Per Invoice'!$L$2:$L$801,$N397)="","",INDEX('Per Invoice'!$L$2:$L$801,$N397)))</f>
        <v/>
      </c>
      <c r="M397" s="5">
        <f>IF($N397="","",IF(INDEX('Per Invoice'!$M$2:$M$801,$N397)="","",INDEX('Per Invoice'!$M$2:$M$801,$N397)))</f>
        <v/>
      </c>
      <c r="N397">
        <f>IF(ROWS($N$2:$N397)&lt;=COUNT('Per Invoice'!$P$2:$P$801),MATCH(ROWS($N$2:$N397),'Per Invoice'!$P$2:$P$801,0),"")</f>
        <v/>
      </c>
    </row>
    <row r="398">
      <c r="A398">
        <f>IF($N398="","",IF(INDEX('Per Invoice'!$A$2:$A$801,$N398)="","",INDEX('Per Invoice'!$A$2:$A$801,$N398)))</f>
        <v/>
      </c>
      <c r="B398">
        <f>IF($N398="","",IF(INDEX('Per Invoice'!$B$2:$B$801,$N398)="","",INDEX('Per Invoice'!$B$2:$B$801,$N398)))</f>
        <v/>
      </c>
      <c r="C398">
        <f>IF($N398="","",IF(INDEX('Per Invoice'!$C$2:$C$801,$N398)="","",INDEX('Per Invoice'!$C$2:$C$801,$N398)))</f>
        <v/>
      </c>
      <c r="D398">
        <f>IF($N398="","",IF(INDEX('Per Invoice'!$D$2:$D$801,$N398)="","",INDEX('Per Invoice'!$D$2:$D$801,$N398)))</f>
        <v/>
      </c>
      <c r="E398">
        <f>IF($N398="","",IF(INDEX('Per Invoice'!$E$2:$E$801,$N398)="","",INDEX('Per Invoice'!$E$2:$E$801,$N398)))</f>
        <v/>
      </c>
      <c r="F398">
        <f>IF($N398="","",IF(INDEX('Per Invoice'!$F$2:$F$801,$N398)="","",INDEX('Per Invoice'!$F$2:$F$801,$N398)))</f>
        <v/>
      </c>
      <c r="G398">
        <f>IF($N398="","",IF(INDEX('Per Invoice'!$G$2:$G$801,$N398)="","",INDEX('Per Invoice'!$G$2:$G$801,$N398)))</f>
        <v/>
      </c>
      <c r="H398">
        <f>IF($N398="","",IF(INDEX('Per Invoice'!$H$2:$H$801,$N398)="","",INDEX('Per Invoice'!$H$2:$H$801,$N398)))</f>
        <v/>
      </c>
      <c r="I398" s="5">
        <f>IF($N398="","",IF(INDEX('Per Invoice'!$I$2:$I$801,$N398)="","",INDEX('Per Invoice'!$I$2:$I$801,$N398)))</f>
        <v/>
      </c>
      <c r="J398" s="5">
        <f>IF($N398="","",IF(INDEX('Per Invoice'!$J$2:$J$801,$N398)="","",INDEX('Per Invoice'!$J$2:$J$801,$N398)))</f>
        <v/>
      </c>
      <c r="K398" s="5">
        <f>IF($N398="","",IF(INDEX('Per Invoice'!$K$2:$K$801,$N398)="","",INDEX('Per Invoice'!$K$2:$K$801,$N398)))</f>
        <v/>
      </c>
      <c r="L398" s="5">
        <f>IF($N398="","",IF(INDEX('Per Invoice'!$L$2:$L$801,$N398)="","",INDEX('Per Invoice'!$L$2:$L$801,$N398)))</f>
        <v/>
      </c>
      <c r="M398" s="5">
        <f>IF($N398="","",IF(INDEX('Per Invoice'!$M$2:$M$801,$N398)="","",INDEX('Per Invoice'!$M$2:$M$801,$N398)))</f>
        <v/>
      </c>
      <c r="N398">
        <f>IF(ROWS($N$2:$N398)&lt;=COUNT('Per Invoice'!$P$2:$P$801),MATCH(ROWS($N$2:$N398),'Per Invoice'!$P$2:$P$801,0),"")</f>
        <v/>
      </c>
    </row>
    <row r="399">
      <c r="A399">
        <f>IF($N399="","",IF(INDEX('Per Invoice'!$A$2:$A$801,$N399)="","",INDEX('Per Invoice'!$A$2:$A$801,$N399)))</f>
        <v/>
      </c>
      <c r="B399">
        <f>IF($N399="","",IF(INDEX('Per Invoice'!$B$2:$B$801,$N399)="","",INDEX('Per Invoice'!$B$2:$B$801,$N399)))</f>
        <v/>
      </c>
      <c r="C399">
        <f>IF($N399="","",IF(INDEX('Per Invoice'!$C$2:$C$801,$N399)="","",INDEX('Per Invoice'!$C$2:$C$801,$N399)))</f>
        <v/>
      </c>
      <c r="D399">
        <f>IF($N399="","",IF(INDEX('Per Invoice'!$D$2:$D$801,$N399)="","",INDEX('Per Invoice'!$D$2:$D$801,$N399)))</f>
        <v/>
      </c>
      <c r="E399">
        <f>IF($N399="","",IF(INDEX('Per Invoice'!$E$2:$E$801,$N399)="","",INDEX('Per Invoice'!$E$2:$E$801,$N399)))</f>
        <v/>
      </c>
      <c r="F399">
        <f>IF($N399="","",IF(INDEX('Per Invoice'!$F$2:$F$801,$N399)="","",INDEX('Per Invoice'!$F$2:$F$801,$N399)))</f>
        <v/>
      </c>
      <c r="G399">
        <f>IF($N399="","",IF(INDEX('Per Invoice'!$G$2:$G$801,$N399)="","",INDEX('Per Invoice'!$G$2:$G$801,$N399)))</f>
        <v/>
      </c>
      <c r="H399">
        <f>IF($N399="","",IF(INDEX('Per Invoice'!$H$2:$H$801,$N399)="","",INDEX('Per Invoice'!$H$2:$H$801,$N399)))</f>
        <v/>
      </c>
      <c r="I399" s="5">
        <f>IF($N399="","",IF(INDEX('Per Invoice'!$I$2:$I$801,$N399)="","",INDEX('Per Invoice'!$I$2:$I$801,$N399)))</f>
        <v/>
      </c>
      <c r="J399" s="5">
        <f>IF($N399="","",IF(INDEX('Per Invoice'!$J$2:$J$801,$N399)="","",INDEX('Per Invoice'!$J$2:$J$801,$N399)))</f>
        <v/>
      </c>
      <c r="K399" s="5">
        <f>IF($N399="","",IF(INDEX('Per Invoice'!$K$2:$K$801,$N399)="","",INDEX('Per Invoice'!$K$2:$K$801,$N399)))</f>
        <v/>
      </c>
      <c r="L399" s="5">
        <f>IF($N399="","",IF(INDEX('Per Invoice'!$L$2:$L$801,$N399)="","",INDEX('Per Invoice'!$L$2:$L$801,$N399)))</f>
        <v/>
      </c>
      <c r="M399" s="5">
        <f>IF($N399="","",IF(INDEX('Per Invoice'!$M$2:$M$801,$N399)="","",INDEX('Per Invoice'!$M$2:$M$801,$N399)))</f>
        <v/>
      </c>
      <c r="N399">
        <f>IF(ROWS($N$2:$N399)&lt;=COUNT('Per Invoice'!$P$2:$P$801),MATCH(ROWS($N$2:$N399),'Per Invoice'!$P$2:$P$801,0),"")</f>
        <v/>
      </c>
    </row>
    <row r="400">
      <c r="A400">
        <f>IF($N400="","",IF(INDEX('Per Invoice'!$A$2:$A$801,$N400)="","",INDEX('Per Invoice'!$A$2:$A$801,$N400)))</f>
        <v/>
      </c>
      <c r="B400">
        <f>IF($N400="","",IF(INDEX('Per Invoice'!$B$2:$B$801,$N400)="","",INDEX('Per Invoice'!$B$2:$B$801,$N400)))</f>
        <v/>
      </c>
      <c r="C400">
        <f>IF($N400="","",IF(INDEX('Per Invoice'!$C$2:$C$801,$N400)="","",INDEX('Per Invoice'!$C$2:$C$801,$N400)))</f>
        <v/>
      </c>
      <c r="D400">
        <f>IF($N400="","",IF(INDEX('Per Invoice'!$D$2:$D$801,$N400)="","",INDEX('Per Invoice'!$D$2:$D$801,$N400)))</f>
        <v/>
      </c>
      <c r="E400">
        <f>IF($N400="","",IF(INDEX('Per Invoice'!$E$2:$E$801,$N400)="","",INDEX('Per Invoice'!$E$2:$E$801,$N400)))</f>
        <v/>
      </c>
      <c r="F400">
        <f>IF($N400="","",IF(INDEX('Per Invoice'!$F$2:$F$801,$N400)="","",INDEX('Per Invoice'!$F$2:$F$801,$N400)))</f>
        <v/>
      </c>
      <c r="G400">
        <f>IF($N400="","",IF(INDEX('Per Invoice'!$G$2:$G$801,$N400)="","",INDEX('Per Invoice'!$G$2:$G$801,$N400)))</f>
        <v/>
      </c>
      <c r="H400">
        <f>IF($N400="","",IF(INDEX('Per Invoice'!$H$2:$H$801,$N400)="","",INDEX('Per Invoice'!$H$2:$H$801,$N400)))</f>
        <v/>
      </c>
      <c r="I400" s="5">
        <f>IF($N400="","",IF(INDEX('Per Invoice'!$I$2:$I$801,$N400)="","",INDEX('Per Invoice'!$I$2:$I$801,$N400)))</f>
        <v/>
      </c>
      <c r="J400" s="5">
        <f>IF($N400="","",IF(INDEX('Per Invoice'!$J$2:$J$801,$N400)="","",INDEX('Per Invoice'!$J$2:$J$801,$N400)))</f>
        <v/>
      </c>
      <c r="K400" s="5">
        <f>IF($N400="","",IF(INDEX('Per Invoice'!$K$2:$K$801,$N400)="","",INDEX('Per Invoice'!$K$2:$K$801,$N400)))</f>
        <v/>
      </c>
      <c r="L400" s="5">
        <f>IF($N400="","",IF(INDEX('Per Invoice'!$L$2:$L$801,$N400)="","",INDEX('Per Invoice'!$L$2:$L$801,$N400)))</f>
        <v/>
      </c>
      <c r="M400" s="5">
        <f>IF($N400="","",IF(INDEX('Per Invoice'!$M$2:$M$801,$N400)="","",INDEX('Per Invoice'!$M$2:$M$801,$N400)))</f>
        <v/>
      </c>
      <c r="N400">
        <f>IF(ROWS($N$2:$N400)&lt;=COUNT('Per Invoice'!$P$2:$P$801),MATCH(ROWS($N$2:$N400),'Per Invoice'!$P$2:$P$801,0),"")</f>
        <v/>
      </c>
    </row>
    <row r="401">
      <c r="A401">
        <f>IF($N401="","",IF(INDEX('Per Invoice'!$A$2:$A$801,$N401)="","",INDEX('Per Invoice'!$A$2:$A$801,$N401)))</f>
        <v/>
      </c>
      <c r="B401">
        <f>IF($N401="","",IF(INDEX('Per Invoice'!$B$2:$B$801,$N401)="","",INDEX('Per Invoice'!$B$2:$B$801,$N401)))</f>
        <v/>
      </c>
      <c r="C401">
        <f>IF($N401="","",IF(INDEX('Per Invoice'!$C$2:$C$801,$N401)="","",INDEX('Per Invoice'!$C$2:$C$801,$N401)))</f>
        <v/>
      </c>
      <c r="D401">
        <f>IF($N401="","",IF(INDEX('Per Invoice'!$D$2:$D$801,$N401)="","",INDEX('Per Invoice'!$D$2:$D$801,$N401)))</f>
        <v/>
      </c>
      <c r="E401">
        <f>IF($N401="","",IF(INDEX('Per Invoice'!$E$2:$E$801,$N401)="","",INDEX('Per Invoice'!$E$2:$E$801,$N401)))</f>
        <v/>
      </c>
      <c r="F401">
        <f>IF($N401="","",IF(INDEX('Per Invoice'!$F$2:$F$801,$N401)="","",INDEX('Per Invoice'!$F$2:$F$801,$N401)))</f>
        <v/>
      </c>
      <c r="G401">
        <f>IF($N401="","",IF(INDEX('Per Invoice'!$G$2:$G$801,$N401)="","",INDEX('Per Invoice'!$G$2:$G$801,$N401)))</f>
        <v/>
      </c>
      <c r="H401">
        <f>IF($N401="","",IF(INDEX('Per Invoice'!$H$2:$H$801,$N401)="","",INDEX('Per Invoice'!$H$2:$H$801,$N401)))</f>
        <v/>
      </c>
      <c r="I401" s="5">
        <f>IF($N401="","",IF(INDEX('Per Invoice'!$I$2:$I$801,$N401)="","",INDEX('Per Invoice'!$I$2:$I$801,$N401)))</f>
        <v/>
      </c>
      <c r="J401" s="5">
        <f>IF($N401="","",IF(INDEX('Per Invoice'!$J$2:$J$801,$N401)="","",INDEX('Per Invoice'!$J$2:$J$801,$N401)))</f>
        <v/>
      </c>
      <c r="K401" s="5">
        <f>IF($N401="","",IF(INDEX('Per Invoice'!$K$2:$K$801,$N401)="","",INDEX('Per Invoice'!$K$2:$K$801,$N401)))</f>
        <v/>
      </c>
      <c r="L401" s="5">
        <f>IF($N401="","",IF(INDEX('Per Invoice'!$L$2:$L$801,$N401)="","",INDEX('Per Invoice'!$L$2:$L$801,$N401)))</f>
        <v/>
      </c>
      <c r="M401" s="5">
        <f>IF($N401="","",IF(INDEX('Per Invoice'!$M$2:$M$801,$N401)="","",INDEX('Per Invoice'!$M$2:$M$801,$N401)))</f>
        <v/>
      </c>
      <c r="N401">
        <f>IF(ROWS($N$2:$N401)&lt;=COUNT('Per Invoice'!$P$2:$P$801),MATCH(ROWS($N$2:$N401),'Per Invoice'!$P$2:$P$801,0),"")</f>
        <v/>
      </c>
    </row>
    <row r="402">
      <c r="A402">
        <f>IF($N402="","",IF(INDEX('Per Invoice'!$A$2:$A$801,$N402)="","",INDEX('Per Invoice'!$A$2:$A$801,$N402)))</f>
        <v/>
      </c>
      <c r="B402">
        <f>IF($N402="","",IF(INDEX('Per Invoice'!$B$2:$B$801,$N402)="","",INDEX('Per Invoice'!$B$2:$B$801,$N402)))</f>
        <v/>
      </c>
      <c r="C402">
        <f>IF($N402="","",IF(INDEX('Per Invoice'!$C$2:$C$801,$N402)="","",INDEX('Per Invoice'!$C$2:$C$801,$N402)))</f>
        <v/>
      </c>
      <c r="D402">
        <f>IF($N402="","",IF(INDEX('Per Invoice'!$D$2:$D$801,$N402)="","",INDEX('Per Invoice'!$D$2:$D$801,$N402)))</f>
        <v/>
      </c>
      <c r="E402">
        <f>IF($N402="","",IF(INDEX('Per Invoice'!$E$2:$E$801,$N402)="","",INDEX('Per Invoice'!$E$2:$E$801,$N402)))</f>
        <v/>
      </c>
      <c r="F402">
        <f>IF($N402="","",IF(INDEX('Per Invoice'!$F$2:$F$801,$N402)="","",INDEX('Per Invoice'!$F$2:$F$801,$N402)))</f>
        <v/>
      </c>
      <c r="G402">
        <f>IF($N402="","",IF(INDEX('Per Invoice'!$G$2:$G$801,$N402)="","",INDEX('Per Invoice'!$G$2:$G$801,$N402)))</f>
        <v/>
      </c>
      <c r="H402">
        <f>IF($N402="","",IF(INDEX('Per Invoice'!$H$2:$H$801,$N402)="","",INDEX('Per Invoice'!$H$2:$H$801,$N402)))</f>
        <v/>
      </c>
      <c r="I402" s="5">
        <f>IF($N402="","",IF(INDEX('Per Invoice'!$I$2:$I$801,$N402)="","",INDEX('Per Invoice'!$I$2:$I$801,$N402)))</f>
        <v/>
      </c>
      <c r="J402" s="5">
        <f>IF($N402="","",IF(INDEX('Per Invoice'!$J$2:$J$801,$N402)="","",INDEX('Per Invoice'!$J$2:$J$801,$N402)))</f>
        <v/>
      </c>
      <c r="K402" s="5">
        <f>IF($N402="","",IF(INDEX('Per Invoice'!$K$2:$K$801,$N402)="","",INDEX('Per Invoice'!$K$2:$K$801,$N402)))</f>
        <v/>
      </c>
      <c r="L402" s="5">
        <f>IF($N402="","",IF(INDEX('Per Invoice'!$L$2:$L$801,$N402)="","",INDEX('Per Invoice'!$L$2:$L$801,$N402)))</f>
        <v/>
      </c>
      <c r="M402" s="5">
        <f>IF($N402="","",IF(INDEX('Per Invoice'!$M$2:$M$801,$N402)="","",INDEX('Per Invoice'!$M$2:$M$801,$N402)))</f>
        <v/>
      </c>
      <c r="N402">
        <f>IF(ROWS($N$2:$N402)&lt;=COUNT('Per Invoice'!$P$2:$P$801),MATCH(ROWS($N$2:$N402),'Per Invoice'!$P$2:$P$801,0),"")</f>
        <v/>
      </c>
    </row>
    <row r="403">
      <c r="A403">
        <f>IF($N403="","",IF(INDEX('Per Invoice'!$A$2:$A$801,$N403)="","",INDEX('Per Invoice'!$A$2:$A$801,$N403)))</f>
        <v/>
      </c>
      <c r="B403">
        <f>IF($N403="","",IF(INDEX('Per Invoice'!$B$2:$B$801,$N403)="","",INDEX('Per Invoice'!$B$2:$B$801,$N403)))</f>
        <v/>
      </c>
      <c r="C403">
        <f>IF($N403="","",IF(INDEX('Per Invoice'!$C$2:$C$801,$N403)="","",INDEX('Per Invoice'!$C$2:$C$801,$N403)))</f>
        <v/>
      </c>
      <c r="D403">
        <f>IF($N403="","",IF(INDEX('Per Invoice'!$D$2:$D$801,$N403)="","",INDEX('Per Invoice'!$D$2:$D$801,$N403)))</f>
        <v/>
      </c>
      <c r="E403">
        <f>IF($N403="","",IF(INDEX('Per Invoice'!$E$2:$E$801,$N403)="","",INDEX('Per Invoice'!$E$2:$E$801,$N403)))</f>
        <v/>
      </c>
      <c r="F403">
        <f>IF($N403="","",IF(INDEX('Per Invoice'!$F$2:$F$801,$N403)="","",INDEX('Per Invoice'!$F$2:$F$801,$N403)))</f>
        <v/>
      </c>
      <c r="G403">
        <f>IF($N403="","",IF(INDEX('Per Invoice'!$G$2:$G$801,$N403)="","",INDEX('Per Invoice'!$G$2:$G$801,$N403)))</f>
        <v/>
      </c>
      <c r="H403">
        <f>IF($N403="","",IF(INDEX('Per Invoice'!$H$2:$H$801,$N403)="","",INDEX('Per Invoice'!$H$2:$H$801,$N403)))</f>
        <v/>
      </c>
      <c r="I403" s="5">
        <f>IF($N403="","",IF(INDEX('Per Invoice'!$I$2:$I$801,$N403)="","",INDEX('Per Invoice'!$I$2:$I$801,$N403)))</f>
        <v/>
      </c>
      <c r="J403" s="5">
        <f>IF($N403="","",IF(INDEX('Per Invoice'!$J$2:$J$801,$N403)="","",INDEX('Per Invoice'!$J$2:$J$801,$N403)))</f>
        <v/>
      </c>
      <c r="K403" s="5">
        <f>IF($N403="","",IF(INDEX('Per Invoice'!$K$2:$K$801,$N403)="","",INDEX('Per Invoice'!$K$2:$K$801,$N403)))</f>
        <v/>
      </c>
      <c r="L403" s="5">
        <f>IF($N403="","",IF(INDEX('Per Invoice'!$L$2:$L$801,$N403)="","",INDEX('Per Invoice'!$L$2:$L$801,$N403)))</f>
        <v/>
      </c>
      <c r="M403" s="5">
        <f>IF($N403="","",IF(INDEX('Per Invoice'!$M$2:$M$801,$N403)="","",INDEX('Per Invoice'!$M$2:$M$801,$N403)))</f>
        <v/>
      </c>
      <c r="N403">
        <f>IF(ROWS($N$2:$N403)&lt;=COUNT('Per Invoice'!$P$2:$P$801),MATCH(ROWS($N$2:$N403),'Per Invoice'!$P$2:$P$801,0),"")</f>
        <v/>
      </c>
    </row>
    <row r="404">
      <c r="A404">
        <f>IF($N404="","",IF(INDEX('Per Invoice'!$A$2:$A$801,$N404)="","",INDEX('Per Invoice'!$A$2:$A$801,$N404)))</f>
        <v/>
      </c>
      <c r="B404">
        <f>IF($N404="","",IF(INDEX('Per Invoice'!$B$2:$B$801,$N404)="","",INDEX('Per Invoice'!$B$2:$B$801,$N404)))</f>
        <v/>
      </c>
      <c r="C404">
        <f>IF($N404="","",IF(INDEX('Per Invoice'!$C$2:$C$801,$N404)="","",INDEX('Per Invoice'!$C$2:$C$801,$N404)))</f>
        <v/>
      </c>
      <c r="D404">
        <f>IF($N404="","",IF(INDEX('Per Invoice'!$D$2:$D$801,$N404)="","",INDEX('Per Invoice'!$D$2:$D$801,$N404)))</f>
        <v/>
      </c>
      <c r="E404">
        <f>IF($N404="","",IF(INDEX('Per Invoice'!$E$2:$E$801,$N404)="","",INDEX('Per Invoice'!$E$2:$E$801,$N404)))</f>
        <v/>
      </c>
      <c r="F404">
        <f>IF($N404="","",IF(INDEX('Per Invoice'!$F$2:$F$801,$N404)="","",INDEX('Per Invoice'!$F$2:$F$801,$N404)))</f>
        <v/>
      </c>
      <c r="G404">
        <f>IF($N404="","",IF(INDEX('Per Invoice'!$G$2:$G$801,$N404)="","",INDEX('Per Invoice'!$G$2:$G$801,$N404)))</f>
        <v/>
      </c>
      <c r="H404">
        <f>IF($N404="","",IF(INDEX('Per Invoice'!$H$2:$H$801,$N404)="","",INDEX('Per Invoice'!$H$2:$H$801,$N404)))</f>
        <v/>
      </c>
      <c r="I404" s="5">
        <f>IF($N404="","",IF(INDEX('Per Invoice'!$I$2:$I$801,$N404)="","",INDEX('Per Invoice'!$I$2:$I$801,$N404)))</f>
        <v/>
      </c>
      <c r="J404" s="5">
        <f>IF($N404="","",IF(INDEX('Per Invoice'!$J$2:$J$801,$N404)="","",INDEX('Per Invoice'!$J$2:$J$801,$N404)))</f>
        <v/>
      </c>
      <c r="K404" s="5">
        <f>IF($N404="","",IF(INDEX('Per Invoice'!$K$2:$K$801,$N404)="","",INDEX('Per Invoice'!$K$2:$K$801,$N404)))</f>
        <v/>
      </c>
      <c r="L404" s="5">
        <f>IF($N404="","",IF(INDEX('Per Invoice'!$L$2:$L$801,$N404)="","",INDEX('Per Invoice'!$L$2:$L$801,$N404)))</f>
        <v/>
      </c>
      <c r="M404" s="5">
        <f>IF($N404="","",IF(INDEX('Per Invoice'!$M$2:$M$801,$N404)="","",INDEX('Per Invoice'!$M$2:$M$801,$N404)))</f>
        <v/>
      </c>
      <c r="N404">
        <f>IF(ROWS($N$2:$N404)&lt;=COUNT('Per Invoice'!$P$2:$P$801),MATCH(ROWS($N$2:$N404),'Per Invoice'!$P$2:$P$801,0),"")</f>
        <v/>
      </c>
    </row>
    <row r="405">
      <c r="A405">
        <f>IF($N405="","",IF(INDEX('Per Invoice'!$A$2:$A$801,$N405)="","",INDEX('Per Invoice'!$A$2:$A$801,$N405)))</f>
        <v/>
      </c>
      <c r="B405">
        <f>IF($N405="","",IF(INDEX('Per Invoice'!$B$2:$B$801,$N405)="","",INDEX('Per Invoice'!$B$2:$B$801,$N405)))</f>
        <v/>
      </c>
      <c r="C405">
        <f>IF($N405="","",IF(INDEX('Per Invoice'!$C$2:$C$801,$N405)="","",INDEX('Per Invoice'!$C$2:$C$801,$N405)))</f>
        <v/>
      </c>
      <c r="D405">
        <f>IF($N405="","",IF(INDEX('Per Invoice'!$D$2:$D$801,$N405)="","",INDEX('Per Invoice'!$D$2:$D$801,$N405)))</f>
        <v/>
      </c>
      <c r="E405">
        <f>IF($N405="","",IF(INDEX('Per Invoice'!$E$2:$E$801,$N405)="","",INDEX('Per Invoice'!$E$2:$E$801,$N405)))</f>
        <v/>
      </c>
      <c r="F405">
        <f>IF($N405="","",IF(INDEX('Per Invoice'!$F$2:$F$801,$N405)="","",INDEX('Per Invoice'!$F$2:$F$801,$N405)))</f>
        <v/>
      </c>
      <c r="G405">
        <f>IF($N405="","",IF(INDEX('Per Invoice'!$G$2:$G$801,$N405)="","",INDEX('Per Invoice'!$G$2:$G$801,$N405)))</f>
        <v/>
      </c>
      <c r="H405">
        <f>IF($N405="","",IF(INDEX('Per Invoice'!$H$2:$H$801,$N405)="","",INDEX('Per Invoice'!$H$2:$H$801,$N405)))</f>
        <v/>
      </c>
      <c r="I405" s="5">
        <f>IF($N405="","",IF(INDEX('Per Invoice'!$I$2:$I$801,$N405)="","",INDEX('Per Invoice'!$I$2:$I$801,$N405)))</f>
        <v/>
      </c>
      <c r="J405" s="5">
        <f>IF($N405="","",IF(INDEX('Per Invoice'!$J$2:$J$801,$N405)="","",INDEX('Per Invoice'!$J$2:$J$801,$N405)))</f>
        <v/>
      </c>
      <c r="K405" s="5">
        <f>IF($N405="","",IF(INDEX('Per Invoice'!$K$2:$K$801,$N405)="","",INDEX('Per Invoice'!$K$2:$K$801,$N405)))</f>
        <v/>
      </c>
      <c r="L405" s="5">
        <f>IF($N405="","",IF(INDEX('Per Invoice'!$L$2:$L$801,$N405)="","",INDEX('Per Invoice'!$L$2:$L$801,$N405)))</f>
        <v/>
      </c>
      <c r="M405" s="5">
        <f>IF($N405="","",IF(INDEX('Per Invoice'!$M$2:$M$801,$N405)="","",INDEX('Per Invoice'!$M$2:$M$801,$N405)))</f>
        <v/>
      </c>
      <c r="N405">
        <f>IF(ROWS($N$2:$N405)&lt;=COUNT('Per Invoice'!$P$2:$P$801),MATCH(ROWS($N$2:$N405),'Per Invoice'!$P$2:$P$801,0),"")</f>
        <v/>
      </c>
    </row>
    <row r="406">
      <c r="A406">
        <f>IF($N406="","",IF(INDEX('Per Invoice'!$A$2:$A$801,$N406)="","",INDEX('Per Invoice'!$A$2:$A$801,$N406)))</f>
        <v/>
      </c>
      <c r="B406">
        <f>IF($N406="","",IF(INDEX('Per Invoice'!$B$2:$B$801,$N406)="","",INDEX('Per Invoice'!$B$2:$B$801,$N406)))</f>
        <v/>
      </c>
      <c r="C406">
        <f>IF($N406="","",IF(INDEX('Per Invoice'!$C$2:$C$801,$N406)="","",INDEX('Per Invoice'!$C$2:$C$801,$N406)))</f>
        <v/>
      </c>
      <c r="D406">
        <f>IF($N406="","",IF(INDEX('Per Invoice'!$D$2:$D$801,$N406)="","",INDEX('Per Invoice'!$D$2:$D$801,$N406)))</f>
        <v/>
      </c>
      <c r="E406">
        <f>IF($N406="","",IF(INDEX('Per Invoice'!$E$2:$E$801,$N406)="","",INDEX('Per Invoice'!$E$2:$E$801,$N406)))</f>
        <v/>
      </c>
      <c r="F406">
        <f>IF($N406="","",IF(INDEX('Per Invoice'!$F$2:$F$801,$N406)="","",INDEX('Per Invoice'!$F$2:$F$801,$N406)))</f>
        <v/>
      </c>
      <c r="G406">
        <f>IF($N406="","",IF(INDEX('Per Invoice'!$G$2:$G$801,$N406)="","",INDEX('Per Invoice'!$G$2:$G$801,$N406)))</f>
        <v/>
      </c>
      <c r="H406">
        <f>IF($N406="","",IF(INDEX('Per Invoice'!$H$2:$H$801,$N406)="","",INDEX('Per Invoice'!$H$2:$H$801,$N406)))</f>
        <v/>
      </c>
      <c r="I406" s="5">
        <f>IF($N406="","",IF(INDEX('Per Invoice'!$I$2:$I$801,$N406)="","",INDEX('Per Invoice'!$I$2:$I$801,$N406)))</f>
        <v/>
      </c>
      <c r="J406" s="5">
        <f>IF($N406="","",IF(INDEX('Per Invoice'!$J$2:$J$801,$N406)="","",INDEX('Per Invoice'!$J$2:$J$801,$N406)))</f>
        <v/>
      </c>
      <c r="K406" s="5">
        <f>IF($N406="","",IF(INDEX('Per Invoice'!$K$2:$K$801,$N406)="","",INDEX('Per Invoice'!$K$2:$K$801,$N406)))</f>
        <v/>
      </c>
      <c r="L406" s="5">
        <f>IF($N406="","",IF(INDEX('Per Invoice'!$L$2:$L$801,$N406)="","",INDEX('Per Invoice'!$L$2:$L$801,$N406)))</f>
        <v/>
      </c>
      <c r="M406" s="5">
        <f>IF($N406="","",IF(INDEX('Per Invoice'!$M$2:$M$801,$N406)="","",INDEX('Per Invoice'!$M$2:$M$801,$N406)))</f>
        <v/>
      </c>
      <c r="N406">
        <f>IF(ROWS($N$2:$N406)&lt;=COUNT('Per Invoice'!$P$2:$P$801),MATCH(ROWS($N$2:$N406),'Per Invoice'!$P$2:$P$801,0),"")</f>
        <v/>
      </c>
    </row>
    <row r="407">
      <c r="A407">
        <f>IF($N407="","",IF(INDEX('Per Invoice'!$A$2:$A$801,$N407)="","",INDEX('Per Invoice'!$A$2:$A$801,$N407)))</f>
        <v/>
      </c>
      <c r="B407">
        <f>IF($N407="","",IF(INDEX('Per Invoice'!$B$2:$B$801,$N407)="","",INDEX('Per Invoice'!$B$2:$B$801,$N407)))</f>
        <v/>
      </c>
      <c r="C407">
        <f>IF($N407="","",IF(INDEX('Per Invoice'!$C$2:$C$801,$N407)="","",INDEX('Per Invoice'!$C$2:$C$801,$N407)))</f>
        <v/>
      </c>
      <c r="D407">
        <f>IF($N407="","",IF(INDEX('Per Invoice'!$D$2:$D$801,$N407)="","",INDEX('Per Invoice'!$D$2:$D$801,$N407)))</f>
        <v/>
      </c>
      <c r="E407">
        <f>IF($N407="","",IF(INDEX('Per Invoice'!$E$2:$E$801,$N407)="","",INDEX('Per Invoice'!$E$2:$E$801,$N407)))</f>
        <v/>
      </c>
      <c r="F407">
        <f>IF($N407="","",IF(INDEX('Per Invoice'!$F$2:$F$801,$N407)="","",INDEX('Per Invoice'!$F$2:$F$801,$N407)))</f>
        <v/>
      </c>
      <c r="G407">
        <f>IF($N407="","",IF(INDEX('Per Invoice'!$G$2:$G$801,$N407)="","",INDEX('Per Invoice'!$G$2:$G$801,$N407)))</f>
        <v/>
      </c>
      <c r="H407">
        <f>IF($N407="","",IF(INDEX('Per Invoice'!$H$2:$H$801,$N407)="","",INDEX('Per Invoice'!$H$2:$H$801,$N407)))</f>
        <v/>
      </c>
      <c r="I407" s="5">
        <f>IF($N407="","",IF(INDEX('Per Invoice'!$I$2:$I$801,$N407)="","",INDEX('Per Invoice'!$I$2:$I$801,$N407)))</f>
        <v/>
      </c>
      <c r="J407" s="5">
        <f>IF($N407="","",IF(INDEX('Per Invoice'!$J$2:$J$801,$N407)="","",INDEX('Per Invoice'!$J$2:$J$801,$N407)))</f>
        <v/>
      </c>
      <c r="K407" s="5">
        <f>IF($N407="","",IF(INDEX('Per Invoice'!$K$2:$K$801,$N407)="","",INDEX('Per Invoice'!$K$2:$K$801,$N407)))</f>
        <v/>
      </c>
      <c r="L407" s="5">
        <f>IF($N407="","",IF(INDEX('Per Invoice'!$L$2:$L$801,$N407)="","",INDEX('Per Invoice'!$L$2:$L$801,$N407)))</f>
        <v/>
      </c>
      <c r="M407" s="5">
        <f>IF($N407="","",IF(INDEX('Per Invoice'!$M$2:$M$801,$N407)="","",INDEX('Per Invoice'!$M$2:$M$801,$N407)))</f>
        <v/>
      </c>
      <c r="N407">
        <f>IF(ROWS($N$2:$N407)&lt;=COUNT('Per Invoice'!$P$2:$P$801),MATCH(ROWS($N$2:$N407),'Per Invoice'!$P$2:$P$801,0),"")</f>
        <v/>
      </c>
    </row>
    <row r="408">
      <c r="A408">
        <f>IF($N408="","",IF(INDEX('Per Invoice'!$A$2:$A$801,$N408)="","",INDEX('Per Invoice'!$A$2:$A$801,$N408)))</f>
        <v/>
      </c>
      <c r="B408">
        <f>IF($N408="","",IF(INDEX('Per Invoice'!$B$2:$B$801,$N408)="","",INDEX('Per Invoice'!$B$2:$B$801,$N408)))</f>
        <v/>
      </c>
      <c r="C408">
        <f>IF($N408="","",IF(INDEX('Per Invoice'!$C$2:$C$801,$N408)="","",INDEX('Per Invoice'!$C$2:$C$801,$N408)))</f>
        <v/>
      </c>
      <c r="D408">
        <f>IF($N408="","",IF(INDEX('Per Invoice'!$D$2:$D$801,$N408)="","",INDEX('Per Invoice'!$D$2:$D$801,$N408)))</f>
        <v/>
      </c>
      <c r="E408">
        <f>IF($N408="","",IF(INDEX('Per Invoice'!$E$2:$E$801,$N408)="","",INDEX('Per Invoice'!$E$2:$E$801,$N408)))</f>
        <v/>
      </c>
      <c r="F408">
        <f>IF($N408="","",IF(INDEX('Per Invoice'!$F$2:$F$801,$N408)="","",INDEX('Per Invoice'!$F$2:$F$801,$N408)))</f>
        <v/>
      </c>
      <c r="G408">
        <f>IF($N408="","",IF(INDEX('Per Invoice'!$G$2:$G$801,$N408)="","",INDEX('Per Invoice'!$G$2:$G$801,$N408)))</f>
        <v/>
      </c>
      <c r="H408">
        <f>IF($N408="","",IF(INDEX('Per Invoice'!$H$2:$H$801,$N408)="","",INDEX('Per Invoice'!$H$2:$H$801,$N408)))</f>
        <v/>
      </c>
      <c r="I408" s="5">
        <f>IF($N408="","",IF(INDEX('Per Invoice'!$I$2:$I$801,$N408)="","",INDEX('Per Invoice'!$I$2:$I$801,$N408)))</f>
        <v/>
      </c>
      <c r="J408" s="5">
        <f>IF($N408="","",IF(INDEX('Per Invoice'!$J$2:$J$801,$N408)="","",INDEX('Per Invoice'!$J$2:$J$801,$N408)))</f>
        <v/>
      </c>
      <c r="K408" s="5">
        <f>IF($N408="","",IF(INDEX('Per Invoice'!$K$2:$K$801,$N408)="","",INDEX('Per Invoice'!$K$2:$K$801,$N408)))</f>
        <v/>
      </c>
      <c r="L408" s="5">
        <f>IF($N408="","",IF(INDEX('Per Invoice'!$L$2:$L$801,$N408)="","",INDEX('Per Invoice'!$L$2:$L$801,$N408)))</f>
        <v/>
      </c>
      <c r="M408" s="5">
        <f>IF($N408="","",IF(INDEX('Per Invoice'!$M$2:$M$801,$N408)="","",INDEX('Per Invoice'!$M$2:$M$801,$N408)))</f>
        <v/>
      </c>
      <c r="N408">
        <f>IF(ROWS($N$2:$N408)&lt;=COUNT('Per Invoice'!$P$2:$P$801),MATCH(ROWS($N$2:$N408),'Per Invoice'!$P$2:$P$801,0),"")</f>
        <v/>
      </c>
    </row>
    <row r="409">
      <c r="A409">
        <f>IF($N409="","",IF(INDEX('Per Invoice'!$A$2:$A$801,$N409)="","",INDEX('Per Invoice'!$A$2:$A$801,$N409)))</f>
        <v/>
      </c>
      <c r="B409">
        <f>IF($N409="","",IF(INDEX('Per Invoice'!$B$2:$B$801,$N409)="","",INDEX('Per Invoice'!$B$2:$B$801,$N409)))</f>
        <v/>
      </c>
      <c r="C409">
        <f>IF($N409="","",IF(INDEX('Per Invoice'!$C$2:$C$801,$N409)="","",INDEX('Per Invoice'!$C$2:$C$801,$N409)))</f>
        <v/>
      </c>
      <c r="D409">
        <f>IF($N409="","",IF(INDEX('Per Invoice'!$D$2:$D$801,$N409)="","",INDEX('Per Invoice'!$D$2:$D$801,$N409)))</f>
        <v/>
      </c>
      <c r="E409">
        <f>IF($N409="","",IF(INDEX('Per Invoice'!$E$2:$E$801,$N409)="","",INDEX('Per Invoice'!$E$2:$E$801,$N409)))</f>
        <v/>
      </c>
      <c r="F409">
        <f>IF($N409="","",IF(INDEX('Per Invoice'!$F$2:$F$801,$N409)="","",INDEX('Per Invoice'!$F$2:$F$801,$N409)))</f>
        <v/>
      </c>
      <c r="G409">
        <f>IF($N409="","",IF(INDEX('Per Invoice'!$G$2:$G$801,$N409)="","",INDEX('Per Invoice'!$G$2:$G$801,$N409)))</f>
        <v/>
      </c>
      <c r="H409">
        <f>IF($N409="","",IF(INDEX('Per Invoice'!$H$2:$H$801,$N409)="","",INDEX('Per Invoice'!$H$2:$H$801,$N409)))</f>
        <v/>
      </c>
      <c r="I409" s="5">
        <f>IF($N409="","",IF(INDEX('Per Invoice'!$I$2:$I$801,$N409)="","",INDEX('Per Invoice'!$I$2:$I$801,$N409)))</f>
        <v/>
      </c>
      <c r="J409" s="5">
        <f>IF($N409="","",IF(INDEX('Per Invoice'!$J$2:$J$801,$N409)="","",INDEX('Per Invoice'!$J$2:$J$801,$N409)))</f>
        <v/>
      </c>
      <c r="K409" s="5">
        <f>IF($N409="","",IF(INDEX('Per Invoice'!$K$2:$K$801,$N409)="","",INDEX('Per Invoice'!$K$2:$K$801,$N409)))</f>
        <v/>
      </c>
      <c r="L409" s="5">
        <f>IF($N409="","",IF(INDEX('Per Invoice'!$L$2:$L$801,$N409)="","",INDEX('Per Invoice'!$L$2:$L$801,$N409)))</f>
        <v/>
      </c>
      <c r="M409" s="5">
        <f>IF($N409="","",IF(INDEX('Per Invoice'!$M$2:$M$801,$N409)="","",INDEX('Per Invoice'!$M$2:$M$801,$N409)))</f>
        <v/>
      </c>
      <c r="N409">
        <f>IF(ROWS($N$2:$N409)&lt;=COUNT('Per Invoice'!$P$2:$P$801),MATCH(ROWS($N$2:$N409),'Per Invoice'!$P$2:$P$801,0),"")</f>
        <v/>
      </c>
    </row>
    <row r="410">
      <c r="A410">
        <f>IF($N410="","",IF(INDEX('Per Invoice'!$A$2:$A$801,$N410)="","",INDEX('Per Invoice'!$A$2:$A$801,$N410)))</f>
        <v/>
      </c>
      <c r="B410">
        <f>IF($N410="","",IF(INDEX('Per Invoice'!$B$2:$B$801,$N410)="","",INDEX('Per Invoice'!$B$2:$B$801,$N410)))</f>
        <v/>
      </c>
      <c r="C410">
        <f>IF($N410="","",IF(INDEX('Per Invoice'!$C$2:$C$801,$N410)="","",INDEX('Per Invoice'!$C$2:$C$801,$N410)))</f>
        <v/>
      </c>
      <c r="D410">
        <f>IF($N410="","",IF(INDEX('Per Invoice'!$D$2:$D$801,$N410)="","",INDEX('Per Invoice'!$D$2:$D$801,$N410)))</f>
        <v/>
      </c>
      <c r="E410">
        <f>IF($N410="","",IF(INDEX('Per Invoice'!$E$2:$E$801,$N410)="","",INDEX('Per Invoice'!$E$2:$E$801,$N410)))</f>
        <v/>
      </c>
      <c r="F410">
        <f>IF($N410="","",IF(INDEX('Per Invoice'!$F$2:$F$801,$N410)="","",INDEX('Per Invoice'!$F$2:$F$801,$N410)))</f>
        <v/>
      </c>
      <c r="G410">
        <f>IF($N410="","",IF(INDEX('Per Invoice'!$G$2:$G$801,$N410)="","",INDEX('Per Invoice'!$G$2:$G$801,$N410)))</f>
        <v/>
      </c>
      <c r="H410">
        <f>IF($N410="","",IF(INDEX('Per Invoice'!$H$2:$H$801,$N410)="","",INDEX('Per Invoice'!$H$2:$H$801,$N410)))</f>
        <v/>
      </c>
      <c r="I410" s="5">
        <f>IF($N410="","",IF(INDEX('Per Invoice'!$I$2:$I$801,$N410)="","",INDEX('Per Invoice'!$I$2:$I$801,$N410)))</f>
        <v/>
      </c>
      <c r="J410" s="5">
        <f>IF($N410="","",IF(INDEX('Per Invoice'!$J$2:$J$801,$N410)="","",INDEX('Per Invoice'!$J$2:$J$801,$N410)))</f>
        <v/>
      </c>
      <c r="K410" s="5">
        <f>IF($N410="","",IF(INDEX('Per Invoice'!$K$2:$K$801,$N410)="","",INDEX('Per Invoice'!$K$2:$K$801,$N410)))</f>
        <v/>
      </c>
      <c r="L410" s="5">
        <f>IF($N410="","",IF(INDEX('Per Invoice'!$L$2:$L$801,$N410)="","",INDEX('Per Invoice'!$L$2:$L$801,$N410)))</f>
        <v/>
      </c>
      <c r="M410" s="5">
        <f>IF($N410="","",IF(INDEX('Per Invoice'!$M$2:$M$801,$N410)="","",INDEX('Per Invoice'!$M$2:$M$801,$N410)))</f>
        <v/>
      </c>
      <c r="N410">
        <f>IF(ROWS($N$2:$N410)&lt;=COUNT('Per Invoice'!$P$2:$P$801),MATCH(ROWS($N$2:$N410),'Per Invoice'!$P$2:$P$801,0),"")</f>
        <v/>
      </c>
    </row>
    <row r="411">
      <c r="A411">
        <f>IF($N411="","",IF(INDEX('Per Invoice'!$A$2:$A$801,$N411)="","",INDEX('Per Invoice'!$A$2:$A$801,$N411)))</f>
        <v/>
      </c>
      <c r="B411">
        <f>IF($N411="","",IF(INDEX('Per Invoice'!$B$2:$B$801,$N411)="","",INDEX('Per Invoice'!$B$2:$B$801,$N411)))</f>
        <v/>
      </c>
      <c r="C411">
        <f>IF($N411="","",IF(INDEX('Per Invoice'!$C$2:$C$801,$N411)="","",INDEX('Per Invoice'!$C$2:$C$801,$N411)))</f>
        <v/>
      </c>
      <c r="D411">
        <f>IF($N411="","",IF(INDEX('Per Invoice'!$D$2:$D$801,$N411)="","",INDEX('Per Invoice'!$D$2:$D$801,$N411)))</f>
        <v/>
      </c>
      <c r="E411">
        <f>IF($N411="","",IF(INDEX('Per Invoice'!$E$2:$E$801,$N411)="","",INDEX('Per Invoice'!$E$2:$E$801,$N411)))</f>
        <v/>
      </c>
      <c r="F411">
        <f>IF($N411="","",IF(INDEX('Per Invoice'!$F$2:$F$801,$N411)="","",INDEX('Per Invoice'!$F$2:$F$801,$N411)))</f>
        <v/>
      </c>
      <c r="G411">
        <f>IF($N411="","",IF(INDEX('Per Invoice'!$G$2:$G$801,$N411)="","",INDEX('Per Invoice'!$G$2:$G$801,$N411)))</f>
        <v/>
      </c>
      <c r="H411">
        <f>IF($N411="","",IF(INDEX('Per Invoice'!$H$2:$H$801,$N411)="","",INDEX('Per Invoice'!$H$2:$H$801,$N411)))</f>
        <v/>
      </c>
      <c r="I411" s="5">
        <f>IF($N411="","",IF(INDEX('Per Invoice'!$I$2:$I$801,$N411)="","",INDEX('Per Invoice'!$I$2:$I$801,$N411)))</f>
        <v/>
      </c>
      <c r="J411" s="5">
        <f>IF($N411="","",IF(INDEX('Per Invoice'!$J$2:$J$801,$N411)="","",INDEX('Per Invoice'!$J$2:$J$801,$N411)))</f>
        <v/>
      </c>
      <c r="K411" s="5">
        <f>IF($N411="","",IF(INDEX('Per Invoice'!$K$2:$K$801,$N411)="","",INDEX('Per Invoice'!$K$2:$K$801,$N411)))</f>
        <v/>
      </c>
      <c r="L411" s="5">
        <f>IF($N411="","",IF(INDEX('Per Invoice'!$L$2:$L$801,$N411)="","",INDEX('Per Invoice'!$L$2:$L$801,$N411)))</f>
        <v/>
      </c>
      <c r="M411" s="5">
        <f>IF($N411="","",IF(INDEX('Per Invoice'!$M$2:$M$801,$N411)="","",INDEX('Per Invoice'!$M$2:$M$801,$N411)))</f>
        <v/>
      </c>
      <c r="N411">
        <f>IF(ROWS($N$2:$N411)&lt;=COUNT('Per Invoice'!$P$2:$P$801),MATCH(ROWS($N$2:$N411),'Per Invoice'!$P$2:$P$801,0),"")</f>
        <v/>
      </c>
    </row>
    <row r="412">
      <c r="A412">
        <f>IF($N412="","",IF(INDEX('Per Invoice'!$A$2:$A$801,$N412)="","",INDEX('Per Invoice'!$A$2:$A$801,$N412)))</f>
        <v/>
      </c>
      <c r="B412">
        <f>IF($N412="","",IF(INDEX('Per Invoice'!$B$2:$B$801,$N412)="","",INDEX('Per Invoice'!$B$2:$B$801,$N412)))</f>
        <v/>
      </c>
      <c r="C412">
        <f>IF($N412="","",IF(INDEX('Per Invoice'!$C$2:$C$801,$N412)="","",INDEX('Per Invoice'!$C$2:$C$801,$N412)))</f>
        <v/>
      </c>
      <c r="D412">
        <f>IF($N412="","",IF(INDEX('Per Invoice'!$D$2:$D$801,$N412)="","",INDEX('Per Invoice'!$D$2:$D$801,$N412)))</f>
        <v/>
      </c>
      <c r="E412">
        <f>IF($N412="","",IF(INDEX('Per Invoice'!$E$2:$E$801,$N412)="","",INDEX('Per Invoice'!$E$2:$E$801,$N412)))</f>
        <v/>
      </c>
      <c r="F412">
        <f>IF($N412="","",IF(INDEX('Per Invoice'!$F$2:$F$801,$N412)="","",INDEX('Per Invoice'!$F$2:$F$801,$N412)))</f>
        <v/>
      </c>
      <c r="G412">
        <f>IF($N412="","",IF(INDEX('Per Invoice'!$G$2:$G$801,$N412)="","",INDEX('Per Invoice'!$G$2:$G$801,$N412)))</f>
        <v/>
      </c>
      <c r="H412">
        <f>IF($N412="","",IF(INDEX('Per Invoice'!$H$2:$H$801,$N412)="","",INDEX('Per Invoice'!$H$2:$H$801,$N412)))</f>
        <v/>
      </c>
      <c r="I412" s="5">
        <f>IF($N412="","",IF(INDEX('Per Invoice'!$I$2:$I$801,$N412)="","",INDEX('Per Invoice'!$I$2:$I$801,$N412)))</f>
        <v/>
      </c>
      <c r="J412" s="5">
        <f>IF($N412="","",IF(INDEX('Per Invoice'!$J$2:$J$801,$N412)="","",INDEX('Per Invoice'!$J$2:$J$801,$N412)))</f>
        <v/>
      </c>
      <c r="K412" s="5">
        <f>IF($N412="","",IF(INDEX('Per Invoice'!$K$2:$K$801,$N412)="","",INDEX('Per Invoice'!$K$2:$K$801,$N412)))</f>
        <v/>
      </c>
      <c r="L412" s="5">
        <f>IF($N412="","",IF(INDEX('Per Invoice'!$L$2:$L$801,$N412)="","",INDEX('Per Invoice'!$L$2:$L$801,$N412)))</f>
        <v/>
      </c>
      <c r="M412" s="5">
        <f>IF($N412="","",IF(INDEX('Per Invoice'!$M$2:$M$801,$N412)="","",INDEX('Per Invoice'!$M$2:$M$801,$N412)))</f>
        <v/>
      </c>
      <c r="N412">
        <f>IF(ROWS($N$2:$N412)&lt;=COUNT('Per Invoice'!$P$2:$P$801),MATCH(ROWS($N$2:$N412),'Per Invoice'!$P$2:$P$801,0),"")</f>
        <v/>
      </c>
    </row>
    <row r="413">
      <c r="A413">
        <f>IF($N413="","",IF(INDEX('Per Invoice'!$A$2:$A$801,$N413)="","",INDEX('Per Invoice'!$A$2:$A$801,$N413)))</f>
        <v/>
      </c>
      <c r="B413">
        <f>IF($N413="","",IF(INDEX('Per Invoice'!$B$2:$B$801,$N413)="","",INDEX('Per Invoice'!$B$2:$B$801,$N413)))</f>
        <v/>
      </c>
      <c r="C413">
        <f>IF($N413="","",IF(INDEX('Per Invoice'!$C$2:$C$801,$N413)="","",INDEX('Per Invoice'!$C$2:$C$801,$N413)))</f>
        <v/>
      </c>
      <c r="D413">
        <f>IF($N413="","",IF(INDEX('Per Invoice'!$D$2:$D$801,$N413)="","",INDEX('Per Invoice'!$D$2:$D$801,$N413)))</f>
        <v/>
      </c>
      <c r="E413">
        <f>IF($N413="","",IF(INDEX('Per Invoice'!$E$2:$E$801,$N413)="","",INDEX('Per Invoice'!$E$2:$E$801,$N413)))</f>
        <v/>
      </c>
      <c r="F413">
        <f>IF($N413="","",IF(INDEX('Per Invoice'!$F$2:$F$801,$N413)="","",INDEX('Per Invoice'!$F$2:$F$801,$N413)))</f>
        <v/>
      </c>
      <c r="G413">
        <f>IF($N413="","",IF(INDEX('Per Invoice'!$G$2:$G$801,$N413)="","",INDEX('Per Invoice'!$G$2:$G$801,$N413)))</f>
        <v/>
      </c>
      <c r="H413">
        <f>IF($N413="","",IF(INDEX('Per Invoice'!$H$2:$H$801,$N413)="","",INDEX('Per Invoice'!$H$2:$H$801,$N413)))</f>
        <v/>
      </c>
      <c r="I413" s="5">
        <f>IF($N413="","",IF(INDEX('Per Invoice'!$I$2:$I$801,$N413)="","",INDEX('Per Invoice'!$I$2:$I$801,$N413)))</f>
        <v/>
      </c>
      <c r="J413" s="5">
        <f>IF($N413="","",IF(INDEX('Per Invoice'!$J$2:$J$801,$N413)="","",INDEX('Per Invoice'!$J$2:$J$801,$N413)))</f>
        <v/>
      </c>
      <c r="K413" s="5">
        <f>IF($N413="","",IF(INDEX('Per Invoice'!$K$2:$K$801,$N413)="","",INDEX('Per Invoice'!$K$2:$K$801,$N413)))</f>
        <v/>
      </c>
      <c r="L413" s="5">
        <f>IF($N413="","",IF(INDEX('Per Invoice'!$L$2:$L$801,$N413)="","",INDEX('Per Invoice'!$L$2:$L$801,$N413)))</f>
        <v/>
      </c>
      <c r="M413" s="5">
        <f>IF($N413="","",IF(INDEX('Per Invoice'!$M$2:$M$801,$N413)="","",INDEX('Per Invoice'!$M$2:$M$801,$N413)))</f>
        <v/>
      </c>
      <c r="N413">
        <f>IF(ROWS($N$2:$N413)&lt;=COUNT('Per Invoice'!$P$2:$P$801),MATCH(ROWS($N$2:$N413),'Per Invoice'!$P$2:$P$801,0),"")</f>
        <v/>
      </c>
    </row>
    <row r="414">
      <c r="A414">
        <f>IF($N414="","",IF(INDEX('Per Invoice'!$A$2:$A$801,$N414)="","",INDEX('Per Invoice'!$A$2:$A$801,$N414)))</f>
        <v/>
      </c>
      <c r="B414">
        <f>IF($N414="","",IF(INDEX('Per Invoice'!$B$2:$B$801,$N414)="","",INDEX('Per Invoice'!$B$2:$B$801,$N414)))</f>
        <v/>
      </c>
      <c r="C414">
        <f>IF($N414="","",IF(INDEX('Per Invoice'!$C$2:$C$801,$N414)="","",INDEX('Per Invoice'!$C$2:$C$801,$N414)))</f>
        <v/>
      </c>
      <c r="D414">
        <f>IF($N414="","",IF(INDEX('Per Invoice'!$D$2:$D$801,$N414)="","",INDEX('Per Invoice'!$D$2:$D$801,$N414)))</f>
        <v/>
      </c>
      <c r="E414">
        <f>IF($N414="","",IF(INDEX('Per Invoice'!$E$2:$E$801,$N414)="","",INDEX('Per Invoice'!$E$2:$E$801,$N414)))</f>
        <v/>
      </c>
      <c r="F414">
        <f>IF($N414="","",IF(INDEX('Per Invoice'!$F$2:$F$801,$N414)="","",INDEX('Per Invoice'!$F$2:$F$801,$N414)))</f>
        <v/>
      </c>
      <c r="G414">
        <f>IF($N414="","",IF(INDEX('Per Invoice'!$G$2:$G$801,$N414)="","",INDEX('Per Invoice'!$G$2:$G$801,$N414)))</f>
        <v/>
      </c>
      <c r="H414">
        <f>IF($N414="","",IF(INDEX('Per Invoice'!$H$2:$H$801,$N414)="","",INDEX('Per Invoice'!$H$2:$H$801,$N414)))</f>
        <v/>
      </c>
      <c r="I414" s="5">
        <f>IF($N414="","",IF(INDEX('Per Invoice'!$I$2:$I$801,$N414)="","",INDEX('Per Invoice'!$I$2:$I$801,$N414)))</f>
        <v/>
      </c>
      <c r="J414" s="5">
        <f>IF($N414="","",IF(INDEX('Per Invoice'!$J$2:$J$801,$N414)="","",INDEX('Per Invoice'!$J$2:$J$801,$N414)))</f>
        <v/>
      </c>
      <c r="K414" s="5">
        <f>IF($N414="","",IF(INDEX('Per Invoice'!$K$2:$K$801,$N414)="","",INDEX('Per Invoice'!$K$2:$K$801,$N414)))</f>
        <v/>
      </c>
      <c r="L414" s="5">
        <f>IF($N414="","",IF(INDEX('Per Invoice'!$L$2:$L$801,$N414)="","",INDEX('Per Invoice'!$L$2:$L$801,$N414)))</f>
        <v/>
      </c>
      <c r="M414" s="5">
        <f>IF($N414="","",IF(INDEX('Per Invoice'!$M$2:$M$801,$N414)="","",INDEX('Per Invoice'!$M$2:$M$801,$N414)))</f>
        <v/>
      </c>
      <c r="N414">
        <f>IF(ROWS($N$2:$N414)&lt;=COUNT('Per Invoice'!$P$2:$P$801),MATCH(ROWS($N$2:$N414),'Per Invoice'!$P$2:$P$801,0),"")</f>
        <v/>
      </c>
    </row>
    <row r="415">
      <c r="A415">
        <f>IF($N415="","",IF(INDEX('Per Invoice'!$A$2:$A$801,$N415)="","",INDEX('Per Invoice'!$A$2:$A$801,$N415)))</f>
        <v/>
      </c>
      <c r="B415">
        <f>IF($N415="","",IF(INDEX('Per Invoice'!$B$2:$B$801,$N415)="","",INDEX('Per Invoice'!$B$2:$B$801,$N415)))</f>
        <v/>
      </c>
      <c r="C415">
        <f>IF($N415="","",IF(INDEX('Per Invoice'!$C$2:$C$801,$N415)="","",INDEX('Per Invoice'!$C$2:$C$801,$N415)))</f>
        <v/>
      </c>
      <c r="D415">
        <f>IF($N415="","",IF(INDEX('Per Invoice'!$D$2:$D$801,$N415)="","",INDEX('Per Invoice'!$D$2:$D$801,$N415)))</f>
        <v/>
      </c>
      <c r="E415">
        <f>IF($N415="","",IF(INDEX('Per Invoice'!$E$2:$E$801,$N415)="","",INDEX('Per Invoice'!$E$2:$E$801,$N415)))</f>
        <v/>
      </c>
      <c r="F415">
        <f>IF($N415="","",IF(INDEX('Per Invoice'!$F$2:$F$801,$N415)="","",INDEX('Per Invoice'!$F$2:$F$801,$N415)))</f>
        <v/>
      </c>
      <c r="G415">
        <f>IF($N415="","",IF(INDEX('Per Invoice'!$G$2:$G$801,$N415)="","",INDEX('Per Invoice'!$G$2:$G$801,$N415)))</f>
        <v/>
      </c>
      <c r="H415">
        <f>IF($N415="","",IF(INDEX('Per Invoice'!$H$2:$H$801,$N415)="","",INDEX('Per Invoice'!$H$2:$H$801,$N415)))</f>
        <v/>
      </c>
      <c r="I415" s="5">
        <f>IF($N415="","",IF(INDEX('Per Invoice'!$I$2:$I$801,$N415)="","",INDEX('Per Invoice'!$I$2:$I$801,$N415)))</f>
        <v/>
      </c>
      <c r="J415" s="5">
        <f>IF($N415="","",IF(INDEX('Per Invoice'!$J$2:$J$801,$N415)="","",INDEX('Per Invoice'!$J$2:$J$801,$N415)))</f>
        <v/>
      </c>
      <c r="K415" s="5">
        <f>IF($N415="","",IF(INDEX('Per Invoice'!$K$2:$K$801,$N415)="","",INDEX('Per Invoice'!$K$2:$K$801,$N415)))</f>
        <v/>
      </c>
      <c r="L415" s="5">
        <f>IF($N415="","",IF(INDEX('Per Invoice'!$L$2:$L$801,$N415)="","",INDEX('Per Invoice'!$L$2:$L$801,$N415)))</f>
        <v/>
      </c>
      <c r="M415" s="5">
        <f>IF($N415="","",IF(INDEX('Per Invoice'!$M$2:$M$801,$N415)="","",INDEX('Per Invoice'!$M$2:$M$801,$N415)))</f>
        <v/>
      </c>
      <c r="N415">
        <f>IF(ROWS($N$2:$N415)&lt;=COUNT('Per Invoice'!$P$2:$P$801),MATCH(ROWS($N$2:$N415),'Per Invoice'!$P$2:$P$801,0),"")</f>
        <v/>
      </c>
    </row>
    <row r="416">
      <c r="A416">
        <f>IF($N416="","",IF(INDEX('Per Invoice'!$A$2:$A$801,$N416)="","",INDEX('Per Invoice'!$A$2:$A$801,$N416)))</f>
        <v/>
      </c>
      <c r="B416">
        <f>IF($N416="","",IF(INDEX('Per Invoice'!$B$2:$B$801,$N416)="","",INDEX('Per Invoice'!$B$2:$B$801,$N416)))</f>
        <v/>
      </c>
      <c r="C416">
        <f>IF($N416="","",IF(INDEX('Per Invoice'!$C$2:$C$801,$N416)="","",INDEX('Per Invoice'!$C$2:$C$801,$N416)))</f>
        <v/>
      </c>
      <c r="D416">
        <f>IF($N416="","",IF(INDEX('Per Invoice'!$D$2:$D$801,$N416)="","",INDEX('Per Invoice'!$D$2:$D$801,$N416)))</f>
        <v/>
      </c>
      <c r="E416">
        <f>IF($N416="","",IF(INDEX('Per Invoice'!$E$2:$E$801,$N416)="","",INDEX('Per Invoice'!$E$2:$E$801,$N416)))</f>
        <v/>
      </c>
      <c r="F416">
        <f>IF($N416="","",IF(INDEX('Per Invoice'!$F$2:$F$801,$N416)="","",INDEX('Per Invoice'!$F$2:$F$801,$N416)))</f>
        <v/>
      </c>
      <c r="G416">
        <f>IF($N416="","",IF(INDEX('Per Invoice'!$G$2:$G$801,$N416)="","",INDEX('Per Invoice'!$G$2:$G$801,$N416)))</f>
        <v/>
      </c>
      <c r="H416">
        <f>IF($N416="","",IF(INDEX('Per Invoice'!$H$2:$H$801,$N416)="","",INDEX('Per Invoice'!$H$2:$H$801,$N416)))</f>
        <v/>
      </c>
      <c r="I416" s="5">
        <f>IF($N416="","",IF(INDEX('Per Invoice'!$I$2:$I$801,$N416)="","",INDEX('Per Invoice'!$I$2:$I$801,$N416)))</f>
        <v/>
      </c>
      <c r="J416" s="5">
        <f>IF($N416="","",IF(INDEX('Per Invoice'!$J$2:$J$801,$N416)="","",INDEX('Per Invoice'!$J$2:$J$801,$N416)))</f>
        <v/>
      </c>
      <c r="K416" s="5">
        <f>IF($N416="","",IF(INDEX('Per Invoice'!$K$2:$K$801,$N416)="","",INDEX('Per Invoice'!$K$2:$K$801,$N416)))</f>
        <v/>
      </c>
      <c r="L416" s="5">
        <f>IF($N416="","",IF(INDEX('Per Invoice'!$L$2:$L$801,$N416)="","",INDEX('Per Invoice'!$L$2:$L$801,$N416)))</f>
        <v/>
      </c>
      <c r="M416" s="5">
        <f>IF($N416="","",IF(INDEX('Per Invoice'!$M$2:$M$801,$N416)="","",INDEX('Per Invoice'!$M$2:$M$801,$N416)))</f>
        <v/>
      </c>
      <c r="N416">
        <f>IF(ROWS($N$2:$N416)&lt;=COUNT('Per Invoice'!$P$2:$P$801),MATCH(ROWS($N$2:$N416),'Per Invoice'!$P$2:$P$801,0),"")</f>
        <v/>
      </c>
    </row>
    <row r="417">
      <c r="A417">
        <f>IF($N417="","",IF(INDEX('Per Invoice'!$A$2:$A$801,$N417)="","",INDEX('Per Invoice'!$A$2:$A$801,$N417)))</f>
        <v/>
      </c>
      <c r="B417">
        <f>IF($N417="","",IF(INDEX('Per Invoice'!$B$2:$B$801,$N417)="","",INDEX('Per Invoice'!$B$2:$B$801,$N417)))</f>
        <v/>
      </c>
      <c r="C417">
        <f>IF($N417="","",IF(INDEX('Per Invoice'!$C$2:$C$801,$N417)="","",INDEX('Per Invoice'!$C$2:$C$801,$N417)))</f>
        <v/>
      </c>
      <c r="D417">
        <f>IF($N417="","",IF(INDEX('Per Invoice'!$D$2:$D$801,$N417)="","",INDEX('Per Invoice'!$D$2:$D$801,$N417)))</f>
        <v/>
      </c>
      <c r="E417">
        <f>IF($N417="","",IF(INDEX('Per Invoice'!$E$2:$E$801,$N417)="","",INDEX('Per Invoice'!$E$2:$E$801,$N417)))</f>
        <v/>
      </c>
      <c r="F417">
        <f>IF($N417="","",IF(INDEX('Per Invoice'!$F$2:$F$801,$N417)="","",INDEX('Per Invoice'!$F$2:$F$801,$N417)))</f>
        <v/>
      </c>
      <c r="G417">
        <f>IF($N417="","",IF(INDEX('Per Invoice'!$G$2:$G$801,$N417)="","",INDEX('Per Invoice'!$G$2:$G$801,$N417)))</f>
        <v/>
      </c>
      <c r="H417">
        <f>IF($N417="","",IF(INDEX('Per Invoice'!$H$2:$H$801,$N417)="","",INDEX('Per Invoice'!$H$2:$H$801,$N417)))</f>
        <v/>
      </c>
      <c r="I417" s="5">
        <f>IF($N417="","",IF(INDEX('Per Invoice'!$I$2:$I$801,$N417)="","",INDEX('Per Invoice'!$I$2:$I$801,$N417)))</f>
        <v/>
      </c>
      <c r="J417" s="5">
        <f>IF($N417="","",IF(INDEX('Per Invoice'!$J$2:$J$801,$N417)="","",INDEX('Per Invoice'!$J$2:$J$801,$N417)))</f>
        <v/>
      </c>
      <c r="K417" s="5">
        <f>IF($N417="","",IF(INDEX('Per Invoice'!$K$2:$K$801,$N417)="","",INDEX('Per Invoice'!$K$2:$K$801,$N417)))</f>
        <v/>
      </c>
      <c r="L417" s="5">
        <f>IF($N417="","",IF(INDEX('Per Invoice'!$L$2:$L$801,$N417)="","",INDEX('Per Invoice'!$L$2:$L$801,$N417)))</f>
        <v/>
      </c>
      <c r="M417" s="5">
        <f>IF($N417="","",IF(INDEX('Per Invoice'!$M$2:$M$801,$N417)="","",INDEX('Per Invoice'!$M$2:$M$801,$N417)))</f>
        <v/>
      </c>
      <c r="N417">
        <f>IF(ROWS($N$2:$N417)&lt;=COUNT('Per Invoice'!$P$2:$P$801),MATCH(ROWS($N$2:$N417),'Per Invoice'!$P$2:$P$801,0),"")</f>
        <v/>
      </c>
    </row>
    <row r="418">
      <c r="A418">
        <f>IF($N418="","",IF(INDEX('Per Invoice'!$A$2:$A$801,$N418)="","",INDEX('Per Invoice'!$A$2:$A$801,$N418)))</f>
        <v/>
      </c>
      <c r="B418">
        <f>IF($N418="","",IF(INDEX('Per Invoice'!$B$2:$B$801,$N418)="","",INDEX('Per Invoice'!$B$2:$B$801,$N418)))</f>
        <v/>
      </c>
      <c r="C418">
        <f>IF($N418="","",IF(INDEX('Per Invoice'!$C$2:$C$801,$N418)="","",INDEX('Per Invoice'!$C$2:$C$801,$N418)))</f>
        <v/>
      </c>
      <c r="D418">
        <f>IF($N418="","",IF(INDEX('Per Invoice'!$D$2:$D$801,$N418)="","",INDEX('Per Invoice'!$D$2:$D$801,$N418)))</f>
        <v/>
      </c>
      <c r="E418">
        <f>IF($N418="","",IF(INDEX('Per Invoice'!$E$2:$E$801,$N418)="","",INDEX('Per Invoice'!$E$2:$E$801,$N418)))</f>
        <v/>
      </c>
      <c r="F418">
        <f>IF($N418="","",IF(INDEX('Per Invoice'!$F$2:$F$801,$N418)="","",INDEX('Per Invoice'!$F$2:$F$801,$N418)))</f>
        <v/>
      </c>
      <c r="G418">
        <f>IF($N418="","",IF(INDEX('Per Invoice'!$G$2:$G$801,$N418)="","",INDEX('Per Invoice'!$G$2:$G$801,$N418)))</f>
        <v/>
      </c>
      <c r="H418">
        <f>IF($N418="","",IF(INDEX('Per Invoice'!$H$2:$H$801,$N418)="","",INDEX('Per Invoice'!$H$2:$H$801,$N418)))</f>
        <v/>
      </c>
      <c r="I418" s="5">
        <f>IF($N418="","",IF(INDEX('Per Invoice'!$I$2:$I$801,$N418)="","",INDEX('Per Invoice'!$I$2:$I$801,$N418)))</f>
        <v/>
      </c>
      <c r="J418" s="5">
        <f>IF($N418="","",IF(INDEX('Per Invoice'!$J$2:$J$801,$N418)="","",INDEX('Per Invoice'!$J$2:$J$801,$N418)))</f>
        <v/>
      </c>
      <c r="K418" s="5">
        <f>IF($N418="","",IF(INDEX('Per Invoice'!$K$2:$K$801,$N418)="","",INDEX('Per Invoice'!$K$2:$K$801,$N418)))</f>
        <v/>
      </c>
      <c r="L418" s="5">
        <f>IF($N418="","",IF(INDEX('Per Invoice'!$L$2:$L$801,$N418)="","",INDEX('Per Invoice'!$L$2:$L$801,$N418)))</f>
        <v/>
      </c>
      <c r="M418" s="5">
        <f>IF($N418="","",IF(INDEX('Per Invoice'!$M$2:$M$801,$N418)="","",INDEX('Per Invoice'!$M$2:$M$801,$N418)))</f>
        <v/>
      </c>
      <c r="N418">
        <f>IF(ROWS($N$2:$N418)&lt;=COUNT('Per Invoice'!$P$2:$P$801),MATCH(ROWS($N$2:$N418),'Per Invoice'!$P$2:$P$801,0),"")</f>
        <v/>
      </c>
    </row>
    <row r="419">
      <c r="A419">
        <f>IF($N419="","",IF(INDEX('Per Invoice'!$A$2:$A$801,$N419)="","",INDEX('Per Invoice'!$A$2:$A$801,$N419)))</f>
        <v/>
      </c>
      <c r="B419">
        <f>IF($N419="","",IF(INDEX('Per Invoice'!$B$2:$B$801,$N419)="","",INDEX('Per Invoice'!$B$2:$B$801,$N419)))</f>
        <v/>
      </c>
      <c r="C419">
        <f>IF($N419="","",IF(INDEX('Per Invoice'!$C$2:$C$801,$N419)="","",INDEX('Per Invoice'!$C$2:$C$801,$N419)))</f>
        <v/>
      </c>
      <c r="D419">
        <f>IF($N419="","",IF(INDEX('Per Invoice'!$D$2:$D$801,$N419)="","",INDEX('Per Invoice'!$D$2:$D$801,$N419)))</f>
        <v/>
      </c>
      <c r="E419">
        <f>IF($N419="","",IF(INDEX('Per Invoice'!$E$2:$E$801,$N419)="","",INDEX('Per Invoice'!$E$2:$E$801,$N419)))</f>
        <v/>
      </c>
      <c r="F419">
        <f>IF($N419="","",IF(INDEX('Per Invoice'!$F$2:$F$801,$N419)="","",INDEX('Per Invoice'!$F$2:$F$801,$N419)))</f>
        <v/>
      </c>
      <c r="G419">
        <f>IF($N419="","",IF(INDEX('Per Invoice'!$G$2:$G$801,$N419)="","",INDEX('Per Invoice'!$G$2:$G$801,$N419)))</f>
        <v/>
      </c>
      <c r="H419">
        <f>IF($N419="","",IF(INDEX('Per Invoice'!$H$2:$H$801,$N419)="","",INDEX('Per Invoice'!$H$2:$H$801,$N419)))</f>
        <v/>
      </c>
      <c r="I419" s="5">
        <f>IF($N419="","",IF(INDEX('Per Invoice'!$I$2:$I$801,$N419)="","",INDEX('Per Invoice'!$I$2:$I$801,$N419)))</f>
        <v/>
      </c>
      <c r="J419" s="5">
        <f>IF($N419="","",IF(INDEX('Per Invoice'!$J$2:$J$801,$N419)="","",INDEX('Per Invoice'!$J$2:$J$801,$N419)))</f>
        <v/>
      </c>
      <c r="K419" s="5">
        <f>IF($N419="","",IF(INDEX('Per Invoice'!$K$2:$K$801,$N419)="","",INDEX('Per Invoice'!$K$2:$K$801,$N419)))</f>
        <v/>
      </c>
      <c r="L419" s="5">
        <f>IF($N419="","",IF(INDEX('Per Invoice'!$L$2:$L$801,$N419)="","",INDEX('Per Invoice'!$L$2:$L$801,$N419)))</f>
        <v/>
      </c>
      <c r="M419" s="5">
        <f>IF($N419="","",IF(INDEX('Per Invoice'!$M$2:$M$801,$N419)="","",INDEX('Per Invoice'!$M$2:$M$801,$N419)))</f>
        <v/>
      </c>
      <c r="N419">
        <f>IF(ROWS($N$2:$N419)&lt;=COUNT('Per Invoice'!$P$2:$P$801),MATCH(ROWS($N$2:$N419),'Per Invoice'!$P$2:$P$801,0),"")</f>
        <v/>
      </c>
    </row>
    <row r="420">
      <c r="A420">
        <f>IF($N420="","",IF(INDEX('Per Invoice'!$A$2:$A$801,$N420)="","",INDEX('Per Invoice'!$A$2:$A$801,$N420)))</f>
        <v/>
      </c>
      <c r="B420">
        <f>IF($N420="","",IF(INDEX('Per Invoice'!$B$2:$B$801,$N420)="","",INDEX('Per Invoice'!$B$2:$B$801,$N420)))</f>
        <v/>
      </c>
      <c r="C420">
        <f>IF($N420="","",IF(INDEX('Per Invoice'!$C$2:$C$801,$N420)="","",INDEX('Per Invoice'!$C$2:$C$801,$N420)))</f>
        <v/>
      </c>
      <c r="D420">
        <f>IF($N420="","",IF(INDEX('Per Invoice'!$D$2:$D$801,$N420)="","",INDEX('Per Invoice'!$D$2:$D$801,$N420)))</f>
        <v/>
      </c>
      <c r="E420">
        <f>IF($N420="","",IF(INDEX('Per Invoice'!$E$2:$E$801,$N420)="","",INDEX('Per Invoice'!$E$2:$E$801,$N420)))</f>
        <v/>
      </c>
      <c r="F420">
        <f>IF($N420="","",IF(INDEX('Per Invoice'!$F$2:$F$801,$N420)="","",INDEX('Per Invoice'!$F$2:$F$801,$N420)))</f>
        <v/>
      </c>
      <c r="G420">
        <f>IF($N420="","",IF(INDEX('Per Invoice'!$G$2:$G$801,$N420)="","",INDEX('Per Invoice'!$G$2:$G$801,$N420)))</f>
        <v/>
      </c>
      <c r="H420">
        <f>IF($N420="","",IF(INDEX('Per Invoice'!$H$2:$H$801,$N420)="","",INDEX('Per Invoice'!$H$2:$H$801,$N420)))</f>
        <v/>
      </c>
      <c r="I420" s="5">
        <f>IF($N420="","",IF(INDEX('Per Invoice'!$I$2:$I$801,$N420)="","",INDEX('Per Invoice'!$I$2:$I$801,$N420)))</f>
        <v/>
      </c>
      <c r="J420" s="5">
        <f>IF($N420="","",IF(INDEX('Per Invoice'!$J$2:$J$801,$N420)="","",INDEX('Per Invoice'!$J$2:$J$801,$N420)))</f>
        <v/>
      </c>
      <c r="K420" s="5">
        <f>IF($N420="","",IF(INDEX('Per Invoice'!$K$2:$K$801,$N420)="","",INDEX('Per Invoice'!$K$2:$K$801,$N420)))</f>
        <v/>
      </c>
      <c r="L420" s="5">
        <f>IF($N420="","",IF(INDEX('Per Invoice'!$L$2:$L$801,$N420)="","",INDEX('Per Invoice'!$L$2:$L$801,$N420)))</f>
        <v/>
      </c>
      <c r="M420" s="5">
        <f>IF($N420="","",IF(INDEX('Per Invoice'!$M$2:$M$801,$N420)="","",INDEX('Per Invoice'!$M$2:$M$801,$N420)))</f>
        <v/>
      </c>
      <c r="N420">
        <f>IF(ROWS($N$2:$N420)&lt;=COUNT('Per Invoice'!$P$2:$P$801),MATCH(ROWS($N$2:$N420),'Per Invoice'!$P$2:$P$801,0),"")</f>
        <v/>
      </c>
    </row>
    <row r="421">
      <c r="A421">
        <f>IF($N421="","",IF(INDEX('Per Invoice'!$A$2:$A$801,$N421)="","",INDEX('Per Invoice'!$A$2:$A$801,$N421)))</f>
        <v/>
      </c>
      <c r="B421">
        <f>IF($N421="","",IF(INDEX('Per Invoice'!$B$2:$B$801,$N421)="","",INDEX('Per Invoice'!$B$2:$B$801,$N421)))</f>
        <v/>
      </c>
      <c r="C421">
        <f>IF($N421="","",IF(INDEX('Per Invoice'!$C$2:$C$801,$N421)="","",INDEX('Per Invoice'!$C$2:$C$801,$N421)))</f>
        <v/>
      </c>
      <c r="D421">
        <f>IF($N421="","",IF(INDEX('Per Invoice'!$D$2:$D$801,$N421)="","",INDEX('Per Invoice'!$D$2:$D$801,$N421)))</f>
        <v/>
      </c>
      <c r="E421">
        <f>IF($N421="","",IF(INDEX('Per Invoice'!$E$2:$E$801,$N421)="","",INDEX('Per Invoice'!$E$2:$E$801,$N421)))</f>
        <v/>
      </c>
      <c r="F421">
        <f>IF($N421="","",IF(INDEX('Per Invoice'!$F$2:$F$801,$N421)="","",INDEX('Per Invoice'!$F$2:$F$801,$N421)))</f>
        <v/>
      </c>
      <c r="G421">
        <f>IF($N421="","",IF(INDEX('Per Invoice'!$G$2:$G$801,$N421)="","",INDEX('Per Invoice'!$G$2:$G$801,$N421)))</f>
        <v/>
      </c>
      <c r="H421">
        <f>IF($N421="","",IF(INDEX('Per Invoice'!$H$2:$H$801,$N421)="","",INDEX('Per Invoice'!$H$2:$H$801,$N421)))</f>
        <v/>
      </c>
      <c r="I421" s="5">
        <f>IF($N421="","",IF(INDEX('Per Invoice'!$I$2:$I$801,$N421)="","",INDEX('Per Invoice'!$I$2:$I$801,$N421)))</f>
        <v/>
      </c>
      <c r="J421" s="5">
        <f>IF($N421="","",IF(INDEX('Per Invoice'!$J$2:$J$801,$N421)="","",INDEX('Per Invoice'!$J$2:$J$801,$N421)))</f>
        <v/>
      </c>
      <c r="K421" s="5">
        <f>IF($N421="","",IF(INDEX('Per Invoice'!$K$2:$K$801,$N421)="","",INDEX('Per Invoice'!$K$2:$K$801,$N421)))</f>
        <v/>
      </c>
      <c r="L421" s="5">
        <f>IF($N421="","",IF(INDEX('Per Invoice'!$L$2:$L$801,$N421)="","",INDEX('Per Invoice'!$L$2:$L$801,$N421)))</f>
        <v/>
      </c>
      <c r="M421" s="5">
        <f>IF($N421="","",IF(INDEX('Per Invoice'!$M$2:$M$801,$N421)="","",INDEX('Per Invoice'!$M$2:$M$801,$N421)))</f>
        <v/>
      </c>
      <c r="N421">
        <f>IF(ROWS($N$2:$N421)&lt;=COUNT('Per Invoice'!$P$2:$P$801),MATCH(ROWS($N$2:$N421),'Per Invoice'!$P$2:$P$801,0),"")</f>
        <v/>
      </c>
    </row>
    <row r="422">
      <c r="A422">
        <f>IF($N422="","",IF(INDEX('Per Invoice'!$A$2:$A$801,$N422)="","",INDEX('Per Invoice'!$A$2:$A$801,$N422)))</f>
        <v/>
      </c>
      <c r="B422">
        <f>IF($N422="","",IF(INDEX('Per Invoice'!$B$2:$B$801,$N422)="","",INDEX('Per Invoice'!$B$2:$B$801,$N422)))</f>
        <v/>
      </c>
      <c r="C422">
        <f>IF($N422="","",IF(INDEX('Per Invoice'!$C$2:$C$801,$N422)="","",INDEX('Per Invoice'!$C$2:$C$801,$N422)))</f>
        <v/>
      </c>
      <c r="D422">
        <f>IF($N422="","",IF(INDEX('Per Invoice'!$D$2:$D$801,$N422)="","",INDEX('Per Invoice'!$D$2:$D$801,$N422)))</f>
        <v/>
      </c>
      <c r="E422">
        <f>IF($N422="","",IF(INDEX('Per Invoice'!$E$2:$E$801,$N422)="","",INDEX('Per Invoice'!$E$2:$E$801,$N422)))</f>
        <v/>
      </c>
      <c r="F422">
        <f>IF($N422="","",IF(INDEX('Per Invoice'!$F$2:$F$801,$N422)="","",INDEX('Per Invoice'!$F$2:$F$801,$N422)))</f>
        <v/>
      </c>
      <c r="G422">
        <f>IF($N422="","",IF(INDEX('Per Invoice'!$G$2:$G$801,$N422)="","",INDEX('Per Invoice'!$G$2:$G$801,$N422)))</f>
        <v/>
      </c>
      <c r="H422">
        <f>IF($N422="","",IF(INDEX('Per Invoice'!$H$2:$H$801,$N422)="","",INDEX('Per Invoice'!$H$2:$H$801,$N422)))</f>
        <v/>
      </c>
      <c r="I422" s="5">
        <f>IF($N422="","",IF(INDEX('Per Invoice'!$I$2:$I$801,$N422)="","",INDEX('Per Invoice'!$I$2:$I$801,$N422)))</f>
        <v/>
      </c>
      <c r="J422" s="5">
        <f>IF($N422="","",IF(INDEX('Per Invoice'!$J$2:$J$801,$N422)="","",INDEX('Per Invoice'!$J$2:$J$801,$N422)))</f>
        <v/>
      </c>
      <c r="K422" s="5">
        <f>IF($N422="","",IF(INDEX('Per Invoice'!$K$2:$K$801,$N422)="","",INDEX('Per Invoice'!$K$2:$K$801,$N422)))</f>
        <v/>
      </c>
      <c r="L422" s="5">
        <f>IF($N422="","",IF(INDEX('Per Invoice'!$L$2:$L$801,$N422)="","",INDEX('Per Invoice'!$L$2:$L$801,$N422)))</f>
        <v/>
      </c>
      <c r="M422" s="5">
        <f>IF($N422="","",IF(INDEX('Per Invoice'!$M$2:$M$801,$N422)="","",INDEX('Per Invoice'!$M$2:$M$801,$N422)))</f>
        <v/>
      </c>
      <c r="N422">
        <f>IF(ROWS($N$2:$N422)&lt;=COUNT('Per Invoice'!$P$2:$P$801),MATCH(ROWS($N$2:$N422),'Per Invoice'!$P$2:$P$801,0),"")</f>
        <v/>
      </c>
    </row>
    <row r="423">
      <c r="A423">
        <f>IF($N423="","",IF(INDEX('Per Invoice'!$A$2:$A$801,$N423)="","",INDEX('Per Invoice'!$A$2:$A$801,$N423)))</f>
        <v/>
      </c>
      <c r="B423">
        <f>IF($N423="","",IF(INDEX('Per Invoice'!$B$2:$B$801,$N423)="","",INDEX('Per Invoice'!$B$2:$B$801,$N423)))</f>
        <v/>
      </c>
      <c r="C423">
        <f>IF($N423="","",IF(INDEX('Per Invoice'!$C$2:$C$801,$N423)="","",INDEX('Per Invoice'!$C$2:$C$801,$N423)))</f>
        <v/>
      </c>
      <c r="D423">
        <f>IF($N423="","",IF(INDEX('Per Invoice'!$D$2:$D$801,$N423)="","",INDEX('Per Invoice'!$D$2:$D$801,$N423)))</f>
        <v/>
      </c>
      <c r="E423">
        <f>IF($N423="","",IF(INDEX('Per Invoice'!$E$2:$E$801,$N423)="","",INDEX('Per Invoice'!$E$2:$E$801,$N423)))</f>
        <v/>
      </c>
      <c r="F423">
        <f>IF($N423="","",IF(INDEX('Per Invoice'!$F$2:$F$801,$N423)="","",INDEX('Per Invoice'!$F$2:$F$801,$N423)))</f>
        <v/>
      </c>
      <c r="G423">
        <f>IF($N423="","",IF(INDEX('Per Invoice'!$G$2:$G$801,$N423)="","",INDEX('Per Invoice'!$G$2:$G$801,$N423)))</f>
        <v/>
      </c>
      <c r="H423">
        <f>IF($N423="","",IF(INDEX('Per Invoice'!$H$2:$H$801,$N423)="","",INDEX('Per Invoice'!$H$2:$H$801,$N423)))</f>
        <v/>
      </c>
      <c r="I423" s="5">
        <f>IF($N423="","",IF(INDEX('Per Invoice'!$I$2:$I$801,$N423)="","",INDEX('Per Invoice'!$I$2:$I$801,$N423)))</f>
        <v/>
      </c>
      <c r="J423" s="5">
        <f>IF($N423="","",IF(INDEX('Per Invoice'!$J$2:$J$801,$N423)="","",INDEX('Per Invoice'!$J$2:$J$801,$N423)))</f>
        <v/>
      </c>
      <c r="K423" s="5">
        <f>IF($N423="","",IF(INDEX('Per Invoice'!$K$2:$K$801,$N423)="","",INDEX('Per Invoice'!$K$2:$K$801,$N423)))</f>
        <v/>
      </c>
      <c r="L423" s="5">
        <f>IF($N423="","",IF(INDEX('Per Invoice'!$L$2:$L$801,$N423)="","",INDEX('Per Invoice'!$L$2:$L$801,$N423)))</f>
        <v/>
      </c>
      <c r="M423" s="5">
        <f>IF($N423="","",IF(INDEX('Per Invoice'!$M$2:$M$801,$N423)="","",INDEX('Per Invoice'!$M$2:$M$801,$N423)))</f>
        <v/>
      </c>
      <c r="N423">
        <f>IF(ROWS($N$2:$N423)&lt;=COUNT('Per Invoice'!$P$2:$P$801),MATCH(ROWS($N$2:$N423),'Per Invoice'!$P$2:$P$801,0),"")</f>
        <v/>
      </c>
    </row>
    <row r="424">
      <c r="A424">
        <f>IF($N424="","",IF(INDEX('Per Invoice'!$A$2:$A$801,$N424)="","",INDEX('Per Invoice'!$A$2:$A$801,$N424)))</f>
        <v/>
      </c>
      <c r="B424">
        <f>IF($N424="","",IF(INDEX('Per Invoice'!$B$2:$B$801,$N424)="","",INDEX('Per Invoice'!$B$2:$B$801,$N424)))</f>
        <v/>
      </c>
      <c r="C424">
        <f>IF($N424="","",IF(INDEX('Per Invoice'!$C$2:$C$801,$N424)="","",INDEX('Per Invoice'!$C$2:$C$801,$N424)))</f>
        <v/>
      </c>
      <c r="D424">
        <f>IF($N424="","",IF(INDEX('Per Invoice'!$D$2:$D$801,$N424)="","",INDEX('Per Invoice'!$D$2:$D$801,$N424)))</f>
        <v/>
      </c>
      <c r="E424">
        <f>IF($N424="","",IF(INDEX('Per Invoice'!$E$2:$E$801,$N424)="","",INDEX('Per Invoice'!$E$2:$E$801,$N424)))</f>
        <v/>
      </c>
      <c r="F424">
        <f>IF($N424="","",IF(INDEX('Per Invoice'!$F$2:$F$801,$N424)="","",INDEX('Per Invoice'!$F$2:$F$801,$N424)))</f>
        <v/>
      </c>
      <c r="G424">
        <f>IF($N424="","",IF(INDEX('Per Invoice'!$G$2:$G$801,$N424)="","",INDEX('Per Invoice'!$G$2:$G$801,$N424)))</f>
        <v/>
      </c>
      <c r="H424">
        <f>IF($N424="","",IF(INDEX('Per Invoice'!$H$2:$H$801,$N424)="","",INDEX('Per Invoice'!$H$2:$H$801,$N424)))</f>
        <v/>
      </c>
      <c r="I424" s="5">
        <f>IF($N424="","",IF(INDEX('Per Invoice'!$I$2:$I$801,$N424)="","",INDEX('Per Invoice'!$I$2:$I$801,$N424)))</f>
        <v/>
      </c>
      <c r="J424" s="5">
        <f>IF($N424="","",IF(INDEX('Per Invoice'!$J$2:$J$801,$N424)="","",INDEX('Per Invoice'!$J$2:$J$801,$N424)))</f>
        <v/>
      </c>
      <c r="K424" s="5">
        <f>IF($N424="","",IF(INDEX('Per Invoice'!$K$2:$K$801,$N424)="","",INDEX('Per Invoice'!$K$2:$K$801,$N424)))</f>
        <v/>
      </c>
      <c r="L424" s="5">
        <f>IF($N424="","",IF(INDEX('Per Invoice'!$L$2:$L$801,$N424)="","",INDEX('Per Invoice'!$L$2:$L$801,$N424)))</f>
        <v/>
      </c>
      <c r="M424" s="5">
        <f>IF($N424="","",IF(INDEX('Per Invoice'!$M$2:$M$801,$N424)="","",INDEX('Per Invoice'!$M$2:$M$801,$N424)))</f>
        <v/>
      </c>
      <c r="N424">
        <f>IF(ROWS($N$2:$N424)&lt;=COUNT('Per Invoice'!$P$2:$P$801),MATCH(ROWS($N$2:$N424),'Per Invoice'!$P$2:$P$801,0),"")</f>
        <v/>
      </c>
    </row>
    <row r="425">
      <c r="A425">
        <f>IF($N425="","",IF(INDEX('Per Invoice'!$A$2:$A$801,$N425)="","",INDEX('Per Invoice'!$A$2:$A$801,$N425)))</f>
        <v/>
      </c>
      <c r="B425">
        <f>IF($N425="","",IF(INDEX('Per Invoice'!$B$2:$B$801,$N425)="","",INDEX('Per Invoice'!$B$2:$B$801,$N425)))</f>
        <v/>
      </c>
      <c r="C425">
        <f>IF($N425="","",IF(INDEX('Per Invoice'!$C$2:$C$801,$N425)="","",INDEX('Per Invoice'!$C$2:$C$801,$N425)))</f>
        <v/>
      </c>
      <c r="D425">
        <f>IF($N425="","",IF(INDEX('Per Invoice'!$D$2:$D$801,$N425)="","",INDEX('Per Invoice'!$D$2:$D$801,$N425)))</f>
        <v/>
      </c>
      <c r="E425">
        <f>IF($N425="","",IF(INDEX('Per Invoice'!$E$2:$E$801,$N425)="","",INDEX('Per Invoice'!$E$2:$E$801,$N425)))</f>
        <v/>
      </c>
      <c r="F425">
        <f>IF($N425="","",IF(INDEX('Per Invoice'!$F$2:$F$801,$N425)="","",INDEX('Per Invoice'!$F$2:$F$801,$N425)))</f>
        <v/>
      </c>
      <c r="G425">
        <f>IF($N425="","",IF(INDEX('Per Invoice'!$G$2:$G$801,$N425)="","",INDEX('Per Invoice'!$G$2:$G$801,$N425)))</f>
        <v/>
      </c>
      <c r="H425">
        <f>IF($N425="","",IF(INDEX('Per Invoice'!$H$2:$H$801,$N425)="","",INDEX('Per Invoice'!$H$2:$H$801,$N425)))</f>
        <v/>
      </c>
      <c r="I425" s="5">
        <f>IF($N425="","",IF(INDEX('Per Invoice'!$I$2:$I$801,$N425)="","",INDEX('Per Invoice'!$I$2:$I$801,$N425)))</f>
        <v/>
      </c>
      <c r="J425" s="5">
        <f>IF($N425="","",IF(INDEX('Per Invoice'!$J$2:$J$801,$N425)="","",INDEX('Per Invoice'!$J$2:$J$801,$N425)))</f>
        <v/>
      </c>
      <c r="K425" s="5">
        <f>IF($N425="","",IF(INDEX('Per Invoice'!$K$2:$K$801,$N425)="","",INDEX('Per Invoice'!$K$2:$K$801,$N425)))</f>
        <v/>
      </c>
      <c r="L425" s="5">
        <f>IF($N425="","",IF(INDEX('Per Invoice'!$L$2:$L$801,$N425)="","",INDEX('Per Invoice'!$L$2:$L$801,$N425)))</f>
        <v/>
      </c>
      <c r="M425" s="5">
        <f>IF($N425="","",IF(INDEX('Per Invoice'!$M$2:$M$801,$N425)="","",INDEX('Per Invoice'!$M$2:$M$801,$N425)))</f>
        <v/>
      </c>
      <c r="N425">
        <f>IF(ROWS($N$2:$N425)&lt;=COUNT('Per Invoice'!$P$2:$P$801),MATCH(ROWS($N$2:$N425),'Per Invoice'!$P$2:$P$801,0),"")</f>
        <v/>
      </c>
    </row>
    <row r="426">
      <c r="A426">
        <f>IF($N426="","",IF(INDEX('Per Invoice'!$A$2:$A$801,$N426)="","",INDEX('Per Invoice'!$A$2:$A$801,$N426)))</f>
        <v/>
      </c>
      <c r="B426">
        <f>IF($N426="","",IF(INDEX('Per Invoice'!$B$2:$B$801,$N426)="","",INDEX('Per Invoice'!$B$2:$B$801,$N426)))</f>
        <v/>
      </c>
      <c r="C426">
        <f>IF($N426="","",IF(INDEX('Per Invoice'!$C$2:$C$801,$N426)="","",INDEX('Per Invoice'!$C$2:$C$801,$N426)))</f>
        <v/>
      </c>
      <c r="D426">
        <f>IF($N426="","",IF(INDEX('Per Invoice'!$D$2:$D$801,$N426)="","",INDEX('Per Invoice'!$D$2:$D$801,$N426)))</f>
        <v/>
      </c>
      <c r="E426">
        <f>IF($N426="","",IF(INDEX('Per Invoice'!$E$2:$E$801,$N426)="","",INDEX('Per Invoice'!$E$2:$E$801,$N426)))</f>
        <v/>
      </c>
      <c r="F426">
        <f>IF($N426="","",IF(INDEX('Per Invoice'!$F$2:$F$801,$N426)="","",INDEX('Per Invoice'!$F$2:$F$801,$N426)))</f>
        <v/>
      </c>
      <c r="G426">
        <f>IF($N426="","",IF(INDEX('Per Invoice'!$G$2:$G$801,$N426)="","",INDEX('Per Invoice'!$G$2:$G$801,$N426)))</f>
        <v/>
      </c>
      <c r="H426">
        <f>IF($N426="","",IF(INDEX('Per Invoice'!$H$2:$H$801,$N426)="","",INDEX('Per Invoice'!$H$2:$H$801,$N426)))</f>
        <v/>
      </c>
      <c r="I426" s="5">
        <f>IF($N426="","",IF(INDEX('Per Invoice'!$I$2:$I$801,$N426)="","",INDEX('Per Invoice'!$I$2:$I$801,$N426)))</f>
        <v/>
      </c>
      <c r="J426" s="5">
        <f>IF($N426="","",IF(INDEX('Per Invoice'!$J$2:$J$801,$N426)="","",INDEX('Per Invoice'!$J$2:$J$801,$N426)))</f>
        <v/>
      </c>
      <c r="K426" s="5">
        <f>IF($N426="","",IF(INDEX('Per Invoice'!$K$2:$K$801,$N426)="","",INDEX('Per Invoice'!$K$2:$K$801,$N426)))</f>
        <v/>
      </c>
      <c r="L426" s="5">
        <f>IF($N426="","",IF(INDEX('Per Invoice'!$L$2:$L$801,$N426)="","",INDEX('Per Invoice'!$L$2:$L$801,$N426)))</f>
        <v/>
      </c>
      <c r="M426" s="5">
        <f>IF($N426="","",IF(INDEX('Per Invoice'!$M$2:$M$801,$N426)="","",INDEX('Per Invoice'!$M$2:$M$801,$N426)))</f>
        <v/>
      </c>
      <c r="N426">
        <f>IF(ROWS($N$2:$N426)&lt;=COUNT('Per Invoice'!$P$2:$P$801),MATCH(ROWS($N$2:$N426),'Per Invoice'!$P$2:$P$801,0),"")</f>
        <v/>
      </c>
    </row>
    <row r="427">
      <c r="A427">
        <f>IF($N427="","",IF(INDEX('Per Invoice'!$A$2:$A$801,$N427)="","",INDEX('Per Invoice'!$A$2:$A$801,$N427)))</f>
        <v/>
      </c>
      <c r="B427">
        <f>IF($N427="","",IF(INDEX('Per Invoice'!$B$2:$B$801,$N427)="","",INDEX('Per Invoice'!$B$2:$B$801,$N427)))</f>
        <v/>
      </c>
      <c r="C427">
        <f>IF($N427="","",IF(INDEX('Per Invoice'!$C$2:$C$801,$N427)="","",INDEX('Per Invoice'!$C$2:$C$801,$N427)))</f>
        <v/>
      </c>
      <c r="D427">
        <f>IF($N427="","",IF(INDEX('Per Invoice'!$D$2:$D$801,$N427)="","",INDEX('Per Invoice'!$D$2:$D$801,$N427)))</f>
        <v/>
      </c>
      <c r="E427">
        <f>IF($N427="","",IF(INDEX('Per Invoice'!$E$2:$E$801,$N427)="","",INDEX('Per Invoice'!$E$2:$E$801,$N427)))</f>
        <v/>
      </c>
      <c r="F427">
        <f>IF($N427="","",IF(INDEX('Per Invoice'!$F$2:$F$801,$N427)="","",INDEX('Per Invoice'!$F$2:$F$801,$N427)))</f>
        <v/>
      </c>
      <c r="G427">
        <f>IF($N427="","",IF(INDEX('Per Invoice'!$G$2:$G$801,$N427)="","",INDEX('Per Invoice'!$G$2:$G$801,$N427)))</f>
        <v/>
      </c>
      <c r="H427">
        <f>IF($N427="","",IF(INDEX('Per Invoice'!$H$2:$H$801,$N427)="","",INDEX('Per Invoice'!$H$2:$H$801,$N427)))</f>
        <v/>
      </c>
      <c r="I427" s="5">
        <f>IF($N427="","",IF(INDEX('Per Invoice'!$I$2:$I$801,$N427)="","",INDEX('Per Invoice'!$I$2:$I$801,$N427)))</f>
        <v/>
      </c>
      <c r="J427" s="5">
        <f>IF($N427="","",IF(INDEX('Per Invoice'!$J$2:$J$801,$N427)="","",INDEX('Per Invoice'!$J$2:$J$801,$N427)))</f>
        <v/>
      </c>
      <c r="K427" s="5">
        <f>IF($N427="","",IF(INDEX('Per Invoice'!$K$2:$K$801,$N427)="","",INDEX('Per Invoice'!$K$2:$K$801,$N427)))</f>
        <v/>
      </c>
      <c r="L427" s="5">
        <f>IF($N427="","",IF(INDEX('Per Invoice'!$L$2:$L$801,$N427)="","",INDEX('Per Invoice'!$L$2:$L$801,$N427)))</f>
        <v/>
      </c>
      <c r="M427" s="5">
        <f>IF($N427="","",IF(INDEX('Per Invoice'!$M$2:$M$801,$N427)="","",INDEX('Per Invoice'!$M$2:$M$801,$N427)))</f>
        <v/>
      </c>
      <c r="N427">
        <f>IF(ROWS($N$2:$N427)&lt;=COUNT('Per Invoice'!$P$2:$P$801),MATCH(ROWS($N$2:$N427),'Per Invoice'!$P$2:$P$801,0),"")</f>
        <v/>
      </c>
    </row>
    <row r="428">
      <c r="A428">
        <f>IF($N428="","",IF(INDEX('Per Invoice'!$A$2:$A$801,$N428)="","",INDEX('Per Invoice'!$A$2:$A$801,$N428)))</f>
        <v/>
      </c>
      <c r="B428">
        <f>IF($N428="","",IF(INDEX('Per Invoice'!$B$2:$B$801,$N428)="","",INDEX('Per Invoice'!$B$2:$B$801,$N428)))</f>
        <v/>
      </c>
      <c r="C428">
        <f>IF($N428="","",IF(INDEX('Per Invoice'!$C$2:$C$801,$N428)="","",INDEX('Per Invoice'!$C$2:$C$801,$N428)))</f>
        <v/>
      </c>
      <c r="D428">
        <f>IF($N428="","",IF(INDEX('Per Invoice'!$D$2:$D$801,$N428)="","",INDEX('Per Invoice'!$D$2:$D$801,$N428)))</f>
        <v/>
      </c>
      <c r="E428">
        <f>IF($N428="","",IF(INDEX('Per Invoice'!$E$2:$E$801,$N428)="","",INDEX('Per Invoice'!$E$2:$E$801,$N428)))</f>
        <v/>
      </c>
      <c r="F428">
        <f>IF($N428="","",IF(INDEX('Per Invoice'!$F$2:$F$801,$N428)="","",INDEX('Per Invoice'!$F$2:$F$801,$N428)))</f>
        <v/>
      </c>
      <c r="G428">
        <f>IF($N428="","",IF(INDEX('Per Invoice'!$G$2:$G$801,$N428)="","",INDEX('Per Invoice'!$G$2:$G$801,$N428)))</f>
        <v/>
      </c>
      <c r="H428">
        <f>IF($N428="","",IF(INDEX('Per Invoice'!$H$2:$H$801,$N428)="","",INDEX('Per Invoice'!$H$2:$H$801,$N428)))</f>
        <v/>
      </c>
      <c r="I428" s="5">
        <f>IF($N428="","",IF(INDEX('Per Invoice'!$I$2:$I$801,$N428)="","",INDEX('Per Invoice'!$I$2:$I$801,$N428)))</f>
        <v/>
      </c>
      <c r="J428" s="5">
        <f>IF($N428="","",IF(INDEX('Per Invoice'!$J$2:$J$801,$N428)="","",INDEX('Per Invoice'!$J$2:$J$801,$N428)))</f>
        <v/>
      </c>
      <c r="K428" s="5">
        <f>IF($N428="","",IF(INDEX('Per Invoice'!$K$2:$K$801,$N428)="","",INDEX('Per Invoice'!$K$2:$K$801,$N428)))</f>
        <v/>
      </c>
      <c r="L428" s="5">
        <f>IF($N428="","",IF(INDEX('Per Invoice'!$L$2:$L$801,$N428)="","",INDEX('Per Invoice'!$L$2:$L$801,$N428)))</f>
        <v/>
      </c>
      <c r="M428" s="5">
        <f>IF($N428="","",IF(INDEX('Per Invoice'!$M$2:$M$801,$N428)="","",INDEX('Per Invoice'!$M$2:$M$801,$N428)))</f>
        <v/>
      </c>
      <c r="N428">
        <f>IF(ROWS($N$2:$N428)&lt;=COUNT('Per Invoice'!$P$2:$P$801),MATCH(ROWS($N$2:$N428),'Per Invoice'!$P$2:$P$801,0),"")</f>
        <v/>
      </c>
    </row>
    <row r="429">
      <c r="A429">
        <f>IF($N429="","",IF(INDEX('Per Invoice'!$A$2:$A$801,$N429)="","",INDEX('Per Invoice'!$A$2:$A$801,$N429)))</f>
        <v/>
      </c>
      <c r="B429">
        <f>IF($N429="","",IF(INDEX('Per Invoice'!$B$2:$B$801,$N429)="","",INDEX('Per Invoice'!$B$2:$B$801,$N429)))</f>
        <v/>
      </c>
      <c r="C429">
        <f>IF($N429="","",IF(INDEX('Per Invoice'!$C$2:$C$801,$N429)="","",INDEX('Per Invoice'!$C$2:$C$801,$N429)))</f>
        <v/>
      </c>
      <c r="D429">
        <f>IF($N429="","",IF(INDEX('Per Invoice'!$D$2:$D$801,$N429)="","",INDEX('Per Invoice'!$D$2:$D$801,$N429)))</f>
        <v/>
      </c>
      <c r="E429">
        <f>IF($N429="","",IF(INDEX('Per Invoice'!$E$2:$E$801,$N429)="","",INDEX('Per Invoice'!$E$2:$E$801,$N429)))</f>
        <v/>
      </c>
      <c r="F429">
        <f>IF($N429="","",IF(INDEX('Per Invoice'!$F$2:$F$801,$N429)="","",INDEX('Per Invoice'!$F$2:$F$801,$N429)))</f>
        <v/>
      </c>
      <c r="G429">
        <f>IF($N429="","",IF(INDEX('Per Invoice'!$G$2:$G$801,$N429)="","",INDEX('Per Invoice'!$G$2:$G$801,$N429)))</f>
        <v/>
      </c>
      <c r="H429">
        <f>IF($N429="","",IF(INDEX('Per Invoice'!$H$2:$H$801,$N429)="","",INDEX('Per Invoice'!$H$2:$H$801,$N429)))</f>
        <v/>
      </c>
      <c r="I429" s="5">
        <f>IF($N429="","",IF(INDEX('Per Invoice'!$I$2:$I$801,$N429)="","",INDEX('Per Invoice'!$I$2:$I$801,$N429)))</f>
        <v/>
      </c>
      <c r="J429" s="5">
        <f>IF($N429="","",IF(INDEX('Per Invoice'!$J$2:$J$801,$N429)="","",INDEX('Per Invoice'!$J$2:$J$801,$N429)))</f>
        <v/>
      </c>
      <c r="K429" s="5">
        <f>IF($N429="","",IF(INDEX('Per Invoice'!$K$2:$K$801,$N429)="","",INDEX('Per Invoice'!$K$2:$K$801,$N429)))</f>
        <v/>
      </c>
      <c r="L429" s="5">
        <f>IF($N429="","",IF(INDEX('Per Invoice'!$L$2:$L$801,$N429)="","",INDEX('Per Invoice'!$L$2:$L$801,$N429)))</f>
        <v/>
      </c>
      <c r="M429" s="5">
        <f>IF($N429="","",IF(INDEX('Per Invoice'!$M$2:$M$801,$N429)="","",INDEX('Per Invoice'!$M$2:$M$801,$N429)))</f>
        <v/>
      </c>
      <c r="N429">
        <f>IF(ROWS($N$2:$N429)&lt;=COUNT('Per Invoice'!$P$2:$P$801),MATCH(ROWS($N$2:$N429),'Per Invoice'!$P$2:$P$801,0),"")</f>
        <v/>
      </c>
    </row>
    <row r="430">
      <c r="A430">
        <f>IF($N430="","",IF(INDEX('Per Invoice'!$A$2:$A$801,$N430)="","",INDEX('Per Invoice'!$A$2:$A$801,$N430)))</f>
        <v/>
      </c>
      <c r="B430">
        <f>IF($N430="","",IF(INDEX('Per Invoice'!$B$2:$B$801,$N430)="","",INDEX('Per Invoice'!$B$2:$B$801,$N430)))</f>
        <v/>
      </c>
      <c r="C430">
        <f>IF($N430="","",IF(INDEX('Per Invoice'!$C$2:$C$801,$N430)="","",INDEX('Per Invoice'!$C$2:$C$801,$N430)))</f>
        <v/>
      </c>
      <c r="D430">
        <f>IF($N430="","",IF(INDEX('Per Invoice'!$D$2:$D$801,$N430)="","",INDEX('Per Invoice'!$D$2:$D$801,$N430)))</f>
        <v/>
      </c>
      <c r="E430">
        <f>IF($N430="","",IF(INDEX('Per Invoice'!$E$2:$E$801,$N430)="","",INDEX('Per Invoice'!$E$2:$E$801,$N430)))</f>
        <v/>
      </c>
      <c r="F430">
        <f>IF($N430="","",IF(INDEX('Per Invoice'!$F$2:$F$801,$N430)="","",INDEX('Per Invoice'!$F$2:$F$801,$N430)))</f>
        <v/>
      </c>
      <c r="G430">
        <f>IF($N430="","",IF(INDEX('Per Invoice'!$G$2:$G$801,$N430)="","",INDEX('Per Invoice'!$G$2:$G$801,$N430)))</f>
        <v/>
      </c>
      <c r="H430">
        <f>IF($N430="","",IF(INDEX('Per Invoice'!$H$2:$H$801,$N430)="","",INDEX('Per Invoice'!$H$2:$H$801,$N430)))</f>
        <v/>
      </c>
      <c r="I430" s="5">
        <f>IF($N430="","",IF(INDEX('Per Invoice'!$I$2:$I$801,$N430)="","",INDEX('Per Invoice'!$I$2:$I$801,$N430)))</f>
        <v/>
      </c>
      <c r="J430" s="5">
        <f>IF($N430="","",IF(INDEX('Per Invoice'!$J$2:$J$801,$N430)="","",INDEX('Per Invoice'!$J$2:$J$801,$N430)))</f>
        <v/>
      </c>
      <c r="K430" s="5">
        <f>IF($N430="","",IF(INDEX('Per Invoice'!$K$2:$K$801,$N430)="","",INDEX('Per Invoice'!$K$2:$K$801,$N430)))</f>
        <v/>
      </c>
      <c r="L430" s="5">
        <f>IF($N430="","",IF(INDEX('Per Invoice'!$L$2:$L$801,$N430)="","",INDEX('Per Invoice'!$L$2:$L$801,$N430)))</f>
        <v/>
      </c>
      <c r="M430" s="5">
        <f>IF($N430="","",IF(INDEX('Per Invoice'!$M$2:$M$801,$N430)="","",INDEX('Per Invoice'!$M$2:$M$801,$N430)))</f>
        <v/>
      </c>
      <c r="N430">
        <f>IF(ROWS($N$2:$N430)&lt;=COUNT('Per Invoice'!$P$2:$P$801),MATCH(ROWS($N$2:$N430),'Per Invoice'!$P$2:$P$801,0),"")</f>
        <v/>
      </c>
    </row>
    <row r="431">
      <c r="A431">
        <f>IF($N431="","",IF(INDEX('Per Invoice'!$A$2:$A$801,$N431)="","",INDEX('Per Invoice'!$A$2:$A$801,$N431)))</f>
        <v/>
      </c>
      <c r="B431">
        <f>IF($N431="","",IF(INDEX('Per Invoice'!$B$2:$B$801,$N431)="","",INDEX('Per Invoice'!$B$2:$B$801,$N431)))</f>
        <v/>
      </c>
      <c r="C431">
        <f>IF($N431="","",IF(INDEX('Per Invoice'!$C$2:$C$801,$N431)="","",INDEX('Per Invoice'!$C$2:$C$801,$N431)))</f>
        <v/>
      </c>
      <c r="D431">
        <f>IF($N431="","",IF(INDEX('Per Invoice'!$D$2:$D$801,$N431)="","",INDEX('Per Invoice'!$D$2:$D$801,$N431)))</f>
        <v/>
      </c>
      <c r="E431">
        <f>IF($N431="","",IF(INDEX('Per Invoice'!$E$2:$E$801,$N431)="","",INDEX('Per Invoice'!$E$2:$E$801,$N431)))</f>
        <v/>
      </c>
      <c r="F431">
        <f>IF($N431="","",IF(INDEX('Per Invoice'!$F$2:$F$801,$N431)="","",INDEX('Per Invoice'!$F$2:$F$801,$N431)))</f>
        <v/>
      </c>
      <c r="G431">
        <f>IF($N431="","",IF(INDEX('Per Invoice'!$G$2:$G$801,$N431)="","",INDEX('Per Invoice'!$G$2:$G$801,$N431)))</f>
        <v/>
      </c>
      <c r="H431">
        <f>IF($N431="","",IF(INDEX('Per Invoice'!$H$2:$H$801,$N431)="","",INDEX('Per Invoice'!$H$2:$H$801,$N431)))</f>
        <v/>
      </c>
      <c r="I431" s="5">
        <f>IF($N431="","",IF(INDEX('Per Invoice'!$I$2:$I$801,$N431)="","",INDEX('Per Invoice'!$I$2:$I$801,$N431)))</f>
        <v/>
      </c>
      <c r="J431" s="5">
        <f>IF($N431="","",IF(INDEX('Per Invoice'!$J$2:$J$801,$N431)="","",INDEX('Per Invoice'!$J$2:$J$801,$N431)))</f>
        <v/>
      </c>
      <c r="K431" s="5">
        <f>IF($N431="","",IF(INDEX('Per Invoice'!$K$2:$K$801,$N431)="","",INDEX('Per Invoice'!$K$2:$K$801,$N431)))</f>
        <v/>
      </c>
      <c r="L431" s="5">
        <f>IF($N431="","",IF(INDEX('Per Invoice'!$L$2:$L$801,$N431)="","",INDEX('Per Invoice'!$L$2:$L$801,$N431)))</f>
        <v/>
      </c>
      <c r="M431" s="5">
        <f>IF($N431="","",IF(INDEX('Per Invoice'!$M$2:$M$801,$N431)="","",INDEX('Per Invoice'!$M$2:$M$801,$N431)))</f>
        <v/>
      </c>
      <c r="N431">
        <f>IF(ROWS($N$2:$N431)&lt;=COUNT('Per Invoice'!$P$2:$P$801),MATCH(ROWS($N$2:$N431),'Per Invoice'!$P$2:$P$801,0),"")</f>
        <v/>
      </c>
    </row>
    <row r="432">
      <c r="A432">
        <f>IF($N432="","",IF(INDEX('Per Invoice'!$A$2:$A$801,$N432)="","",INDEX('Per Invoice'!$A$2:$A$801,$N432)))</f>
        <v/>
      </c>
      <c r="B432">
        <f>IF($N432="","",IF(INDEX('Per Invoice'!$B$2:$B$801,$N432)="","",INDEX('Per Invoice'!$B$2:$B$801,$N432)))</f>
        <v/>
      </c>
      <c r="C432">
        <f>IF($N432="","",IF(INDEX('Per Invoice'!$C$2:$C$801,$N432)="","",INDEX('Per Invoice'!$C$2:$C$801,$N432)))</f>
        <v/>
      </c>
      <c r="D432">
        <f>IF($N432="","",IF(INDEX('Per Invoice'!$D$2:$D$801,$N432)="","",INDEX('Per Invoice'!$D$2:$D$801,$N432)))</f>
        <v/>
      </c>
      <c r="E432">
        <f>IF($N432="","",IF(INDEX('Per Invoice'!$E$2:$E$801,$N432)="","",INDEX('Per Invoice'!$E$2:$E$801,$N432)))</f>
        <v/>
      </c>
      <c r="F432">
        <f>IF($N432="","",IF(INDEX('Per Invoice'!$F$2:$F$801,$N432)="","",INDEX('Per Invoice'!$F$2:$F$801,$N432)))</f>
        <v/>
      </c>
      <c r="G432">
        <f>IF($N432="","",IF(INDEX('Per Invoice'!$G$2:$G$801,$N432)="","",INDEX('Per Invoice'!$G$2:$G$801,$N432)))</f>
        <v/>
      </c>
      <c r="H432">
        <f>IF($N432="","",IF(INDEX('Per Invoice'!$H$2:$H$801,$N432)="","",INDEX('Per Invoice'!$H$2:$H$801,$N432)))</f>
        <v/>
      </c>
      <c r="I432" s="5">
        <f>IF($N432="","",IF(INDEX('Per Invoice'!$I$2:$I$801,$N432)="","",INDEX('Per Invoice'!$I$2:$I$801,$N432)))</f>
        <v/>
      </c>
      <c r="J432" s="5">
        <f>IF($N432="","",IF(INDEX('Per Invoice'!$J$2:$J$801,$N432)="","",INDEX('Per Invoice'!$J$2:$J$801,$N432)))</f>
        <v/>
      </c>
      <c r="K432" s="5">
        <f>IF($N432="","",IF(INDEX('Per Invoice'!$K$2:$K$801,$N432)="","",INDEX('Per Invoice'!$K$2:$K$801,$N432)))</f>
        <v/>
      </c>
      <c r="L432" s="5">
        <f>IF($N432="","",IF(INDEX('Per Invoice'!$L$2:$L$801,$N432)="","",INDEX('Per Invoice'!$L$2:$L$801,$N432)))</f>
        <v/>
      </c>
      <c r="M432" s="5">
        <f>IF($N432="","",IF(INDEX('Per Invoice'!$M$2:$M$801,$N432)="","",INDEX('Per Invoice'!$M$2:$M$801,$N432)))</f>
        <v/>
      </c>
      <c r="N432">
        <f>IF(ROWS($N$2:$N432)&lt;=COUNT('Per Invoice'!$P$2:$P$801),MATCH(ROWS($N$2:$N432),'Per Invoice'!$P$2:$P$801,0),"")</f>
        <v/>
      </c>
    </row>
    <row r="433">
      <c r="A433">
        <f>IF($N433="","",IF(INDEX('Per Invoice'!$A$2:$A$801,$N433)="","",INDEX('Per Invoice'!$A$2:$A$801,$N433)))</f>
        <v/>
      </c>
      <c r="B433">
        <f>IF($N433="","",IF(INDEX('Per Invoice'!$B$2:$B$801,$N433)="","",INDEX('Per Invoice'!$B$2:$B$801,$N433)))</f>
        <v/>
      </c>
      <c r="C433">
        <f>IF($N433="","",IF(INDEX('Per Invoice'!$C$2:$C$801,$N433)="","",INDEX('Per Invoice'!$C$2:$C$801,$N433)))</f>
        <v/>
      </c>
      <c r="D433">
        <f>IF($N433="","",IF(INDEX('Per Invoice'!$D$2:$D$801,$N433)="","",INDEX('Per Invoice'!$D$2:$D$801,$N433)))</f>
        <v/>
      </c>
      <c r="E433">
        <f>IF($N433="","",IF(INDEX('Per Invoice'!$E$2:$E$801,$N433)="","",INDEX('Per Invoice'!$E$2:$E$801,$N433)))</f>
        <v/>
      </c>
      <c r="F433">
        <f>IF($N433="","",IF(INDEX('Per Invoice'!$F$2:$F$801,$N433)="","",INDEX('Per Invoice'!$F$2:$F$801,$N433)))</f>
        <v/>
      </c>
      <c r="G433">
        <f>IF($N433="","",IF(INDEX('Per Invoice'!$G$2:$G$801,$N433)="","",INDEX('Per Invoice'!$G$2:$G$801,$N433)))</f>
        <v/>
      </c>
      <c r="H433">
        <f>IF($N433="","",IF(INDEX('Per Invoice'!$H$2:$H$801,$N433)="","",INDEX('Per Invoice'!$H$2:$H$801,$N433)))</f>
        <v/>
      </c>
      <c r="I433" s="5">
        <f>IF($N433="","",IF(INDEX('Per Invoice'!$I$2:$I$801,$N433)="","",INDEX('Per Invoice'!$I$2:$I$801,$N433)))</f>
        <v/>
      </c>
      <c r="J433" s="5">
        <f>IF($N433="","",IF(INDEX('Per Invoice'!$J$2:$J$801,$N433)="","",INDEX('Per Invoice'!$J$2:$J$801,$N433)))</f>
        <v/>
      </c>
      <c r="K433" s="5">
        <f>IF($N433="","",IF(INDEX('Per Invoice'!$K$2:$K$801,$N433)="","",INDEX('Per Invoice'!$K$2:$K$801,$N433)))</f>
        <v/>
      </c>
      <c r="L433" s="5">
        <f>IF($N433="","",IF(INDEX('Per Invoice'!$L$2:$L$801,$N433)="","",INDEX('Per Invoice'!$L$2:$L$801,$N433)))</f>
        <v/>
      </c>
      <c r="M433" s="5">
        <f>IF($N433="","",IF(INDEX('Per Invoice'!$M$2:$M$801,$N433)="","",INDEX('Per Invoice'!$M$2:$M$801,$N433)))</f>
        <v/>
      </c>
      <c r="N433">
        <f>IF(ROWS($N$2:$N433)&lt;=COUNT('Per Invoice'!$P$2:$P$801),MATCH(ROWS($N$2:$N433),'Per Invoice'!$P$2:$P$801,0),"")</f>
        <v/>
      </c>
    </row>
    <row r="434">
      <c r="A434">
        <f>IF($N434="","",IF(INDEX('Per Invoice'!$A$2:$A$801,$N434)="","",INDEX('Per Invoice'!$A$2:$A$801,$N434)))</f>
        <v/>
      </c>
      <c r="B434">
        <f>IF($N434="","",IF(INDEX('Per Invoice'!$B$2:$B$801,$N434)="","",INDEX('Per Invoice'!$B$2:$B$801,$N434)))</f>
        <v/>
      </c>
      <c r="C434">
        <f>IF($N434="","",IF(INDEX('Per Invoice'!$C$2:$C$801,$N434)="","",INDEX('Per Invoice'!$C$2:$C$801,$N434)))</f>
        <v/>
      </c>
      <c r="D434">
        <f>IF($N434="","",IF(INDEX('Per Invoice'!$D$2:$D$801,$N434)="","",INDEX('Per Invoice'!$D$2:$D$801,$N434)))</f>
        <v/>
      </c>
      <c r="E434">
        <f>IF($N434="","",IF(INDEX('Per Invoice'!$E$2:$E$801,$N434)="","",INDEX('Per Invoice'!$E$2:$E$801,$N434)))</f>
        <v/>
      </c>
      <c r="F434">
        <f>IF($N434="","",IF(INDEX('Per Invoice'!$F$2:$F$801,$N434)="","",INDEX('Per Invoice'!$F$2:$F$801,$N434)))</f>
        <v/>
      </c>
      <c r="G434">
        <f>IF($N434="","",IF(INDEX('Per Invoice'!$G$2:$G$801,$N434)="","",INDEX('Per Invoice'!$G$2:$G$801,$N434)))</f>
        <v/>
      </c>
      <c r="H434">
        <f>IF($N434="","",IF(INDEX('Per Invoice'!$H$2:$H$801,$N434)="","",INDEX('Per Invoice'!$H$2:$H$801,$N434)))</f>
        <v/>
      </c>
      <c r="I434" s="5">
        <f>IF($N434="","",IF(INDEX('Per Invoice'!$I$2:$I$801,$N434)="","",INDEX('Per Invoice'!$I$2:$I$801,$N434)))</f>
        <v/>
      </c>
      <c r="J434" s="5">
        <f>IF($N434="","",IF(INDEX('Per Invoice'!$J$2:$J$801,$N434)="","",INDEX('Per Invoice'!$J$2:$J$801,$N434)))</f>
        <v/>
      </c>
      <c r="K434" s="5">
        <f>IF($N434="","",IF(INDEX('Per Invoice'!$K$2:$K$801,$N434)="","",INDEX('Per Invoice'!$K$2:$K$801,$N434)))</f>
        <v/>
      </c>
      <c r="L434" s="5">
        <f>IF($N434="","",IF(INDEX('Per Invoice'!$L$2:$L$801,$N434)="","",INDEX('Per Invoice'!$L$2:$L$801,$N434)))</f>
        <v/>
      </c>
      <c r="M434" s="5">
        <f>IF($N434="","",IF(INDEX('Per Invoice'!$M$2:$M$801,$N434)="","",INDEX('Per Invoice'!$M$2:$M$801,$N434)))</f>
        <v/>
      </c>
      <c r="N434">
        <f>IF(ROWS($N$2:$N434)&lt;=COUNT('Per Invoice'!$P$2:$P$801),MATCH(ROWS($N$2:$N434),'Per Invoice'!$P$2:$P$801,0),"")</f>
        <v/>
      </c>
    </row>
    <row r="435">
      <c r="A435">
        <f>IF($N435="","",IF(INDEX('Per Invoice'!$A$2:$A$801,$N435)="","",INDEX('Per Invoice'!$A$2:$A$801,$N435)))</f>
        <v/>
      </c>
      <c r="B435">
        <f>IF($N435="","",IF(INDEX('Per Invoice'!$B$2:$B$801,$N435)="","",INDEX('Per Invoice'!$B$2:$B$801,$N435)))</f>
        <v/>
      </c>
      <c r="C435">
        <f>IF($N435="","",IF(INDEX('Per Invoice'!$C$2:$C$801,$N435)="","",INDEX('Per Invoice'!$C$2:$C$801,$N435)))</f>
        <v/>
      </c>
      <c r="D435">
        <f>IF($N435="","",IF(INDEX('Per Invoice'!$D$2:$D$801,$N435)="","",INDEX('Per Invoice'!$D$2:$D$801,$N435)))</f>
        <v/>
      </c>
      <c r="E435">
        <f>IF($N435="","",IF(INDEX('Per Invoice'!$E$2:$E$801,$N435)="","",INDEX('Per Invoice'!$E$2:$E$801,$N435)))</f>
        <v/>
      </c>
      <c r="F435">
        <f>IF($N435="","",IF(INDEX('Per Invoice'!$F$2:$F$801,$N435)="","",INDEX('Per Invoice'!$F$2:$F$801,$N435)))</f>
        <v/>
      </c>
      <c r="G435">
        <f>IF($N435="","",IF(INDEX('Per Invoice'!$G$2:$G$801,$N435)="","",INDEX('Per Invoice'!$G$2:$G$801,$N435)))</f>
        <v/>
      </c>
      <c r="H435">
        <f>IF($N435="","",IF(INDEX('Per Invoice'!$H$2:$H$801,$N435)="","",INDEX('Per Invoice'!$H$2:$H$801,$N435)))</f>
        <v/>
      </c>
      <c r="I435" s="5">
        <f>IF($N435="","",IF(INDEX('Per Invoice'!$I$2:$I$801,$N435)="","",INDEX('Per Invoice'!$I$2:$I$801,$N435)))</f>
        <v/>
      </c>
      <c r="J435" s="5">
        <f>IF($N435="","",IF(INDEX('Per Invoice'!$J$2:$J$801,$N435)="","",INDEX('Per Invoice'!$J$2:$J$801,$N435)))</f>
        <v/>
      </c>
      <c r="K435" s="5">
        <f>IF($N435="","",IF(INDEX('Per Invoice'!$K$2:$K$801,$N435)="","",INDEX('Per Invoice'!$K$2:$K$801,$N435)))</f>
        <v/>
      </c>
      <c r="L435" s="5">
        <f>IF($N435="","",IF(INDEX('Per Invoice'!$L$2:$L$801,$N435)="","",INDEX('Per Invoice'!$L$2:$L$801,$N435)))</f>
        <v/>
      </c>
      <c r="M435" s="5">
        <f>IF($N435="","",IF(INDEX('Per Invoice'!$M$2:$M$801,$N435)="","",INDEX('Per Invoice'!$M$2:$M$801,$N435)))</f>
        <v/>
      </c>
      <c r="N435">
        <f>IF(ROWS($N$2:$N435)&lt;=COUNT('Per Invoice'!$P$2:$P$801),MATCH(ROWS($N$2:$N435),'Per Invoice'!$P$2:$P$801,0),"")</f>
        <v/>
      </c>
    </row>
    <row r="436">
      <c r="A436">
        <f>IF($N436="","",IF(INDEX('Per Invoice'!$A$2:$A$801,$N436)="","",INDEX('Per Invoice'!$A$2:$A$801,$N436)))</f>
        <v/>
      </c>
      <c r="B436">
        <f>IF($N436="","",IF(INDEX('Per Invoice'!$B$2:$B$801,$N436)="","",INDEX('Per Invoice'!$B$2:$B$801,$N436)))</f>
        <v/>
      </c>
      <c r="C436">
        <f>IF($N436="","",IF(INDEX('Per Invoice'!$C$2:$C$801,$N436)="","",INDEX('Per Invoice'!$C$2:$C$801,$N436)))</f>
        <v/>
      </c>
      <c r="D436">
        <f>IF($N436="","",IF(INDEX('Per Invoice'!$D$2:$D$801,$N436)="","",INDEX('Per Invoice'!$D$2:$D$801,$N436)))</f>
        <v/>
      </c>
      <c r="E436">
        <f>IF($N436="","",IF(INDEX('Per Invoice'!$E$2:$E$801,$N436)="","",INDEX('Per Invoice'!$E$2:$E$801,$N436)))</f>
        <v/>
      </c>
      <c r="F436">
        <f>IF($N436="","",IF(INDEX('Per Invoice'!$F$2:$F$801,$N436)="","",INDEX('Per Invoice'!$F$2:$F$801,$N436)))</f>
        <v/>
      </c>
      <c r="G436">
        <f>IF($N436="","",IF(INDEX('Per Invoice'!$G$2:$G$801,$N436)="","",INDEX('Per Invoice'!$G$2:$G$801,$N436)))</f>
        <v/>
      </c>
      <c r="H436">
        <f>IF($N436="","",IF(INDEX('Per Invoice'!$H$2:$H$801,$N436)="","",INDEX('Per Invoice'!$H$2:$H$801,$N436)))</f>
        <v/>
      </c>
      <c r="I436" s="5">
        <f>IF($N436="","",IF(INDEX('Per Invoice'!$I$2:$I$801,$N436)="","",INDEX('Per Invoice'!$I$2:$I$801,$N436)))</f>
        <v/>
      </c>
      <c r="J436" s="5">
        <f>IF($N436="","",IF(INDEX('Per Invoice'!$J$2:$J$801,$N436)="","",INDEX('Per Invoice'!$J$2:$J$801,$N436)))</f>
        <v/>
      </c>
      <c r="K436" s="5">
        <f>IF($N436="","",IF(INDEX('Per Invoice'!$K$2:$K$801,$N436)="","",INDEX('Per Invoice'!$K$2:$K$801,$N436)))</f>
        <v/>
      </c>
      <c r="L436" s="5">
        <f>IF($N436="","",IF(INDEX('Per Invoice'!$L$2:$L$801,$N436)="","",INDEX('Per Invoice'!$L$2:$L$801,$N436)))</f>
        <v/>
      </c>
      <c r="M436" s="5">
        <f>IF($N436="","",IF(INDEX('Per Invoice'!$M$2:$M$801,$N436)="","",INDEX('Per Invoice'!$M$2:$M$801,$N436)))</f>
        <v/>
      </c>
      <c r="N436">
        <f>IF(ROWS($N$2:$N436)&lt;=COUNT('Per Invoice'!$P$2:$P$801),MATCH(ROWS($N$2:$N436),'Per Invoice'!$P$2:$P$801,0),"")</f>
        <v/>
      </c>
    </row>
    <row r="437">
      <c r="A437">
        <f>IF($N437="","",IF(INDEX('Per Invoice'!$A$2:$A$801,$N437)="","",INDEX('Per Invoice'!$A$2:$A$801,$N437)))</f>
        <v/>
      </c>
      <c r="B437">
        <f>IF($N437="","",IF(INDEX('Per Invoice'!$B$2:$B$801,$N437)="","",INDEX('Per Invoice'!$B$2:$B$801,$N437)))</f>
        <v/>
      </c>
      <c r="C437">
        <f>IF($N437="","",IF(INDEX('Per Invoice'!$C$2:$C$801,$N437)="","",INDEX('Per Invoice'!$C$2:$C$801,$N437)))</f>
        <v/>
      </c>
      <c r="D437">
        <f>IF($N437="","",IF(INDEX('Per Invoice'!$D$2:$D$801,$N437)="","",INDEX('Per Invoice'!$D$2:$D$801,$N437)))</f>
        <v/>
      </c>
      <c r="E437">
        <f>IF($N437="","",IF(INDEX('Per Invoice'!$E$2:$E$801,$N437)="","",INDEX('Per Invoice'!$E$2:$E$801,$N437)))</f>
        <v/>
      </c>
      <c r="F437">
        <f>IF($N437="","",IF(INDEX('Per Invoice'!$F$2:$F$801,$N437)="","",INDEX('Per Invoice'!$F$2:$F$801,$N437)))</f>
        <v/>
      </c>
      <c r="G437">
        <f>IF($N437="","",IF(INDEX('Per Invoice'!$G$2:$G$801,$N437)="","",INDEX('Per Invoice'!$G$2:$G$801,$N437)))</f>
        <v/>
      </c>
      <c r="H437">
        <f>IF($N437="","",IF(INDEX('Per Invoice'!$H$2:$H$801,$N437)="","",INDEX('Per Invoice'!$H$2:$H$801,$N437)))</f>
        <v/>
      </c>
      <c r="I437" s="5">
        <f>IF($N437="","",IF(INDEX('Per Invoice'!$I$2:$I$801,$N437)="","",INDEX('Per Invoice'!$I$2:$I$801,$N437)))</f>
        <v/>
      </c>
      <c r="J437" s="5">
        <f>IF($N437="","",IF(INDEX('Per Invoice'!$J$2:$J$801,$N437)="","",INDEX('Per Invoice'!$J$2:$J$801,$N437)))</f>
        <v/>
      </c>
      <c r="K437" s="5">
        <f>IF($N437="","",IF(INDEX('Per Invoice'!$K$2:$K$801,$N437)="","",INDEX('Per Invoice'!$K$2:$K$801,$N437)))</f>
        <v/>
      </c>
      <c r="L437" s="5">
        <f>IF($N437="","",IF(INDEX('Per Invoice'!$L$2:$L$801,$N437)="","",INDEX('Per Invoice'!$L$2:$L$801,$N437)))</f>
        <v/>
      </c>
      <c r="M437" s="5">
        <f>IF($N437="","",IF(INDEX('Per Invoice'!$M$2:$M$801,$N437)="","",INDEX('Per Invoice'!$M$2:$M$801,$N437)))</f>
        <v/>
      </c>
      <c r="N437">
        <f>IF(ROWS($N$2:$N437)&lt;=COUNT('Per Invoice'!$P$2:$P$801),MATCH(ROWS($N$2:$N437),'Per Invoice'!$P$2:$P$801,0),"")</f>
        <v/>
      </c>
    </row>
    <row r="438">
      <c r="A438">
        <f>IF($N438="","",IF(INDEX('Per Invoice'!$A$2:$A$801,$N438)="","",INDEX('Per Invoice'!$A$2:$A$801,$N438)))</f>
        <v/>
      </c>
      <c r="B438">
        <f>IF($N438="","",IF(INDEX('Per Invoice'!$B$2:$B$801,$N438)="","",INDEX('Per Invoice'!$B$2:$B$801,$N438)))</f>
        <v/>
      </c>
      <c r="C438">
        <f>IF($N438="","",IF(INDEX('Per Invoice'!$C$2:$C$801,$N438)="","",INDEX('Per Invoice'!$C$2:$C$801,$N438)))</f>
        <v/>
      </c>
      <c r="D438">
        <f>IF($N438="","",IF(INDEX('Per Invoice'!$D$2:$D$801,$N438)="","",INDEX('Per Invoice'!$D$2:$D$801,$N438)))</f>
        <v/>
      </c>
      <c r="E438">
        <f>IF($N438="","",IF(INDEX('Per Invoice'!$E$2:$E$801,$N438)="","",INDEX('Per Invoice'!$E$2:$E$801,$N438)))</f>
        <v/>
      </c>
      <c r="F438">
        <f>IF($N438="","",IF(INDEX('Per Invoice'!$F$2:$F$801,$N438)="","",INDEX('Per Invoice'!$F$2:$F$801,$N438)))</f>
        <v/>
      </c>
      <c r="G438">
        <f>IF($N438="","",IF(INDEX('Per Invoice'!$G$2:$G$801,$N438)="","",INDEX('Per Invoice'!$G$2:$G$801,$N438)))</f>
        <v/>
      </c>
      <c r="H438">
        <f>IF($N438="","",IF(INDEX('Per Invoice'!$H$2:$H$801,$N438)="","",INDEX('Per Invoice'!$H$2:$H$801,$N438)))</f>
        <v/>
      </c>
      <c r="I438" s="5">
        <f>IF($N438="","",IF(INDEX('Per Invoice'!$I$2:$I$801,$N438)="","",INDEX('Per Invoice'!$I$2:$I$801,$N438)))</f>
        <v/>
      </c>
      <c r="J438" s="5">
        <f>IF($N438="","",IF(INDEX('Per Invoice'!$J$2:$J$801,$N438)="","",INDEX('Per Invoice'!$J$2:$J$801,$N438)))</f>
        <v/>
      </c>
      <c r="K438" s="5">
        <f>IF($N438="","",IF(INDEX('Per Invoice'!$K$2:$K$801,$N438)="","",INDEX('Per Invoice'!$K$2:$K$801,$N438)))</f>
        <v/>
      </c>
      <c r="L438" s="5">
        <f>IF($N438="","",IF(INDEX('Per Invoice'!$L$2:$L$801,$N438)="","",INDEX('Per Invoice'!$L$2:$L$801,$N438)))</f>
        <v/>
      </c>
      <c r="M438" s="5">
        <f>IF($N438="","",IF(INDEX('Per Invoice'!$M$2:$M$801,$N438)="","",INDEX('Per Invoice'!$M$2:$M$801,$N438)))</f>
        <v/>
      </c>
      <c r="N438">
        <f>IF(ROWS($N$2:$N438)&lt;=COUNT('Per Invoice'!$P$2:$P$801),MATCH(ROWS($N$2:$N438),'Per Invoice'!$P$2:$P$801,0),"")</f>
        <v/>
      </c>
    </row>
    <row r="439">
      <c r="A439">
        <f>IF($N439="","",IF(INDEX('Per Invoice'!$A$2:$A$801,$N439)="","",INDEX('Per Invoice'!$A$2:$A$801,$N439)))</f>
        <v/>
      </c>
      <c r="B439">
        <f>IF($N439="","",IF(INDEX('Per Invoice'!$B$2:$B$801,$N439)="","",INDEX('Per Invoice'!$B$2:$B$801,$N439)))</f>
        <v/>
      </c>
      <c r="C439">
        <f>IF($N439="","",IF(INDEX('Per Invoice'!$C$2:$C$801,$N439)="","",INDEX('Per Invoice'!$C$2:$C$801,$N439)))</f>
        <v/>
      </c>
      <c r="D439">
        <f>IF($N439="","",IF(INDEX('Per Invoice'!$D$2:$D$801,$N439)="","",INDEX('Per Invoice'!$D$2:$D$801,$N439)))</f>
        <v/>
      </c>
      <c r="E439">
        <f>IF($N439="","",IF(INDEX('Per Invoice'!$E$2:$E$801,$N439)="","",INDEX('Per Invoice'!$E$2:$E$801,$N439)))</f>
        <v/>
      </c>
      <c r="F439">
        <f>IF($N439="","",IF(INDEX('Per Invoice'!$F$2:$F$801,$N439)="","",INDEX('Per Invoice'!$F$2:$F$801,$N439)))</f>
        <v/>
      </c>
      <c r="G439">
        <f>IF($N439="","",IF(INDEX('Per Invoice'!$G$2:$G$801,$N439)="","",INDEX('Per Invoice'!$G$2:$G$801,$N439)))</f>
        <v/>
      </c>
      <c r="H439">
        <f>IF($N439="","",IF(INDEX('Per Invoice'!$H$2:$H$801,$N439)="","",INDEX('Per Invoice'!$H$2:$H$801,$N439)))</f>
        <v/>
      </c>
      <c r="I439" s="5">
        <f>IF($N439="","",IF(INDEX('Per Invoice'!$I$2:$I$801,$N439)="","",INDEX('Per Invoice'!$I$2:$I$801,$N439)))</f>
        <v/>
      </c>
      <c r="J439" s="5">
        <f>IF($N439="","",IF(INDEX('Per Invoice'!$J$2:$J$801,$N439)="","",INDEX('Per Invoice'!$J$2:$J$801,$N439)))</f>
        <v/>
      </c>
      <c r="K439" s="5">
        <f>IF($N439="","",IF(INDEX('Per Invoice'!$K$2:$K$801,$N439)="","",INDEX('Per Invoice'!$K$2:$K$801,$N439)))</f>
        <v/>
      </c>
      <c r="L439" s="5">
        <f>IF($N439="","",IF(INDEX('Per Invoice'!$L$2:$L$801,$N439)="","",INDEX('Per Invoice'!$L$2:$L$801,$N439)))</f>
        <v/>
      </c>
      <c r="M439" s="5">
        <f>IF($N439="","",IF(INDEX('Per Invoice'!$M$2:$M$801,$N439)="","",INDEX('Per Invoice'!$M$2:$M$801,$N439)))</f>
        <v/>
      </c>
      <c r="N439">
        <f>IF(ROWS($N$2:$N439)&lt;=COUNT('Per Invoice'!$P$2:$P$801),MATCH(ROWS($N$2:$N439),'Per Invoice'!$P$2:$P$801,0),"")</f>
        <v/>
      </c>
    </row>
    <row r="440">
      <c r="A440">
        <f>IF($N440="","",IF(INDEX('Per Invoice'!$A$2:$A$801,$N440)="","",INDEX('Per Invoice'!$A$2:$A$801,$N440)))</f>
        <v/>
      </c>
      <c r="B440">
        <f>IF($N440="","",IF(INDEX('Per Invoice'!$B$2:$B$801,$N440)="","",INDEX('Per Invoice'!$B$2:$B$801,$N440)))</f>
        <v/>
      </c>
      <c r="C440">
        <f>IF($N440="","",IF(INDEX('Per Invoice'!$C$2:$C$801,$N440)="","",INDEX('Per Invoice'!$C$2:$C$801,$N440)))</f>
        <v/>
      </c>
      <c r="D440">
        <f>IF($N440="","",IF(INDEX('Per Invoice'!$D$2:$D$801,$N440)="","",INDEX('Per Invoice'!$D$2:$D$801,$N440)))</f>
        <v/>
      </c>
      <c r="E440">
        <f>IF($N440="","",IF(INDEX('Per Invoice'!$E$2:$E$801,$N440)="","",INDEX('Per Invoice'!$E$2:$E$801,$N440)))</f>
        <v/>
      </c>
      <c r="F440">
        <f>IF($N440="","",IF(INDEX('Per Invoice'!$F$2:$F$801,$N440)="","",INDEX('Per Invoice'!$F$2:$F$801,$N440)))</f>
        <v/>
      </c>
      <c r="G440">
        <f>IF($N440="","",IF(INDEX('Per Invoice'!$G$2:$G$801,$N440)="","",INDEX('Per Invoice'!$G$2:$G$801,$N440)))</f>
        <v/>
      </c>
      <c r="H440">
        <f>IF($N440="","",IF(INDEX('Per Invoice'!$H$2:$H$801,$N440)="","",INDEX('Per Invoice'!$H$2:$H$801,$N440)))</f>
        <v/>
      </c>
      <c r="I440" s="5">
        <f>IF($N440="","",IF(INDEX('Per Invoice'!$I$2:$I$801,$N440)="","",INDEX('Per Invoice'!$I$2:$I$801,$N440)))</f>
        <v/>
      </c>
      <c r="J440" s="5">
        <f>IF($N440="","",IF(INDEX('Per Invoice'!$J$2:$J$801,$N440)="","",INDEX('Per Invoice'!$J$2:$J$801,$N440)))</f>
        <v/>
      </c>
      <c r="K440" s="5">
        <f>IF($N440="","",IF(INDEX('Per Invoice'!$K$2:$K$801,$N440)="","",INDEX('Per Invoice'!$K$2:$K$801,$N440)))</f>
        <v/>
      </c>
      <c r="L440" s="5">
        <f>IF($N440="","",IF(INDEX('Per Invoice'!$L$2:$L$801,$N440)="","",INDEX('Per Invoice'!$L$2:$L$801,$N440)))</f>
        <v/>
      </c>
      <c r="M440" s="5">
        <f>IF($N440="","",IF(INDEX('Per Invoice'!$M$2:$M$801,$N440)="","",INDEX('Per Invoice'!$M$2:$M$801,$N440)))</f>
        <v/>
      </c>
      <c r="N440">
        <f>IF(ROWS($N$2:$N440)&lt;=COUNT('Per Invoice'!$P$2:$P$801),MATCH(ROWS($N$2:$N440),'Per Invoice'!$P$2:$P$801,0),"")</f>
        <v/>
      </c>
    </row>
    <row r="441">
      <c r="A441">
        <f>IF($N441="","",IF(INDEX('Per Invoice'!$A$2:$A$801,$N441)="","",INDEX('Per Invoice'!$A$2:$A$801,$N441)))</f>
        <v/>
      </c>
      <c r="B441">
        <f>IF($N441="","",IF(INDEX('Per Invoice'!$B$2:$B$801,$N441)="","",INDEX('Per Invoice'!$B$2:$B$801,$N441)))</f>
        <v/>
      </c>
      <c r="C441">
        <f>IF($N441="","",IF(INDEX('Per Invoice'!$C$2:$C$801,$N441)="","",INDEX('Per Invoice'!$C$2:$C$801,$N441)))</f>
        <v/>
      </c>
      <c r="D441">
        <f>IF($N441="","",IF(INDEX('Per Invoice'!$D$2:$D$801,$N441)="","",INDEX('Per Invoice'!$D$2:$D$801,$N441)))</f>
        <v/>
      </c>
      <c r="E441">
        <f>IF($N441="","",IF(INDEX('Per Invoice'!$E$2:$E$801,$N441)="","",INDEX('Per Invoice'!$E$2:$E$801,$N441)))</f>
        <v/>
      </c>
      <c r="F441">
        <f>IF($N441="","",IF(INDEX('Per Invoice'!$F$2:$F$801,$N441)="","",INDEX('Per Invoice'!$F$2:$F$801,$N441)))</f>
        <v/>
      </c>
      <c r="G441">
        <f>IF($N441="","",IF(INDEX('Per Invoice'!$G$2:$G$801,$N441)="","",INDEX('Per Invoice'!$G$2:$G$801,$N441)))</f>
        <v/>
      </c>
      <c r="H441">
        <f>IF($N441="","",IF(INDEX('Per Invoice'!$H$2:$H$801,$N441)="","",INDEX('Per Invoice'!$H$2:$H$801,$N441)))</f>
        <v/>
      </c>
      <c r="I441" s="5">
        <f>IF($N441="","",IF(INDEX('Per Invoice'!$I$2:$I$801,$N441)="","",INDEX('Per Invoice'!$I$2:$I$801,$N441)))</f>
        <v/>
      </c>
      <c r="J441" s="5">
        <f>IF($N441="","",IF(INDEX('Per Invoice'!$J$2:$J$801,$N441)="","",INDEX('Per Invoice'!$J$2:$J$801,$N441)))</f>
        <v/>
      </c>
      <c r="K441" s="5">
        <f>IF($N441="","",IF(INDEX('Per Invoice'!$K$2:$K$801,$N441)="","",INDEX('Per Invoice'!$K$2:$K$801,$N441)))</f>
        <v/>
      </c>
      <c r="L441" s="5">
        <f>IF($N441="","",IF(INDEX('Per Invoice'!$L$2:$L$801,$N441)="","",INDEX('Per Invoice'!$L$2:$L$801,$N441)))</f>
        <v/>
      </c>
      <c r="M441" s="5">
        <f>IF($N441="","",IF(INDEX('Per Invoice'!$M$2:$M$801,$N441)="","",INDEX('Per Invoice'!$M$2:$M$801,$N441)))</f>
        <v/>
      </c>
      <c r="N441">
        <f>IF(ROWS($N$2:$N441)&lt;=COUNT('Per Invoice'!$P$2:$P$801),MATCH(ROWS($N$2:$N441),'Per Invoice'!$P$2:$P$801,0),"")</f>
        <v/>
      </c>
    </row>
    <row r="442">
      <c r="A442">
        <f>IF($N442="","",IF(INDEX('Per Invoice'!$A$2:$A$801,$N442)="","",INDEX('Per Invoice'!$A$2:$A$801,$N442)))</f>
        <v/>
      </c>
      <c r="B442">
        <f>IF($N442="","",IF(INDEX('Per Invoice'!$B$2:$B$801,$N442)="","",INDEX('Per Invoice'!$B$2:$B$801,$N442)))</f>
        <v/>
      </c>
      <c r="C442">
        <f>IF($N442="","",IF(INDEX('Per Invoice'!$C$2:$C$801,$N442)="","",INDEX('Per Invoice'!$C$2:$C$801,$N442)))</f>
        <v/>
      </c>
      <c r="D442">
        <f>IF($N442="","",IF(INDEX('Per Invoice'!$D$2:$D$801,$N442)="","",INDEX('Per Invoice'!$D$2:$D$801,$N442)))</f>
        <v/>
      </c>
      <c r="E442">
        <f>IF($N442="","",IF(INDEX('Per Invoice'!$E$2:$E$801,$N442)="","",INDEX('Per Invoice'!$E$2:$E$801,$N442)))</f>
        <v/>
      </c>
      <c r="F442">
        <f>IF($N442="","",IF(INDEX('Per Invoice'!$F$2:$F$801,$N442)="","",INDEX('Per Invoice'!$F$2:$F$801,$N442)))</f>
        <v/>
      </c>
      <c r="G442">
        <f>IF($N442="","",IF(INDEX('Per Invoice'!$G$2:$G$801,$N442)="","",INDEX('Per Invoice'!$G$2:$G$801,$N442)))</f>
        <v/>
      </c>
      <c r="H442">
        <f>IF($N442="","",IF(INDEX('Per Invoice'!$H$2:$H$801,$N442)="","",INDEX('Per Invoice'!$H$2:$H$801,$N442)))</f>
        <v/>
      </c>
      <c r="I442" s="5">
        <f>IF($N442="","",IF(INDEX('Per Invoice'!$I$2:$I$801,$N442)="","",INDEX('Per Invoice'!$I$2:$I$801,$N442)))</f>
        <v/>
      </c>
      <c r="J442" s="5">
        <f>IF($N442="","",IF(INDEX('Per Invoice'!$J$2:$J$801,$N442)="","",INDEX('Per Invoice'!$J$2:$J$801,$N442)))</f>
        <v/>
      </c>
      <c r="K442" s="5">
        <f>IF($N442="","",IF(INDEX('Per Invoice'!$K$2:$K$801,$N442)="","",INDEX('Per Invoice'!$K$2:$K$801,$N442)))</f>
        <v/>
      </c>
      <c r="L442" s="5">
        <f>IF($N442="","",IF(INDEX('Per Invoice'!$L$2:$L$801,$N442)="","",INDEX('Per Invoice'!$L$2:$L$801,$N442)))</f>
        <v/>
      </c>
      <c r="M442" s="5">
        <f>IF($N442="","",IF(INDEX('Per Invoice'!$M$2:$M$801,$N442)="","",INDEX('Per Invoice'!$M$2:$M$801,$N442)))</f>
        <v/>
      </c>
      <c r="N442">
        <f>IF(ROWS($N$2:$N442)&lt;=COUNT('Per Invoice'!$P$2:$P$801),MATCH(ROWS($N$2:$N442),'Per Invoice'!$P$2:$P$801,0),"")</f>
        <v/>
      </c>
    </row>
    <row r="443">
      <c r="A443">
        <f>IF($N443="","",IF(INDEX('Per Invoice'!$A$2:$A$801,$N443)="","",INDEX('Per Invoice'!$A$2:$A$801,$N443)))</f>
        <v/>
      </c>
      <c r="B443">
        <f>IF($N443="","",IF(INDEX('Per Invoice'!$B$2:$B$801,$N443)="","",INDEX('Per Invoice'!$B$2:$B$801,$N443)))</f>
        <v/>
      </c>
      <c r="C443">
        <f>IF($N443="","",IF(INDEX('Per Invoice'!$C$2:$C$801,$N443)="","",INDEX('Per Invoice'!$C$2:$C$801,$N443)))</f>
        <v/>
      </c>
      <c r="D443">
        <f>IF($N443="","",IF(INDEX('Per Invoice'!$D$2:$D$801,$N443)="","",INDEX('Per Invoice'!$D$2:$D$801,$N443)))</f>
        <v/>
      </c>
      <c r="E443">
        <f>IF($N443="","",IF(INDEX('Per Invoice'!$E$2:$E$801,$N443)="","",INDEX('Per Invoice'!$E$2:$E$801,$N443)))</f>
        <v/>
      </c>
      <c r="F443">
        <f>IF($N443="","",IF(INDEX('Per Invoice'!$F$2:$F$801,$N443)="","",INDEX('Per Invoice'!$F$2:$F$801,$N443)))</f>
        <v/>
      </c>
      <c r="G443">
        <f>IF($N443="","",IF(INDEX('Per Invoice'!$G$2:$G$801,$N443)="","",INDEX('Per Invoice'!$G$2:$G$801,$N443)))</f>
        <v/>
      </c>
      <c r="H443">
        <f>IF($N443="","",IF(INDEX('Per Invoice'!$H$2:$H$801,$N443)="","",INDEX('Per Invoice'!$H$2:$H$801,$N443)))</f>
        <v/>
      </c>
      <c r="I443" s="5">
        <f>IF($N443="","",IF(INDEX('Per Invoice'!$I$2:$I$801,$N443)="","",INDEX('Per Invoice'!$I$2:$I$801,$N443)))</f>
        <v/>
      </c>
      <c r="J443" s="5">
        <f>IF($N443="","",IF(INDEX('Per Invoice'!$J$2:$J$801,$N443)="","",INDEX('Per Invoice'!$J$2:$J$801,$N443)))</f>
        <v/>
      </c>
      <c r="K443" s="5">
        <f>IF($N443="","",IF(INDEX('Per Invoice'!$K$2:$K$801,$N443)="","",INDEX('Per Invoice'!$K$2:$K$801,$N443)))</f>
        <v/>
      </c>
      <c r="L443" s="5">
        <f>IF($N443="","",IF(INDEX('Per Invoice'!$L$2:$L$801,$N443)="","",INDEX('Per Invoice'!$L$2:$L$801,$N443)))</f>
        <v/>
      </c>
      <c r="M443" s="5">
        <f>IF($N443="","",IF(INDEX('Per Invoice'!$M$2:$M$801,$N443)="","",INDEX('Per Invoice'!$M$2:$M$801,$N443)))</f>
        <v/>
      </c>
      <c r="N443">
        <f>IF(ROWS($N$2:$N443)&lt;=COUNT('Per Invoice'!$P$2:$P$801),MATCH(ROWS($N$2:$N443),'Per Invoice'!$P$2:$P$801,0),"")</f>
        <v/>
      </c>
    </row>
    <row r="444">
      <c r="A444">
        <f>IF($N444="","",IF(INDEX('Per Invoice'!$A$2:$A$801,$N444)="","",INDEX('Per Invoice'!$A$2:$A$801,$N444)))</f>
        <v/>
      </c>
      <c r="B444">
        <f>IF($N444="","",IF(INDEX('Per Invoice'!$B$2:$B$801,$N444)="","",INDEX('Per Invoice'!$B$2:$B$801,$N444)))</f>
        <v/>
      </c>
      <c r="C444">
        <f>IF($N444="","",IF(INDEX('Per Invoice'!$C$2:$C$801,$N444)="","",INDEX('Per Invoice'!$C$2:$C$801,$N444)))</f>
        <v/>
      </c>
      <c r="D444">
        <f>IF($N444="","",IF(INDEX('Per Invoice'!$D$2:$D$801,$N444)="","",INDEX('Per Invoice'!$D$2:$D$801,$N444)))</f>
        <v/>
      </c>
      <c r="E444">
        <f>IF($N444="","",IF(INDEX('Per Invoice'!$E$2:$E$801,$N444)="","",INDEX('Per Invoice'!$E$2:$E$801,$N444)))</f>
        <v/>
      </c>
      <c r="F444">
        <f>IF($N444="","",IF(INDEX('Per Invoice'!$F$2:$F$801,$N444)="","",INDEX('Per Invoice'!$F$2:$F$801,$N444)))</f>
        <v/>
      </c>
      <c r="G444">
        <f>IF($N444="","",IF(INDEX('Per Invoice'!$G$2:$G$801,$N444)="","",INDEX('Per Invoice'!$G$2:$G$801,$N444)))</f>
        <v/>
      </c>
      <c r="H444">
        <f>IF($N444="","",IF(INDEX('Per Invoice'!$H$2:$H$801,$N444)="","",INDEX('Per Invoice'!$H$2:$H$801,$N444)))</f>
        <v/>
      </c>
      <c r="I444" s="5">
        <f>IF($N444="","",IF(INDEX('Per Invoice'!$I$2:$I$801,$N444)="","",INDEX('Per Invoice'!$I$2:$I$801,$N444)))</f>
        <v/>
      </c>
      <c r="J444" s="5">
        <f>IF($N444="","",IF(INDEX('Per Invoice'!$J$2:$J$801,$N444)="","",INDEX('Per Invoice'!$J$2:$J$801,$N444)))</f>
        <v/>
      </c>
      <c r="K444" s="5">
        <f>IF($N444="","",IF(INDEX('Per Invoice'!$K$2:$K$801,$N444)="","",INDEX('Per Invoice'!$K$2:$K$801,$N444)))</f>
        <v/>
      </c>
      <c r="L444" s="5">
        <f>IF($N444="","",IF(INDEX('Per Invoice'!$L$2:$L$801,$N444)="","",INDEX('Per Invoice'!$L$2:$L$801,$N444)))</f>
        <v/>
      </c>
      <c r="M444" s="5">
        <f>IF($N444="","",IF(INDEX('Per Invoice'!$M$2:$M$801,$N444)="","",INDEX('Per Invoice'!$M$2:$M$801,$N444)))</f>
        <v/>
      </c>
      <c r="N444">
        <f>IF(ROWS($N$2:$N444)&lt;=COUNT('Per Invoice'!$P$2:$P$801),MATCH(ROWS($N$2:$N444),'Per Invoice'!$P$2:$P$801,0),"")</f>
        <v/>
      </c>
    </row>
    <row r="445">
      <c r="A445">
        <f>IF($N445="","",IF(INDEX('Per Invoice'!$A$2:$A$801,$N445)="","",INDEX('Per Invoice'!$A$2:$A$801,$N445)))</f>
        <v/>
      </c>
      <c r="B445">
        <f>IF($N445="","",IF(INDEX('Per Invoice'!$B$2:$B$801,$N445)="","",INDEX('Per Invoice'!$B$2:$B$801,$N445)))</f>
        <v/>
      </c>
      <c r="C445">
        <f>IF($N445="","",IF(INDEX('Per Invoice'!$C$2:$C$801,$N445)="","",INDEX('Per Invoice'!$C$2:$C$801,$N445)))</f>
        <v/>
      </c>
      <c r="D445">
        <f>IF($N445="","",IF(INDEX('Per Invoice'!$D$2:$D$801,$N445)="","",INDEX('Per Invoice'!$D$2:$D$801,$N445)))</f>
        <v/>
      </c>
      <c r="E445">
        <f>IF($N445="","",IF(INDEX('Per Invoice'!$E$2:$E$801,$N445)="","",INDEX('Per Invoice'!$E$2:$E$801,$N445)))</f>
        <v/>
      </c>
      <c r="F445">
        <f>IF($N445="","",IF(INDEX('Per Invoice'!$F$2:$F$801,$N445)="","",INDEX('Per Invoice'!$F$2:$F$801,$N445)))</f>
        <v/>
      </c>
      <c r="G445">
        <f>IF($N445="","",IF(INDEX('Per Invoice'!$G$2:$G$801,$N445)="","",INDEX('Per Invoice'!$G$2:$G$801,$N445)))</f>
        <v/>
      </c>
      <c r="H445">
        <f>IF($N445="","",IF(INDEX('Per Invoice'!$H$2:$H$801,$N445)="","",INDEX('Per Invoice'!$H$2:$H$801,$N445)))</f>
        <v/>
      </c>
      <c r="I445" s="5">
        <f>IF($N445="","",IF(INDEX('Per Invoice'!$I$2:$I$801,$N445)="","",INDEX('Per Invoice'!$I$2:$I$801,$N445)))</f>
        <v/>
      </c>
      <c r="J445" s="5">
        <f>IF($N445="","",IF(INDEX('Per Invoice'!$J$2:$J$801,$N445)="","",INDEX('Per Invoice'!$J$2:$J$801,$N445)))</f>
        <v/>
      </c>
      <c r="K445" s="5">
        <f>IF($N445="","",IF(INDEX('Per Invoice'!$K$2:$K$801,$N445)="","",INDEX('Per Invoice'!$K$2:$K$801,$N445)))</f>
        <v/>
      </c>
      <c r="L445" s="5">
        <f>IF($N445="","",IF(INDEX('Per Invoice'!$L$2:$L$801,$N445)="","",INDEX('Per Invoice'!$L$2:$L$801,$N445)))</f>
        <v/>
      </c>
      <c r="M445" s="5">
        <f>IF($N445="","",IF(INDEX('Per Invoice'!$M$2:$M$801,$N445)="","",INDEX('Per Invoice'!$M$2:$M$801,$N445)))</f>
        <v/>
      </c>
      <c r="N445">
        <f>IF(ROWS($N$2:$N445)&lt;=COUNT('Per Invoice'!$P$2:$P$801),MATCH(ROWS($N$2:$N445),'Per Invoice'!$P$2:$P$801,0),"")</f>
        <v/>
      </c>
    </row>
    <row r="446">
      <c r="A446">
        <f>IF($N446="","",IF(INDEX('Per Invoice'!$A$2:$A$801,$N446)="","",INDEX('Per Invoice'!$A$2:$A$801,$N446)))</f>
        <v/>
      </c>
      <c r="B446">
        <f>IF($N446="","",IF(INDEX('Per Invoice'!$B$2:$B$801,$N446)="","",INDEX('Per Invoice'!$B$2:$B$801,$N446)))</f>
        <v/>
      </c>
      <c r="C446">
        <f>IF($N446="","",IF(INDEX('Per Invoice'!$C$2:$C$801,$N446)="","",INDEX('Per Invoice'!$C$2:$C$801,$N446)))</f>
        <v/>
      </c>
      <c r="D446">
        <f>IF($N446="","",IF(INDEX('Per Invoice'!$D$2:$D$801,$N446)="","",INDEX('Per Invoice'!$D$2:$D$801,$N446)))</f>
        <v/>
      </c>
      <c r="E446">
        <f>IF($N446="","",IF(INDEX('Per Invoice'!$E$2:$E$801,$N446)="","",INDEX('Per Invoice'!$E$2:$E$801,$N446)))</f>
        <v/>
      </c>
      <c r="F446">
        <f>IF($N446="","",IF(INDEX('Per Invoice'!$F$2:$F$801,$N446)="","",INDEX('Per Invoice'!$F$2:$F$801,$N446)))</f>
        <v/>
      </c>
      <c r="G446">
        <f>IF($N446="","",IF(INDEX('Per Invoice'!$G$2:$G$801,$N446)="","",INDEX('Per Invoice'!$G$2:$G$801,$N446)))</f>
        <v/>
      </c>
      <c r="H446">
        <f>IF($N446="","",IF(INDEX('Per Invoice'!$H$2:$H$801,$N446)="","",INDEX('Per Invoice'!$H$2:$H$801,$N446)))</f>
        <v/>
      </c>
      <c r="I446" s="5">
        <f>IF($N446="","",IF(INDEX('Per Invoice'!$I$2:$I$801,$N446)="","",INDEX('Per Invoice'!$I$2:$I$801,$N446)))</f>
        <v/>
      </c>
      <c r="J446" s="5">
        <f>IF($N446="","",IF(INDEX('Per Invoice'!$J$2:$J$801,$N446)="","",INDEX('Per Invoice'!$J$2:$J$801,$N446)))</f>
        <v/>
      </c>
      <c r="K446" s="5">
        <f>IF($N446="","",IF(INDEX('Per Invoice'!$K$2:$K$801,$N446)="","",INDEX('Per Invoice'!$K$2:$K$801,$N446)))</f>
        <v/>
      </c>
      <c r="L446" s="5">
        <f>IF($N446="","",IF(INDEX('Per Invoice'!$L$2:$L$801,$N446)="","",INDEX('Per Invoice'!$L$2:$L$801,$N446)))</f>
        <v/>
      </c>
      <c r="M446" s="5">
        <f>IF($N446="","",IF(INDEX('Per Invoice'!$M$2:$M$801,$N446)="","",INDEX('Per Invoice'!$M$2:$M$801,$N446)))</f>
        <v/>
      </c>
      <c r="N446">
        <f>IF(ROWS($N$2:$N446)&lt;=COUNT('Per Invoice'!$P$2:$P$801),MATCH(ROWS($N$2:$N446),'Per Invoice'!$P$2:$P$801,0),"")</f>
        <v/>
      </c>
    </row>
    <row r="447">
      <c r="A447">
        <f>IF($N447="","",IF(INDEX('Per Invoice'!$A$2:$A$801,$N447)="","",INDEX('Per Invoice'!$A$2:$A$801,$N447)))</f>
        <v/>
      </c>
      <c r="B447">
        <f>IF($N447="","",IF(INDEX('Per Invoice'!$B$2:$B$801,$N447)="","",INDEX('Per Invoice'!$B$2:$B$801,$N447)))</f>
        <v/>
      </c>
      <c r="C447">
        <f>IF($N447="","",IF(INDEX('Per Invoice'!$C$2:$C$801,$N447)="","",INDEX('Per Invoice'!$C$2:$C$801,$N447)))</f>
        <v/>
      </c>
      <c r="D447">
        <f>IF($N447="","",IF(INDEX('Per Invoice'!$D$2:$D$801,$N447)="","",INDEX('Per Invoice'!$D$2:$D$801,$N447)))</f>
        <v/>
      </c>
      <c r="E447">
        <f>IF($N447="","",IF(INDEX('Per Invoice'!$E$2:$E$801,$N447)="","",INDEX('Per Invoice'!$E$2:$E$801,$N447)))</f>
        <v/>
      </c>
      <c r="F447">
        <f>IF($N447="","",IF(INDEX('Per Invoice'!$F$2:$F$801,$N447)="","",INDEX('Per Invoice'!$F$2:$F$801,$N447)))</f>
        <v/>
      </c>
      <c r="G447">
        <f>IF($N447="","",IF(INDEX('Per Invoice'!$G$2:$G$801,$N447)="","",INDEX('Per Invoice'!$G$2:$G$801,$N447)))</f>
        <v/>
      </c>
      <c r="H447">
        <f>IF($N447="","",IF(INDEX('Per Invoice'!$H$2:$H$801,$N447)="","",INDEX('Per Invoice'!$H$2:$H$801,$N447)))</f>
        <v/>
      </c>
      <c r="I447" s="5">
        <f>IF($N447="","",IF(INDEX('Per Invoice'!$I$2:$I$801,$N447)="","",INDEX('Per Invoice'!$I$2:$I$801,$N447)))</f>
        <v/>
      </c>
      <c r="J447" s="5">
        <f>IF($N447="","",IF(INDEX('Per Invoice'!$J$2:$J$801,$N447)="","",INDEX('Per Invoice'!$J$2:$J$801,$N447)))</f>
        <v/>
      </c>
      <c r="K447" s="5">
        <f>IF($N447="","",IF(INDEX('Per Invoice'!$K$2:$K$801,$N447)="","",INDEX('Per Invoice'!$K$2:$K$801,$N447)))</f>
        <v/>
      </c>
      <c r="L447" s="5">
        <f>IF($N447="","",IF(INDEX('Per Invoice'!$L$2:$L$801,$N447)="","",INDEX('Per Invoice'!$L$2:$L$801,$N447)))</f>
        <v/>
      </c>
      <c r="M447" s="5">
        <f>IF($N447="","",IF(INDEX('Per Invoice'!$M$2:$M$801,$N447)="","",INDEX('Per Invoice'!$M$2:$M$801,$N447)))</f>
        <v/>
      </c>
      <c r="N447">
        <f>IF(ROWS($N$2:$N447)&lt;=COUNT('Per Invoice'!$P$2:$P$801),MATCH(ROWS($N$2:$N447),'Per Invoice'!$P$2:$P$801,0),"")</f>
        <v/>
      </c>
    </row>
    <row r="448">
      <c r="A448">
        <f>IF($N448="","",IF(INDEX('Per Invoice'!$A$2:$A$801,$N448)="","",INDEX('Per Invoice'!$A$2:$A$801,$N448)))</f>
        <v/>
      </c>
      <c r="B448">
        <f>IF($N448="","",IF(INDEX('Per Invoice'!$B$2:$B$801,$N448)="","",INDEX('Per Invoice'!$B$2:$B$801,$N448)))</f>
        <v/>
      </c>
      <c r="C448">
        <f>IF($N448="","",IF(INDEX('Per Invoice'!$C$2:$C$801,$N448)="","",INDEX('Per Invoice'!$C$2:$C$801,$N448)))</f>
        <v/>
      </c>
      <c r="D448">
        <f>IF($N448="","",IF(INDEX('Per Invoice'!$D$2:$D$801,$N448)="","",INDEX('Per Invoice'!$D$2:$D$801,$N448)))</f>
        <v/>
      </c>
      <c r="E448">
        <f>IF($N448="","",IF(INDEX('Per Invoice'!$E$2:$E$801,$N448)="","",INDEX('Per Invoice'!$E$2:$E$801,$N448)))</f>
        <v/>
      </c>
      <c r="F448">
        <f>IF($N448="","",IF(INDEX('Per Invoice'!$F$2:$F$801,$N448)="","",INDEX('Per Invoice'!$F$2:$F$801,$N448)))</f>
        <v/>
      </c>
      <c r="G448">
        <f>IF($N448="","",IF(INDEX('Per Invoice'!$G$2:$G$801,$N448)="","",INDEX('Per Invoice'!$G$2:$G$801,$N448)))</f>
        <v/>
      </c>
      <c r="H448">
        <f>IF($N448="","",IF(INDEX('Per Invoice'!$H$2:$H$801,$N448)="","",INDEX('Per Invoice'!$H$2:$H$801,$N448)))</f>
        <v/>
      </c>
      <c r="I448" s="5">
        <f>IF($N448="","",IF(INDEX('Per Invoice'!$I$2:$I$801,$N448)="","",INDEX('Per Invoice'!$I$2:$I$801,$N448)))</f>
        <v/>
      </c>
      <c r="J448" s="5">
        <f>IF($N448="","",IF(INDEX('Per Invoice'!$J$2:$J$801,$N448)="","",INDEX('Per Invoice'!$J$2:$J$801,$N448)))</f>
        <v/>
      </c>
      <c r="K448" s="5">
        <f>IF($N448="","",IF(INDEX('Per Invoice'!$K$2:$K$801,$N448)="","",INDEX('Per Invoice'!$K$2:$K$801,$N448)))</f>
        <v/>
      </c>
      <c r="L448" s="5">
        <f>IF($N448="","",IF(INDEX('Per Invoice'!$L$2:$L$801,$N448)="","",INDEX('Per Invoice'!$L$2:$L$801,$N448)))</f>
        <v/>
      </c>
      <c r="M448" s="5">
        <f>IF($N448="","",IF(INDEX('Per Invoice'!$M$2:$M$801,$N448)="","",INDEX('Per Invoice'!$M$2:$M$801,$N448)))</f>
        <v/>
      </c>
      <c r="N448">
        <f>IF(ROWS($N$2:$N448)&lt;=COUNT('Per Invoice'!$P$2:$P$801),MATCH(ROWS($N$2:$N448),'Per Invoice'!$P$2:$P$801,0),"")</f>
        <v/>
      </c>
    </row>
    <row r="449">
      <c r="A449">
        <f>IF($N449="","",IF(INDEX('Per Invoice'!$A$2:$A$801,$N449)="","",INDEX('Per Invoice'!$A$2:$A$801,$N449)))</f>
        <v/>
      </c>
      <c r="B449">
        <f>IF($N449="","",IF(INDEX('Per Invoice'!$B$2:$B$801,$N449)="","",INDEX('Per Invoice'!$B$2:$B$801,$N449)))</f>
        <v/>
      </c>
      <c r="C449">
        <f>IF($N449="","",IF(INDEX('Per Invoice'!$C$2:$C$801,$N449)="","",INDEX('Per Invoice'!$C$2:$C$801,$N449)))</f>
        <v/>
      </c>
      <c r="D449">
        <f>IF($N449="","",IF(INDEX('Per Invoice'!$D$2:$D$801,$N449)="","",INDEX('Per Invoice'!$D$2:$D$801,$N449)))</f>
        <v/>
      </c>
      <c r="E449">
        <f>IF($N449="","",IF(INDEX('Per Invoice'!$E$2:$E$801,$N449)="","",INDEX('Per Invoice'!$E$2:$E$801,$N449)))</f>
        <v/>
      </c>
      <c r="F449">
        <f>IF($N449="","",IF(INDEX('Per Invoice'!$F$2:$F$801,$N449)="","",INDEX('Per Invoice'!$F$2:$F$801,$N449)))</f>
        <v/>
      </c>
      <c r="G449">
        <f>IF($N449="","",IF(INDEX('Per Invoice'!$G$2:$G$801,$N449)="","",INDEX('Per Invoice'!$G$2:$G$801,$N449)))</f>
        <v/>
      </c>
      <c r="H449">
        <f>IF($N449="","",IF(INDEX('Per Invoice'!$H$2:$H$801,$N449)="","",INDEX('Per Invoice'!$H$2:$H$801,$N449)))</f>
        <v/>
      </c>
      <c r="I449" s="5">
        <f>IF($N449="","",IF(INDEX('Per Invoice'!$I$2:$I$801,$N449)="","",INDEX('Per Invoice'!$I$2:$I$801,$N449)))</f>
        <v/>
      </c>
      <c r="J449" s="5">
        <f>IF($N449="","",IF(INDEX('Per Invoice'!$J$2:$J$801,$N449)="","",INDEX('Per Invoice'!$J$2:$J$801,$N449)))</f>
        <v/>
      </c>
      <c r="K449" s="5">
        <f>IF($N449="","",IF(INDEX('Per Invoice'!$K$2:$K$801,$N449)="","",INDEX('Per Invoice'!$K$2:$K$801,$N449)))</f>
        <v/>
      </c>
      <c r="L449" s="5">
        <f>IF($N449="","",IF(INDEX('Per Invoice'!$L$2:$L$801,$N449)="","",INDEX('Per Invoice'!$L$2:$L$801,$N449)))</f>
        <v/>
      </c>
      <c r="M449" s="5">
        <f>IF($N449="","",IF(INDEX('Per Invoice'!$M$2:$M$801,$N449)="","",INDEX('Per Invoice'!$M$2:$M$801,$N449)))</f>
        <v/>
      </c>
      <c r="N449">
        <f>IF(ROWS($N$2:$N449)&lt;=COUNT('Per Invoice'!$P$2:$P$801),MATCH(ROWS($N$2:$N449),'Per Invoice'!$P$2:$P$801,0),"")</f>
        <v/>
      </c>
    </row>
    <row r="450">
      <c r="A450">
        <f>IF($N450="","",IF(INDEX('Per Invoice'!$A$2:$A$801,$N450)="","",INDEX('Per Invoice'!$A$2:$A$801,$N450)))</f>
        <v/>
      </c>
      <c r="B450">
        <f>IF($N450="","",IF(INDEX('Per Invoice'!$B$2:$B$801,$N450)="","",INDEX('Per Invoice'!$B$2:$B$801,$N450)))</f>
        <v/>
      </c>
      <c r="C450">
        <f>IF($N450="","",IF(INDEX('Per Invoice'!$C$2:$C$801,$N450)="","",INDEX('Per Invoice'!$C$2:$C$801,$N450)))</f>
        <v/>
      </c>
      <c r="D450">
        <f>IF($N450="","",IF(INDEX('Per Invoice'!$D$2:$D$801,$N450)="","",INDEX('Per Invoice'!$D$2:$D$801,$N450)))</f>
        <v/>
      </c>
      <c r="E450">
        <f>IF($N450="","",IF(INDEX('Per Invoice'!$E$2:$E$801,$N450)="","",INDEX('Per Invoice'!$E$2:$E$801,$N450)))</f>
        <v/>
      </c>
      <c r="F450">
        <f>IF($N450="","",IF(INDEX('Per Invoice'!$F$2:$F$801,$N450)="","",INDEX('Per Invoice'!$F$2:$F$801,$N450)))</f>
        <v/>
      </c>
      <c r="G450">
        <f>IF($N450="","",IF(INDEX('Per Invoice'!$G$2:$G$801,$N450)="","",INDEX('Per Invoice'!$G$2:$G$801,$N450)))</f>
        <v/>
      </c>
      <c r="H450">
        <f>IF($N450="","",IF(INDEX('Per Invoice'!$H$2:$H$801,$N450)="","",INDEX('Per Invoice'!$H$2:$H$801,$N450)))</f>
        <v/>
      </c>
      <c r="I450" s="5">
        <f>IF($N450="","",IF(INDEX('Per Invoice'!$I$2:$I$801,$N450)="","",INDEX('Per Invoice'!$I$2:$I$801,$N450)))</f>
        <v/>
      </c>
      <c r="J450" s="5">
        <f>IF($N450="","",IF(INDEX('Per Invoice'!$J$2:$J$801,$N450)="","",INDEX('Per Invoice'!$J$2:$J$801,$N450)))</f>
        <v/>
      </c>
      <c r="K450" s="5">
        <f>IF($N450="","",IF(INDEX('Per Invoice'!$K$2:$K$801,$N450)="","",INDEX('Per Invoice'!$K$2:$K$801,$N450)))</f>
        <v/>
      </c>
      <c r="L450" s="5">
        <f>IF($N450="","",IF(INDEX('Per Invoice'!$L$2:$L$801,$N450)="","",INDEX('Per Invoice'!$L$2:$L$801,$N450)))</f>
        <v/>
      </c>
      <c r="M450" s="5">
        <f>IF($N450="","",IF(INDEX('Per Invoice'!$M$2:$M$801,$N450)="","",INDEX('Per Invoice'!$M$2:$M$801,$N450)))</f>
        <v/>
      </c>
      <c r="N450">
        <f>IF(ROWS($N$2:$N450)&lt;=COUNT('Per Invoice'!$P$2:$P$801),MATCH(ROWS($N$2:$N450),'Per Invoice'!$P$2:$P$801,0),"")</f>
        <v/>
      </c>
    </row>
    <row r="451">
      <c r="A451">
        <f>IF($N451="","",IF(INDEX('Per Invoice'!$A$2:$A$801,$N451)="","",INDEX('Per Invoice'!$A$2:$A$801,$N451)))</f>
        <v/>
      </c>
      <c r="B451">
        <f>IF($N451="","",IF(INDEX('Per Invoice'!$B$2:$B$801,$N451)="","",INDEX('Per Invoice'!$B$2:$B$801,$N451)))</f>
        <v/>
      </c>
      <c r="C451">
        <f>IF($N451="","",IF(INDEX('Per Invoice'!$C$2:$C$801,$N451)="","",INDEX('Per Invoice'!$C$2:$C$801,$N451)))</f>
        <v/>
      </c>
      <c r="D451">
        <f>IF($N451="","",IF(INDEX('Per Invoice'!$D$2:$D$801,$N451)="","",INDEX('Per Invoice'!$D$2:$D$801,$N451)))</f>
        <v/>
      </c>
      <c r="E451">
        <f>IF($N451="","",IF(INDEX('Per Invoice'!$E$2:$E$801,$N451)="","",INDEX('Per Invoice'!$E$2:$E$801,$N451)))</f>
        <v/>
      </c>
      <c r="F451">
        <f>IF($N451="","",IF(INDEX('Per Invoice'!$F$2:$F$801,$N451)="","",INDEX('Per Invoice'!$F$2:$F$801,$N451)))</f>
        <v/>
      </c>
      <c r="G451">
        <f>IF($N451="","",IF(INDEX('Per Invoice'!$G$2:$G$801,$N451)="","",INDEX('Per Invoice'!$G$2:$G$801,$N451)))</f>
        <v/>
      </c>
      <c r="H451">
        <f>IF($N451="","",IF(INDEX('Per Invoice'!$H$2:$H$801,$N451)="","",INDEX('Per Invoice'!$H$2:$H$801,$N451)))</f>
        <v/>
      </c>
      <c r="I451" s="5">
        <f>IF($N451="","",IF(INDEX('Per Invoice'!$I$2:$I$801,$N451)="","",INDEX('Per Invoice'!$I$2:$I$801,$N451)))</f>
        <v/>
      </c>
      <c r="J451" s="5">
        <f>IF($N451="","",IF(INDEX('Per Invoice'!$J$2:$J$801,$N451)="","",INDEX('Per Invoice'!$J$2:$J$801,$N451)))</f>
        <v/>
      </c>
      <c r="K451" s="5">
        <f>IF($N451="","",IF(INDEX('Per Invoice'!$K$2:$K$801,$N451)="","",INDEX('Per Invoice'!$K$2:$K$801,$N451)))</f>
        <v/>
      </c>
      <c r="L451" s="5">
        <f>IF($N451="","",IF(INDEX('Per Invoice'!$L$2:$L$801,$N451)="","",INDEX('Per Invoice'!$L$2:$L$801,$N451)))</f>
        <v/>
      </c>
      <c r="M451" s="5">
        <f>IF($N451="","",IF(INDEX('Per Invoice'!$M$2:$M$801,$N451)="","",INDEX('Per Invoice'!$M$2:$M$801,$N451)))</f>
        <v/>
      </c>
      <c r="N451">
        <f>IF(ROWS($N$2:$N451)&lt;=COUNT('Per Invoice'!$P$2:$P$801),MATCH(ROWS($N$2:$N451),'Per Invoice'!$P$2:$P$801,0),"")</f>
        <v/>
      </c>
    </row>
    <row r="452">
      <c r="A452">
        <f>IF($N452="","",IF(INDEX('Per Invoice'!$A$2:$A$801,$N452)="","",INDEX('Per Invoice'!$A$2:$A$801,$N452)))</f>
        <v/>
      </c>
      <c r="B452">
        <f>IF($N452="","",IF(INDEX('Per Invoice'!$B$2:$B$801,$N452)="","",INDEX('Per Invoice'!$B$2:$B$801,$N452)))</f>
        <v/>
      </c>
      <c r="C452">
        <f>IF($N452="","",IF(INDEX('Per Invoice'!$C$2:$C$801,$N452)="","",INDEX('Per Invoice'!$C$2:$C$801,$N452)))</f>
        <v/>
      </c>
      <c r="D452">
        <f>IF($N452="","",IF(INDEX('Per Invoice'!$D$2:$D$801,$N452)="","",INDEX('Per Invoice'!$D$2:$D$801,$N452)))</f>
        <v/>
      </c>
      <c r="E452">
        <f>IF($N452="","",IF(INDEX('Per Invoice'!$E$2:$E$801,$N452)="","",INDEX('Per Invoice'!$E$2:$E$801,$N452)))</f>
        <v/>
      </c>
      <c r="F452">
        <f>IF($N452="","",IF(INDEX('Per Invoice'!$F$2:$F$801,$N452)="","",INDEX('Per Invoice'!$F$2:$F$801,$N452)))</f>
        <v/>
      </c>
      <c r="G452">
        <f>IF($N452="","",IF(INDEX('Per Invoice'!$G$2:$G$801,$N452)="","",INDEX('Per Invoice'!$G$2:$G$801,$N452)))</f>
        <v/>
      </c>
      <c r="H452">
        <f>IF($N452="","",IF(INDEX('Per Invoice'!$H$2:$H$801,$N452)="","",INDEX('Per Invoice'!$H$2:$H$801,$N452)))</f>
        <v/>
      </c>
      <c r="I452" s="5">
        <f>IF($N452="","",IF(INDEX('Per Invoice'!$I$2:$I$801,$N452)="","",INDEX('Per Invoice'!$I$2:$I$801,$N452)))</f>
        <v/>
      </c>
      <c r="J452" s="5">
        <f>IF($N452="","",IF(INDEX('Per Invoice'!$J$2:$J$801,$N452)="","",INDEX('Per Invoice'!$J$2:$J$801,$N452)))</f>
        <v/>
      </c>
      <c r="K452" s="5">
        <f>IF($N452="","",IF(INDEX('Per Invoice'!$K$2:$K$801,$N452)="","",INDEX('Per Invoice'!$K$2:$K$801,$N452)))</f>
        <v/>
      </c>
      <c r="L452" s="5">
        <f>IF($N452="","",IF(INDEX('Per Invoice'!$L$2:$L$801,$N452)="","",INDEX('Per Invoice'!$L$2:$L$801,$N452)))</f>
        <v/>
      </c>
      <c r="M452" s="5">
        <f>IF($N452="","",IF(INDEX('Per Invoice'!$M$2:$M$801,$N452)="","",INDEX('Per Invoice'!$M$2:$M$801,$N452)))</f>
        <v/>
      </c>
      <c r="N452">
        <f>IF(ROWS($N$2:$N452)&lt;=COUNT('Per Invoice'!$P$2:$P$801),MATCH(ROWS($N$2:$N452),'Per Invoice'!$P$2:$P$801,0),"")</f>
        <v/>
      </c>
    </row>
    <row r="453">
      <c r="A453">
        <f>IF($N453="","",IF(INDEX('Per Invoice'!$A$2:$A$801,$N453)="","",INDEX('Per Invoice'!$A$2:$A$801,$N453)))</f>
        <v/>
      </c>
      <c r="B453">
        <f>IF($N453="","",IF(INDEX('Per Invoice'!$B$2:$B$801,$N453)="","",INDEX('Per Invoice'!$B$2:$B$801,$N453)))</f>
        <v/>
      </c>
      <c r="C453">
        <f>IF($N453="","",IF(INDEX('Per Invoice'!$C$2:$C$801,$N453)="","",INDEX('Per Invoice'!$C$2:$C$801,$N453)))</f>
        <v/>
      </c>
      <c r="D453">
        <f>IF($N453="","",IF(INDEX('Per Invoice'!$D$2:$D$801,$N453)="","",INDEX('Per Invoice'!$D$2:$D$801,$N453)))</f>
        <v/>
      </c>
      <c r="E453">
        <f>IF($N453="","",IF(INDEX('Per Invoice'!$E$2:$E$801,$N453)="","",INDEX('Per Invoice'!$E$2:$E$801,$N453)))</f>
        <v/>
      </c>
      <c r="F453">
        <f>IF($N453="","",IF(INDEX('Per Invoice'!$F$2:$F$801,$N453)="","",INDEX('Per Invoice'!$F$2:$F$801,$N453)))</f>
        <v/>
      </c>
      <c r="G453">
        <f>IF($N453="","",IF(INDEX('Per Invoice'!$G$2:$G$801,$N453)="","",INDEX('Per Invoice'!$G$2:$G$801,$N453)))</f>
        <v/>
      </c>
      <c r="H453">
        <f>IF($N453="","",IF(INDEX('Per Invoice'!$H$2:$H$801,$N453)="","",INDEX('Per Invoice'!$H$2:$H$801,$N453)))</f>
        <v/>
      </c>
      <c r="I453" s="5">
        <f>IF($N453="","",IF(INDEX('Per Invoice'!$I$2:$I$801,$N453)="","",INDEX('Per Invoice'!$I$2:$I$801,$N453)))</f>
        <v/>
      </c>
      <c r="J453" s="5">
        <f>IF($N453="","",IF(INDEX('Per Invoice'!$J$2:$J$801,$N453)="","",INDEX('Per Invoice'!$J$2:$J$801,$N453)))</f>
        <v/>
      </c>
      <c r="K453" s="5">
        <f>IF($N453="","",IF(INDEX('Per Invoice'!$K$2:$K$801,$N453)="","",INDEX('Per Invoice'!$K$2:$K$801,$N453)))</f>
        <v/>
      </c>
      <c r="L453" s="5">
        <f>IF($N453="","",IF(INDEX('Per Invoice'!$L$2:$L$801,$N453)="","",INDEX('Per Invoice'!$L$2:$L$801,$N453)))</f>
        <v/>
      </c>
      <c r="M453" s="5">
        <f>IF($N453="","",IF(INDEX('Per Invoice'!$M$2:$M$801,$N453)="","",INDEX('Per Invoice'!$M$2:$M$801,$N453)))</f>
        <v/>
      </c>
      <c r="N453">
        <f>IF(ROWS($N$2:$N453)&lt;=COUNT('Per Invoice'!$P$2:$P$801),MATCH(ROWS($N$2:$N453),'Per Invoice'!$P$2:$P$801,0),"")</f>
        <v/>
      </c>
    </row>
    <row r="454">
      <c r="A454">
        <f>IF($N454="","",IF(INDEX('Per Invoice'!$A$2:$A$801,$N454)="","",INDEX('Per Invoice'!$A$2:$A$801,$N454)))</f>
        <v/>
      </c>
      <c r="B454">
        <f>IF($N454="","",IF(INDEX('Per Invoice'!$B$2:$B$801,$N454)="","",INDEX('Per Invoice'!$B$2:$B$801,$N454)))</f>
        <v/>
      </c>
      <c r="C454">
        <f>IF($N454="","",IF(INDEX('Per Invoice'!$C$2:$C$801,$N454)="","",INDEX('Per Invoice'!$C$2:$C$801,$N454)))</f>
        <v/>
      </c>
      <c r="D454">
        <f>IF($N454="","",IF(INDEX('Per Invoice'!$D$2:$D$801,$N454)="","",INDEX('Per Invoice'!$D$2:$D$801,$N454)))</f>
        <v/>
      </c>
      <c r="E454">
        <f>IF($N454="","",IF(INDEX('Per Invoice'!$E$2:$E$801,$N454)="","",INDEX('Per Invoice'!$E$2:$E$801,$N454)))</f>
        <v/>
      </c>
      <c r="F454">
        <f>IF($N454="","",IF(INDEX('Per Invoice'!$F$2:$F$801,$N454)="","",INDEX('Per Invoice'!$F$2:$F$801,$N454)))</f>
        <v/>
      </c>
      <c r="G454">
        <f>IF($N454="","",IF(INDEX('Per Invoice'!$G$2:$G$801,$N454)="","",INDEX('Per Invoice'!$G$2:$G$801,$N454)))</f>
        <v/>
      </c>
      <c r="H454">
        <f>IF($N454="","",IF(INDEX('Per Invoice'!$H$2:$H$801,$N454)="","",INDEX('Per Invoice'!$H$2:$H$801,$N454)))</f>
        <v/>
      </c>
      <c r="I454" s="5">
        <f>IF($N454="","",IF(INDEX('Per Invoice'!$I$2:$I$801,$N454)="","",INDEX('Per Invoice'!$I$2:$I$801,$N454)))</f>
        <v/>
      </c>
      <c r="J454" s="5">
        <f>IF($N454="","",IF(INDEX('Per Invoice'!$J$2:$J$801,$N454)="","",INDEX('Per Invoice'!$J$2:$J$801,$N454)))</f>
        <v/>
      </c>
      <c r="K454" s="5">
        <f>IF($N454="","",IF(INDEX('Per Invoice'!$K$2:$K$801,$N454)="","",INDEX('Per Invoice'!$K$2:$K$801,$N454)))</f>
        <v/>
      </c>
      <c r="L454" s="5">
        <f>IF($N454="","",IF(INDEX('Per Invoice'!$L$2:$L$801,$N454)="","",INDEX('Per Invoice'!$L$2:$L$801,$N454)))</f>
        <v/>
      </c>
      <c r="M454" s="5">
        <f>IF($N454="","",IF(INDEX('Per Invoice'!$M$2:$M$801,$N454)="","",INDEX('Per Invoice'!$M$2:$M$801,$N454)))</f>
        <v/>
      </c>
      <c r="N454">
        <f>IF(ROWS($N$2:$N454)&lt;=COUNT('Per Invoice'!$P$2:$P$801),MATCH(ROWS($N$2:$N454),'Per Invoice'!$P$2:$P$801,0),"")</f>
        <v/>
      </c>
    </row>
    <row r="455">
      <c r="A455">
        <f>IF($N455="","",IF(INDEX('Per Invoice'!$A$2:$A$801,$N455)="","",INDEX('Per Invoice'!$A$2:$A$801,$N455)))</f>
        <v/>
      </c>
      <c r="B455">
        <f>IF($N455="","",IF(INDEX('Per Invoice'!$B$2:$B$801,$N455)="","",INDEX('Per Invoice'!$B$2:$B$801,$N455)))</f>
        <v/>
      </c>
      <c r="C455">
        <f>IF($N455="","",IF(INDEX('Per Invoice'!$C$2:$C$801,$N455)="","",INDEX('Per Invoice'!$C$2:$C$801,$N455)))</f>
        <v/>
      </c>
      <c r="D455">
        <f>IF($N455="","",IF(INDEX('Per Invoice'!$D$2:$D$801,$N455)="","",INDEX('Per Invoice'!$D$2:$D$801,$N455)))</f>
        <v/>
      </c>
      <c r="E455">
        <f>IF($N455="","",IF(INDEX('Per Invoice'!$E$2:$E$801,$N455)="","",INDEX('Per Invoice'!$E$2:$E$801,$N455)))</f>
        <v/>
      </c>
      <c r="F455">
        <f>IF($N455="","",IF(INDEX('Per Invoice'!$F$2:$F$801,$N455)="","",INDEX('Per Invoice'!$F$2:$F$801,$N455)))</f>
        <v/>
      </c>
      <c r="G455">
        <f>IF($N455="","",IF(INDEX('Per Invoice'!$G$2:$G$801,$N455)="","",INDEX('Per Invoice'!$G$2:$G$801,$N455)))</f>
        <v/>
      </c>
      <c r="H455">
        <f>IF($N455="","",IF(INDEX('Per Invoice'!$H$2:$H$801,$N455)="","",INDEX('Per Invoice'!$H$2:$H$801,$N455)))</f>
        <v/>
      </c>
      <c r="I455" s="5">
        <f>IF($N455="","",IF(INDEX('Per Invoice'!$I$2:$I$801,$N455)="","",INDEX('Per Invoice'!$I$2:$I$801,$N455)))</f>
        <v/>
      </c>
      <c r="J455" s="5">
        <f>IF($N455="","",IF(INDEX('Per Invoice'!$J$2:$J$801,$N455)="","",INDEX('Per Invoice'!$J$2:$J$801,$N455)))</f>
        <v/>
      </c>
      <c r="K455" s="5">
        <f>IF($N455="","",IF(INDEX('Per Invoice'!$K$2:$K$801,$N455)="","",INDEX('Per Invoice'!$K$2:$K$801,$N455)))</f>
        <v/>
      </c>
      <c r="L455" s="5">
        <f>IF($N455="","",IF(INDEX('Per Invoice'!$L$2:$L$801,$N455)="","",INDEX('Per Invoice'!$L$2:$L$801,$N455)))</f>
        <v/>
      </c>
      <c r="M455" s="5">
        <f>IF($N455="","",IF(INDEX('Per Invoice'!$M$2:$M$801,$N455)="","",INDEX('Per Invoice'!$M$2:$M$801,$N455)))</f>
        <v/>
      </c>
      <c r="N455">
        <f>IF(ROWS($N$2:$N455)&lt;=COUNT('Per Invoice'!$P$2:$P$801),MATCH(ROWS($N$2:$N455),'Per Invoice'!$P$2:$P$801,0),"")</f>
        <v/>
      </c>
    </row>
    <row r="456">
      <c r="A456">
        <f>IF($N456="","",IF(INDEX('Per Invoice'!$A$2:$A$801,$N456)="","",INDEX('Per Invoice'!$A$2:$A$801,$N456)))</f>
        <v/>
      </c>
      <c r="B456">
        <f>IF($N456="","",IF(INDEX('Per Invoice'!$B$2:$B$801,$N456)="","",INDEX('Per Invoice'!$B$2:$B$801,$N456)))</f>
        <v/>
      </c>
      <c r="C456">
        <f>IF($N456="","",IF(INDEX('Per Invoice'!$C$2:$C$801,$N456)="","",INDEX('Per Invoice'!$C$2:$C$801,$N456)))</f>
        <v/>
      </c>
      <c r="D456">
        <f>IF($N456="","",IF(INDEX('Per Invoice'!$D$2:$D$801,$N456)="","",INDEX('Per Invoice'!$D$2:$D$801,$N456)))</f>
        <v/>
      </c>
      <c r="E456">
        <f>IF($N456="","",IF(INDEX('Per Invoice'!$E$2:$E$801,$N456)="","",INDEX('Per Invoice'!$E$2:$E$801,$N456)))</f>
        <v/>
      </c>
      <c r="F456">
        <f>IF($N456="","",IF(INDEX('Per Invoice'!$F$2:$F$801,$N456)="","",INDEX('Per Invoice'!$F$2:$F$801,$N456)))</f>
        <v/>
      </c>
      <c r="G456">
        <f>IF($N456="","",IF(INDEX('Per Invoice'!$G$2:$G$801,$N456)="","",INDEX('Per Invoice'!$G$2:$G$801,$N456)))</f>
        <v/>
      </c>
      <c r="H456">
        <f>IF($N456="","",IF(INDEX('Per Invoice'!$H$2:$H$801,$N456)="","",INDEX('Per Invoice'!$H$2:$H$801,$N456)))</f>
        <v/>
      </c>
      <c r="I456" s="5">
        <f>IF($N456="","",IF(INDEX('Per Invoice'!$I$2:$I$801,$N456)="","",INDEX('Per Invoice'!$I$2:$I$801,$N456)))</f>
        <v/>
      </c>
      <c r="J456" s="5">
        <f>IF($N456="","",IF(INDEX('Per Invoice'!$J$2:$J$801,$N456)="","",INDEX('Per Invoice'!$J$2:$J$801,$N456)))</f>
        <v/>
      </c>
      <c r="K456" s="5">
        <f>IF($N456="","",IF(INDEX('Per Invoice'!$K$2:$K$801,$N456)="","",INDEX('Per Invoice'!$K$2:$K$801,$N456)))</f>
        <v/>
      </c>
      <c r="L456" s="5">
        <f>IF($N456="","",IF(INDEX('Per Invoice'!$L$2:$L$801,$N456)="","",INDEX('Per Invoice'!$L$2:$L$801,$N456)))</f>
        <v/>
      </c>
      <c r="M456" s="5">
        <f>IF($N456="","",IF(INDEX('Per Invoice'!$M$2:$M$801,$N456)="","",INDEX('Per Invoice'!$M$2:$M$801,$N456)))</f>
        <v/>
      </c>
      <c r="N456">
        <f>IF(ROWS($N$2:$N456)&lt;=COUNT('Per Invoice'!$P$2:$P$801),MATCH(ROWS($N$2:$N456),'Per Invoice'!$P$2:$P$801,0),"")</f>
        <v/>
      </c>
    </row>
    <row r="457">
      <c r="A457">
        <f>IF($N457="","",IF(INDEX('Per Invoice'!$A$2:$A$801,$N457)="","",INDEX('Per Invoice'!$A$2:$A$801,$N457)))</f>
        <v/>
      </c>
      <c r="B457">
        <f>IF($N457="","",IF(INDEX('Per Invoice'!$B$2:$B$801,$N457)="","",INDEX('Per Invoice'!$B$2:$B$801,$N457)))</f>
        <v/>
      </c>
      <c r="C457">
        <f>IF($N457="","",IF(INDEX('Per Invoice'!$C$2:$C$801,$N457)="","",INDEX('Per Invoice'!$C$2:$C$801,$N457)))</f>
        <v/>
      </c>
      <c r="D457">
        <f>IF($N457="","",IF(INDEX('Per Invoice'!$D$2:$D$801,$N457)="","",INDEX('Per Invoice'!$D$2:$D$801,$N457)))</f>
        <v/>
      </c>
      <c r="E457">
        <f>IF($N457="","",IF(INDEX('Per Invoice'!$E$2:$E$801,$N457)="","",INDEX('Per Invoice'!$E$2:$E$801,$N457)))</f>
        <v/>
      </c>
      <c r="F457">
        <f>IF($N457="","",IF(INDEX('Per Invoice'!$F$2:$F$801,$N457)="","",INDEX('Per Invoice'!$F$2:$F$801,$N457)))</f>
        <v/>
      </c>
      <c r="G457">
        <f>IF($N457="","",IF(INDEX('Per Invoice'!$G$2:$G$801,$N457)="","",INDEX('Per Invoice'!$G$2:$G$801,$N457)))</f>
        <v/>
      </c>
      <c r="H457">
        <f>IF($N457="","",IF(INDEX('Per Invoice'!$H$2:$H$801,$N457)="","",INDEX('Per Invoice'!$H$2:$H$801,$N457)))</f>
        <v/>
      </c>
      <c r="I457" s="5">
        <f>IF($N457="","",IF(INDEX('Per Invoice'!$I$2:$I$801,$N457)="","",INDEX('Per Invoice'!$I$2:$I$801,$N457)))</f>
        <v/>
      </c>
      <c r="J457" s="5">
        <f>IF($N457="","",IF(INDEX('Per Invoice'!$J$2:$J$801,$N457)="","",INDEX('Per Invoice'!$J$2:$J$801,$N457)))</f>
        <v/>
      </c>
      <c r="K457" s="5">
        <f>IF($N457="","",IF(INDEX('Per Invoice'!$K$2:$K$801,$N457)="","",INDEX('Per Invoice'!$K$2:$K$801,$N457)))</f>
        <v/>
      </c>
      <c r="L457" s="5">
        <f>IF($N457="","",IF(INDEX('Per Invoice'!$L$2:$L$801,$N457)="","",INDEX('Per Invoice'!$L$2:$L$801,$N457)))</f>
        <v/>
      </c>
      <c r="M457" s="5">
        <f>IF($N457="","",IF(INDEX('Per Invoice'!$M$2:$M$801,$N457)="","",INDEX('Per Invoice'!$M$2:$M$801,$N457)))</f>
        <v/>
      </c>
      <c r="N457">
        <f>IF(ROWS($N$2:$N457)&lt;=COUNT('Per Invoice'!$P$2:$P$801),MATCH(ROWS($N$2:$N457),'Per Invoice'!$P$2:$P$801,0),"")</f>
        <v/>
      </c>
    </row>
    <row r="458">
      <c r="A458">
        <f>IF($N458="","",IF(INDEX('Per Invoice'!$A$2:$A$801,$N458)="","",INDEX('Per Invoice'!$A$2:$A$801,$N458)))</f>
        <v/>
      </c>
      <c r="B458">
        <f>IF($N458="","",IF(INDEX('Per Invoice'!$B$2:$B$801,$N458)="","",INDEX('Per Invoice'!$B$2:$B$801,$N458)))</f>
        <v/>
      </c>
      <c r="C458">
        <f>IF($N458="","",IF(INDEX('Per Invoice'!$C$2:$C$801,$N458)="","",INDEX('Per Invoice'!$C$2:$C$801,$N458)))</f>
        <v/>
      </c>
      <c r="D458">
        <f>IF($N458="","",IF(INDEX('Per Invoice'!$D$2:$D$801,$N458)="","",INDEX('Per Invoice'!$D$2:$D$801,$N458)))</f>
        <v/>
      </c>
      <c r="E458">
        <f>IF($N458="","",IF(INDEX('Per Invoice'!$E$2:$E$801,$N458)="","",INDEX('Per Invoice'!$E$2:$E$801,$N458)))</f>
        <v/>
      </c>
      <c r="F458">
        <f>IF($N458="","",IF(INDEX('Per Invoice'!$F$2:$F$801,$N458)="","",INDEX('Per Invoice'!$F$2:$F$801,$N458)))</f>
        <v/>
      </c>
      <c r="G458">
        <f>IF($N458="","",IF(INDEX('Per Invoice'!$G$2:$G$801,$N458)="","",INDEX('Per Invoice'!$G$2:$G$801,$N458)))</f>
        <v/>
      </c>
      <c r="H458">
        <f>IF($N458="","",IF(INDEX('Per Invoice'!$H$2:$H$801,$N458)="","",INDEX('Per Invoice'!$H$2:$H$801,$N458)))</f>
        <v/>
      </c>
      <c r="I458" s="5">
        <f>IF($N458="","",IF(INDEX('Per Invoice'!$I$2:$I$801,$N458)="","",INDEX('Per Invoice'!$I$2:$I$801,$N458)))</f>
        <v/>
      </c>
      <c r="J458" s="5">
        <f>IF($N458="","",IF(INDEX('Per Invoice'!$J$2:$J$801,$N458)="","",INDEX('Per Invoice'!$J$2:$J$801,$N458)))</f>
        <v/>
      </c>
      <c r="K458" s="5">
        <f>IF($N458="","",IF(INDEX('Per Invoice'!$K$2:$K$801,$N458)="","",INDEX('Per Invoice'!$K$2:$K$801,$N458)))</f>
        <v/>
      </c>
      <c r="L458" s="5">
        <f>IF($N458="","",IF(INDEX('Per Invoice'!$L$2:$L$801,$N458)="","",INDEX('Per Invoice'!$L$2:$L$801,$N458)))</f>
        <v/>
      </c>
      <c r="M458" s="5">
        <f>IF($N458="","",IF(INDEX('Per Invoice'!$M$2:$M$801,$N458)="","",INDEX('Per Invoice'!$M$2:$M$801,$N458)))</f>
        <v/>
      </c>
      <c r="N458">
        <f>IF(ROWS($N$2:$N458)&lt;=COUNT('Per Invoice'!$P$2:$P$801),MATCH(ROWS($N$2:$N458),'Per Invoice'!$P$2:$P$801,0),"")</f>
        <v/>
      </c>
    </row>
    <row r="459">
      <c r="A459">
        <f>IF($N459="","",IF(INDEX('Per Invoice'!$A$2:$A$801,$N459)="","",INDEX('Per Invoice'!$A$2:$A$801,$N459)))</f>
        <v/>
      </c>
      <c r="B459">
        <f>IF($N459="","",IF(INDEX('Per Invoice'!$B$2:$B$801,$N459)="","",INDEX('Per Invoice'!$B$2:$B$801,$N459)))</f>
        <v/>
      </c>
      <c r="C459">
        <f>IF($N459="","",IF(INDEX('Per Invoice'!$C$2:$C$801,$N459)="","",INDEX('Per Invoice'!$C$2:$C$801,$N459)))</f>
        <v/>
      </c>
      <c r="D459">
        <f>IF($N459="","",IF(INDEX('Per Invoice'!$D$2:$D$801,$N459)="","",INDEX('Per Invoice'!$D$2:$D$801,$N459)))</f>
        <v/>
      </c>
      <c r="E459">
        <f>IF($N459="","",IF(INDEX('Per Invoice'!$E$2:$E$801,$N459)="","",INDEX('Per Invoice'!$E$2:$E$801,$N459)))</f>
        <v/>
      </c>
      <c r="F459">
        <f>IF($N459="","",IF(INDEX('Per Invoice'!$F$2:$F$801,$N459)="","",INDEX('Per Invoice'!$F$2:$F$801,$N459)))</f>
        <v/>
      </c>
      <c r="G459">
        <f>IF($N459="","",IF(INDEX('Per Invoice'!$G$2:$G$801,$N459)="","",INDEX('Per Invoice'!$G$2:$G$801,$N459)))</f>
        <v/>
      </c>
      <c r="H459">
        <f>IF($N459="","",IF(INDEX('Per Invoice'!$H$2:$H$801,$N459)="","",INDEX('Per Invoice'!$H$2:$H$801,$N459)))</f>
        <v/>
      </c>
      <c r="I459" s="5">
        <f>IF($N459="","",IF(INDEX('Per Invoice'!$I$2:$I$801,$N459)="","",INDEX('Per Invoice'!$I$2:$I$801,$N459)))</f>
        <v/>
      </c>
      <c r="J459" s="5">
        <f>IF($N459="","",IF(INDEX('Per Invoice'!$J$2:$J$801,$N459)="","",INDEX('Per Invoice'!$J$2:$J$801,$N459)))</f>
        <v/>
      </c>
      <c r="K459" s="5">
        <f>IF($N459="","",IF(INDEX('Per Invoice'!$K$2:$K$801,$N459)="","",INDEX('Per Invoice'!$K$2:$K$801,$N459)))</f>
        <v/>
      </c>
      <c r="L459" s="5">
        <f>IF($N459="","",IF(INDEX('Per Invoice'!$L$2:$L$801,$N459)="","",INDEX('Per Invoice'!$L$2:$L$801,$N459)))</f>
        <v/>
      </c>
      <c r="M459" s="5">
        <f>IF($N459="","",IF(INDEX('Per Invoice'!$M$2:$M$801,$N459)="","",INDEX('Per Invoice'!$M$2:$M$801,$N459)))</f>
        <v/>
      </c>
      <c r="N459">
        <f>IF(ROWS($N$2:$N459)&lt;=COUNT('Per Invoice'!$P$2:$P$801),MATCH(ROWS($N$2:$N459),'Per Invoice'!$P$2:$P$801,0),"")</f>
        <v/>
      </c>
    </row>
    <row r="460">
      <c r="A460">
        <f>IF($N460="","",IF(INDEX('Per Invoice'!$A$2:$A$801,$N460)="","",INDEX('Per Invoice'!$A$2:$A$801,$N460)))</f>
        <v/>
      </c>
      <c r="B460">
        <f>IF($N460="","",IF(INDEX('Per Invoice'!$B$2:$B$801,$N460)="","",INDEX('Per Invoice'!$B$2:$B$801,$N460)))</f>
        <v/>
      </c>
      <c r="C460">
        <f>IF($N460="","",IF(INDEX('Per Invoice'!$C$2:$C$801,$N460)="","",INDEX('Per Invoice'!$C$2:$C$801,$N460)))</f>
        <v/>
      </c>
      <c r="D460">
        <f>IF($N460="","",IF(INDEX('Per Invoice'!$D$2:$D$801,$N460)="","",INDEX('Per Invoice'!$D$2:$D$801,$N460)))</f>
        <v/>
      </c>
      <c r="E460">
        <f>IF($N460="","",IF(INDEX('Per Invoice'!$E$2:$E$801,$N460)="","",INDEX('Per Invoice'!$E$2:$E$801,$N460)))</f>
        <v/>
      </c>
      <c r="F460">
        <f>IF($N460="","",IF(INDEX('Per Invoice'!$F$2:$F$801,$N460)="","",INDEX('Per Invoice'!$F$2:$F$801,$N460)))</f>
        <v/>
      </c>
      <c r="G460">
        <f>IF($N460="","",IF(INDEX('Per Invoice'!$G$2:$G$801,$N460)="","",INDEX('Per Invoice'!$G$2:$G$801,$N460)))</f>
        <v/>
      </c>
      <c r="H460">
        <f>IF($N460="","",IF(INDEX('Per Invoice'!$H$2:$H$801,$N460)="","",INDEX('Per Invoice'!$H$2:$H$801,$N460)))</f>
        <v/>
      </c>
      <c r="I460" s="5">
        <f>IF($N460="","",IF(INDEX('Per Invoice'!$I$2:$I$801,$N460)="","",INDEX('Per Invoice'!$I$2:$I$801,$N460)))</f>
        <v/>
      </c>
      <c r="J460" s="5">
        <f>IF($N460="","",IF(INDEX('Per Invoice'!$J$2:$J$801,$N460)="","",INDEX('Per Invoice'!$J$2:$J$801,$N460)))</f>
        <v/>
      </c>
      <c r="K460" s="5">
        <f>IF($N460="","",IF(INDEX('Per Invoice'!$K$2:$K$801,$N460)="","",INDEX('Per Invoice'!$K$2:$K$801,$N460)))</f>
        <v/>
      </c>
      <c r="L460" s="5">
        <f>IF($N460="","",IF(INDEX('Per Invoice'!$L$2:$L$801,$N460)="","",INDEX('Per Invoice'!$L$2:$L$801,$N460)))</f>
        <v/>
      </c>
      <c r="M460" s="5">
        <f>IF($N460="","",IF(INDEX('Per Invoice'!$M$2:$M$801,$N460)="","",INDEX('Per Invoice'!$M$2:$M$801,$N460)))</f>
        <v/>
      </c>
      <c r="N460">
        <f>IF(ROWS($N$2:$N460)&lt;=COUNT('Per Invoice'!$P$2:$P$801),MATCH(ROWS($N$2:$N460),'Per Invoice'!$P$2:$P$801,0),"")</f>
        <v/>
      </c>
    </row>
    <row r="461">
      <c r="A461">
        <f>IF($N461="","",IF(INDEX('Per Invoice'!$A$2:$A$801,$N461)="","",INDEX('Per Invoice'!$A$2:$A$801,$N461)))</f>
        <v/>
      </c>
      <c r="B461">
        <f>IF($N461="","",IF(INDEX('Per Invoice'!$B$2:$B$801,$N461)="","",INDEX('Per Invoice'!$B$2:$B$801,$N461)))</f>
        <v/>
      </c>
      <c r="C461">
        <f>IF($N461="","",IF(INDEX('Per Invoice'!$C$2:$C$801,$N461)="","",INDEX('Per Invoice'!$C$2:$C$801,$N461)))</f>
        <v/>
      </c>
      <c r="D461">
        <f>IF($N461="","",IF(INDEX('Per Invoice'!$D$2:$D$801,$N461)="","",INDEX('Per Invoice'!$D$2:$D$801,$N461)))</f>
        <v/>
      </c>
      <c r="E461">
        <f>IF($N461="","",IF(INDEX('Per Invoice'!$E$2:$E$801,$N461)="","",INDEX('Per Invoice'!$E$2:$E$801,$N461)))</f>
        <v/>
      </c>
      <c r="F461">
        <f>IF($N461="","",IF(INDEX('Per Invoice'!$F$2:$F$801,$N461)="","",INDEX('Per Invoice'!$F$2:$F$801,$N461)))</f>
        <v/>
      </c>
      <c r="G461">
        <f>IF($N461="","",IF(INDEX('Per Invoice'!$G$2:$G$801,$N461)="","",INDEX('Per Invoice'!$G$2:$G$801,$N461)))</f>
        <v/>
      </c>
      <c r="H461">
        <f>IF($N461="","",IF(INDEX('Per Invoice'!$H$2:$H$801,$N461)="","",INDEX('Per Invoice'!$H$2:$H$801,$N461)))</f>
        <v/>
      </c>
      <c r="I461" s="5">
        <f>IF($N461="","",IF(INDEX('Per Invoice'!$I$2:$I$801,$N461)="","",INDEX('Per Invoice'!$I$2:$I$801,$N461)))</f>
        <v/>
      </c>
      <c r="J461" s="5">
        <f>IF($N461="","",IF(INDEX('Per Invoice'!$J$2:$J$801,$N461)="","",INDEX('Per Invoice'!$J$2:$J$801,$N461)))</f>
        <v/>
      </c>
      <c r="K461" s="5">
        <f>IF($N461="","",IF(INDEX('Per Invoice'!$K$2:$K$801,$N461)="","",INDEX('Per Invoice'!$K$2:$K$801,$N461)))</f>
        <v/>
      </c>
      <c r="L461" s="5">
        <f>IF($N461="","",IF(INDEX('Per Invoice'!$L$2:$L$801,$N461)="","",INDEX('Per Invoice'!$L$2:$L$801,$N461)))</f>
        <v/>
      </c>
      <c r="M461" s="5">
        <f>IF($N461="","",IF(INDEX('Per Invoice'!$M$2:$M$801,$N461)="","",INDEX('Per Invoice'!$M$2:$M$801,$N461)))</f>
        <v/>
      </c>
      <c r="N461">
        <f>IF(ROWS($N$2:$N461)&lt;=COUNT('Per Invoice'!$P$2:$P$801),MATCH(ROWS($N$2:$N461),'Per Invoice'!$P$2:$P$801,0),"")</f>
        <v/>
      </c>
    </row>
    <row r="462">
      <c r="A462">
        <f>IF($N462="","",IF(INDEX('Per Invoice'!$A$2:$A$801,$N462)="","",INDEX('Per Invoice'!$A$2:$A$801,$N462)))</f>
        <v/>
      </c>
      <c r="B462">
        <f>IF($N462="","",IF(INDEX('Per Invoice'!$B$2:$B$801,$N462)="","",INDEX('Per Invoice'!$B$2:$B$801,$N462)))</f>
        <v/>
      </c>
      <c r="C462">
        <f>IF($N462="","",IF(INDEX('Per Invoice'!$C$2:$C$801,$N462)="","",INDEX('Per Invoice'!$C$2:$C$801,$N462)))</f>
        <v/>
      </c>
      <c r="D462">
        <f>IF($N462="","",IF(INDEX('Per Invoice'!$D$2:$D$801,$N462)="","",INDEX('Per Invoice'!$D$2:$D$801,$N462)))</f>
        <v/>
      </c>
      <c r="E462">
        <f>IF($N462="","",IF(INDEX('Per Invoice'!$E$2:$E$801,$N462)="","",INDEX('Per Invoice'!$E$2:$E$801,$N462)))</f>
        <v/>
      </c>
      <c r="F462">
        <f>IF($N462="","",IF(INDEX('Per Invoice'!$F$2:$F$801,$N462)="","",INDEX('Per Invoice'!$F$2:$F$801,$N462)))</f>
        <v/>
      </c>
      <c r="G462">
        <f>IF($N462="","",IF(INDEX('Per Invoice'!$G$2:$G$801,$N462)="","",INDEX('Per Invoice'!$G$2:$G$801,$N462)))</f>
        <v/>
      </c>
      <c r="H462">
        <f>IF($N462="","",IF(INDEX('Per Invoice'!$H$2:$H$801,$N462)="","",INDEX('Per Invoice'!$H$2:$H$801,$N462)))</f>
        <v/>
      </c>
      <c r="I462" s="5">
        <f>IF($N462="","",IF(INDEX('Per Invoice'!$I$2:$I$801,$N462)="","",INDEX('Per Invoice'!$I$2:$I$801,$N462)))</f>
        <v/>
      </c>
      <c r="J462" s="5">
        <f>IF($N462="","",IF(INDEX('Per Invoice'!$J$2:$J$801,$N462)="","",INDEX('Per Invoice'!$J$2:$J$801,$N462)))</f>
        <v/>
      </c>
      <c r="K462" s="5">
        <f>IF($N462="","",IF(INDEX('Per Invoice'!$K$2:$K$801,$N462)="","",INDEX('Per Invoice'!$K$2:$K$801,$N462)))</f>
        <v/>
      </c>
      <c r="L462" s="5">
        <f>IF($N462="","",IF(INDEX('Per Invoice'!$L$2:$L$801,$N462)="","",INDEX('Per Invoice'!$L$2:$L$801,$N462)))</f>
        <v/>
      </c>
      <c r="M462" s="5">
        <f>IF($N462="","",IF(INDEX('Per Invoice'!$M$2:$M$801,$N462)="","",INDEX('Per Invoice'!$M$2:$M$801,$N462)))</f>
        <v/>
      </c>
      <c r="N462">
        <f>IF(ROWS($N$2:$N462)&lt;=COUNT('Per Invoice'!$P$2:$P$801),MATCH(ROWS($N$2:$N462),'Per Invoice'!$P$2:$P$801,0),"")</f>
        <v/>
      </c>
    </row>
    <row r="463">
      <c r="A463">
        <f>IF($N463="","",IF(INDEX('Per Invoice'!$A$2:$A$801,$N463)="","",INDEX('Per Invoice'!$A$2:$A$801,$N463)))</f>
        <v/>
      </c>
      <c r="B463">
        <f>IF($N463="","",IF(INDEX('Per Invoice'!$B$2:$B$801,$N463)="","",INDEX('Per Invoice'!$B$2:$B$801,$N463)))</f>
        <v/>
      </c>
      <c r="C463">
        <f>IF($N463="","",IF(INDEX('Per Invoice'!$C$2:$C$801,$N463)="","",INDEX('Per Invoice'!$C$2:$C$801,$N463)))</f>
        <v/>
      </c>
      <c r="D463">
        <f>IF($N463="","",IF(INDEX('Per Invoice'!$D$2:$D$801,$N463)="","",INDEX('Per Invoice'!$D$2:$D$801,$N463)))</f>
        <v/>
      </c>
      <c r="E463">
        <f>IF($N463="","",IF(INDEX('Per Invoice'!$E$2:$E$801,$N463)="","",INDEX('Per Invoice'!$E$2:$E$801,$N463)))</f>
        <v/>
      </c>
      <c r="F463">
        <f>IF($N463="","",IF(INDEX('Per Invoice'!$F$2:$F$801,$N463)="","",INDEX('Per Invoice'!$F$2:$F$801,$N463)))</f>
        <v/>
      </c>
      <c r="G463">
        <f>IF($N463="","",IF(INDEX('Per Invoice'!$G$2:$G$801,$N463)="","",INDEX('Per Invoice'!$G$2:$G$801,$N463)))</f>
        <v/>
      </c>
      <c r="H463">
        <f>IF($N463="","",IF(INDEX('Per Invoice'!$H$2:$H$801,$N463)="","",INDEX('Per Invoice'!$H$2:$H$801,$N463)))</f>
        <v/>
      </c>
      <c r="I463" s="5">
        <f>IF($N463="","",IF(INDEX('Per Invoice'!$I$2:$I$801,$N463)="","",INDEX('Per Invoice'!$I$2:$I$801,$N463)))</f>
        <v/>
      </c>
      <c r="J463" s="5">
        <f>IF($N463="","",IF(INDEX('Per Invoice'!$J$2:$J$801,$N463)="","",INDEX('Per Invoice'!$J$2:$J$801,$N463)))</f>
        <v/>
      </c>
      <c r="K463" s="5">
        <f>IF($N463="","",IF(INDEX('Per Invoice'!$K$2:$K$801,$N463)="","",INDEX('Per Invoice'!$K$2:$K$801,$N463)))</f>
        <v/>
      </c>
      <c r="L463" s="5">
        <f>IF($N463="","",IF(INDEX('Per Invoice'!$L$2:$L$801,$N463)="","",INDEX('Per Invoice'!$L$2:$L$801,$N463)))</f>
        <v/>
      </c>
      <c r="M463" s="5">
        <f>IF($N463="","",IF(INDEX('Per Invoice'!$M$2:$M$801,$N463)="","",INDEX('Per Invoice'!$M$2:$M$801,$N463)))</f>
        <v/>
      </c>
      <c r="N463">
        <f>IF(ROWS($N$2:$N463)&lt;=COUNT('Per Invoice'!$P$2:$P$801),MATCH(ROWS($N$2:$N463),'Per Invoice'!$P$2:$P$801,0),"")</f>
        <v/>
      </c>
    </row>
    <row r="464">
      <c r="A464">
        <f>IF($N464="","",IF(INDEX('Per Invoice'!$A$2:$A$801,$N464)="","",INDEX('Per Invoice'!$A$2:$A$801,$N464)))</f>
        <v/>
      </c>
      <c r="B464">
        <f>IF($N464="","",IF(INDEX('Per Invoice'!$B$2:$B$801,$N464)="","",INDEX('Per Invoice'!$B$2:$B$801,$N464)))</f>
        <v/>
      </c>
      <c r="C464">
        <f>IF($N464="","",IF(INDEX('Per Invoice'!$C$2:$C$801,$N464)="","",INDEX('Per Invoice'!$C$2:$C$801,$N464)))</f>
        <v/>
      </c>
      <c r="D464">
        <f>IF($N464="","",IF(INDEX('Per Invoice'!$D$2:$D$801,$N464)="","",INDEX('Per Invoice'!$D$2:$D$801,$N464)))</f>
        <v/>
      </c>
      <c r="E464">
        <f>IF($N464="","",IF(INDEX('Per Invoice'!$E$2:$E$801,$N464)="","",INDEX('Per Invoice'!$E$2:$E$801,$N464)))</f>
        <v/>
      </c>
      <c r="F464">
        <f>IF($N464="","",IF(INDEX('Per Invoice'!$F$2:$F$801,$N464)="","",INDEX('Per Invoice'!$F$2:$F$801,$N464)))</f>
        <v/>
      </c>
      <c r="G464">
        <f>IF($N464="","",IF(INDEX('Per Invoice'!$G$2:$G$801,$N464)="","",INDEX('Per Invoice'!$G$2:$G$801,$N464)))</f>
        <v/>
      </c>
      <c r="H464">
        <f>IF($N464="","",IF(INDEX('Per Invoice'!$H$2:$H$801,$N464)="","",INDEX('Per Invoice'!$H$2:$H$801,$N464)))</f>
        <v/>
      </c>
      <c r="I464" s="5">
        <f>IF($N464="","",IF(INDEX('Per Invoice'!$I$2:$I$801,$N464)="","",INDEX('Per Invoice'!$I$2:$I$801,$N464)))</f>
        <v/>
      </c>
      <c r="J464" s="5">
        <f>IF($N464="","",IF(INDEX('Per Invoice'!$J$2:$J$801,$N464)="","",INDEX('Per Invoice'!$J$2:$J$801,$N464)))</f>
        <v/>
      </c>
      <c r="K464" s="5">
        <f>IF($N464="","",IF(INDEX('Per Invoice'!$K$2:$K$801,$N464)="","",INDEX('Per Invoice'!$K$2:$K$801,$N464)))</f>
        <v/>
      </c>
      <c r="L464" s="5">
        <f>IF($N464="","",IF(INDEX('Per Invoice'!$L$2:$L$801,$N464)="","",INDEX('Per Invoice'!$L$2:$L$801,$N464)))</f>
        <v/>
      </c>
      <c r="M464" s="5">
        <f>IF($N464="","",IF(INDEX('Per Invoice'!$M$2:$M$801,$N464)="","",INDEX('Per Invoice'!$M$2:$M$801,$N464)))</f>
        <v/>
      </c>
      <c r="N464">
        <f>IF(ROWS($N$2:$N464)&lt;=COUNT('Per Invoice'!$P$2:$P$801),MATCH(ROWS($N$2:$N464),'Per Invoice'!$P$2:$P$801,0),"")</f>
        <v/>
      </c>
    </row>
    <row r="465">
      <c r="A465">
        <f>IF($N465="","",IF(INDEX('Per Invoice'!$A$2:$A$801,$N465)="","",INDEX('Per Invoice'!$A$2:$A$801,$N465)))</f>
        <v/>
      </c>
      <c r="B465">
        <f>IF($N465="","",IF(INDEX('Per Invoice'!$B$2:$B$801,$N465)="","",INDEX('Per Invoice'!$B$2:$B$801,$N465)))</f>
        <v/>
      </c>
      <c r="C465">
        <f>IF($N465="","",IF(INDEX('Per Invoice'!$C$2:$C$801,$N465)="","",INDEX('Per Invoice'!$C$2:$C$801,$N465)))</f>
        <v/>
      </c>
      <c r="D465">
        <f>IF($N465="","",IF(INDEX('Per Invoice'!$D$2:$D$801,$N465)="","",INDEX('Per Invoice'!$D$2:$D$801,$N465)))</f>
        <v/>
      </c>
      <c r="E465">
        <f>IF($N465="","",IF(INDEX('Per Invoice'!$E$2:$E$801,$N465)="","",INDEX('Per Invoice'!$E$2:$E$801,$N465)))</f>
        <v/>
      </c>
      <c r="F465">
        <f>IF($N465="","",IF(INDEX('Per Invoice'!$F$2:$F$801,$N465)="","",INDEX('Per Invoice'!$F$2:$F$801,$N465)))</f>
        <v/>
      </c>
      <c r="G465">
        <f>IF($N465="","",IF(INDEX('Per Invoice'!$G$2:$G$801,$N465)="","",INDEX('Per Invoice'!$G$2:$G$801,$N465)))</f>
        <v/>
      </c>
      <c r="H465">
        <f>IF($N465="","",IF(INDEX('Per Invoice'!$H$2:$H$801,$N465)="","",INDEX('Per Invoice'!$H$2:$H$801,$N465)))</f>
        <v/>
      </c>
      <c r="I465" s="5">
        <f>IF($N465="","",IF(INDEX('Per Invoice'!$I$2:$I$801,$N465)="","",INDEX('Per Invoice'!$I$2:$I$801,$N465)))</f>
        <v/>
      </c>
      <c r="J465" s="5">
        <f>IF($N465="","",IF(INDEX('Per Invoice'!$J$2:$J$801,$N465)="","",INDEX('Per Invoice'!$J$2:$J$801,$N465)))</f>
        <v/>
      </c>
      <c r="K465" s="5">
        <f>IF($N465="","",IF(INDEX('Per Invoice'!$K$2:$K$801,$N465)="","",INDEX('Per Invoice'!$K$2:$K$801,$N465)))</f>
        <v/>
      </c>
      <c r="L465" s="5">
        <f>IF($N465="","",IF(INDEX('Per Invoice'!$L$2:$L$801,$N465)="","",INDEX('Per Invoice'!$L$2:$L$801,$N465)))</f>
        <v/>
      </c>
      <c r="M465" s="5">
        <f>IF($N465="","",IF(INDEX('Per Invoice'!$M$2:$M$801,$N465)="","",INDEX('Per Invoice'!$M$2:$M$801,$N465)))</f>
        <v/>
      </c>
      <c r="N465">
        <f>IF(ROWS($N$2:$N465)&lt;=COUNT('Per Invoice'!$P$2:$P$801),MATCH(ROWS($N$2:$N465),'Per Invoice'!$P$2:$P$801,0),"")</f>
        <v/>
      </c>
    </row>
    <row r="466">
      <c r="A466">
        <f>IF($N466="","",IF(INDEX('Per Invoice'!$A$2:$A$801,$N466)="","",INDEX('Per Invoice'!$A$2:$A$801,$N466)))</f>
        <v/>
      </c>
      <c r="B466">
        <f>IF($N466="","",IF(INDEX('Per Invoice'!$B$2:$B$801,$N466)="","",INDEX('Per Invoice'!$B$2:$B$801,$N466)))</f>
        <v/>
      </c>
      <c r="C466">
        <f>IF($N466="","",IF(INDEX('Per Invoice'!$C$2:$C$801,$N466)="","",INDEX('Per Invoice'!$C$2:$C$801,$N466)))</f>
        <v/>
      </c>
      <c r="D466">
        <f>IF($N466="","",IF(INDEX('Per Invoice'!$D$2:$D$801,$N466)="","",INDEX('Per Invoice'!$D$2:$D$801,$N466)))</f>
        <v/>
      </c>
      <c r="E466">
        <f>IF($N466="","",IF(INDEX('Per Invoice'!$E$2:$E$801,$N466)="","",INDEX('Per Invoice'!$E$2:$E$801,$N466)))</f>
        <v/>
      </c>
      <c r="F466">
        <f>IF($N466="","",IF(INDEX('Per Invoice'!$F$2:$F$801,$N466)="","",INDEX('Per Invoice'!$F$2:$F$801,$N466)))</f>
        <v/>
      </c>
      <c r="G466">
        <f>IF($N466="","",IF(INDEX('Per Invoice'!$G$2:$G$801,$N466)="","",INDEX('Per Invoice'!$G$2:$G$801,$N466)))</f>
        <v/>
      </c>
      <c r="H466">
        <f>IF($N466="","",IF(INDEX('Per Invoice'!$H$2:$H$801,$N466)="","",INDEX('Per Invoice'!$H$2:$H$801,$N466)))</f>
        <v/>
      </c>
      <c r="I466" s="5">
        <f>IF($N466="","",IF(INDEX('Per Invoice'!$I$2:$I$801,$N466)="","",INDEX('Per Invoice'!$I$2:$I$801,$N466)))</f>
        <v/>
      </c>
      <c r="J466" s="5">
        <f>IF($N466="","",IF(INDEX('Per Invoice'!$J$2:$J$801,$N466)="","",INDEX('Per Invoice'!$J$2:$J$801,$N466)))</f>
        <v/>
      </c>
      <c r="K466" s="5">
        <f>IF($N466="","",IF(INDEX('Per Invoice'!$K$2:$K$801,$N466)="","",INDEX('Per Invoice'!$K$2:$K$801,$N466)))</f>
        <v/>
      </c>
      <c r="L466" s="5">
        <f>IF($N466="","",IF(INDEX('Per Invoice'!$L$2:$L$801,$N466)="","",INDEX('Per Invoice'!$L$2:$L$801,$N466)))</f>
        <v/>
      </c>
      <c r="M466" s="5">
        <f>IF($N466="","",IF(INDEX('Per Invoice'!$M$2:$M$801,$N466)="","",INDEX('Per Invoice'!$M$2:$M$801,$N466)))</f>
        <v/>
      </c>
      <c r="N466">
        <f>IF(ROWS($N$2:$N466)&lt;=COUNT('Per Invoice'!$P$2:$P$801),MATCH(ROWS($N$2:$N466),'Per Invoice'!$P$2:$P$801,0),"")</f>
        <v/>
      </c>
    </row>
    <row r="467">
      <c r="A467">
        <f>IF($N467="","",IF(INDEX('Per Invoice'!$A$2:$A$801,$N467)="","",INDEX('Per Invoice'!$A$2:$A$801,$N467)))</f>
        <v/>
      </c>
      <c r="B467">
        <f>IF($N467="","",IF(INDEX('Per Invoice'!$B$2:$B$801,$N467)="","",INDEX('Per Invoice'!$B$2:$B$801,$N467)))</f>
        <v/>
      </c>
      <c r="C467">
        <f>IF($N467="","",IF(INDEX('Per Invoice'!$C$2:$C$801,$N467)="","",INDEX('Per Invoice'!$C$2:$C$801,$N467)))</f>
        <v/>
      </c>
      <c r="D467">
        <f>IF($N467="","",IF(INDEX('Per Invoice'!$D$2:$D$801,$N467)="","",INDEX('Per Invoice'!$D$2:$D$801,$N467)))</f>
        <v/>
      </c>
      <c r="E467">
        <f>IF($N467="","",IF(INDEX('Per Invoice'!$E$2:$E$801,$N467)="","",INDEX('Per Invoice'!$E$2:$E$801,$N467)))</f>
        <v/>
      </c>
      <c r="F467">
        <f>IF($N467="","",IF(INDEX('Per Invoice'!$F$2:$F$801,$N467)="","",INDEX('Per Invoice'!$F$2:$F$801,$N467)))</f>
        <v/>
      </c>
      <c r="G467">
        <f>IF($N467="","",IF(INDEX('Per Invoice'!$G$2:$G$801,$N467)="","",INDEX('Per Invoice'!$G$2:$G$801,$N467)))</f>
        <v/>
      </c>
      <c r="H467">
        <f>IF($N467="","",IF(INDEX('Per Invoice'!$H$2:$H$801,$N467)="","",INDEX('Per Invoice'!$H$2:$H$801,$N467)))</f>
        <v/>
      </c>
      <c r="I467" s="5">
        <f>IF($N467="","",IF(INDEX('Per Invoice'!$I$2:$I$801,$N467)="","",INDEX('Per Invoice'!$I$2:$I$801,$N467)))</f>
        <v/>
      </c>
      <c r="J467" s="5">
        <f>IF($N467="","",IF(INDEX('Per Invoice'!$J$2:$J$801,$N467)="","",INDEX('Per Invoice'!$J$2:$J$801,$N467)))</f>
        <v/>
      </c>
      <c r="K467" s="5">
        <f>IF($N467="","",IF(INDEX('Per Invoice'!$K$2:$K$801,$N467)="","",INDEX('Per Invoice'!$K$2:$K$801,$N467)))</f>
        <v/>
      </c>
      <c r="L467" s="5">
        <f>IF($N467="","",IF(INDEX('Per Invoice'!$L$2:$L$801,$N467)="","",INDEX('Per Invoice'!$L$2:$L$801,$N467)))</f>
        <v/>
      </c>
      <c r="M467" s="5">
        <f>IF($N467="","",IF(INDEX('Per Invoice'!$M$2:$M$801,$N467)="","",INDEX('Per Invoice'!$M$2:$M$801,$N467)))</f>
        <v/>
      </c>
      <c r="N467">
        <f>IF(ROWS($N$2:$N467)&lt;=COUNT('Per Invoice'!$P$2:$P$801),MATCH(ROWS($N$2:$N467),'Per Invoice'!$P$2:$P$801,0),"")</f>
        <v/>
      </c>
    </row>
    <row r="468">
      <c r="A468">
        <f>IF($N468="","",IF(INDEX('Per Invoice'!$A$2:$A$801,$N468)="","",INDEX('Per Invoice'!$A$2:$A$801,$N468)))</f>
        <v/>
      </c>
      <c r="B468">
        <f>IF($N468="","",IF(INDEX('Per Invoice'!$B$2:$B$801,$N468)="","",INDEX('Per Invoice'!$B$2:$B$801,$N468)))</f>
        <v/>
      </c>
      <c r="C468">
        <f>IF($N468="","",IF(INDEX('Per Invoice'!$C$2:$C$801,$N468)="","",INDEX('Per Invoice'!$C$2:$C$801,$N468)))</f>
        <v/>
      </c>
      <c r="D468">
        <f>IF($N468="","",IF(INDEX('Per Invoice'!$D$2:$D$801,$N468)="","",INDEX('Per Invoice'!$D$2:$D$801,$N468)))</f>
        <v/>
      </c>
      <c r="E468">
        <f>IF($N468="","",IF(INDEX('Per Invoice'!$E$2:$E$801,$N468)="","",INDEX('Per Invoice'!$E$2:$E$801,$N468)))</f>
        <v/>
      </c>
      <c r="F468">
        <f>IF($N468="","",IF(INDEX('Per Invoice'!$F$2:$F$801,$N468)="","",INDEX('Per Invoice'!$F$2:$F$801,$N468)))</f>
        <v/>
      </c>
      <c r="G468">
        <f>IF($N468="","",IF(INDEX('Per Invoice'!$G$2:$G$801,$N468)="","",INDEX('Per Invoice'!$G$2:$G$801,$N468)))</f>
        <v/>
      </c>
      <c r="H468">
        <f>IF($N468="","",IF(INDEX('Per Invoice'!$H$2:$H$801,$N468)="","",INDEX('Per Invoice'!$H$2:$H$801,$N468)))</f>
        <v/>
      </c>
      <c r="I468" s="5">
        <f>IF($N468="","",IF(INDEX('Per Invoice'!$I$2:$I$801,$N468)="","",INDEX('Per Invoice'!$I$2:$I$801,$N468)))</f>
        <v/>
      </c>
      <c r="J468" s="5">
        <f>IF($N468="","",IF(INDEX('Per Invoice'!$J$2:$J$801,$N468)="","",INDEX('Per Invoice'!$J$2:$J$801,$N468)))</f>
        <v/>
      </c>
      <c r="K468" s="5">
        <f>IF($N468="","",IF(INDEX('Per Invoice'!$K$2:$K$801,$N468)="","",INDEX('Per Invoice'!$K$2:$K$801,$N468)))</f>
        <v/>
      </c>
      <c r="L468" s="5">
        <f>IF($N468="","",IF(INDEX('Per Invoice'!$L$2:$L$801,$N468)="","",INDEX('Per Invoice'!$L$2:$L$801,$N468)))</f>
        <v/>
      </c>
      <c r="M468" s="5">
        <f>IF($N468="","",IF(INDEX('Per Invoice'!$M$2:$M$801,$N468)="","",INDEX('Per Invoice'!$M$2:$M$801,$N468)))</f>
        <v/>
      </c>
      <c r="N468">
        <f>IF(ROWS($N$2:$N468)&lt;=COUNT('Per Invoice'!$P$2:$P$801),MATCH(ROWS($N$2:$N468),'Per Invoice'!$P$2:$P$801,0),"")</f>
        <v/>
      </c>
    </row>
    <row r="469">
      <c r="A469">
        <f>IF($N469="","",IF(INDEX('Per Invoice'!$A$2:$A$801,$N469)="","",INDEX('Per Invoice'!$A$2:$A$801,$N469)))</f>
        <v/>
      </c>
      <c r="B469">
        <f>IF($N469="","",IF(INDEX('Per Invoice'!$B$2:$B$801,$N469)="","",INDEX('Per Invoice'!$B$2:$B$801,$N469)))</f>
        <v/>
      </c>
      <c r="C469">
        <f>IF($N469="","",IF(INDEX('Per Invoice'!$C$2:$C$801,$N469)="","",INDEX('Per Invoice'!$C$2:$C$801,$N469)))</f>
        <v/>
      </c>
      <c r="D469">
        <f>IF($N469="","",IF(INDEX('Per Invoice'!$D$2:$D$801,$N469)="","",INDEX('Per Invoice'!$D$2:$D$801,$N469)))</f>
        <v/>
      </c>
      <c r="E469">
        <f>IF($N469="","",IF(INDEX('Per Invoice'!$E$2:$E$801,$N469)="","",INDEX('Per Invoice'!$E$2:$E$801,$N469)))</f>
        <v/>
      </c>
      <c r="F469">
        <f>IF($N469="","",IF(INDEX('Per Invoice'!$F$2:$F$801,$N469)="","",INDEX('Per Invoice'!$F$2:$F$801,$N469)))</f>
        <v/>
      </c>
      <c r="G469">
        <f>IF($N469="","",IF(INDEX('Per Invoice'!$G$2:$G$801,$N469)="","",INDEX('Per Invoice'!$G$2:$G$801,$N469)))</f>
        <v/>
      </c>
      <c r="H469">
        <f>IF($N469="","",IF(INDEX('Per Invoice'!$H$2:$H$801,$N469)="","",INDEX('Per Invoice'!$H$2:$H$801,$N469)))</f>
        <v/>
      </c>
      <c r="I469" s="5">
        <f>IF($N469="","",IF(INDEX('Per Invoice'!$I$2:$I$801,$N469)="","",INDEX('Per Invoice'!$I$2:$I$801,$N469)))</f>
        <v/>
      </c>
      <c r="J469" s="5">
        <f>IF($N469="","",IF(INDEX('Per Invoice'!$J$2:$J$801,$N469)="","",INDEX('Per Invoice'!$J$2:$J$801,$N469)))</f>
        <v/>
      </c>
      <c r="K469" s="5">
        <f>IF($N469="","",IF(INDEX('Per Invoice'!$K$2:$K$801,$N469)="","",INDEX('Per Invoice'!$K$2:$K$801,$N469)))</f>
        <v/>
      </c>
      <c r="L469" s="5">
        <f>IF($N469="","",IF(INDEX('Per Invoice'!$L$2:$L$801,$N469)="","",INDEX('Per Invoice'!$L$2:$L$801,$N469)))</f>
        <v/>
      </c>
      <c r="M469" s="5">
        <f>IF($N469="","",IF(INDEX('Per Invoice'!$M$2:$M$801,$N469)="","",INDEX('Per Invoice'!$M$2:$M$801,$N469)))</f>
        <v/>
      </c>
      <c r="N469">
        <f>IF(ROWS($N$2:$N469)&lt;=COUNT('Per Invoice'!$P$2:$P$801),MATCH(ROWS($N$2:$N469),'Per Invoice'!$P$2:$P$801,0),"")</f>
        <v/>
      </c>
    </row>
    <row r="470">
      <c r="A470">
        <f>IF($N470="","",IF(INDEX('Per Invoice'!$A$2:$A$801,$N470)="","",INDEX('Per Invoice'!$A$2:$A$801,$N470)))</f>
        <v/>
      </c>
      <c r="B470">
        <f>IF($N470="","",IF(INDEX('Per Invoice'!$B$2:$B$801,$N470)="","",INDEX('Per Invoice'!$B$2:$B$801,$N470)))</f>
        <v/>
      </c>
      <c r="C470">
        <f>IF($N470="","",IF(INDEX('Per Invoice'!$C$2:$C$801,$N470)="","",INDEX('Per Invoice'!$C$2:$C$801,$N470)))</f>
        <v/>
      </c>
      <c r="D470">
        <f>IF($N470="","",IF(INDEX('Per Invoice'!$D$2:$D$801,$N470)="","",INDEX('Per Invoice'!$D$2:$D$801,$N470)))</f>
        <v/>
      </c>
      <c r="E470">
        <f>IF($N470="","",IF(INDEX('Per Invoice'!$E$2:$E$801,$N470)="","",INDEX('Per Invoice'!$E$2:$E$801,$N470)))</f>
        <v/>
      </c>
      <c r="F470">
        <f>IF($N470="","",IF(INDEX('Per Invoice'!$F$2:$F$801,$N470)="","",INDEX('Per Invoice'!$F$2:$F$801,$N470)))</f>
        <v/>
      </c>
      <c r="G470">
        <f>IF($N470="","",IF(INDEX('Per Invoice'!$G$2:$G$801,$N470)="","",INDEX('Per Invoice'!$G$2:$G$801,$N470)))</f>
        <v/>
      </c>
      <c r="H470">
        <f>IF($N470="","",IF(INDEX('Per Invoice'!$H$2:$H$801,$N470)="","",INDEX('Per Invoice'!$H$2:$H$801,$N470)))</f>
        <v/>
      </c>
      <c r="I470" s="5">
        <f>IF($N470="","",IF(INDEX('Per Invoice'!$I$2:$I$801,$N470)="","",INDEX('Per Invoice'!$I$2:$I$801,$N470)))</f>
        <v/>
      </c>
      <c r="J470" s="5">
        <f>IF($N470="","",IF(INDEX('Per Invoice'!$J$2:$J$801,$N470)="","",INDEX('Per Invoice'!$J$2:$J$801,$N470)))</f>
        <v/>
      </c>
      <c r="K470" s="5">
        <f>IF($N470="","",IF(INDEX('Per Invoice'!$K$2:$K$801,$N470)="","",INDEX('Per Invoice'!$K$2:$K$801,$N470)))</f>
        <v/>
      </c>
      <c r="L470" s="5">
        <f>IF($N470="","",IF(INDEX('Per Invoice'!$L$2:$L$801,$N470)="","",INDEX('Per Invoice'!$L$2:$L$801,$N470)))</f>
        <v/>
      </c>
      <c r="M470" s="5">
        <f>IF($N470="","",IF(INDEX('Per Invoice'!$M$2:$M$801,$N470)="","",INDEX('Per Invoice'!$M$2:$M$801,$N470)))</f>
        <v/>
      </c>
      <c r="N470">
        <f>IF(ROWS($N$2:$N470)&lt;=COUNT('Per Invoice'!$P$2:$P$801),MATCH(ROWS($N$2:$N470),'Per Invoice'!$P$2:$P$801,0),"")</f>
        <v/>
      </c>
    </row>
    <row r="471">
      <c r="A471">
        <f>IF($N471="","",IF(INDEX('Per Invoice'!$A$2:$A$801,$N471)="","",INDEX('Per Invoice'!$A$2:$A$801,$N471)))</f>
        <v/>
      </c>
      <c r="B471">
        <f>IF($N471="","",IF(INDEX('Per Invoice'!$B$2:$B$801,$N471)="","",INDEX('Per Invoice'!$B$2:$B$801,$N471)))</f>
        <v/>
      </c>
      <c r="C471">
        <f>IF($N471="","",IF(INDEX('Per Invoice'!$C$2:$C$801,$N471)="","",INDEX('Per Invoice'!$C$2:$C$801,$N471)))</f>
        <v/>
      </c>
      <c r="D471">
        <f>IF($N471="","",IF(INDEX('Per Invoice'!$D$2:$D$801,$N471)="","",INDEX('Per Invoice'!$D$2:$D$801,$N471)))</f>
        <v/>
      </c>
      <c r="E471">
        <f>IF($N471="","",IF(INDEX('Per Invoice'!$E$2:$E$801,$N471)="","",INDEX('Per Invoice'!$E$2:$E$801,$N471)))</f>
        <v/>
      </c>
      <c r="F471">
        <f>IF($N471="","",IF(INDEX('Per Invoice'!$F$2:$F$801,$N471)="","",INDEX('Per Invoice'!$F$2:$F$801,$N471)))</f>
        <v/>
      </c>
      <c r="G471">
        <f>IF($N471="","",IF(INDEX('Per Invoice'!$G$2:$G$801,$N471)="","",INDEX('Per Invoice'!$G$2:$G$801,$N471)))</f>
        <v/>
      </c>
      <c r="H471">
        <f>IF($N471="","",IF(INDEX('Per Invoice'!$H$2:$H$801,$N471)="","",INDEX('Per Invoice'!$H$2:$H$801,$N471)))</f>
        <v/>
      </c>
      <c r="I471" s="5">
        <f>IF($N471="","",IF(INDEX('Per Invoice'!$I$2:$I$801,$N471)="","",INDEX('Per Invoice'!$I$2:$I$801,$N471)))</f>
        <v/>
      </c>
      <c r="J471" s="5">
        <f>IF($N471="","",IF(INDEX('Per Invoice'!$J$2:$J$801,$N471)="","",INDEX('Per Invoice'!$J$2:$J$801,$N471)))</f>
        <v/>
      </c>
      <c r="K471" s="5">
        <f>IF($N471="","",IF(INDEX('Per Invoice'!$K$2:$K$801,$N471)="","",INDEX('Per Invoice'!$K$2:$K$801,$N471)))</f>
        <v/>
      </c>
      <c r="L471" s="5">
        <f>IF($N471="","",IF(INDEX('Per Invoice'!$L$2:$L$801,$N471)="","",INDEX('Per Invoice'!$L$2:$L$801,$N471)))</f>
        <v/>
      </c>
      <c r="M471" s="5">
        <f>IF($N471="","",IF(INDEX('Per Invoice'!$M$2:$M$801,$N471)="","",INDEX('Per Invoice'!$M$2:$M$801,$N471)))</f>
        <v/>
      </c>
      <c r="N471">
        <f>IF(ROWS($N$2:$N471)&lt;=COUNT('Per Invoice'!$P$2:$P$801),MATCH(ROWS($N$2:$N471),'Per Invoice'!$P$2:$P$801,0),"")</f>
        <v/>
      </c>
    </row>
    <row r="472">
      <c r="A472">
        <f>IF($N472="","",IF(INDEX('Per Invoice'!$A$2:$A$801,$N472)="","",INDEX('Per Invoice'!$A$2:$A$801,$N472)))</f>
        <v/>
      </c>
      <c r="B472">
        <f>IF($N472="","",IF(INDEX('Per Invoice'!$B$2:$B$801,$N472)="","",INDEX('Per Invoice'!$B$2:$B$801,$N472)))</f>
        <v/>
      </c>
      <c r="C472">
        <f>IF($N472="","",IF(INDEX('Per Invoice'!$C$2:$C$801,$N472)="","",INDEX('Per Invoice'!$C$2:$C$801,$N472)))</f>
        <v/>
      </c>
      <c r="D472">
        <f>IF($N472="","",IF(INDEX('Per Invoice'!$D$2:$D$801,$N472)="","",INDEX('Per Invoice'!$D$2:$D$801,$N472)))</f>
        <v/>
      </c>
      <c r="E472">
        <f>IF($N472="","",IF(INDEX('Per Invoice'!$E$2:$E$801,$N472)="","",INDEX('Per Invoice'!$E$2:$E$801,$N472)))</f>
        <v/>
      </c>
      <c r="F472">
        <f>IF($N472="","",IF(INDEX('Per Invoice'!$F$2:$F$801,$N472)="","",INDEX('Per Invoice'!$F$2:$F$801,$N472)))</f>
        <v/>
      </c>
      <c r="G472">
        <f>IF($N472="","",IF(INDEX('Per Invoice'!$G$2:$G$801,$N472)="","",INDEX('Per Invoice'!$G$2:$G$801,$N472)))</f>
        <v/>
      </c>
      <c r="H472">
        <f>IF($N472="","",IF(INDEX('Per Invoice'!$H$2:$H$801,$N472)="","",INDEX('Per Invoice'!$H$2:$H$801,$N472)))</f>
        <v/>
      </c>
      <c r="I472" s="5">
        <f>IF($N472="","",IF(INDEX('Per Invoice'!$I$2:$I$801,$N472)="","",INDEX('Per Invoice'!$I$2:$I$801,$N472)))</f>
        <v/>
      </c>
      <c r="J472" s="5">
        <f>IF($N472="","",IF(INDEX('Per Invoice'!$J$2:$J$801,$N472)="","",INDEX('Per Invoice'!$J$2:$J$801,$N472)))</f>
        <v/>
      </c>
      <c r="K472" s="5">
        <f>IF($N472="","",IF(INDEX('Per Invoice'!$K$2:$K$801,$N472)="","",INDEX('Per Invoice'!$K$2:$K$801,$N472)))</f>
        <v/>
      </c>
      <c r="L472" s="5">
        <f>IF($N472="","",IF(INDEX('Per Invoice'!$L$2:$L$801,$N472)="","",INDEX('Per Invoice'!$L$2:$L$801,$N472)))</f>
        <v/>
      </c>
      <c r="M472" s="5">
        <f>IF($N472="","",IF(INDEX('Per Invoice'!$M$2:$M$801,$N472)="","",INDEX('Per Invoice'!$M$2:$M$801,$N472)))</f>
        <v/>
      </c>
      <c r="N472">
        <f>IF(ROWS($N$2:$N472)&lt;=COUNT('Per Invoice'!$P$2:$P$801),MATCH(ROWS($N$2:$N472),'Per Invoice'!$P$2:$P$801,0),"")</f>
        <v/>
      </c>
    </row>
    <row r="473">
      <c r="A473">
        <f>IF($N473="","",IF(INDEX('Per Invoice'!$A$2:$A$801,$N473)="","",INDEX('Per Invoice'!$A$2:$A$801,$N473)))</f>
        <v/>
      </c>
      <c r="B473">
        <f>IF($N473="","",IF(INDEX('Per Invoice'!$B$2:$B$801,$N473)="","",INDEX('Per Invoice'!$B$2:$B$801,$N473)))</f>
        <v/>
      </c>
      <c r="C473">
        <f>IF($N473="","",IF(INDEX('Per Invoice'!$C$2:$C$801,$N473)="","",INDEX('Per Invoice'!$C$2:$C$801,$N473)))</f>
        <v/>
      </c>
      <c r="D473">
        <f>IF($N473="","",IF(INDEX('Per Invoice'!$D$2:$D$801,$N473)="","",INDEX('Per Invoice'!$D$2:$D$801,$N473)))</f>
        <v/>
      </c>
      <c r="E473">
        <f>IF($N473="","",IF(INDEX('Per Invoice'!$E$2:$E$801,$N473)="","",INDEX('Per Invoice'!$E$2:$E$801,$N473)))</f>
        <v/>
      </c>
      <c r="F473">
        <f>IF($N473="","",IF(INDEX('Per Invoice'!$F$2:$F$801,$N473)="","",INDEX('Per Invoice'!$F$2:$F$801,$N473)))</f>
        <v/>
      </c>
      <c r="G473">
        <f>IF($N473="","",IF(INDEX('Per Invoice'!$G$2:$G$801,$N473)="","",INDEX('Per Invoice'!$G$2:$G$801,$N473)))</f>
        <v/>
      </c>
      <c r="H473">
        <f>IF($N473="","",IF(INDEX('Per Invoice'!$H$2:$H$801,$N473)="","",INDEX('Per Invoice'!$H$2:$H$801,$N473)))</f>
        <v/>
      </c>
      <c r="I473" s="5">
        <f>IF($N473="","",IF(INDEX('Per Invoice'!$I$2:$I$801,$N473)="","",INDEX('Per Invoice'!$I$2:$I$801,$N473)))</f>
        <v/>
      </c>
      <c r="J473" s="5">
        <f>IF($N473="","",IF(INDEX('Per Invoice'!$J$2:$J$801,$N473)="","",INDEX('Per Invoice'!$J$2:$J$801,$N473)))</f>
        <v/>
      </c>
      <c r="K473" s="5">
        <f>IF($N473="","",IF(INDEX('Per Invoice'!$K$2:$K$801,$N473)="","",INDEX('Per Invoice'!$K$2:$K$801,$N473)))</f>
        <v/>
      </c>
      <c r="L473" s="5">
        <f>IF($N473="","",IF(INDEX('Per Invoice'!$L$2:$L$801,$N473)="","",INDEX('Per Invoice'!$L$2:$L$801,$N473)))</f>
        <v/>
      </c>
      <c r="M473" s="5">
        <f>IF($N473="","",IF(INDEX('Per Invoice'!$M$2:$M$801,$N473)="","",INDEX('Per Invoice'!$M$2:$M$801,$N473)))</f>
        <v/>
      </c>
      <c r="N473">
        <f>IF(ROWS($N$2:$N473)&lt;=COUNT('Per Invoice'!$P$2:$P$801),MATCH(ROWS($N$2:$N473),'Per Invoice'!$P$2:$P$801,0),"")</f>
        <v/>
      </c>
    </row>
    <row r="474">
      <c r="A474">
        <f>IF($N474="","",IF(INDEX('Per Invoice'!$A$2:$A$801,$N474)="","",INDEX('Per Invoice'!$A$2:$A$801,$N474)))</f>
        <v/>
      </c>
      <c r="B474">
        <f>IF($N474="","",IF(INDEX('Per Invoice'!$B$2:$B$801,$N474)="","",INDEX('Per Invoice'!$B$2:$B$801,$N474)))</f>
        <v/>
      </c>
      <c r="C474">
        <f>IF($N474="","",IF(INDEX('Per Invoice'!$C$2:$C$801,$N474)="","",INDEX('Per Invoice'!$C$2:$C$801,$N474)))</f>
        <v/>
      </c>
      <c r="D474">
        <f>IF($N474="","",IF(INDEX('Per Invoice'!$D$2:$D$801,$N474)="","",INDEX('Per Invoice'!$D$2:$D$801,$N474)))</f>
        <v/>
      </c>
      <c r="E474">
        <f>IF($N474="","",IF(INDEX('Per Invoice'!$E$2:$E$801,$N474)="","",INDEX('Per Invoice'!$E$2:$E$801,$N474)))</f>
        <v/>
      </c>
      <c r="F474">
        <f>IF($N474="","",IF(INDEX('Per Invoice'!$F$2:$F$801,$N474)="","",INDEX('Per Invoice'!$F$2:$F$801,$N474)))</f>
        <v/>
      </c>
      <c r="G474">
        <f>IF($N474="","",IF(INDEX('Per Invoice'!$G$2:$G$801,$N474)="","",INDEX('Per Invoice'!$G$2:$G$801,$N474)))</f>
        <v/>
      </c>
      <c r="H474">
        <f>IF($N474="","",IF(INDEX('Per Invoice'!$H$2:$H$801,$N474)="","",INDEX('Per Invoice'!$H$2:$H$801,$N474)))</f>
        <v/>
      </c>
      <c r="I474" s="5">
        <f>IF($N474="","",IF(INDEX('Per Invoice'!$I$2:$I$801,$N474)="","",INDEX('Per Invoice'!$I$2:$I$801,$N474)))</f>
        <v/>
      </c>
      <c r="J474" s="5">
        <f>IF($N474="","",IF(INDEX('Per Invoice'!$J$2:$J$801,$N474)="","",INDEX('Per Invoice'!$J$2:$J$801,$N474)))</f>
        <v/>
      </c>
      <c r="K474" s="5">
        <f>IF($N474="","",IF(INDEX('Per Invoice'!$K$2:$K$801,$N474)="","",INDEX('Per Invoice'!$K$2:$K$801,$N474)))</f>
        <v/>
      </c>
      <c r="L474" s="5">
        <f>IF($N474="","",IF(INDEX('Per Invoice'!$L$2:$L$801,$N474)="","",INDEX('Per Invoice'!$L$2:$L$801,$N474)))</f>
        <v/>
      </c>
      <c r="M474" s="5">
        <f>IF($N474="","",IF(INDEX('Per Invoice'!$M$2:$M$801,$N474)="","",INDEX('Per Invoice'!$M$2:$M$801,$N474)))</f>
        <v/>
      </c>
      <c r="N474">
        <f>IF(ROWS($N$2:$N474)&lt;=COUNT('Per Invoice'!$P$2:$P$801),MATCH(ROWS($N$2:$N474),'Per Invoice'!$P$2:$P$801,0),"")</f>
        <v/>
      </c>
    </row>
    <row r="475">
      <c r="A475">
        <f>IF($N475="","",IF(INDEX('Per Invoice'!$A$2:$A$801,$N475)="","",INDEX('Per Invoice'!$A$2:$A$801,$N475)))</f>
        <v/>
      </c>
      <c r="B475">
        <f>IF($N475="","",IF(INDEX('Per Invoice'!$B$2:$B$801,$N475)="","",INDEX('Per Invoice'!$B$2:$B$801,$N475)))</f>
        <v/>
      </c>
      <c r="C475">
        <f>IF($N475="","",IF(INDEX('Per Invoice'!$C$2:$C$801,$N475)="","",INDEX('Per Invoice'!$C$2:$C$801,$N475)))</f>
        <v/>
      </c>
      <c r="D475">
        <f>IF($N475="","",IF(INDEX('Per Invoice'!$D$2:$D$801,$N475)="","",INDEX('Per Invoice'!$D$2:$D$801,$N475)))</f>
        <v/>
      </c>
      <c r="E475">
        <f>IF($N475="","",IF(INDEX('Per Invoice'!$E$2:$E$801,$N475)="","",INDEX('Per Invoice'!$E$2:$E$801,$N475)))</f>
        <v/>
      </c>
      <c r="F475">
        <f>IF($N475="","",IF(INDEX('Per Invoice'!$F$2:$F$801,$N475)="","",INDEX('Per Invoice'!$F$2:$F$801,$N475)))</f>
        <v/>
      </c>
      <c r="G475">
        <f>IF($N475="","",IF(INDEX('Per Invoice'!$G$2:$G$801,$N475)="","",INDEX('Per Invoice'!$G$2:$G$801,$N475)))</f>
        <v/>
      </c>
      <c r="H475">
        <f>IF($N475="","",IF(INDEX('Per Invoice'!$H$2:$H$801,$N475)="","",INDEX('Per Invoice'!$H$2:$H$801,$N475)))</f>
        <v/>
      </c>
      <c r="I475" s="5">
        <f>IF($N475="","",IF(INDEX('Per Invoice'!$I$2:$I$801,$N475)="","",INDEX('Per Invoice'!$I$2:$I$801,$N475)))</f>
        <v/>
      </c>
      <c r="J475" s="5">
        <f>IF($N475="","",IF(INDEX('Per Invoice'!$J$2:$J$801,$N475)="","",INDEX('Per Invoice'!$J$2:$J$801,$N475)))</f>
        <v/>
      </c>
      <c r="K475" s="5">
        <f>IF($N475="","",IF(INDEX('Per Invoice'!$K$2:$K$801,$N475)="","",INDEX('Per Invoice'!$K$2:$K$801,$N475)))</f>
        <v/>
      </c>
      <c r="L475" s="5">
        <f>IF($N475="","",IF(INDEX('Per Invoice'!$L$2:$L$801,$N475)="","",INDEX('Per Invoice'!$L$2:$L$801,$N475)))</f>
        <v/>
      </c>
      <c r="M475" s="5">
        <f>IF($N475="","",IF(INDEX('Per Invoice'!$M$2:$M$801,$N475)="","",INDEX('Per Invoice'!$M$2:$M$801,$N475)))</f>
        <v/>
      </c>
      <c r="N475">
        <f>IF(ROWS($N$2:$N475)&lt;=COUNT('Per Invoice'!$P$2:$P$801),MATCH(ROWS($N$2:$N475),'Per Invoice'!$P$2:$P$801,0),"")</f>
        <v/>
      </c>
    </row>
    <row r="476">
      <c r="A476">
        <f>IF($N476="","",IF(INDEX('Per Invoice'!$A$2:$A$801,$N476)="","",INDEX('Per Invoice'!$A$2:$A$801,$N476)))</f>
        <v/>
      </c>
      <c r="B476">
        <f>IF($N476="","",IF(INDEX('Per Invoice'!$B$2:$B$801,$N476)="","",INDEX('Per Invoice'!$B$2:$B$801,$N476)))</f>
        <v/>
      </c>
      <c r="C476">
        <f>IF($N476="","",IF(INDEX('Per Invoice'!$C$2:$C$801,$N476)="","",INDEX('Per Invoice'!$C$2:$C$801,$N476)))</f>
        <v/>
      </c>
      <c r="D476">
        <f>IF($N476="","",IF(INDEX('Per Invoice'!$D$2:$D$801,$N476)="","",INDEX('Per Invoice'!$D$2:$D$801,$N476)))</f>
        <v/>
      </c>
      <c r="E476">
        <f>IF($N476="","",IF(INDEX('Per Invoice'!$E$2:$E$801,$N476)="","",INDEX('Per Invoice'!$E$2:$E$801,$N476)))</f>
        <v/>
      </c>
      <c r="F476">
        <f>IF($N476="","",IF(INDEX('Per Invoice'!$F$2:$F$801,$N476)="","",INDEX('Per Invoice'!$F$2:$F$801,$N476)))</f>
        <v/>
      </c>
      <c r="G476">
        <f>IF($N476="","",IF(INDEX('Per Invoice'!$G$2:$G$801,$N476)="","",INDEX('Per Invoice'!$G$2:$G$801,$N476)))</f>
        <v/>
      </c>
      <c r="H476">
        <f>IF($N476="","",IF(INDEX('Per Invoice'!$H$2:$H$801,$N476)="","",INDEX('Per Invoice'!$H$2:$H$801,$N476)))</f>
        <v/>
      </c>
      <c r="I476" s="5">
        <f>IF($N476="","",IF(INDEX('Per Invoice'!$I$2:$I$801,$N476)="","",INDEX('Per Invoice'!$I$2:$I$801,$N476)))</f>
        <v/>
      </c>
      <c r="J476" s="5">
        <f>IF($N476="","",IF(INDEX('Per Invoice'!$J$2:$J$801,$N476)="","",INDEX('Per Invoice'!$J$2:$J$801,$N476)))</f>
        <v/>
      </c>
      <c r="K476" s="5">
        <f>IF($N476="","",IF(INDEX('Per Invoice'!$K$2:$K$801,$N476)="","",INDEX('Per Invoice'!$K$2:$K$801,$N476)))</f>
        <v/>
      </c>
      <c r="L476" s="5">
        <f>IF($N476="","",IF(INDEX('Per Invoice'!$L$2:$L$801,$N476)="","",INDEX('Per Invoice'!$L$2:$L$801,$N476)))</f>
        <v/>
      </c>
      <c r="M476" s="5">
        <f>IF($N476="","",IF(INDEX('Per Invoice'!$M$2:$M$801,$N476)="","",INDEX('Per Invoice'!$M$2:$M$801,$N476)))</f>
        <v/>
      </c>
      <c r="N476">
        <f>IF(ROWS($N$2:$N476)&lt;=COUNT('Per Invoice'!$P$2:$P$801),MATCH(ROWS($N$2:$N476),'Per Invoice'!$P$2:$P$801,0),"")</f>
        <v/>
      </c>
    </row>
    <row r="477">
      <c r="A477">
        <f>IF($N477="","",IF(INDEX('Per Invoice'!$A$2:$A$801,$N477)="","",INDEX('Per Invoice'!$A$2:$A$801,$N477)))</f>
        <v/>
      </c>
      <c r="B477">
        <f>IF($N477="","",IF(INDEX('Per Invoice'!$B$2:$B$801,$N477)="","",INDEX('Per Invoice'!$B$2:$B$801,$N477)))</f>
        <v/>
      </c>
      <c r="C477">
        <f>IF($N477="","",IF(INDEX('Per Invoice'!$C$2:$C$801,$N477)="","",INDEX('Per Invoice'!$C$2:$C$801,$N477)))</f>
        <v/>
      </c>
      <c r="D477">
        <f>IF($N477="","",IF(INDEX('Per Invoice'!$D$2:$D$801,$N477)="","",INDEX('Per Invoice'!$D$2:$D$801,$N477)))</f>
        <v/>
      </c>
      <c r="E477">
        <f>IF($N477="","",IF(INDEX('Per Invoice'!$E$2:$E$801,$N477)="","",INDEX('Per Invoice'!$E$2:$E$801,$N477)))</f>
        <v/>
      </c>
      <c r="F477">
        <f>IF($N477="","",IF(INDEX('Per Invoice'!$F$2:$F$801,$N477)="","",INDEX('Per Invoice'!$F$2:$F$801,$N477)))</f>
        <v/>
      </c>
      <c r="G477">
        <f>IF($N477="","",IF(INDEX('Per Invoice'!$G$2:$G$801,$N477)="","",INDEX('Per Invoice'!$G$2:$G$801,$N477)))</f>
        <v/>
      </c>
      <c r="H477">
        <f>IF($N477="","",IF(INDEX('Per Invoice'!$H$2:$H$801,$N477)="","",INDEX('Per Invoice'!$H$2:$H$801,$N477)))</f>
        <v/>
      </c>
      <c r="I477" s="5">
        <f>IF($N477="","",IF(INDEX('Per Invoice'!$I$2:$I$801,$N477)="","",INDEX('Per Invoice'!$I$2:$I$801,$N477)))</f>
        <v/>
      </c>
      <c r="J477" s="5">
        <f>IF($N477="","",IF(INDEX('Per Invoice'!$J$2:$J$801,$N477)="","",INDEX('Per Invoice'!$J$2:$J$801,$N477)))</f>
        <v/>
      </c>
      <c r="K477" s="5">
        <f>IF($N477="","",IF(INDEX('Per Invoice'!$K$2:$K$801,$N477)="","",INDEX('Per Invoice'!$K$2:$K$801,$N477)))</f>
        <v/>
      </c>
      <c r="L477" s="5">
        <f>IF($N477="","",IF(INDEX('Per Invoice'!$L$2:$L$801,$N477)="","",INDEX('Per Invoice'!$L$2:$L$801,$N477)))</f>
        <v/>
      </c>
      <c r="M477" s="5">
        <f>IF($N477="","",IF(INDEX('Per Invoice'!$M$2:$M$801,$N477)="","",INDEX('Per Invoice'!$M$2:$M$801,$N477)))</f>
        <v/>
      </c>
      <c r="N477">
        <f>IF(ROWS($N$2:$N477)&lt;=COUNT('Per Invoice'!$P$2:$P$801),MATCH(ROWS($N$2:$N477),'Per Invoice'!$P$2:$P$801,0),"")</f>
        <v/>
      </c>
    </row>
    <row r="478">
      <c r="A478">
        <f>IF($N478="","",IF(INDEX('Per Invoice'!$A$2:$A$801,$N478)="","",INDEX('Per Invoice'!$A$2:$A$801,$N478)))</f>
        <v/>
      </c>
      <c r="B478">
        <f>IF($N478="","",IF(INDEX('Per Invoice'!$B$2:$B$801,$N478)="","",INDEX('Per Invoice'!$B$2:$B$801,$N478)))</f>
        <v/>
      </c>
      <c r="C478">
        <f>IF($N478="","",IF(INDEX('Per Invoice'!$C$2:$C$801,$N478)="","",INDEX('Per Invoice'!$C$2:$C$801,$N478)))</f>
        <v/>
      </c>
      <c r="D478">
        <f>IF($N478="","",IF(INDEX('Per Invoice'!$D$2:$D$801,$N478)="","",INDEX('Per Invoice'!$D$2:$D$801,$N478)))</f>
        <v/>
      </c>
      <c r="E478">
        <f>IF($N478="","",IF(INDEX('Per Invoice'!$E$2:$E$801,$N478)="","",INDEX('Per Invoice'!$E$2:$E$801,$N478)))</f>
        <v/>
      </c>
      <c r="F478">
        <f>IF($N478="","",IF(INDEX('Per Invoice'!$F$2:$F$801,$N478)="","",INDEX('Per Invoice'!$F$2:$F$801,$N478)))</f>
        <v/>
      </c>
      <c r="G478">
        <f>IF($N478="","",IF(INDEX('Per Invoice'!$G$2:$G$801,$N478)="","",INDEX('Per Invoice'!$G$2:$G$801,$N478)))</f>
        <v/>
      </c>
      <c r="H478">
        <f>IF($N478="","",IF(INDEX('Per Invoice'!$H$2:$H$801,$N478)="","",INDEX('Per Invoice'!$H$2:$H$801,$N478)))</f>
        <v/>
      </c>
      <c r="I478" s="5">
        <f>IF($N478="","",IF(INDEX('Per Invoice'!$I$2:$I$801,$N478)="","",INDEX('Per Invoice'!$I$2:$I$801,$N478)))</f>
        <v/>
      </c>
      <c r="J478" s="5">
        <f>IF($N478="","",IF(INDEX('Per Invoice'!$J$2:$J$801,$N478)="","",INDEX('Per Invoice'!$J$2:$J$801,$N478)))</f>
        <v/>
      </c>
      <c r="K478" s="5">
        <f>IF($N478="","",IF(INDEX('Per Invoice'!$K$2:$K$801,$N478)="","",INDEX('Per Invoice'!$K$2:$K$801,$N478)))</f>
        <v/>
      </c>
      <c r="L478" s="5">
        <f>IF($N478="","",IF(INDEX('Per Invoice'!$L$2:$L$801,$N478)="","",INDEX('Per Invoice'!$L$2:$L$801,$N478)))</f>
        <v/>
      </c>
      <c r="M478" s="5">
        <f>IF($N478="","",IF(INDEX('Per Invoice'!$M$2:$M$801,$N478)="","",INDEX('Per Invoice'!$M$2:$M$801,$N478)))</f>
        <v/>
      </c>
      <c r="N478">
        <f>IF(ROWS($N$2:$N478)&lt;=COUNT('Per Invoice'!$P$2:$P$801),MATCH(ROWS($N$2:$N478),'Per Invoice'!$P$2:$P$801,0),"")</f>
        <v/>
      </c>
    </row>
    <row r="479">
      <c r="A479">
        <f>IF($N479="","",IF(INDEX('Per Invoice'!$A$2:$A$801,$N479)="","",INDEX('Per Invoice'!$A$2:$A$801,$N479)))</f>
        <v/>
      </c>
      <c r="B479">
        <f>IF($N479="","",IF(INDEX('Per Invoice'!$B$2:$B$801,$N479)="","",INDEX('Per Invoice'!$B$2:$B$801,$N479)))</f>
        <v/>
      </c>
      <c r="C479">
        <f>IF($N479="","",IF(INDEX('Per Invoice'!$C$2:$C$801,$N479)="","",INDEX('Per Invoice'!$C$2:$C$801,$N479)))</f>
        <v/>
      </c>
      <c r="D479">
        <f>IF($N479="","",IF(INDEX('Per Invoice'!$D$2:$D$801,$N479)="","",INDEX('Per Invoice'!$D$2:$D$801,$N479)))</f>
        <v/>
      </c>
      <c r="E479">
        <f>IF($N479="","",IF(INDEX('Per Invoice'!$E$2:$E$801,$N479)="","",INDEX('Per Invoice'!$E$2:$E$801,$N479)))</f>
        <v/>
      </c>
      <c r="F479">
        <f>IF($N479="","",IF(INDEX('Per Invoice'!$F$2:$F$801,$N479)="","",INDEX('Per Invoice'!$F$2:$F$801,$N479)))</f>
        <v/>
      </c>
      <c r="G479">
        <f>IF($N479="","",IF(INDEX('Per Invoice'!$G$2:$G$801,$N479)="","",INDEX('Per Invoice'!$G$2:$G$801,$N479)))</f>
        <v/>
      </c>
      <c r="H479">
        <f>IF($N479="","",IF(INDEX('Per Invoice'!$H$2:$H$801,$N479)="","",INDEX('Per Invoice'!$H$2:$H$801,$N479)))</f>
        <v/>
      </c>
      <c r="I479" s="5">
        <f>IF($N479="","",IF(INDEX('Per Invoice'!$I$2:$I$801,$N479)="","",INDEX('Per Invoice'!$I$2:$I$801,$N479)))</f>
        <v/>
      </c>
      <c r="J479" s="5">
        <f>IF($N479="","",IF(INDEX('Per Invoice'!$J$2:$J$801,$N479)="","",INDEX('Per Invoice'!$J$2:$J$801,$N479)))</f>
        <v/>
      </c>
      <c r="K479" s="5">
        <f>IF($N479="","",IF(INDEX('Per Invoice'!$K$2:$K$801,$N479)="","",INDEX('Per Invoice'!$K$2:$K$801,$N479)))</f>
        <v/>
      </c>
      <c r="L479" s="5">
        <f>IF($N479="","",IF(INDEX('Per Invoice'!$L$2:$L$801,$N479)="","",INDEX('Per Invoice'!$L$2:$L$801,$N479)))</f>
        <v/>
      </c>
      <c r="M479" s="5">
        <f>IF($N479="","",IF(INDEX('Per Invoice'!$M$2:$M$801,$N479)="","",INDEX('Per Invoice'!$M$2:$M$801,$N479)))</f>
        <v/>
      </c>
      <c r="N479">
        <f>IF(ROWS($N$2:$N479)&lt;=COUNT('Per Invoice'!$P$2:$P$801),MATCH(ROWS($N$2:$N479),'Per Invoice'!$P$2:$P$801,0),"")</f>
        <v/>
      </c>
    </row>
    <row r="480">
      <c r="A480">
        <f>IF($N480="","",IF(INDEX('Per Invoice'!$A$2:$A$801,$N480)="","",INDEX('Per Invoice'!$A$2:$A$801,$N480)))</f>
        <v/>
      </c>
      <c r="B480">
        <f>IF($N480="","",IF(INDEX('Per Invoice'!$B$2:$B$801,$N480)="","",INDEX('Per Invoice'!$B$2:$B$801,$N480)))</f>
        <v/>
      </c>
      <c r="C480">
        <f>IF($N480="","",IF(INDEX('Per Invoice'!$C$2:$C$801,$N480)="","",INDEX('Per Invoice'!$C$2:$C$801,$N480)))</f>
        <v/>
      </c>
      <c r="D480">
        <f>IF($N480="","",IF(INDEX('Per Invoice'!$D$2:$D$801,$N480)="","",INDEX('Per Invoice'!$D$2:$D$801,$N480)))</f>
        <v/>
      </c>
      <c r="E480">
        <f>IF($N480="","",IF(INDEX('Per Invoice'!$E$2:$E$801,$N480)="","",INDEX('Per Invoice'!$E$2:$E$801,$N480)))</f>
        <v/>
      </c>
      <c r="F480">
        <f>IF($N480="","",IF(INDEX('Per Invoice'!$F$2:$F$801,$N480)="","",INDEX('Per Invoice'!$F$2:$F$801,$N480)))</f>
        <v/>
      </c>
      <c r="G480">
        <f>IF($N480="","",IF(INDEX('Per Invoice'!$G$2:$G$801,$N480)="","",INDEX('Per Invoice'!$G$2:$G$801,$N480)))</f>
        <v/>
      </c>
      <c r="H480">
        <f>IF($N480="","",IF(INDEX('Per Invoice'!$H$2:$H$801,$N480)="","",INDEX('Per Invoice'!$H$2:$H$801,$N480)))</f>
        <v/>
      </c>
      <c r="I480" s="5">
        <f>IF($N480="","",IF(INDEX('Per Invoice'!$I$2:$I$801,$N480)="","",INDEX('Per Invoice'!$I$2:$I$801,$N480)))</f>
        <v/>
      </c>
      <c r="J480" s="5">
        <f>IF($N480="","",IF(INDEX('Per Invoice'!$J$2:$J$801,$N480)="","",INDEX('Per Invoice'!$J$2:$J$801,$N480)))</f>
        <v/>
      </c>
      <c r="K480" s="5">
        <f>IF($N480="","",IF(INDEX('Per Invoice'!$K$2:$K$801,$N480)="","",INDEX('Per Invoice'!$K$2:$K$801,$N480)))</f>
        <v/>
      </c>
      <c r="L480" s="5">
        <f>IF($N480="","",IF(INDEX('Per Invoice'!$L$2:$L$801,$N480)="","",INDEX('Per Invoice'!$L$2:$L$801,$N480)))</f>
        <v/>
      </c>
      <c r="M480" s="5">
        <f>IF($N480="","",IF(INDEX('Per Invoice'!$M$2:$M$801,$N480)="","",INDEX('Per Invoice'!$M$2:$M$801,$N480)))</f>
        <v/>
      </c>
      <c r="N480">
        <f>IF(ROWS($N$2:$N480)&lt;=COUNT('Per Invoice'!$P$2:$P$801),MATCH(ROWS($N$2:$N480),'Per Invoice'!$P$2:$P$801,0),"")</f>
        <v/>
      </c>
    </row>
    <row r="481">
      <c r="A481">
        <f>IF($N481="","",IF(INDEX('Per Invoice'!$A$2:$A$801,$N481)="","",INDEX('Per Invoice'!$A$2:$A$801,$N481)))</f>
        <v/>
      </c>
      <c r="B481">
        <f>IF($N481="","",IF(INDEX('Per Invoice'!$B$2:$B$801,$N481)="","",INDEX('Per Invoice'!$B$2:$B$801,$N481)))</f>
        <v/>
      </c>
      <c r="C481">
        <f>IF($N481="","",IF(INDEX('Per Invoice'!$C$2:$C$801,$N481)="","",INDEX('Per Invoice'!$C$2:$C$801,$N481)))</f>
        <v/>
      </c>
      <c r="D481">
        <f>IF($N481="","",IF(INDEX('Per Invoice'!$D$2:$D$801,$N481)="","",INDEX('Per Invoice'!$D$2:$D$801,$N481)))</f>
        <v/>
      </c>
      <c r="E481">
        <f>IF($N481="","",IF(INDEX('Per Invoice'!$E$2:$E$801,$N481)="","",INDEX('Per Invoice'!$E$2:$E$801,$N481)))</f>
        <v/>
      </c>
      <c r="F481">
        <f>IF($N481="","",IF(INDEX('Per Invoice'!$F$2:$F$801,$N481)="","",INDEX('Per Invoice'!$F$2:$F$801,$N481)))</f>
        <v/>
      </c>
      <c r="G481">
        <f>IF($N481="","",IF(INDEX('Per Invoice'!$G$2:$G$801,$N481)="","",INDEX('Per Invoice'!$G$2:$G$801,$N481)))</f>
        <v/>
      </c>
      <c r="H481">
        <f>IF($N481="","",IF(INDEX('Per Invoice'!$H$2:$H$801,$N481)="","",INDEX('Per Invoice'!$H$2:$H$801,$N481)))</f>
        <v/>
      </c>
      <c r="I481" s="5">
        <f>IF($N481="","",IF(INDEX('Per Invoice'!$I$2:$I$801,$N481)="","",INDEX('Per Invoice'!$I$2:$I$801,$N481)))</f>
        <v/>
      </c>
      <c r="J481" s="5">
        <f>IF($N481="","",IF(INDEX('Per Invoice'!$J$2:$J$801,$N481)="","",INDEX('Per Invoice'!$J$2:$J$801,$N481)))</f>
        <v/>
      </c>
      <c r="K481" s="5">
        <f>IF($N481="","",IF(INDEX('Per Invoice'!$K$2:$K$801,$N481)="","",INDEX('Per Invoice'!$K$2:$K$801,$N481)))</f>
        <v/>
      </c>
      <c r="L481" s="5">
        <f>IF($N481="","",IF(INDEX('Per Invoice'!$L$2:$L$801,$N481)="","",INDEX('Per Invoice'!$L$2:$L$801,$N481)))</f>
        <v/>
      </c>
      <c r="M481" s="5">
        <f>IF($N481="","",IF(INDEX('Per Invoice'!$M$2:$M$801,$N481)="","",INDEX('Per Invoice'!$M$2:$M$801,$N481)))</f>
        <v/>
      </c>
      <c r="N481">
        <f>IF(ROWS($N$2:$N481)&lt;=COUNT('Per Invoice'!$P$2:$P$801),MATCH(ROWS($N$2:$N481),'Per Invoice'!$P$2:$P$801,0),"")</f>
        <v/>
      </c>
    </row>
    <row r="482">
      <c r="A482">
        <f>IF($N482="","",IF(INDEX('Per Invoice'!$A$2:$A$801,$N482)="","",INDEX('Per Invoice'!$A$2:$A$801,$N482)))</f>
        <v/>
      </c>
      <c r="B482">
        <f>IF($N482="","",IF(INDEX('Per Invoice'!$B$2:$B$801,$N482)="","",INDEX('Per Invoice'!$B$2:$B$801,$N482)))</f>
        <v/>
      </c>
      <c r="C482">
        <f>IF($N482="","",IF(INDEX('Per Invoice'!$C$2:$C$801,$N482)="","",INDEX('Per Invoice'!$C$2:$C$801,$N482)))</f>
        <v/>
      </c>
      <c r="D482">
        <f>IF($N482="","",IF(INDEX('Per Invoice'!$D$2:$D$801,$N482)="","",INDEX('Per Invoice'!$D$2:$D$801,$N482)))</f>
        <v/>
      </c>
      <c r="E482">
        <f>IF($N482="","",IF(INDEX('Per Invoice'!$E$2:$E$801,$N482)="","",INDEX('Per Invoice'!$E$2:$E$801,$N482)))</f>
        <v/>
      </c>
      <c r="F482">
        <f>IF($N482="","",IF(INDEX('Per Invoice'!$F$2:$F$801,$N482)="","",INDEX('Per Invoice'!$F$2:$F$801,$N482)))</f>
        <v/>
      </c>
      <c r="G482">
        <f>IF($N482="","",IF(INDEX('Per Invoice'!$G$2:$G$801,$N482)="","",INDEX('Per Invoice'!$G$2:$G$801,$N482)))</f>
        <v/>
      </c>
      <c r="H482">
        <f>IF($N482="","",IF(INDEX('Per Invoice'!$H$2:$H$801,$N482)="","",INDEX('Per Invoice'!$H$2:$H$801,$N482)))</f>
        <v/>
      </c>
      <c r="I482" s="5">
        <f>IF($N482="","",IF(INDEX('Per Invoice'!$I$2:$I$801,$N482)="","",INDEX('Per Invoice'!$I$2:$I$801,$N482)))</f>
        <v/>
      </c>
      <c r="J482" s="5">
        <f>IF($N482="","",IF(INDEX('Per Invoice'!$J$2:$J$801,$N482)="","",INDEX('Per Invoice'!$J$2:$J$801,$N482)))</f>
        <v/>
      </c>
      <c r="K482" s="5">
        <f>IF($N482="","",IF(INDEX('Per Invoice'!$K$2:$K$801,$N482)="","",INDEX('Per Invoice'!$K$2:$K$801,$N482)))</f>
        <v/>
      </c>
      <c r="L482" s="5">
        <f>IF($N482="","",IF(INDEX('Per Invoice'!$L$2:$L$801,$N482)="","",INDEX('Per Invoice'!$L$2:$L$801,$N482)))</f>
        <v/>
      </c>
      <c r="M482" s="5">
        <f>IF($N482="","",IF(INDEX('Per Invoice'!$M$2:$M$801,$N482)="","",INDEX('Per Invoice'!$M$2:$M$801,$N482)))</f>
        <v/>
      </c>
      <c r="N482">
        <f>IF(ROWS($N$2:$N482)&lt;=COUNT('Per Invoice'!$P$2:$P$801),MATCH(ROWS($N$2:$N482),'Per Invoice'!$P$2:$P$801,0),"")</f>
        <v/>
      </c>
    </row>
    <row r="483">
      <c r="A483">
        <f>IF($N483="","",IF(INDEX('Per Invoice'!$A$2:$A$801,$N483)="","",INDEX('Per Invoice'!$A$2:$A$801,$N483)))</f>
        <v/>
      </c>
      <c r="B483">
        <f>IF($N483="","",IF(INDEX('Per Invoice'!$B$2:$B$801,$N483)="","",INDEX('Per Invoice'!$B$2:$B$801,$N483)))</f>
        <v/>
      </c>
      <c r="C483">
        <f>IF($N483="","",IF(INDEX('Per Invoice'!$C$2:$C$801,$N483)="","",INDEX('Per Invoice'!$C$2:$C$801,$N483)))</f>
        <v/>
      </c>
      <c r="D483">
        <f>IF($N483="","",IF(INDEX('Per Invoice'!$D$2:$D$801,$N483)="","",INDEX('Per Invoice'!$D$2:$D$801,$N483)))</f>
        <v/>
      </c>
      <c r="E483">
        <f>IF($N483="","",IF(INDEX('Per Invoice'!$E$2:$E$801,$N483)="","",INDEX('Per Invoice'!$E$2:$E$801,$N483)))</f>
        <v/>
      </c>
      <c r="F483">
        <f>IF($N483="","",IF(INDEX('Per Invoice'!$F$2:$F$801,$N483)="","",INDEX('Per Invoice'!$F$2:$F$801,$N483)))</f>
        <v/>
      </c>
      <c r="G483">
        <f>IF($N483="","",IF(INDEX('Per Invoice'!$G$2:$G$801,$N483)="","",INDEX('Per Invoice'!$G$2:$G$801,$N483)))</f>
        <v/>
      </c>
      <c r="H483">
        <f>IF($N483="","",IF(INDEX('Per Invoice'!$H$2:$H$801,$N483)="","",INDEX('Per Invoice'!$H$2:$H$801,$N483)))</f>
        <v/>
      </c>
      <c r="I483" s="5">
        <f>IF($N483="","",IF(INDEX('Per Invoice'!$I$2:$I$801,$N483)="","",INDEX('Per Invoice'!$I$2:$I$801,$N483)))</f>
        <v/>
      </c>
      <c r="J483" s="5">
        <f>IF($N483="","",IF(INDEX('Per Invoice'!$J$2:$J$801,$N483)="","",INDEX('Per Invoice'!$J$2:$J$801,$N483)))</f>
        <v/>
      </c>
      <c r="K483" s="5">
        <f>IF($N483="","",IF(INDEX('Per Invoice'!$K$2:$K$801,$N483)="","",INDEX('Per Invoice'!$K$2:$K$801,$N483)))</f>
        <v/>
      </c>
      <c r="L483" s="5">
        <f>IF($N483="","",IF(INDEX('Per Invoice'!$L$2:$L$801,$N483)="","",INDEX('Per Invoice'!$L$2:$L$801,$N483)))</f>
        <v/>
      </c>
      <c r="M483" s="5">
        <f>IF($N483="","",IF(INDEX('Per Invoice'!$M$2:$M$801,$N483)="","",INDEX('Per Invoice'!$M$2:$M$801,$N483)))</f>
        <v/>
      </c>
      <c r="N483">
        <f>IF(ROWS($N$2:$N483)&lt;=COUNT('Per Invoice'!$P$2:$P$801),MATCH(ROWS($N$2:$N483),'Per Invoice'!$P$2:$P$801,0),"")</f>
        <v/>
      </c>
    </row>
    <row r="484">
      <c r="A484">
        <f>IF($N484="","",IF(INDEX('Per Invoice'!$A$2:$A$801,$N484)="","",INDEX('Per Invoice'!$A$2:$A$801,$N484)))</f>
        <v/>
      </c>
      <c r="B484">
        <f>IF($N484="","",IF(INDEX('Per Invoice'!$B$2:$B$801,$N484)="","",INDEX('Per Invoice'!$B$2:$B$801,$N484)))</f>
        <v/>
      </c>
      <c r="C484">
        <f>IF($N484="","",IF(INDEX('Per Invoice'!$C$2:$C$801,$N484)="","",INDEX('Per Invoice'!$C$2:$C$801,$N484)))</f>
        <v/>
      </c>
      <c r="D484">
        <f>IF($N484="","",IF(INDEX('Per Invoice'!$D$2:$D$801,$N484)="","",INDEX('Per Invoice'!$D$2:$D$801,$N484)))</f>
        <v/>
      </c>
      <c r="E484">
        <f>IF($N484="","",IF(INDEX('Per Invoice'!$E$2:$E$801,$N484)="","",INDEX('Per Invoice'!$E$2:$E$801,$N484)))</f>
        <v/>
      </c>
      <c r="F484">
        <f>IF($N484="","",IF(INDEX('Per Invoice'!$F$2:$F$801,$N484)="","",INDEX('Per Invoice'!$F$2:$F$801,$N484)))</f>
        <v/>
      </c>
      <c r="G484">
        <f>IF($N484="","",IF(INDEX('Per Invoice'!$G$2:$G$801,$N484)="","",INDEX('Per Invoice'!$G$2:$G$801,$N484)))</f>
        <v/>
      </c>
      <c r="H484">
        <f>IF($N484="","",IF(INDEX('Per Invoice'!$H$2:$H$801,$N484)="","",INDEX('Per Invoice'!$H$2:$H$801,$N484)))</f>
        <v/>
      </c>
      <c r="I484" s="5">
        <f>IF($N484="","",IF(INDEX('Per Invoice'!$I$2:$I$801,$N484)="","",INDEX('Per Invoice'!$I$2:$I$801,$N484)))</f>
        <v/>
      </c>
      <c r="J484" s="5">
        <f>IF($N484="","",IF(INDEX('Per Invoice'!$J$2:$J$801,$N484)="","",INDEX('Per Invoice'!$J$2:$J$801,$N484)))</f>
        <v/>
      </c>
      <c r="K484" s="5">
        <f>IF($N484="","",IF(INDEX('Per Invoice'!$K$2:$K$801,$N484)="","",INDEX('Per Invoice'!$K$2:$K$801,$N484)))</f>
        <v/>
      </c>
      <c r="L484" s="5">
        <f>IF($N484="","",IF(INDEX('Per Invoice'!$L$2:$L$801,$N484)="","",INDEX('Per Invoice'!$L$2:$L$801,$N484)))</f>
        <v/>
      </c>
      <c r="M484" s="5">
        <f>IF($N484="","",IF(INDEX('Per Invoice'!$M$2:$M$801,$N484)="","",INDEX('Per Invoice'!$M$2:$M$801,$N484)))</f>
        <v/>
      </c>
      <c r="N484">
        <f>IF(ROWS($N$2:$N484)&lt;=COUNT('Per Invoice'!$P$2:$P$801),MATCH(ROWS($N$2:$N484),'Per Invoice'!$P$2:$P$801,0),"")</f>
        <v/>
      </c>
    </row>
    <row r="485">
      <c r="A485">
        <f>IF($N485="","",IF(INDEX('Per Invoice'!$A$2:$A$801,$N485)="","",INDEX('Per Invoice'!$A$2:$A$801,$N485)))</f>
        <v/>
      </c>
      <c r="B485">
        <f>IF($N485="","",IF(INDEX('Per Invoice'!$B$2:$B$801,$N485)="","",INDEX('Per Invoice'!$B$2:$B$801,$N485)))</f>
        <v/>
      </c>
      <c r="C485">
        <f>IF($N485="","",IF(INDEX('Per Invoice'!$C$2:$C$801,$N485)="","",INDEX('Per Invoice'!$C$2:$C$801,$N485)))</f>
        <v/>
      </c>
      <c r="D485">
        <f>IF($N485="","",IF(INDEX('Per Invoice'!$D$2:$D$801,$N485)="","",INDEX('Per Invoice'!$D$2:$D$801,$N485)))</f>
        <v/>
      </c>
      <c r="E485">
        <f>IF($N485="","",IF(INDEX('Per Invoice'!$E$2:$E$801,$N485)="","",INDEX('Per Invoice'!$E$2:$E$801,$N485)))</f>
        <v/>
      </c>
      <c r="F485">
        <f>IF($N485="","",IF(INDEX('Per Invoice'!$F$2:$F$801,$N485)="","",INDEX('Per Invoice'!$F$2:$F$801,$N485)))</f>
        <v/>
      </c>
      <c r="G485">
        <f>IF($N485="","",IF(INDEX('Per Invoice'!$G$2:$G$801,$N485)="","",INDEX('Per Invoice'!$G$2:$G$801,$N485)))</f>
        <v/>
      </c>
      <c r="H485">
        <f>IF($N485="","",IF(INDEX('Per Invoice'!$H$2:$H$801,$N485)="","",INDEX('Per Invoice'!$H$2:$H$801,$N485)))</f>
        <v/>
      </c>
      <c r="I485" s="5">
        <f>IF($N485="","",IF(INDEX('Per Invoice'!$I$2:$I$801,$N485)="","",INDEX('Per Invoice'!$I$2:$I$801,$N485)))</f>
        <v/>
      </c>
      <c r="J485" s="5">
        <f>IF($N485="","",IF(INDEX('Per Invoice'!$J$2:$J$801,$N485)="","",INDEX('Per Invoice'!$J$2:$J$801,$N485)))</f>
        <v/>
      </c>
      <c r="K485" s="5">
        <f>IF($N485="","",IF(INDEX('Per Invoice'!$K$2:$K$801,$N485)="","",INDEX('Per Invoice'!$K$2:$K$801,$N485)))</f>
        <v/>
      </c>
      <c r="L485" s="5">
        <f>IF($N485="","",IF(INDEX('Per Invoice'!$L$2:$L$801,$N485)="","",INDEX('Per Invoice'!$L$2:$L$801,$N485)))</f>
        <v/>
      </c>
      <c r="M485" s="5">
        <f>IF($N485="","",IF(INDEX('Per Invoice'!$M$2:$M$801,$N485)="","",INDEX('Per Invoice'!$M$2:$M$801,$N485)))</f>
        <v/>
      </c>
      <c r="N485">
        <f>IF(ROWS($N$2:$N485)&lt;=COUNT('Per Invoice'!$P$2:$P$801),MATCH(ROWS($N$2:$N485),'Per Invoice'!$P$2:$P$801,0),"")</f>
        <v/>
      </c>
    </row>
    <row r="486">
      <c r="A486">
        <f>IF($N486="","",IF(INDEX('Per Invoice'!$A$2:$A$801,$N486)="","",INDEX('Per Invoice'!$A$2:$A$801,$N486)))</f>
        <v/>
      </c>
      <c r="B486">
        <f>IF($N486="","",IF(INDEX('Per Invoice'!$B$2:$B$801,$N486)="","",INDEX('Per Invoice'!$B$2:$B$801,$N486)))</f>
        <v/>
      </c>
      <c r="C486">
        <f>IF($N486="","",IF(INDEX('Per Invoice'!$C$2:$C$801,$N486)="","",INDEX('Per Invoice'!$C$2:$C$801,$N486)))</f>
        <v/>
      </c>
      <c r="D486">
        <f>IF($N486="","",IF(INDEX('Per Invoice'!$D$2:$D$801,$N486)="","",INDEX('Per Invoice'!$D$2:$D$801,$N486)))</f>
        <v/>
      </c>
      <c r="E486">
        <f>IF($N486="","",IF(INDEX('Per Invoice'!$E$2:$E$801,$N486)="","",INDEX('Per Invoice'!$E$2:$E$801,$N486)))</f>
        <v/>
      </c>
      <c r="F486">
        <f>IF($N486="","",IF(INDEX('Per Invoice'!$F$2:$F$801,$N486)="","",INDEX('Per Invoice'!$F$2:$F$801,$N486)))</f>
        <v/>
      </c>
      <c r="G486">
        <f>IF($N486="","",IF(INDEX('Per Invoice'!$G$2:$G$801,$N486)="","",INDEX('Per Invoice'!$G$2:$G$801,$N486)))</f>
        <v/>
      </c>
      <c r="H486">
        <f>IF($N486="","",IF(INDEX('Per Invoice'!$H$2:$H$801,$N486)="","",INDEX('Per Invoice'!$H$2:$H$801,$N486)))</f>
        <v/>
      </c>
      <c r="I486" s="5">
        <f>IF($N486="","",IF(INDEX('Per Invoice'!$I$2:$I$801,$N486)="","",INDEX('Per Invoice'!$I$2:$I$801,$N486)))</f>
        <v/>
      </c>
      <c r="J486" s="5">
        <f>IF($N486="","",IF(INDEX('Per Invoice'!$J$2:$J$801,$N486)="","",INDEX('Per Invoice'!$J$2:$J$801,$N486)))</f>
        <v/>
      </c>
      <c r="K486" s="5">
        <f>IF($N486="","",IF(INDEX('Per Invoice'!$K$2:$K$801,$N486)="","",INDEX('Per Invoice'!$K$2:$K$801,$N486)))</f>
        <v/>
      </c>
      <c r="L486" s="5">
        <f>IF($N486="","",IF(INDEX('Per Invoice'!$L$2:$L$801,$N486)="","",INDEX('Per Invoice'!$L$2:$L$801,$N486)))</f>
        <v/>
      </c>
      <c r="M486" s="5">
        <f>IF($N486="","",IF(INDEX('Per Invoice'!$M$2:$M$801,$N486)="","",INDEX('Per Invoice'!$M$2:$M$801,$N486)))</f>
        <v/>
      </c>
      <c r="N486">
        <f>IF(ROWS($N$2:$N486)&lt;=COUNT('Per Invoice'!$P$2:$P$801),MATCH(ROWS($N$2:$N486),'Per Invoice'!$P$2:$P$801,0),"")</f>
        <v/>
      </c>
    </row>
    <row r="487">
      <c r="A487">
        <f>IF($N487="","",IF(INDEX('Per Invoice'!$A$2:$A$801,$N487)="","",INDEX('Per Invoice'!$A$2:$A$801,$N487)))</f>
        <v/>
      </c>
      <c r="B487">
        <f>IF($N487="","",IF(INDEX('Per Invoice'!$B$2:$B$801,$N487)="","",INDEX('Per Invoice'!$B$2:$B$801,$N487)))</f>
        <v/>
      </c>
      <c r="C487">
        <f>IF($N487="","",IF(INDEX('Per Invoice'!$C$2:$C$801,$N487)="","",INDEX('Per Invoice'!$C$2:$C$801,$N487)))</f>
        <v/>
      </c>
      <c r="D487">
        <f>IF($N487="","",IF(INDEX('Per Invoice'!$D$2:$D$801,$N487)="","",INDEX('Per Invoice'!$D$2:$D$801,$N487)))</f>
        <v/>
      </c>
      <c r="E487">
        <f>IF($N487="","",IF(INDEX('Per Invoice'!$E$2:$E$801,$N487)="","",INDEX('Per Invoice'!$E$2:$E$801,$N487)))</f>
        <v/>
      </c>
      <c r="F487">
        <f>IF($N487="","",IF(INDEX('Per Invoice'!$F$2:$F$801,$N487)="","",INDEX('Per Invoice'!$F$2:$F$801,$N487)))</f>
        <v/>
      </c>
      <c r="G487">
        <f>IF($N487="","",IF(INDEX('Per Invoice'!$G$2:$G$801,$N487)="","",INDEX('Per Invoice'!$G$2:$G$801,$N487)))</f>
        <v/>
      </c>
      <c r="H487">
        <f>IF($N487="","",IF(INDEX('Per Invoice'!$H$2:$H$801,$N487)="","",INDEX('Per Invoice'!$H$2:$H$801,$N487)))</f>
        <v/>
      </c>
      <c r="I487" s="5">
        <f>IF($N487="","",IF(INDEX('Per Invoice'!$I$2:$I$801,$N487)="","",INDEX('Per Invoice'!$I$2:$I$801,$N487)))</f>
        <v/>
      </c>
      <c r="J487" s="5">
        <f>IF($N487="","",IF(INDEX('Per Invoice'!$J$2:$J$801,$N487)="","",INDEX('Per Invoice'!$J$2:$J$801,$N487)))</f>
        <v/>
      </c>
      <c r="K487" s="5">
        <f>IF($N487="","",IF(INDEX('Per Invoice'!$K$2:$K$801,$N487)="","",INDEX('Per Invoice'!$K$2:$K$801,$N487)))</f>
        <v/>
      </c>
      <c r="L487" s="5">
        <f>IF($N487="","",IF(INDEX('Per Invoice'!$L$2:$L$801,$N487)="","",INDEX('Per Invoice'!$L$2:$L$801,$N487)))</f>
        <v/>
      </c>
      <c r="M487" s="5">
        <f>IF($N487="","",IF(INDEX('Per Invoice'!$M$2:$M$801,$N487)="","",INDEX('Per Invoice'!$M$2:$M$801,$N487)))</f>
        <v/>
      </c>
      <c r="N487">
        <f>IF(ROWS($N$2:$N487)&lt;=COUNT('Per Invoice'!$P$2:$P$801),MATCH(ROWS($N$2:$N487),'Per Invoice'!$P$2:$P$801,0),"")</f>
        <v/>
      </c>
    </row>
    <row r="488">
      <c r="A488">
        <f>IF($N488="","",IF(INDEX('Per Invoice'!$A$2:$A$801,$N488)="","",INDEX('Per Invoice'!$A$2:$A$801,$N488)))</f>
        <v/>
      </c>
      <c r="B488">
        <f>IF($N488="","",IF(INDEX('Per Invoice'!$B$2:$B$801,$N488)="","",INDEX('Per Invoice'!$B$2:$B$801,$N488)))</f>
        <v/>
      </c>
      <c r="C488">
        <f>IF($N488="","",IF(INDEX('Per Invoice'!$C$2:$C$801,$N488)="","",INDEX('Per Invoice'!$C$2:$C$801,$N488)))</f>
        <v/>
      </c>
      <c r="D488">
        <f>IF($N488="","",IF(INDEX('Per Invoice'!$D$2:$D$801,$N488)="","",INDEX('Per Invoice'!$D$2:$D$801,$N488)))</f>
        <v/>
      </c>
      <c r="E488">
        <f>IF($N488="","",IF(INDEX('Per Invoice'!$E$2:$E$801,$N488)="","",INDEX('Per Invoice'!$E$2:$E$801,$N488)))</f>
        <v/>
      </c>
      <c r="F488">
        <f>IF($N488="","",IF(INDEX('Per Invoice'!$F$2:$F$801,$N488)="","",INDEX('Per Invoice'!$F$2:$F$801,$N488)))</f>
        <v/>
      </c>
      <c r="G488">
        <f>IF($N488="","",IF(INDEX('Per Invoice'!$G$2:$G$801,$N488)="","",INDEX('Per Invoice'!$G$2:$G$801,$N488)))</f>
        <v/>
      </c>
      <c r="H488">
        <f>IF($N488="","",IF(INDEX('Per Invoice'!$H$2:$H$801,$N488)="","",INDEX('Per Invoice'!$H$2:$H$801,$N488)))</f>
        <v/>
      </c>
      <c r="I488" s="5">
        <f>IF($N488="","",IF(INDEX('Per Invoice'!$I$2:$I$801,$N488)="","",INDEX('Per Invoice'!$I$2:$I$801,$N488)))</f>
        <v/>
      </c>
      <c r="J488" s="5">
        <f>IF($N488="","",IF(INDEX('Per Invoice'!$J$2:$J$801,$N488)="","",INDEX('Per Invoice'!$J$2:$J$801,$N488)))</f>
        <v/>
      </c>
      <c r="K488" s="5">
        <f>IF($N488="","",IF(INDEX('Per Invoice'!$K$2:$K$801,$N488)="","",INDEX('Per Invoice'!$K$2:$K$801,$N488)))</f>
        <v/>
      </c>
      <c r="L488" s="5">
        <f>IF($N488="","",IF(INDEX('Per Invoice'!$L$2:$L$801,$N488)="","",INDEX('Per Invoice'!$L$2:$L$801,$N488)))</f>
        <v/>
      </c>
      <c r="M488" s="5">
        <f>IF($N488="","",IF(INDEX('Per Invoice'!$M$2:$M$801,$N488)="","",INDEX('Per Invoice'!$M$2:$M$801,$N488)))</f>
        <v/>
      </c>
      <c r="N488">
        <f>IF(ROWS($N$2:$N488)&lt;=COUNT('Per Invoice'!$P$2:$P$801),MATCH(ROWS($N$2:$N488),'Per Invoice'!$P$2:$P$801,0),"")</f>
        <v/>
      </c>
    </row>
    <row r="489">
      <c r="A489">
        <f>IF($N489="","",IF(INDEX('Per Invoice'!$A$2:$A$801,$N489)="","",INDEX('Per Invoice'!$A$2:$A$801,$N489)))</f>
        <v/>
      </c>
      <c r="B489">
        <f>IF($N489="","",IF(INDEX('Per Invoice'!$B$2:$B$801,$N489)="","",INDEX('Per Invoice'!$B$2:$B$801,$N489)))</f>
        <v/>
      </c>
      <c r="C489">
        <f>IF($N489="","",IF(INDEX('Per Invoice'!$C$2:$C$801,$N489)="","",INDEX('Per Invoice'!$C$2:$C$801,$N489)))</f>
        <v/>
      </c>
      <c r="D489">
        <f>IF($N489="","",IF(INDEX('Per Invoice'!$D$2:$D$801,$N489)="","",INDEX('Per Invoice'!$D$2:$D$801,$N489)))</f>
        <v/>
      </c>
      <c r="E489">
        <f>IF($N489="","",IF(INDEX('Per Invoice'!$E$2:$E$801,$N489)="","",INDEX('Per Invoice'!$E$2:$E$801,$N489)))</f>
        <v/>
      </c>
      <c r="F489">
        <f>IF($N489="","",IF(INDEX('Per Invoice'!$F$2:$F$801,$N489)="","",INDEX('Per Invoice'!$F$2:$F$801,$N489)))</f>
        <v/>
      </c>
      <c r="G489">
        <f>IF($N489="","",IF(INDEX('Per Invoice'!$G$2:$G$801,$N489)="","",INDEX('Per Invoice'!$G$2:$G$801,$N489)))</f>
        <v/>
      </c>
      <c r="H489">
        <f>IF($N489="","",IF(INDEX('Per Invoice'!$H$2:$H$801,$N489)="","",INDEX('Per Invoice'!$H$2:$H$801,$N489)))</f>
        <v/>
      </c>
      <c r="I489" s="5">
        <f>IF($N489="","",IF(INDEX('Per Invoice'!$I$2:$I$801,$N489)="","",INDEX('Per Invoice'!$I$2:$I$801,$N489)))</f>
        <v/>
      </c>
      <c r="J489" s="5">
        <f>IF($N489="","",IF(INDEX('Per Invoice'!$J$2:$J$801,$N489)="","",INDEX('Per Invoice'!$J$2:$J$801,$N489)))</f>
        <v/>
      </c>
      <c r="K489" s="5">
        <f>IF($N489="","",IF(INDEX('Per Invoice'!$K$2:$K$801,$N489)="","",INDEX('Per Invoice'!$K$2:$K$801,$N489)))</f>
        <v/>
      </c>
      <c r="L489" s="5">
        <f>IF($N489="","",IF(INDEX('Per Invoice'!$L$2:$L$801,$N489)="","",INDEX('Per Invoice'!$L$2:$L$801,$N489)))</f>
        <v/>
      </c>
      <c r="M489" s="5">
        <f>IF($N489="","",IF(INDEX('Per Invoice'!$M$2:$M$801,$N489)="","",INDEX('Per Invoice'!$M$2:$M$801,$N489)))</f>
        <v/>
      </c>
      <c r="N489">
        <f>IF(ROWS($N$2:$N489)&lt;=COUNT('Per Invoice'!$P$2:$P$801),MATCH(ROWS($N$2:$N489),'Per Invoice'!$P$2:$P$801,0),"")</f>
        <v/>
      </c>
    </row>
    <row r="490">
      <c r="A490">
        <f>IF($N490="","",IF(INDEX('Per Invoice'!$A$2:$A$801,$N490)="","",INDEX('Per Invoice'!$A$2:$A$801,$N490)))</f>
        <v/>
      </c>
      <c r="B490">
        <f>IF($N490="","",IF(INDEX('Per Invoice'!$B$2:$B$801,$N490)="","",INDEX('Per Invoice'!$B$2:$B$801,$N490)))</f>
        <v/>
      </c>
      <c r="C490">
        <f>IF($N490="","",IF(INDEX('Per Invoice'!$C$2:$C$801,$N490)="","",INDEX('Per Invoice'!$C$2:$C$801,$N490)))</f>
        <v/>
      </c>
      <c r="D490">
        <f>IF($N490="","",IF(INDEX('Per Invoice'!$D$2:$D$801,$N490)="","",INDEX('Per Invoice'!$D$2:$D$801,$N490)))</f>
        <v/>
      </c>
      <c r="E490">
        <f>IF($N490="","",IF(INDEX('Per Invoice'!$E$2:$E$801,$N490)="","",INDEX('Per Invoice'!$E$2:$E$801,$N490)))</f>
        <v/>
      </c>
      <c r="F490">
        <f>IF($N490="","",IF(INDEX('Per Invoice'!$F$2:$F$801,$N490)="","",INDEX('Per Invoice'!$F$2:$F$801,$N490)))</f>
        <v/>
      </c>
      <c r="G490">
        <f>IF($N490="","",IF(INDEX('Per Invoice'!$G$2:$G$801,$N490)="","",INDEX('Per Invoice'!$G$2:$G$801,$N490)))</f>
        <v/>
      </c>
      <c r="H490">
        <f>IF($N490="","",IF(INDEX('Per Invoice'!$H$2:$H$801,$N490)="","",INDEX('Per Invoice'!$H$2:$H$801,$N490)))</f>
        <v/>
      </c>
      <c r="I490" s="5">
        <f>IF($N490="","",IF(INDEX('Per Invoice'!$I$2:$I$801,$N490)="","",INDEX('Per Invoice'!$I$2:$I$801,$N490)))</f>
        <v/>
      </c>
      <c r="J490" s="5">
        <f>IF($N490="","",IF(INDEX('Per Invoice'!$J$2:$J$801,$N490)="","",INDEX('Per Invoice'!$J$2:$J$801,$N490)))</f>
        <v/>
      </c>
      <c r="K490" s="5">
        <f>IF($N490="","",IF(INDEX('Per Invoice'!$K$2:$K$801,$N490)="","",INDEX('Per Invoice'!$K$2:$K$801,$N490)))</f>
        <v/>
      </c>
      <c r="L490" s="5">
        <f>IF($N490="","",IF(INDEX('Per Invoice'!$L$2:$L$801,$N490)="","",INDEX('Per Invoice'!$L$2:$L$801,$N490)))</f>
        <v/>
      </c>
      <c r="M490" s="5">
        <f>IF($N490="","",IF(INDEX('Per Invoice'!$M$2:$M$801,$N490)="","",INDEX('Per Invoice'!$M$2:$M$801,$N490)))</f>
        <v/>
      </c>
      <c r="N490">
        <f>IF(ROWS($N$2:$N490)&lt;=COUNT('Per Invoice'!$P$2:$P$801),MATCH(ROWS($N$2:$N490),'Per Invoice'!$P$2:$P$801,0),"")</f>
        <v/>
      </c>
    </row>
    <row r="491">
      <c r="A491">
        <f>IF($N491="","",IF(INDEX('Per Invoice'!$A$2:$A$801,$N491)="","",INDEX('Per Invoice'!$A$2:$A$801,$N491)))</f>
        <v/>
      </c>
      <c r="B491">
        <f>IF($N491="","",IF(INDEX('Per Invoice'!$B$2:$B$801,$N491)="","",INDEX('Per Invoice'!$B$2:$B$801,$N491)))</f>
        <v/>
      </c>
      <c r="C491">
        <f>IF($N491="","",IF(INDEX('Per Invoice'!$C$2:$C$801,$N491)="","",INDEX('Per Invoice'!$C$2:$C$801,$N491)))</f>
        <v/>
      </c>
      <c r="D491">
        <f>IF($N491="","",IF(INDEX('Per Invoice'!$D$2:$D$801,$N491)="","",INDEX('Per Invoice'!$D$2:$D$801,$N491)))</f>
        <v/>
      </c>
      <c r="E491">
        <f>IF($N491="","",IF(INDEX('Per Invoice'!$E$2:$E$801,$N491)="","",INDEX('Per Invoice'!$E$2:$E$801,$N491)))</f>
        <v/>
      </c>
      <c r="F491">
        <f>IF($N491="","",IF(INDEX('Per Invoice'!$F$2:$F$801,$N491)="","",INDEX('Per Invoice'!$F$2:$F$801,$N491)))</f>
        <v/>
      </c>
      <c r="G491">
        <f>IF($N491="","",IF(INDEX('Per Invoice'!$G$2:$G$801,$N491)="","",INDEX('Per Invoice'!$G$2:$G$801,$N491)))</f>
        <v/>
      </c>
      <c r="H491">
        <f>IF($N491="","",IF(INDEX('Per Invoice'!$H$2:$H$801,$N491)="","",INDEX('Per Invoice'!$H$2:$H$801,$N491)))</f>
        <v/>
      </c>
      <c r="I491" s="5">
        <f>IF($N491="","",IF(INDEX('Per Invoice'!$I$2:$I$801,$N491)="","",INDEX('Per Invoice'!$I$2:$I$801,$N491)))</f>
        <v/>
      </c>
      <c r="J491" s="5">
        <f>IF($N491="","",IF(INDEX('Per Invoice'!$J$2:$J$801,$N491)="","",INDEX('Per Invoice'!$J$2:$J$801,$N491)))</f>
        <v/>
      </c>
      <c r="K491" s="5">
        <f>IF($N491="","",IF(INDEX('Per Invoice'!$K$2:$K$801,$N491)="","",INDEX('Per Invoice'!$K$2:$K$801,$N491)))</f>
        <v/>
      </c>
      <c r="L491" s="5">
        <f>IF($N491="","",IF(INDEX('Per Invoice'!$L$2:$L$801,$N491)="","",INDEX('Per Invoice'!$L$2:$L$801,$N491)))</f>
        <v/>
      </c>
      <c r="M491" s="5">
        <f>IF($N491="","",IF(INDEX('Per Invoice'!$M$2:$M$801,$N491)="","",INDEX('Per Invoice'!$M$2:$M$801,$N491)))</f>
        <v/>
      </c>
      <c r="N491">
        <f>IF(ROWS($N$2:$N491)&lt;=COUNT('Per Invoice'!$P$2:$P$801),MATCH(ROWS($N$2:$N491),'Per Invoice'!$P$2:$P$801,0),"")</f>
        <v/>
      </c>
    </row>
    <row r="492">
      <c r="A492">
        <f>IF($N492="","",IF(INDEX('Per Invoice'!$A$2:$A$801,$N492)="","",INDEX('Per Invoice'!$A$2:$A$801,$N492)))</f>
        <v/>
      </c>
      <c r="B492">
        <f>IF($N492="","",IF(INDEX('Per Invoice'!$B$2:$B$801,$N492)="","",INDEX('Per Invoice'!$B$2:$B$801,$N492)))</f>
        <v/>
      </c>
      <c r="C492">
        <f>IF($N492="","",IF(INDEX('Per Invoice'!$C$2:$C$801,$N492)="","",INDEX('Per Invoice'!$C$2:$C$801,$N492)))</f>
        <v/>
      </c>
      <c r="D492">
        <f>IF($N492="","",IF(INDEX('Per Invoice'!$D$2:$D$801,$N492)="","",INDEX('Per Invoice'!$D$2:$D$801,$N492)))</f>
        <v/>
      </c>
      <c r="E492">
        <f>IF($N492="","",IF(INDEX('Per Invoice'!$E$2:$E$801,$N492)="","",INDEX('Per Invoice'!$E$2:$E$801,$N492)))</f>
        <v/>
      </c>
      <c r="F492">
        <f>IF($N492="","",IF(INDEX('Per Invoice'!$F$2:$F$801,$N492)="","",INDEX('Per Invoice'!$F$2:$F$801,$N492)))</f>
        <v/>
      </c>
      <c r="G492">
        <f>IF($N492="","",IF(INDEX('Per Invoice'!$G$2:$G$801,$N492)="","",INDEX('Per Invoice'!$G$2:$G$801,$N492)))</f>
        <v/>
      </c>
      <c r="H492">
        <f>IF($N492="","",IF(INDEX('Per Invoice'!$H$2:$H$801,$N492)="","",INDEX('Per Invoice'!$H$2:$H$801,$N492)))</f>
        <v/>
      </c>
      <c r="I492" s="5">
        <f>IF($N492="","",IF(INDEX('Per Invoice'!$I$2:$I$801,$N492)="","",INDEX('Per Invoice'!$I$2:$I$801,$N492)))</f>
        <v/>
      </c>
      <c r="J492" s="5">
        <f>IF($N492="","",IF(INDEX('Per Invoice'!$J$2:$J$801,$N492)="","",INDEX('Per Invoice'!$J$2:$J$801,$N492)))</f>
        <v/>
      </c>
      <c r="K492" s="5">
        <f>IF($N492="","",IF(INDEX('Per Invoice'!$K$2:$K$801,$N492)="","",INDEX('Per Invoice'!$K$2:$K$801,$N492)))</f>
        <v/>
      </c>
      <c r="L492" s="5">
        <f>IF($N492="","",IF(INDEX('Per Invoice'!$L$2:$L$801,$N492)="","",INDEX('Per Invoice'!$L$2:$L$801,$N492)))</f>
        <v/>
      </c>
      <c r="M492" s="5">
        <f>IF($N492="","",IF(INDEX('Per Invoice'!$M$2:$M$801,$N492)="","",INDEX('Per Invoice'!$M$2:$M$801,$N492)))</f>
        <v/>
      </c>
      <c r="N492">
        <f>IF(ROWS($N$2:$N492)&lt;=COUNT('Per Invoice'!$P$2:$P$801),MATCH(ROWS($N$2:$N492),'Per Invoice'!$P$2:$P$801,0),"")</f>
        <v/>
      </c>
    </row>
    <row r="493">
      <c r="A493">
        <f>IF($N493="","",IF(INDEX('Per Invoice'!$A$2:$A$801,$N493)="","",INDEX('Per Invoice'!$A$2:$A$801,$N493)))</f>
        <v/>
      </c>
      <c r="B493">
        <f>IF($N493="","",IF(INDEX('Per Invoice'!$B$2:$B$801,$N493)="","",INDEX('Per Invoice'!$B$2:$B$801,$N493)))</f>
        <v/>
      </c>
      <c r="C493">
        <f>IF($N493="","",IF(INDEX('Per Invoice'!$C$2:$C$801,$N493)="","",INDEX('Per Invoice'!$C$2:$C$801,$N493)))</f>
        <v/>
      </c>
      <c r="D493">
        <f>IF($N493="","",IF(INDEX('Per Invoice'!$D$2:$D$801,$N493)="","",INDEX('Per Invoice'!$D$2:$D$801,$N493)))</f>
        <v/>
      </c>
      <c r="E493">
        <f>IF($N493="","",IF(INDEX('Per Invoice'!$E$2:$E$801,$N493)="","",INDEX('Per Invoice'!$E$2:$E$801,$N493)))</f>
        <v/>
      </c>
      <c r="F493">
        <f>IF($N493="","",IF(INDEX('Per Invoice'!$F$2:$F$801,$N493)="","",INDEX('Per Invoice'!$F$2:$F$801,$N493)))</f>
        <v/>
      </c>
      <c r="G493">
        <f>IF($N493="","",IF(INDEX('Per Invoice'!$G$2:$G$801,$N493)="","",INDEX('Per Invoice'!$G$2:$G$801,$N493)))</f>
        <v/>
      </c>
      <c r="H493">
        <f>IF($N493="","",IF(INDEX('Per Invoice'!$H$2:$H$801,$N493)="","",INDEX('Per Invoice'!$H$2:$H$801,$N493)))</f>
        <v/>
      </c>
      <c r="I493" s="5">
        <f>IF($N493="","",IF(INDEX('Per Invoice'!$I$2:$I$801,$N493)="","",INDEX('Per Invoice'!$I$2:$I$801,$N493)))</f>
        <v/>
      </c>
      <c r="J493" s="5">
        <f>IF($N493="","",IF(INDEX('Per Invoice'!$J$2:$J$801,$N493)="","",INDEX('Per Invoice'!$J$2:$J$801,$N493)))</f>
        <v/>
      </c>
      <c r="K493" s="5">
        <f>IF($N493="","",IF(INDEX('Per Invoice'!$K$2:$K$801,$N493)="","",INDEX('Per Invoice'!$K$2:$K$801,$N493)))</f>
        <v/>
      </c>
      <c r="L493" s="5">
        <f>IF($N493="","",IF(INDEX('Per Invoice'!$L$2:$L$801,$N493)="","",INDEX('Per Invoice'!$L$2:$L$801,$N493)))</f>
        <v/>
      </c>
      <c r="M493" s="5">
        <f>IF($N493="","",IF(INDEX('Per Invoice'!$M$2:$M$801,$N493)="","",INDEX('Per Invoice'!$M$2:$M$801,$N493)))</f>
        <v/>
      </c>
      <c r="N493">
        <f>IF(ROWS($N$2:$N493)&lt;=COUNT('Per Invoice'!$P$2:$P$801),MATCH(ROWS($N$2:$N493),'Per Invoice'!$P$2:$P$801,0),"")</f>
        <v/>
      </c>
    </row>
    <row r="494">
      <c r="A494">
        <f>IF($N494="","",IF(INDEX('Per Invoice'!$A$2:$A$801,$N494)="","",INDEX('Per Invoice'!$A$2:$A$801,$N494)))</f>
        <v/>
      </c>
      <c r="B494">
        <f>IF($N494="","",IF(INDEX('Per Invoice'!$B$2:$B$801,$N494)="","",INDEX('Per Invoice'!$B$2:$B$801,$N494)))</f>
        <v/>
      </c>
      <c r="C494">
        <f>IF($N494="","",IF(INDEX('Per Invoice'!$C$2:$C$801,$N494)="","",INDEX('Per Invoice'!$C$2:$C$801,$N494)))</f>
        <v/>
      </c>
      <c r="D494">
        <f>IF($N494="","",IF(INDEX('Per Invoice'!$D$2:$D$801,$N494)="","",INDEX('Per Invoice'!$D$2:$D$801,$N494)))</f>
        <v/>
      </c>
      <c r="E494">
        <f>IF($N494="","",IF(INDEX('Per Invoice'!$E$2:$E$801,$N494)="","",INDEX('Per Invoice'!$E$2:$E$801,$N494)))</f>
        <v/>
      </c>
      <c r="F494">
        <f>IF($N494="","",IF(INDEX('Per Invoice'!$F$2:$F$801,$N494)="","",INDEX('Per Invoice'!$F$2:$F$801,$N494)))</f>
        <v/>
      </c>
      <c r="G494">
        <f>IF($N494="","",IF(INDEX('Per Invoice'!$G$2:$G$801,$N494)="","",INDEX('Per Invoice'!$G$2:$G$801,$N494)))</f>
        <v/>
      </c>
      <c r="H494">
        <f>IF($N494="","",IF(INDEX('Per Invoice'!$H$2:$H$801,$N494)="","",INDEX('Per Invoice'!$H$2:$H$801,$N494)))</f>
        <v/>
      </c>
      <c r="I494" s="5">
        <f>IF($N494="","",IF(INDEX('Per Invoice'!$I$2:$I$801,$N494)="","",INDEX('Per Invoice'!$I$2:$I$801,$N494)))</f>
        <v/>
      </c>
      <c r="J494" s="5">
        <f>IF($N494="","",IF(INDEX('Per Invoice'!$J$2:$J$801,$N494)="","",INDEX('Per Invoice'!$J$2:$J$801,$N494)))</f>
        <v/>
      </c>
      <c r="K494" s="5">
        <f>IF($N494="","",IF(INDEX('Per Invoice'!$K$2:$K$801,$N494)="","",INDEX('Per Invoice'!$K$2:$K$801,$N494)))</f>
        <v/>
      </c>
      <c r="L494" s="5">
        <f>IF($N494="","",IF(INDEX('Per Invoice'!$L$2:$L$801,$N494)="","",INDEX('Per Invoice'!$L$2:$L$801,$N494)))</f>
        <v/>
      </c>
      <c r="M494" s="5">
        <f>IF($N494="","",IF(INDEX('Per Invoice'!$M$2:$M$801,$N494)="","",INDEX('Per Invoice'!$M$2:$M$801,$N494)))</f>
        <v/>
      </c>
      <c r="N494">
        <f>IF(ROWS($N$2:$N494)&lt;=COUNT('Per Invoice'!$P$2:$P$801),MATCH(ROWS($N$2:$N494),'Per Invoice'!$P$2:$P$801,0),"")</f>
        <v/>
      </c>
    </row>
    <row r="495">
      <c r="A495">
        <f>IF($N495="","",IF(INDEX('Per Invoice'!$A$2:$A$801,$N495)="","",INDEX('Per Invoice'!$A$2:$A$801,$N495)))</f>
        <v/>
      </c>
      <c r="B495">
        <f>IF($N495="","",IF(INDEX('Per Invoice'!$B$2:$B$801,$N495)="","",INDEX('Per Invoice'!$B$2:$B$801,$N495)))</f>
        <v/>
      </c>
      <c r="C495">
        <f>IF($N495="","",IF(INDEX('Per Invoice'!$C$2:$C$801,$N495)="","",INDEX('Per Invoice'!$C$2:$C$801,$N495)))</f>
        <v/>
      </c>
      <c r="D495">
        <f>IF($N495="","",IF(INDEX('Per Invoice'!$D$2:$D$801,$N495)="","",INDEX('Per Invoice'!$D$2:$D$801,$N495)))</f>
        <v/>
      </c>
      <c r="E495">
        <f>IF($N495="","",IF(INDEX('Per Invoice'!$E$2:$E$801,$N495)="","",INDEX('Per Invoice'!$E$2:$E$801,$N495)))</f>
        <v/>
      </c>
      <c r="F495">
        <f>IF($N495="","",IF(INDEX('Per Invoice'!$F$2:$F$801,$N495)="","",INDEX('Per Invoice'!$F$2:$F$801,$N495)))</f>
        <v/>
      </c>
      <c r="G495">
        <f>IF($N495="","",IF(INDEX('Per Invoice'!$G$2:$G$801,$N495)="","",INDEX('Per Invoice'!$G$2:$G$801,$N495)))</f>
        <v/>
      </c>
      <c r="H495">
        <f>IF($N495="","",IF(INDEX('Per Invoice'!$H$2:$H$801,$N495)="","",INDEX('Per Invoice'!$H$2:$H$801,$N495)))</f>
        <v/>
      </c>
      <c r="I495" s="5">
        <f>IF($N495="","",IF(INDEX('Per Invoice'!$I$2:$I$801,$N495)="","",INDEX('Per Invoice'!$I$2:$I$801,$N495)))</f>
        <v/>
      </c>
      <c r="J495" s="5">
        <f>IF($N495="","",IF(INDEX('Per Invoice'!$J$2:$J$801,$N495)="","",INDEX('Per Invoice'!$J$2:$J$801,$N495)))</f>
        <v/>
      </c>
      <c r="K495" s="5">
        <f>IF($N495="","",IF(INDEX('Per Invoice'!$K$2:$K$801,$N495)="","",INDEX('Per Invoice'!$K$2:$K$801,$N495)))</f>
        <v/>
      </c>
      <c r="L495" s="5">
        <f>IF($N495="","",IF(INDEX('Per Invoice'!$L$2:$L$801,$N495)="","",INDEX('Per Invoice'!$L$2:$L$801,$N495)))</f>
        <v/>
      </c>
      <c r="M495" s="5">
        <f>IF($N495="","",IF(INDEX('Per Invoice'!$M$2:$M$801,$N495)="","",INDEX('Per Invoice'!$M$2:$M$801,$N495)))</f>
        <v/>
      </c>
      <c r="N495">
        <f>IF(ROWS($N$2:$N495)&lt;=COUNT('Per Invoice'!$P$2:$P$801),MATCH(ROWS($N$2:$N495),'Per Invoice'!$P$2:$P$801,0),"")</f>
        <v/>
      </c>
    </row>
    <row r="496">
      <c r="A496">
        <f>IF($N496="","",IF(INDEX('Per Invoice'!$A$2:$A$801,$N496)="","",INDEX('Per Invoice'!$A$2:$A$801,$N496)))</f>
        <v/>
      </c>
      <c r="B496">
        <f>IF($N496="","",IF(INDEX('Per Invoice'!$B$2:$B$801,$N496)="","",INDEX('Per Invoice'!$B$2:$B$801,$N496)))</f>
        <v/>
      </c>
      <c r="C496">
        <f>IF($N496="","",IF(INDEX('Per Invoice'!$C$2:$C$801,$N496)="","",INDEX('Per Invoice'!$C$2:$C$801,$N496)))</f>
        <v/>
      </c>
      <c r="D496">
        <f>IF($N496="","",IF(INDEX('Per Invoice'!$D$2:$D$801,$N496)="","",INDEX('Per Invoice'!$D$2:$D$801,$N496)))</f>
        <v/>
      </c>
      <c r="E496">
        <f>IF($N496="","",IF(INDEX('Per Invoice'!$E$2:$E$801,$N496)="","",INDEX('Per Invoice'!$E$2:$E$801,$N496)))</f>
        <v/>
      </c>
      <c r="F496">
        <f>IF($N496="","",IF(INDEX('Per Invoice'!$F$2:$F$801,$N496)="","",INDEX('Per Invoice'!$F$2:$F$801,$N496)))</f>
        <v/>
      </c>
      <c r="G496">
        <f>IF($N496="","",IF(INDEX('Per Invoice'!$G$2:$G$801,$N496)="","",INDEX('Per Invoice'!$G$2:$G$801,$N496)))</f>
        <v/>
      </c>
      <c r="H496">
        <f>IF($N496="","",IF(INDEX('Per Invoice'!$H$2:$H$801,$N496)="","",INDEX('Per Invoice'!$H$2:$H$801,$N496)))</f>
        <v/>
      </c>
      <c r="I496" s="5">
        <f>IF($N496="","",IF(INDEX('Per Invoice'!$I$2:$I$801,$N496)="","",INDEX('Per Invoice'!$I$2:$I$801,$N496)))</f>
        <v/>
      </c>
      <c r="J496" s="5">
        <f>IF($N496="","",IF(INDEX('Per Invoice'!$J$2:$J$801,$N496)="","",INDEX('Per Invoice'!$J$2:$J$801,$N496)))</f>
        <v/>
      </c>
      <c r="K496" s="5">
        <f>IF($N496="","",IF(INDEX('Per Invoice'!$K$2:$K$801,$N496)="","",INDEX('Per Invoice'!$K$2:$K$801,$N496)))</f>
        <v/>
      </c>
      <c r="L496" s="5">
        <f>IF($N496="","",IF(INDEX('Per Invoice'!$L$2:$L$801,$N496)="","",INDEX('Per Invoice'!$L$2:$L$801,$N496)))</f>
        <v/>
      </c>
      <c r="M496" s="5">
        <f>IF($N496="","",IF(INDEX('Per Invoice'!$M$2:$M$801,$N496)="","",INDEX('Per Invoice'!$M$2:$M$801,$N496)))</f>
        <v/>
      </c>
      <c r="N496">
        <f>IF(ROWS($N$2:$N496)&lt;=COUNT('Per Invoice'!$P$2:$P$801),MATCH(ROWS($N$2:$N496),'Per Invoice'!$P$2:$P$801,0),"")</f>
        <v/>
      </c>
    </row>
    <row r="497">
      <c r="A497">
        <f>IF($N497="","",IF(INDEX('Per Invoice'!$A$2:$A$801,$N497)="","",INDEX('Per Invoice'!$A$2:$A$801,$N497)))</f>
        <v/>
      </c>
      <c r="B497">
        <f>IF($N497="","",IF(INDEX('Per Invoice'!$B$2:$B$801,$N497)="","",INDEX('Per Invoice'!$B$2:$B$801,$N497)))</f>
        <v/>
      </c>
      <c r="C497">
        <f>IF($N497="","",IF(INDEX('Per Invoice'!$C$2:$C$801,$N497)="","",INDEX('Per Invoice'!$C$2:$C$801,$N497)))</f>
        <v/>
      </c>
      <c r="D497">
        <f>IF($N497="","",IF(INDEX('Per Invoice'!$D$2:$D$801,$N497)="","",INDEX('Per Invoice'!$D$2:$D$801,$N497)))</f>
        <v/>
      </c>
      <c r="E497">
        <f>IF($N497="","",IF(INDEX('Per Invoice'!$E$2:$E$801,$N497)="","",INDEX('Per Invoice'!$E$2:$E$801,$N497)))</f>
        <v/>
      </c>
      <c r="F497">
        <f>IF($N497="","",IF(INDEX('Per Invoice'!$F$2:$F$801,$N497)="","",INDEX('Per Invoice'!$F$2:$F$801,$N497)))</f>
        <v/>
      </c>
      <c r="G497">
        <f>IF($N497="","",IF(INDEX('Per Invoice'!$G$2:$G$801,$N497)="","",INDEX('Per Invoice'!$G$2:$G$801,$N497)))</f>
        <v/>
      </c>
      <c r="H497">
        <f>IF($N497="","",IF(INDEX('Per Invoice'!$H$2:$H$801,$N497)="","",INDEX('Per Invoice'!$H$2:$H$801,$N497)))</f>
        <v/>
      </c>
      <c r="I497" s="5">
        <f>IF($N497="","",IF(INDEX('Per Invoice'!$I$2:$I$801,$N497)="","",INDEX('Per Invoice'!$I$2:$I$801,$N497)))</f>
        <v/>
      </c>
      <c r="J497" s="5">
        <f>IF($N497="","",IF(INDEX('Per Invoice'!$J$2:$J$801,$N497)="","",INDEX('Per Invoice'!$J$2:$J$801,$N497)))</f>
        <v/>
      </c>
      <c r="K497" s="5">
        <f>IF($N497="","",IF(INDEX('Per Invoice'!$K$2:$K$801,$N497)="","",INDEX('Per Invoice'!$K$2:$K$801,$N497)))</f>
        <v/>
      </c>
      <c r="L497" s="5">
        <f>IF($N497="","",IF(INDEX('Per Invoice'!$L$2:$L$801,$N497)="","",INDEX('Per Invoice'!$L$2:$L$801,$N497)))</f>
        <v/>
      </c>
      <c r="M497" s="5">
        <f>IF($N497="","",IF(INDEX('Per Invoice'!$M$2:$M$801,$N497)="","",INDEX('Per Invoice'!$M$2:$M$801,$N497)))</f>
        <v/>
      </c>
      <c r="N497">
        <f>IF(ROWS($N$2:$N497)&lt;=COUNT('Per Invoice'!$P$2:$P$801),MATCH(ROWS($N$2:$N497),'Per Invoice'!$P$2:$P$801,0),"")</f>
        <v/>
      </c>
    </row>
    <row r="498">
      <c r="A498">
        <f>IF($N498="","",IF(INDEX('Per Invoice'!$A$2:$A$801,$N498)="","",INDEX('Per Invoice'!$A$2:$A$801,$N498)))</f>
        <v/>
      </c>
      <c r="B498">
        <f>IF($N498="","",IF(INDEX('Per Invoice'!$B$2:$B$801,$N498)="","",INDEX('Per Invoice'!$B$2:$B$801,$N498)))</f>
        <v/>
      </c>
      <c r="C498">
        <f>IF($N498="","",IF(INDEX('Per Invoice'!$C$2:$C$801,$N498)="","",INDEX('Per Invoice'!$C$2:$C$801,$N498)))</f>
        <v/>
      </c>
      <c r="D498">
        <f>IF($N498="","",IF(INDEX('Per Invoice'!$D$2:$D$801,$N498)="","",INDEX('Per Invoice'!$D$2:$D$801,$N498)))</f>
        <v/>
      </c>
      <c r="E498">
        <f>IF($N498="","",IF(INDEX('Per Invoice'!$E$2:$E$801,$N498)="","",INDEX('Per Invoice'!$E$2:$E$801,$N498)))</f>
        <v/>
      </c>
      <c r="F498">
        <f>IF($N498="","",IF(INDEX('Per Invoice'!$F$2:$F$801,$N498)="","",INDEX('Per Invoice'!$F$2:$F$801,$N498)))</f>
        <v/>
      </c>
      <c r="G498">
        <f>IF($N498="","",IF(INDEX('Per Invoice'!$G$2:$G$801,$N498)="","",INDEX('Per Invoice'!$G$2:$G$801,$N498)))</f>
        <v/>
      </c>
      <c r="H498">
        <f>IF($N498="","",IF(INDEX('Per Invoice'!$H$2:$H$801,$N498)="","",INDEX('Per Invoice'!$H$2:$H$801,$N498)))</f>
        <v/>
      </c>
      <c r="I498" s="5">
        <f>IF($N498="","",IF(INDEX('Per Invoice'!$I$2:$I$801,$N498)="","",INDEX('Per Invoice'!$I$2:$I$801,$N498)))</f>
        <v/>
      </c>
      <c r="J498" s="5">
        <f>IF($N498="","",IF(INDEX('Per Invoice'!$J$2:$J$801,$N498)="","",INDEX('Per Invoice'!$J$2:$J$801,$N498)))</f>
        <v/>
      </c>
      <c r="K498" s="5">
        <f>IF($N498="","",IF(INDEX('Per Invoice'!$K$2:$K$801,$N498)="","",INDEX('Per Invoice'!$K$2:$K$801,$N498)))</f>
        <v/>
      </c>
      <c r="L498" s="5">
        <f>IF($N498="","",IF(INDEX('Per Invoice'!$L$2:$L$801,$N498)="","",INDEX('Per Invoice'!$L$2:$L$801,$N498)))</f>
        <v/>
      </c>
      <c r="M498" s="5">
        <f>IF($N498="","",IF(INDEX('Per Invoice'!$M$2:$M$801,$N498)="","",INDEX('Per Invoice'!$M$2:$M$801,$N498)))</f>
        <v/>
      </c>
      <c r="N498">
        <f>IF(ROWS($N$2:$N498)&lt;=COUNT('Per Invoice'!$P$2:$P$801),MATCH(ROWS($N$2:$N498),'Per Invoice'!$P$2:$P$801,0),"")</f>
        <v/>
      </c>
    </row>
    <row r="499">
      <c r="A499">
        <f>IF($N499="","",IF(INDEX('Per Invoice'!$A$2:$A$801,$N499)="","",INDEX('Per Invoice'!$A$2:$A$801,$N499)))</f>
        <v/>
      </c>
      <c r="B499">
        <f>IF($N499="","",IF(INDEX('Per Invoice'!$B$2:$B$801,$N499)="","",INDEX('Per Invoice'!$B$2:$B$801,$N499)))</f>
        <v/>
      </c>
      <c r="C499">
        <f>IF($N499="","",IF(INDEX('Per Invoice'!$C$2:$C$801,$N499)="","",INDEX('Per Invoice'!$C$2:$C$801,$N499)))</f>
        <v/>
      </c>
      <c r="D499">
        <f>IF($N499="","",IF(INDEX('Per Invoice'!$D$2:$D$801,$N499)="","",INDEX('Per Invoice'!$D$2:$D$801,$N499)))</f>
        <v/>
      </c>
      <c r="E499">
        <f>IF($N499="","",IF(INDEX('Per Invoice'!$E$2:$E$801,$N499)="","",INDEX('Per Invoice'!$E$2:$E$801,$N499)))</f>
        <v/>
      </c>
      <c r="F499">
        <f>IF($N499="","",IF(INDEX('Per Invoice'!$F$2:$F$801,$N499)="","",INDEX('Per Invoice'!$F$2:$F$801,$N499)))</f>
        <v/>
      </c>
      <c r="G499">
        <f>IF($N499="","",IF(INDEX('Per Invoice'!$G$2:$G$801,$N499)="","",INDEX('Per Invoice'!$G$2:$G$801,$N499)))</f>
        <v/>
      </c>
      <c r="H499">
        <f>IF($N499="","",IF(INDEX('Per Invoice'!$H$2:$H$801,$N499)="","",INDEX('Per Invoice'!$H$2:$H$801,$N499)))</f>
        <v/>
      </c>
      <c r="I499" s="5">
        <f>IF($N499="","",IF(INDEX('Per Invoice'!$I$2:$I$801,$N499)="","",INDEX('Per Invoice'!$I$2:$I$801,$N499)))</f>
        <v/>
      </c>
      <c r="J499" s="5">
        <f>IF($N499="","",IF(INDEX('Per Invoice'!$J$2:$J$801,$N499)="","",INDEX('Per Invoice'!$J$2:$J$801,$N499)))</f>
        <v/>
      </c>
      <c r="K499" s="5">
        <f>IF($N499="","",IF(INDEX('Per Invoice'!$K$2:$K$801,$N499)="","",INDEX('Per Invoice'!$K$2:$K$801,$N499)))</f>
        <v/>
      </c>
      <c r="L499" s="5">
        <f>IF($N499="","",IF(INDEX('Per Invoice'!$L$2:$L$801,$N499)="","",INDEX('Per Invoice'!$L$2:$L$801,$N499)))</f>
        <v/>
      </c>
      <c r="M499" s="5">
        <f>IF($N499="","",IF(INDEX('Per Invoice'!$M$2:$M$801,$N499)="","",INDEX('Per Invoice'!$M$2:$M$801,$N499)))</f>
        <v/>
      </c>
      <c r="N499">
        <f>IF(ROWS($N$2:$N499)&lt;=COUNT('Per Invoice'!$P$2:$P$801),MATCH(ROWS($N$2:$N499),'Per Invoice'!$P$2:$P$801,0),"")</f>
        <v/>
      </c>
    </row>
    <row r="500">
      <c r="A500">
        <f>IF($N500="","",IF(INDEX('Per Invoice'!$A$2:$A$801,$N500)="","",INDEX('Per Invoice'!$A$2:$A$801,$N500)))</f>
        <v/>
      </c>
      <c r="B500">
        <f>IF($N500="","",IF(INDEX('Per Invoice'!$B$2:$B$801,$N500)="","",INDEX('Per Invoice'!$B$2:$B$801,$N500)))</f>
        <v/>
      </c>
      <c r="C500">
        <f>IF($N500="","",IF(INDEX('Per Invoice'!$C$2:$C$801,$N500)="","",INDEX('Per Invoice'!$C$2:$C$801,$N500)))</f>
        <v/>
      </c>
      <c r="D500">
        <f>IF($N500="","",IF(INDEX('Per Invoice'!$D$2:$D$801,$N500)="","",INDEX('Per Invoice'!$D$2:$D$801,$N500)))</f>
        <v/>
      </c>
      <c r="E500">
        <f>IF($N500="","",IF(INDEX('Per Invoice'!$E$2:$E$801,$N500)="","",INDEX('Per Invoice'!$E$2:$E$801,$N500)))</f>
        <v/>
      </c>
      <c r="F500">
        <f>IF($N500="","",IF(INDEX('Per Invoice'!$F$2:$F$801,$N500)="","",INDEX('Per Invoice'!$F$2:$F$801,$N500)))</f>
        <v/>
      </c>
      <c r="G500">
        <f>IF($N500="","",IF(INDEX('Per Invoice'!$G$2:$G$801,$N500)="","",INDEX('Per Invoice'!$G$2:$G$801,$N500)))</f>
        <v/>
      </c>
      <c r="H500">
        <f>IF($N500="","",IF(INDEX('Per Invoice'!$H$2:$H$801,$N500)="","",INDEX('Per Invoice'!$H$2:$H$801,$N500)))</f>
        <v/>
      </c>
      <c r="I500" s="5">
        <f>IF($N500="","",IF(INDEX('Per Invoice'!$I$2:$I$801,$N500)="","",INDEX('Per Invoice'!$I$2:$I$801,$N500)))</f>
        <v/>
      </c>
      <c r="J500" s="5">
        <f>IF($N500="","",IF(INDEX('Per Invoice'!$J$2:$J$801,$N500)="","",INDEX('Per Invoice'!$J$2:$J$801,$N500)))</f>
        <v/>
      </c>
      <c r="K500" s="5">
        <f>IF($N500="","",IF(INDEX('Per Invoice'!$K$2:$K$801,$N500)="","",INDEX('Per Invoice'!$K$2:$K$801,$N500)))</f>
        <v/>
      </c>
      <c r="L500" s="5">
        <f>IF($N500="","",IF(INDEX('Per Invoice'!$L$2:$L$801,$N500)="","",INDEX('Per Invoice'!$L$2:$L$801,$N500)))</f>
        <v/>
      </c>
      <c r="M500" s="5">
        <f>IF($N500="","",IF(INDEX('Per Invoice'!$M$2:$M$801,$N500)="","",INDEX('Per Invoice'!$M$2:$M$801,$N500)))</f>
        <v/>
      </c>
      <c r="N500">
        <f>IF(ROWS($N$2:$N500)&lt;=COUNT('Per Invoice'!$P$2:$P$801),MATCH(ROWS($N$2:$N500),'Per Invoice'!$P$2:$P$801,0),"")</f>
        <v/>
      </c>
    </row>
    <row r="501">
      <c r="A501">
        <f>IF($N501="","",IF(INDEX('Per Invoice'!$A$2:$A$801,$N501)="","",INDEX('Per Invoice'!$A$2:$A$801,$N501)))</f>
        <v/>
      </c>
      <c r="B501">
        <f>IF($N501="","",IF(INDEX('Per Invoice'!$B$2:$B$801,$N501)="","",INDEX('Per Invoice'!$B$2:$B$801,$N501)))</f>
        <v/>
      </c>
      <c r="C501">
        <f>IF($N501="","",IF(INDEX('Per Invoice'!$C$2:$C$801,$N501)="","",INDEX('Per Invoice'!$C$2:$C$801,$N501)))</f>
        <v/>
      </c>
      <c r="D501">
        <f>IF($N501="","",IF(INDEX('Per Invoice'!$D$2:$D$801,$N501)="","",INDEX('Per Invoice'!$D$2:$D$801,$N501)))</f>
        <v/>
      </c>
      <c r="E501">
        <f>IF($N501="","",IF(INDEX('Per Invoice'!$E$2:$E$801,$N501)="","",INDEX('Per Invoice'!$E$2:$E$801,$N501)))</f>
        <v/>
      </c>
      <c r="F501">
        <f>IF($N501="","",IF(INDEX('Per Invoice'!$F$2:$F$801,$N501)="","",INDEX('Per Invoice'!$F$2:$F$801,$N501)))</f>
        <v/>
      </c>
      <c r="G501">
        <f>IF($N501="","",IF(INDEX('Per Invoice'!$G$2:$G$801,$N501)="","",INDEX('Per Invoice'!$G$2:$G$801,$N501)))</f>
        <v/>
      </c>
      <c r="H501">
        <f>IF($N501="","",IF(INDEX('Per Invoice'!$H$2:$H$801,$N501)="","",INDEX('Per Invoice'!$H$2:$H$801,$N501)))</f>
        <v/>
      </c>
      <c r="I501" s="5">
        <f>IF($N501="","",IF(INDEX('Per Invoice'!$I$2:$I$801,$N501)="","",INDEX('Per Invoice'!$I$2:$I$801,$N501)))</f>
        <v/>
      </c>
      <c r="J501" s="5">
        <f>IF($N501="","",IF(INDEX('Per Invoice'!$J$2:$J$801,$N501)="","",INDEX('Per Invoice'!$J$2:$J$801,$N501)))</f>
        <v/>
      </c>
      <c r="K501" s="5">
        <f>IF($N501="","",IF(INDEX('Per Invoice'!$K$2:$K$801,$N501)="","",INDEX('Per Invoice'!$K$2:$K$801,$N501)))</f>
        <v/>
      </c>
      <c r="L501" s="5">
        <f>IF($N501="","",IF(INDEX('Per Invoice'!$L$2:$L$801,$N501)="","",INDEX('Per Invoice'!$L$2:$L$801,$N501)))</f>
        <v/>
      </c>
      <c r="M501" s="5">
        <f>IF($N501="","",IF(INDEX('Per Invoice'!$M$2:$M$801,$N501)="","",INDEX('Per Invoice'!$M$2:$M$801,$N501)))</f>
        <v/>
      </c>
      <c r="N501">
        <f>IF(ROWS($N$2:$N501)&lt;=COUNT('Per Invoice'!$P$2:$P$801),MATCH(ROWS($N$2:$N501),'Per Invoice'!$P$2:$P$801,0),"")</f>
        <v/>
      </c>
    </row>
    <row r="502">
      <c r="A502">
        <f>IF($N502="","",IF(INDEX('Per Invoice'!$A$2:$A$801,$N502)="","",INDEX('Per Invoice'!$A$2:$A$801,$N502)))</f>
        <v/>
      </c>
      <c r="B502">
        <f>IF($N502="","",IF(INDEX('Per Invoice'!$B$2:$B$801,$N502)="","",INDEX('Per Invoice'!$B$2:$B$801,$N502)))</f>
        <v/>
      </c>
      <c r="C502">
        <f>IF($N502="","",IF(INDEX('Per Invoice'!$C$2:$C$801,$N502)="","",INDEX('Per Invoice'!$C$2:$C$801,$N502)))</f>
        <v/>
      </c>
      <c r="D502">
        <f>IF($N502="","",IF(INDEX('Per Invoice'!$D$2:$D$801,$N502)="","",INDEX('Per Invoice'!$D$2:$D$801,$N502)))</f>
        <v/>
      </c>
      <c r="E502">
        <f>IF($N502="","",IF(INDEX('Per Invoice'!$E$2:$E$801,$N502)="","",INDEX('Per Invoice'!$E$2:$E$801,$N502)))</f>
        <v/>
      </c>
      <c r="F502">
        <f>IF($N502="","",IF(INDEX('Per Invoice'!$F$2:$F$801,$N502)="","",INDEX('Per Invoice'!$F$2:$F$801,$N502)))</f>
        <v/>
      </c>
      <c r="G502">
        <f>IF($N502="","",IF(INDEX('Per Invoice'!$G$2:$G$801,$N502)="","",INDEX('Per Invoice'!$G$2:$G$801,$N502)))</f>
        <v/>
      </c>
      <c r="H502">
        <f>IF($N502="","",IF(INDEX('Per Invoice'!$H$2:$H$801,$N502)="","",INDEX('Per Invoice'!$H$2:$H$801,$N502)))</f>
        <v/>
      </c>
      <c r="I502" s="5">
        <f>IF($N502="","",IF(INDEX('Per Invoice'!$I$2:$I$801,$N502)="","",INDEX('Per Invoice'!$I$2:$I$801,$N502)))</f>
        <v/>
      </c>
      <c r="J502" s="5">
        <f>IF($N502="","",IF(INDEX('Per Invoice'!$J$2:$J$801,$N502)="","",INDEX('Per Invoice'!$J$2:$J$801,$N502)))</f>
        <v/>
      </c>
      <c r="K502" s="5">
        <f>IF($N502="","",IF(INDEX('Per Invoice'!$K$2:$K$801,$N502)="","",INDEX('Per Invoice'!$K$2:$K$801,$N502)))</f>
        <v/>
      </c>
      <c r="L502" s="5">
        <f>IF($N502="","",IF(INDEX('Per Invoice'!$L$2:$L$801,$N502)="","",INDEX('Per Invoice'!$L$2:$L$801,$N502)))</f>
        <v/>
      </c>
      <c r="M502" s="5">
        <f>IF($N502="","",IF(INDEX('Per Invoice'!$M$2:$M$801,$N502)="","",INDEX('Per Invoice'!$M$2:$M$801,$N502)))</f>
        <v/>
      </c>
      <c r="N502">
        <f>IF(ROWS($N$2:$N502)&lt;=COUNT('Per Invoice'!$P$2:$P$801),MATCH(ROWS($N$2:$N502),'Per Invoice'!$P$2:$P$801,0),"")</f>
        <v/>
      </c>
    </row>
    <row r="503">
      <c r="A503">
        <f>IF($N503="","",IF(INDEX('Per Invoice'!$A$2:$A$801,$N503)="","",INDEX('Per Invoice'!$A$2:$A$801,$N503)))</f>
        <v/>
      </c>
      <c r="B503">
        <f>IF($N503="","",IF(INDEX('Per Invoice'!$B$2:$B$801,$N503)="","",INDEX('Per Invoice'!$B$2:$B$801,$N503)))</f>
        <v/>
      </c>
      <c r="C503">
        <f>IF($N503="","",IF(INDEX('Per Invoice'!$C$2:$C$801,$N503)="","",INDEX('Per Invoice'!$C$2:$C$801,$N503)))</f>
        <v/>
      </c>
      <c r="D503">
        <f>IF($N503="","",IF(INDEX('Per Invoice'!$D$2:$D$801,$N503)="","",INDEX('Per Invoice'!$D$2:$D$801,$N503)))</f>
        <v/>
      </c>
      <c r="E503">
        <f>IF($N503="","",IF(INDEX('Per Invoice'!$E$2:$E$801,$N503)="","",INDEX('Per Invoice'!$E$2:$E$801,$N503)))</f>
        <v/>
      </c>
      <c r="F503">
        <f>IF($N503="","",IF(INDEX('Per Invoice'!$F$2:$F$801,$N503)="","",INDEX('Per Invoice'!$F$2:$F$801,$N503)))</f>
        <v/>
      </c>
      <c r="G503">
        <f>IF($N503="","",IF(INDEX('Per Invoice'!$G$2:$G$801,$N503)="","",INDEX('Per Invoice'!$G$2:$G$801,$N503)))</f>
        <v/>
      </c>
      <c r="H503">
        <f>IF($N503="","",IF(INDEX('Per Invoice'!$H$2:$H$801,$N503)="","",INDEX('Per Invoice'!$H$2:$H$801,$N503)))</f>
        <v/>
      </c>
      <c r="I503" s="5">
        <f>IF($N503="","",IF(INDEX('Per Invoice'!$I$2:$I$801,$N503)="","",INDEX('Per Invoice'!$I$2:$I$801,$N503)))</f>
        <v/>
      </c>
      <c r="J503" s="5">
        <f>IF($N503="","",IF(INDEX('Per Invoice'!$J$2:$J$801,$N503)="","",INDEX('Per Invoice'!$J$2:$J$801,$N503)))</f>
        <v/>
      </c>
      <c r="K503" s="5">
        <f>IF($N503="","",IF(INDEX('Per Invoice'!$K$2:$K$801,$N503)="","",INDEX('Per Invoice'!$K$2:$K$801,$N503)))</f>
        <v/>
      </c>
      <c r="L503" s="5">
        <f>IF($N503="","",IF(INDEX('Per Invoice'!$L$2:$L$801,$N503)="","",INDEX('Per Invoice'!$L$2:$L$801,$N503)))</f>
        <v/>
      </c>
      <c r="M503" s="5">
        <f>IF($N503="","",IF(INDEX('Per Invoice'!$M$2:$M$801,$N503)="","",INDEX('Per Invoice'!$M$2:$M$801,$N503)))</f>
        <v/>
      </c>
      <c r="N503">
        <f>IF(ROWS($N$2:$N503)&lt;=COUNT('Per Invoice'!$P$2:$P$801),MATCH(ROWS($N$2:$N503),'Per Invoice'!$P$2:$P$801,0),"")</f>
        <v/>
      </c>
    </row>
    <row r="504">
      <c r="A504">
        <f>IF($N504="","",IF(INDEX('Per Invoice'!$A$2:$A$801,$N504)="","",INDEX('Per Invoice'!$A$2:$A$801,$N504)))</f>
        <v/>
      </c>
      <c r="B504">
        <f>IF($N504="","",IF(INDEX('Per Invoice'!$B$2:$B$801,$N504)="","",INDEX('Per Invoice'!$B$2:$B$801,$N504)))</f>
        <v/>
      </c>
      <c r="C504">
        <f>IF($N504="","",IF(INDEX('Per Invoice'!$C$2:$C$801,$N504)="","",INDEX('Per Invoice'!$C$2:$C$801,$N504)))</f>
        <v/>
      </c>
      <c r="D504">
        <f>IF($N504="","",IF(INDEX('Per Invoice'!$D$2:$D$801,$N504)="","",INDEX('Per Invoice'!$D$2:$D$801,$N504)))</f>
        <v/>
      </c>
      <c r="E504">
        <f>IF($N504="","",IF(INDEX('Per Invoice'!$E$2:$E$801,$N504)="","",INDEX('Per Invoice'!$E$2:$E$801,$N504)))</f>
        <v/>
      </c>
      <c r="F504">
        <f>IF($N504="","",IF(INDEX('Per Invoice'!$F$2:$F$801,$N504)="","",INDEX('Per Invoice'!$F$2:$F$801,$N504)))</f>
        <v/>
      </c>
      <c r="G504">
        <f>IF($N504="","",IF(INDEX('Per Invoice'!$G$2:$G$801,$N504)="","",INDEX('Per Invoice'!$G$2:$G$801,$N504)))</f>
        <v/>
      </c>
      <c r="H504">
        <f>IF($N504="","",IF(INDEX('Per Invoice'!$H$2:$H$801,$N504)="","",INDEX('Per Invoice'!$H$2:$H$801,$N504)))</f>
        <v/>
      </c>
      <c r="I504" s="5">
        <f>IF($N504="","",IF(INDEX('Per Invoice'!$I$2:$I$801,$N504)="","",INDEX('Per Invoice'!$I$2:$I$801,$N504)))</f>
        <v/>
      </c>
      <c r="J504" s="5">
        <f>IF($N504="","",IF(INDEX('Per Invoice'!$J$2:$J$801,$N504)="","",INDEX('Per Invoice'!$J$2:$J$801,$N504)))</f>
        <v/>
      </c>
      <c r="K504" s="5">
        <f>IF($N504="","",IF(INDEX('Per Invoice'!$K$2:$K$801,$N504)="","",INDEX('Per Invoice'!$K$2:$K$801,$N504)))</f>
        <v/>
      </c>
      <c r="L504" s="5">
        <f>IF($N504="","",IF(INDEX('Per Invoice'!$L$2:$L$801,$N504)="","",INDEX('Per Invoice'!$L$2:$L$801,$N504)))</f>
        <v/>
      </c>
      <c r="M504" s="5">
        <f>IF($N504="","",IF(INDEX('Per Invoice'!$M$2:$M$801,$N504)="","",INDEX('Per Invoice'!$M$2:$M$801,$N504)))</f>
        <v/>
      </c>
      <c r="N504">
        <f>IF(ROWS($N$2:$N504)&lt;=COUNT('Per Invoice'!$P$2:$P$801),MATCH(ROWS($N$2:$N504),'Per Invoice'!$P$2:$P$801,0),"")</f>
        <v/>
      </c>
    </row>
    <row r="505">
      <c r="A505">
        <f>IF($N505="","",IF(INDEX('Per Invoice'!$A$2:$A$801,$N505)="","",INDEX('Per Invoice'!$A$2:$A$801,$N505)))</f>
        <v/>
      </c>
      <c r="B505">
        <f>IF($N505="","",IF(INDEX('Per Invoice'!$B$2:$B$801,$N505)="","",INDEX('Per Invoice'!$B$2:$B$801,$N505)))</f>
        <v/>
      </c>
      <c r="C505">
        <f>IF($N505="","",IF(INDEX('Per Invoice'!$C$2:$C$801,$N505)="","",INDEX('Per Invoice'!$C$2:$C$801,$N505)))</f>
        <v/>
      </c>
      <c r="D505">
        <f>IF($N505="","",IF(INDEX('Per Invoice'!$D$2:$D$801,$N505)="","",INDEX('Per Invoice'!$D$2:$D$801,$N505)))</f>
        <v/>
      </c>
      <c r="E505">
        <f>IF($N505="","",IF(INDEX('Per Invoice'!$E$2:$E$801,$N505)="","",INDEX('Per Invoice'!$E$2:$E$801,$N505)))</f>
        <v/>
      </c>
      <c r="F505">
        <f>IF($N505="","",IF(INDEX('Per Invoice'!$F$2:$F$801,$N505)="","",INDEX('Per Invoice'!$F$2:$F$801,$N505)))</f>
        <v/>
      </c>
      <c r="G505">
        <f>IF($N505="","",IF(INDEX('Per Invoice'!$G$2:$G$801,$N505)="","",INDEX('Per Invoice'!$G$2:$G$801,$N505)))</f>
        <v/>
      </c>
      <c r="H505">
        <f>IF($N505="","",IF(INDEX('Per Invoice'!$H$2:$H$801,$N505)="","",INDEX('Per Invoice'!$H$2:$H$801,$N505)))</f>
        <v/>
      </c>
      <c r="I505" s="5">
        <f>IF($N505="","",IF(INDEX('Per Invoice'!$I$2:$I$801,$N505)="","",INDEX('Per Invoice'!$I$2:$I$801,$N505)))</f>
        <v/>
      </c>
      <c r="J505" s="5">
        <f>IF($N505="","",IF(INDEX('Per Invoice'!$J$2:$J$801,$N505)="","",INDEX('Per Invoice'!$J$2:$J$801,$N505)))</f>
        <v/>
      </c>
      <c r="K505" s="5">
        <f>IF($N505="","",IF(INDEX('Per Invoice'!$K$2:$K$801,$N505)="","",INDEX('Per Invoice'!$K$2:$K$801,$N505)))</f>
        <v/>
      </c>
      <c r="L505" s="5">
        <f>IF($N505="","",IF(INDEX('Per Invoice'!$L$2:$L$801,$N505)="","",INDEX('Per Invoice'!$L$2:$L$801,$N505)))</f>
        <v/>
      </c>
      <c r="M505" s="5">
        <f>IF($N505="","",IF(INDEX('Per Invoice'!$M$2:$M$801,$N505)="","",INDEX('Per Invoice'!$M$2:$M$801,$N505)))</f>
        <v/>
      </c>
      <c r="N505">
        <f>IF(ROWS($N$2:$N505)&lt;=COUNT('Per Invoice'!$P$2:$P$801),MATCH(ROWS($N$2:$N505),'Per Invoice'!$P$2:$P$801,0),"")</f>
        <v/>
      </c>
    </row>
    <row r="506">
      <c r="A506">
        <f>IF($N506="","",IF(INDEX('Per Invoice'!$A$2:$A$801,$N506)="","",INDEX('Per Invoice'!$A$2:$A$801,$N506)))</f>
        <v/>
      </c>
      <c r="B506">
        <f>IF($N506="","",IF(INDEX('Per Invoice'!$B$2:$B$801,$N506)="","",INDEX('Per Invoice'!$B$2:$B$801,$N506)))</f>
        <v/>
      </c>
      <c r="C506">
        <f>IF($N506="","",IF(INDEX('Per Invoice'!$C$2:$C$801,$N506)="","",INDEX('Per Invoice'!$C$2:$C$801,$N506)))</f>
        <v/>
      </c>
      <c r="D506">
        <f>IF($N506="","",IF(INDEX('Per Invoice'!$D$2:$D$801,$N506)="","",INDEX('Per Invoice'!$D$2:$D$801,$N506)))</f>
        <v/>
      </c>
      <c r="E506">
        <f>IF($N506="","",IF(INDEX('Per Invoice'!$E$2:$E$801,$N506)="","",INDEX('Per Invoice'!$E$2:$E$801,$N506)))</f>
        <v/>
      </c>
      <c r="F506">
        <f>IF($N506="","",IF(INDEX('Per Invoice'!$F$2:$F$801,$N506)="","",INDEX('Per Invoice'!$F$2:$F$801,$N506)))</f>
        <v/>
      </c>
      <c r="G506">
        <f>IF($N506="","",IF(INDEX('Per Invoice'!$G$2:$G$801,$N506)="","",INDEX('Per Invoice'!$G$2:$G$801,$N506)))</f>
        <v/>
      </c>
      <c r="H506">
        <f>IF($N506="","",IF(INDEX('Per Invoice'!$H$2:$H$801,$N506)="","",INDEX('Per Invoice'!$H$2:$H$801,$N506)))</f>
        <v/>
      </c>
      <c r="I506" s="5">
        <f>IF($N506="","",IF(INDEX('Per Invoice'!$I$2:$I$801,$N506)="","",INDEX('Per Invoice'!$I$2:$I$801,$N506)))</f>
        <v/>
      </c>
      <c r="J506" s="5">
        <f>IF($N506="","",IF(INDEX('Per Invoice'!$J$2:$J$801,$N506)="","",INDEX('Per Invoice'!$J$2:$J$801,$N506)))</f>
        <v/>
      </c>
      <c r="K506" s="5">
        <f>IF($N506="","",IF(INDEX('Per Invoice'!$K$2:$K$801,$N506)="","",INDEX('Per Invoice'!$K$2:$K$801,$N506)))</f>
        <v/>
      </c>
      <c r="L506" s="5">
        <f>IF($N506="","",IF(INDEX('Per Invoice'!$L$2:$L$801,$N506)="","",INDEX('Per Invoice'!$L$2:$L$801,$N506)))</f>
        <v/>
      </c>
      <c r="M506" s="5">
        <f>IF($N506="","",IF(INDEX('Per Invoice'!$M$2:$M$801,$N506)="","",INDEX('Per Invoice'!$M$2:$M$801,$N506)))</f>
        <v/>
      </c>
      <c r="N506">
        <f>IF(ROWS($N$2:$N506)&lt;=COUNT('Per Invoice'!$P$2:$P$801),MATCH(ROWS($N$2:$N506),'Per Invoice'!$P$2:$P$801,0),"")</f>
        <v/>
      </c>
    </row>
    <row r="507">
      <c r="A507">
        <f>IF($N507="","",IF(INDEX('Per Invoice'!$A$2:$A$801,$N507)="","",INDEX('Per Invoice'!$A$2:$A$801,$N507)))</f>
        <v/>
      </c>
      <c r="B507">
        <f>IF($N507="","",IF(INDEX('Per Invoice'!$B$2:$B$801,$N507)="","",INDEX('Per Invoice'!$B$2:$B$801,$N507)))</f>
        <v/>
      </c>
      <c r="C507">
        <f>IF($N507="","",IF(INDEX('Per Invoice'!$C$2:$C$801,$N507)="","",INDEX('Per Invoice'!$C$2:$C$801,$N507)))</f>
        <v/>
      </c>
      <c r="D507">
        <f>IF($N507="","",IF(INDEX('Per Invoice'!$D$2:$D$801,$N507)="","",INDEX('Per Invoice'!$D$2:$D$801,$N507)))</f>
        <v/>
      </c>
      <c r="E507">
        <f>IF($N507="","",IF(INDEX('Per Invoice'!$E$2:$E$801,$N507)="","",INDEX('Per Invoice'!$E$2:$E$801,$N507)))</f>
        <v/>
      </c>
      <c r="F507">
        <f>IF($N507="","",IF(INDEX('Per Invoice'!$F$2:$F$801,$N507)="","",INDEX('Per Invoice'!$F$2:$F$801,$N507)))</f>
        <v/>
      </c>
      <c r="G507">
        <f>IF($N507="","",IF(INDEX('Per Invoice'!$G$2:$G$801,$N507)="","",INDEX('Per Invoice'!$G$2:$G$801,$N507)))</f>
        <v/>
      </c>
      <c r="H507">
        <f>IF($N507="","",IF(INDEX('Per Invoice'!$H$2:$H$801,$N507)="","",INDEX('Per Invoice'!$H$2:$H$801,$N507)))</f>
        <v/>
      </c>
      <c r="I507" s="5">
        <f>IF($N507="","",IF(INDEX('Per Invoice'!$I$2:$I$801,$N507)="","",INDEX('Per Invoice'!$I$2:$I$801,$N507)))</f>
        <v/>
      </c>
      <c r="J507" s="5">
        <f>IF($N507="","",IF(INDEX('Per Invoice'!$J$2:$J$801,$N507)="","",INDEX('Per Invoice'!$J$2:$J$801,$N507)))</f>
        <v/>
      </c>
      <c r="K507" s="5">
        <f>IF($N507="","",IF(INDEX('Per Invoice'!$K$2:$K$801,$N507)="","",INDEX('Per Invoice'!$K$2:$K$801,$N507)))</f>
        <v/>
      </c>
      <c r="L507" s="5">
        <f>IF($N507="","",IF(INDEX('Per Invoice'!$L$2:$L$801,$N507)="","",INDEX('Per Invoice'!$L$2:$L$801,$N507)))</f>
        <v/>
      </c>
      <c r="M507" s="5">
        <f>IF($N507="","",IF(INDEX('Per Invoice'!$M$2:$M$801,$N507)="","",INDEX('Per Invoice'!$M$2:$M$801,$N507)))</f>
        <v/>
      </c>
      <c r="N507">
        <f>IF(ROWS($N$2:$N507)&lt;=COUNT('Per Invoice'!$P$2:$P$801),MATCH(ROWS($N$2:$N507),'Per Invoice'!$P$2:$P$801,0),"")</f>
        <v/>
      </c>
    </row>
    <row r="508">
      <c r="A508">
        <f>IF($N508="","",IF(INDEX('Per Invoice'!$A$2:$A$801,$N508)="","",INDEX('Per Invoice'!$A$2:$A$801,$N508)))</f>
        <v/>
      </c>
      <c r="B508">
        <f>IF($N508="","",IF(INDEX('Per Invoice'!$B$2:$B$801,$N508)="","",INDEX('Per Invoice'!$B$2:$B$801,$N508)))</f>
        <v/>
      </c>
      <c r="C508">
        <f>IF($N508="","",IF(INDEX('Per Invoice'!$C$2:$C$801,$N508)="","",INDEX('Per Invoice'!$C$2:$C$801,$N508)))</f>
        <v/>
      </c>
      <c r="D508">
        <f>IF($N508="","",IF(INDEX('Per Invoice'!$D$2:$D$801,$N508)="","",INDEX('Per Invoice'!$D$2:$D$801,$N508)))</f>
        <v/>
      </c>
      <c r="E508">
        <f>IF($N508="","",IF(INDEX('Per Invoice'!$E$2:$E$801,$N508)="","",INDEX('Per Invoice'!$E$2:$E$801,$N508)))</f>
        <v/>
      </c>
      <c r="F508">
        <f>IF($N508="","",IF(INDEX('Per Invoice'!$F$2:$F$801,$N508)="","",INDEX('Per Invoice'!$F$2:$F$801,$N508)))</f>
        <v/>
      </c>
      <c r="G508">
        <f>IF($N508="","",IF(INDEX('Per Invoice'!$G$2:$G$801,$N508)="","",INDEX('Per Invoice'!$G$2:$G$801,$N508)))</f>
        <v/>
      </c>
      <c r="H508">
        <f>IF($N508="","",IF(INDEX('Per Invoice'!$H$2:$H$801,$N508)="","",INDEX('Per Invoice'!$H$2:$H$801,$N508)))</f>
        <v/>
      </c>
      <c r="I508" s="5">
        <f>IF($N508="","",IF(INDEX('Per Invoice'!$I$2:$I$801,$N508)="","",INDEX('Per Invoice'!$I$2:$I$801,$N508)))</f>
        <v/>
      </c>
      <c r="J508" s="5">
        <f>IF($N508="","",IF(INDEX('Per Invoice'!$J$2:$J$801,$N508)="","",INDEX('Per Invoice'!$J$2:$J$801,$N508)))</f>
        <v/>
      </c>
      <c r="K508" s="5">
        <f>IF($N508="","",IF(INDEX('Per Invoice'!$K$2:$K$801,$N508)="","",INDEX('Per Invoice'!$K$2:$K$801,$N508)))</f>
        <v/>
      </c>
      <c r="L508" s="5">
        <f>IF($N508="","",IF(INDEX('Per Invoice'!$L$2:$L$801,$N508)="","",INDEX('Per Invoice'!$L$2:$L$801,$N508)))</f>
        <v/>
      </c>
      <c r="M508" s="5">
        <f>IF($N508="","",IF(INDEX('Per Invoice'!$M$2:$M$801,$N508)="","",INDEX('Per Invoice'!$M$2:$M$801,$N508)))</f>
        <v/>
      </c>
      <c r="N508">
        <f>IF(ROWS($N$2:$N508)&lt;=COUNT('Per Invoice'!$P$2:$P$801),MATCH(ROWS($N$2:$N508),'Per Invoice'!$P$2:$P$801,0),"")</f>
        <v/>
      </c>
    </row>
    <row r="509">
      <c r="A509">
        <f>IF($N509="","",IF(INDEX('Per Invoice'!$A$2:$A$801,$N509)="","",INDEX('Per Invoice'!$A$2:$A$801,$N509)))</f>
        <v/>
      </c>
      <c r="B509">
        <f>IF($N509="","",IF(INDEX('Per Invoice'!$B$2:$B$801,$N509)="","",INDEX('Per Invoice'!$B$2:$B$801,$N509)))</f>
        <v/>
      </c>
      <c r="C509">
        <f>IF($N509="","",IF(INDEX('Per Invoice'!$C$2:$C$801,$N509)="","",INDEX('Per Invoice'!$C$2:$C$801,$N509)))</f>
        <v/>
      </c>
      <c r="D509">
        <f>IF($N509="","",IF(INDEX('Per Invoice'!$D$2:$D$801,$N509)="","",INDEX('Per Invoice'!$D$2:$D$801,$N509)))</f>
        <v/>
      </c>
      <c r="E509">
        <f>IF($N509="","",IF(INDEX('Per Invoice'!$E$2:$E$801,$N509)="","",INDEX('Per Invoice'!$E$2:$E$801,$N509)))</f>
        <v/>
      </c>
      <c r="F509">
        <f>IF($N509="","",IF(INDEX('Per Invoice'!$F$2:$F$801,$N509)="","",INDEX('Per Invoice'!$F$2:$F$801,$N509)))</f>
        <v/>
      </c>
      <c r="G509">
        <f>IF($N509="","",IF(INDEX('Per Invoice'!$G$2:$G$801,$N509)="","",INDEX('Per Invoice'!$G$2:$G$801,$N509)))</f>
        <v/>
      </c>
      <c r="H509">
        <f>IF($N509="","",IF(INDEX('Per Invoice'!$H$2:$H$801,$N509)="","",INDEX('Per Invoice'!$H$2:$H$801,$N509)))</f>
        <v/>
      </c>
      <c r="I509" s="5">
        <f>IF($N509="","",IF(INDEX('Per Invoice'!$I$2:$I$801,$N509)="","",INDEX('Per Invoice'!$I$2:$I$801,$N509)))</f>
        <v/>
      </c>
      <c r="J509" s="5">
        <f>IF($N509="","",IF(INDEX('Per Invoice'!$J$2:$J$801,$N509)="","",INDEX('Per Invoice'!$J$2:$J$801,$N509)))</f>
        <v/>
      </c>
      <c r="K509" s="5">
        <f>IF($N509="","",IF(INDEX('Per Invoice'!$K$2:$K$801,$N509)="","",INDEX('Per Invoice'!$K$2:$K$801,$N509)))</f>
        <v/>
      </c>
      <c r="L509" s="5">
        <f>IF($N509="","",IF(INDEX('Per Invoice'!$L$2:$L$801,$N509)="","",INDEX('Per Invoice'!$L$2:$L$801,$N509)))</f>
        <v/>
      </c>
      <c r="M509" s="5">
        <f>IF($N509="","",IF(INDEX('Per Invoice'!$M$2:$M$801,$N509)="","",INDEX('Per Invoice'!$M$2:$M$801,$N509)))</f>
        <v/>
      </c>
      <c r="N509">
        <f>IF(ROWS($N$2:$N509)&lt;=COUNT('Per Invoice'!$P$2:$P$801),MATCH(ROWS($N$2:$N509),'Per Invoice'!$P$2:$P$801,0),"")</f>
        <v/>
      </c>
    </row>
    <row r="510">
      <c r="A510">
        <f>IF($N510="","",IF(INDEX('Per Invoice'!$A$2:$A$801,$N510)="","",INDEX('Per Invoice'!$A$2:$A$801,$N510)))</f>
        <v/>
      </c>
      <c r="B510">
        <f>IF($N510="","",IF(INDEX('Per Invoice'!$B$2:$B$801,$N510)="","",INDEX('Per Invoice'!$B$2:$B$801,$N510)))</f>
        <v/>
      </c>
      <c r="C510">
        <f>IF($N510="","",IF(INDEX('Per Invoice'!$C$2:$C$801,$N510)="","",INDEX('Per Invoice'!$C$2:$C$801,$N510)))</f>
        <v/>
      </c>
      <c r="D510">
        <f>IF($N510="","",IF(INDEX('Per Invoice'!$D$2:$D$801,$N510)="","",INDEX('Per Invoice'!$D$2:$D$801,$N510)))</f>
        <v/>
      </c>
      <c r="E510">
        <f>IF($N510="","",IF(INDEX('Per Invoice'!$E$2:$E$801,$N510)="","",INDEX('Per Invoice'!$E$2:$E$801,$N510)))</f>
        <v/>
      </c>
      <c r="F510">
        <f>IF($N510="","",IF(INDEX('Per Invoice'!$F$2:$F$801,$N510)="","",INDEX('Per Invoice'!$F$2:$F$801,$N510)))</f>
        <v/>
      </c>
      <c r="G510">
        <f>IF($N510="","",IF(INDEX('Per Invoice'!$G$2:$G$801,$N510)="","",INDEX('Per Invoice'!$G$2:$G$801,$N510)))</f>
        <v/>
      </c>
      <c r="H510">
        <f>IF($N510="","",IF(INDEX('Per Invoice'!$H$2:$H$801,$N510)="","",INDEX('Per Invoice'!$H$2:$H$801,$N510)))</f>
        <v/>
      </c>
      <c r="I510" s="5">
        <f>IF($N510="","",IF(INDEX('Per Invoice'!$I$2:$I$801,$N510)="","",INDEX('Per Invoice'!$I$2:$I$801,$N510)))</f>
        <v/>
      </c>
      <c r="J510" s="5">
        <f>IF($N510="","",IF(INDEX('Per Invoice'!$J$2:$J$801,$N510)="","",INDEX('Per Invoice'!$J$2:$J$801,$N510)))</f>
        <v/>
      </c>
      <c r="K510" s="5">
        <f>IF($N510="","",IF(INDEX('Per Invoice'!$K$2:$K$801,$N510)="","",INDEX('Per Invoice'!$K$2:$K$801,$N510)))</f>
        <v/>
      </c>
      <c r="L510" s="5">
        <f>IF($N510="","",IF(INDEX('Per Invoice'!$L$2:$L$801,$N510)="","",INDEX('Per Invoice'!$L$2:$L$801,$N510)))</f>
        <v/>
      </c>
      <c r="M510" s="5">
        <f>IF($N510="","",IF(INDEX('Per Invoice'!$M$2:$M$801,$N510)="","",INDEX('Per Invoice'!$M$2:$M$801,$N510)))</f>
        <v/>
      </c>
      <c r="N510">
        <f>IF(ROWS($N$2:$N510)&lt;=COUNT('Per Invoice'!$P$2:$P$801),MATCH(ROWS($N$2:$N510),'Per Invoice'!$P$2:$P$801,0),"")</f>
        <v/>
      </c>
    </row>
    <row r="511">
      <c r="A511">
        <f>IF($N511="","",IF(INDEX('Per Invoice'!$A$2:$A$801,$N511)="","",INDEX('Per Invoice'!$A$2:$A$801,$N511)))</f>
        <v/>
      </c>
      <c r="B511">
        <f>IF($N511="","",IF(INDEX('Per Invoice'!$B$2:$B$801,$N511)="","",INDEX('Per Invoice'!$B$2:$B$801,$N511)))</f>
        <v/>
      </c>
      <c r="C511">
        <f>IF($N511="","",IF(INDEX('Per Invoice'!$C$2:$C$801,$N511)="","",INDEX('Per Invoice'!$C$2:$C$801,$N511)))</f>
        <v/>
      </c>
      <c r="D511">
        <f>IF($N511="","",IF(INDEX('Per Invoice'!$D$2:$D$801,$N511)="","",INDEX('Per Invoice'!$D$2:$D$801,$N511)))</f>
        <v/>
      </c>
      <c r="E511">
        <f>IF($N511="","",IF(INDEX('Per Invoice'!$E$2:$E$801,$N511)="","",INDEX('Per Invoice'!$E$2:$E$801,$N511)))</f>
        <v/>
      </c>
      <c r="F511">
        <f>IF($N511="","",IF(INDEX('Per Invoice'!$F$2:$F$801,$N511)="","",INDEX('Per Invoice'!$F$2:$F$801,$N511)))</f>
        <v/>
      </c>
      <c r="G511">
        <f>IF($N511="","",IF(INDEX('Per Invoice'!$G$2:$G$801,$N511)="","",INDEX('Per Invoice'!$G$2:$G$801,$N511)))</f>
        <v/>
      </c>
      <c r="H511">
        <f>IF($N511="","",IF(INDEX('Per Invoice'!$H$2:$H$801,$N511)="","",INDEX('Per Invoice'!$H$2:$H$801,$N511)))</f>
        <v/>
      </c>
      <c r="I511" s="5">
        <f>IF($N511="","",IF(INDEX('Per Invoice'!$I$2:$I$801,$N511)="","",INDEX('Per Invoice'!$I$2:$I$801,$N511)))</f>
        <v/>
      </c>
      <c r="J511" s="5">
        <f>IF($N511="","",IF(INDEX('Per Invoice'!$J$2:$J$801,$N511)="","",INDEX('Per Invoice'!$J$2:$J$801,$N511)))</f>
        <v/>
      </c>
      <c r="K511" s="5">
        <f>IF($N511="","",IF(INDEX('Per Invoice'!$K$2:$K$801,$N511)="","",INDEX('Per Invoice'!$K$2:$K$801,$N511)))</f>
        <v/>
      </c>
      <c r="L511" s="5">
        <f>IF($N511="","",IF(INDEX('Per Invoice'!$L$2:$L$801,$N511)="","",INDEX('Per Invoice'!$L$2:$L$801,$N511)))</f>
        <v/>
      </c>
      <c r="M511" s="5">
        <f>IF($N511="","",IF(INDEX('Per Invoice'!$M$2:$M$801,$N511)="","",INDEX('Per Invoice'!$M$2:$M$801,$N511)))</f>
        <v/>
      </c>
      <c r="N511">
        <f>IF(ROWS($N$2:$N511)&lt;=COUNT('Per Invoice'!$P$2:$P$801),MATCH(ROWS($N$2:$N511),'Per Invoice'!$P$2:$P$801,0),"")</f>
        <v/>
      </c>
    </row>
    <row r="512">
      <c r="A512">
        <f>IF($N512="","",IF(INDEX('Per Invoice'!$A$2:$A$801,$N512)="","",INDEX('Per Invoice'!$A$2:$A$801,$N512)))</f>
        <v/>
      </c>
      <c r="B512">
        <f>IF($N512="","",IF(INDEX('Per Invoice'!$B$2:$B$801,$N512)="","",INDEX('Per Invoice'!$B$2:$B$801,$N512)))</f>
        <v/>
      </c>
      <c r="C512">
        <f>IF($N512="","",IF(INDEX('Per Invoice'!$C$2:$C$801,$N512)="","",INDEX('Per Invoice'!$C$2:$C$801,$N512)))</f>
        <v/>
      </c>
      <c r="D512">
        <f>IF($N512="","",IF(INDEX('Per Invoice'!$D$2:$D$801,$N512)="","",INDEX('Per Invoice'!$D$2:$D$801,$N512)))</f>
        <v/>
      </c>
      <c r="E512">
        <f>IF($N512="","",IF(INDEX('Per Invoice'!$E$2:$E$801,$N512)="","",INDEX('Per Invoice'!$E$2:$E$801,$N512)))</f>
        <v/>
      </c>
      <c r="F512">
        <f>IF($N512="","",IF(INDEX('Per Invoice'!$F$2:$F$801,$N512)="","",INDEX('Per Invoice'!$F$2:$F$801,$N512)))</f>
        <v/>
      </c>
      <c r="G512">
        <f>IF($N512="","",IF(INDEX('Per Invoice'!$G$2:$G$801,$N512)="","",INDEX('Per Invoice'!$G$2:$G$801,$N512)))</f>
        <v/>
      </c>
      <c r="H512">
        <f>IF($N512="","",IF(INDEX('Per Invoice'!$H$2:$H$801,$N512)="","",INDEX('Per Invoice'!$H$2:$H$801,$N512)))</f>
        <v/>
      </c>
      <c r="I512" s="5">
        <f>IF($N512="","",IF(INDEX('Per Invoice'!$I$2:$I$801,$N512)="","",INDEX('Per Invoice'!$I$2:$I$801,$N512)))</f>
        <v/>
      </c>
      <c r="J512" s="5">
        <f>IF($N512="","",IF(INDEX('Per Invoice'!$J$2:$J$801,$N512)="","",INDEX('Per Invoice'!$J$2:$J$801,$N512)))</f>
        <v/>
      </c>
      <c r="K512" s="5">
        <f>IF($N512="","",IF(INDEX('Per Invoice'!$K$2:$K$801,$N512)="","",INDEX('Per Invoice'!$K$2:$K$801,$N512)))</f>
        <v/>
      </c>
      <c r="L512" s="5">
        <f>IF($N512="","",IF(INDEX('Per Invoice'!$L$2:$L$801,$N512)="","",INDEX('Per Invoice'!$L$2:$L$801,$N512)))</f>
        <v/>
      </c>
      <c r="M512" s="5">
        <f>IF($N512="","",IF(INDEX('Per Invoice'!$M$2:$M$801,$N512)="","",INDEX('Per Invoice'!$M$2:$M$801,$N512)))</f>
        <v/>
      </c>
      <c r="N512">
        <f>IF(ROWS($N$2:$N512)&lt;=COUNT('Per Invoice'!$P$2:$P$801),MATCH(ROWS($N$2:$N512),'Per Invoice'!$P$2:$P$801,0),"")</f>
        <v/>
      </c>
    </row>
    <row r="513">
      <c r="A513">
        <f>IF($N513="","",IF(INDEX('Per Invoice'!$A$2:$A$801,$N513)="","",INDEX('Per Invoice'!$A$2:$A$801,$N513)))</f>
        <v/>
      </c>
      <c r="B513">
        <f>IF($N513="","",IF(INDEX('Per Invoice'!$B$2:$B$801,$N513)="","",INDEX('Per Invoice'!$B$2:$B$801,$N513)))</f>
        <v/>
      </c>
      <c r="C513">
        <f>IF($N513="","",IF(INDEX('Per Invoice'!$C$2:$C$801,$N513)="","",INDEX('Per Invoice'!$C$2:$C$801,$N513)))</f>
        <v/>
      </c>
      <c r="D513">
        <f>IF($N513="","",IF(INDEX('Per Invoice'!$D$2:$D$801,$N513)="","",INDEX('Per Invoice'!$D$2:$D$801,$N513)))</f>
        <v/>
      </c>
      <c r="E513">
        <f>IF($N513="","",IF(INDEX('Per Invoice'!$E$2:$E$801,$N513)="","",INDEX('Per Invoice'!$E$2:$E$801,$N513)))</f>
        <v/>
      </c>
      <c r="F513">
        <f>IF($N513="","",IF(INDEX('Per Invoice'!$F$2:$F$801,$N513)="","",INDEX('Per Invoice'!$F$2:$F$801,$N513)))</f>
        <v/>
      </c>
      <c r="G513">
        <f>IF($N513="","",IF(INDEX('Per Invoice'!$G$2:$G$801,$N513)="","",INDEX('Per Invoice'!$G$2:$G$801,$N513)))</f>
        <v/>
      </c>
      <c r="H513">
        <f>IF($N513="","",IF(INDEX('Per Invoice'!$H$2:$H$801,$N513)="","",INDEX('Per Invoice'!$H$2:$H$801,$N513)))</f>
        <v/>
      </c>
      <c r="I513" s="5">
        <f>IF($N513="","",IF(INDEX('Per Invoice'!$I$2:$I$801,$N513)="","",INDEX('Per Invoice'!$I$2:$I$801,$N513)))</f>
        <v/>
      </c>
      <c r="J513" s="5">
        <f>IF($N513="","",IF(INDEX('Per Invoice'!$J$2:$J$801,$N513)="","",INDEX('Per Invoice'!$J$2:$J$801,$N513)))</f>
        <v/>
      </c>
      <c r="K513" s="5">
        <f>IF($N513="","",IF(INDEX('Per Invoice'!$K$2:$K$801,$N513)="","",INDEX('Per Invoice'!$K$2:$K$801,$N513)))</f>
        <v/>
      </c>
      <c r="L513" s="5">
        <f>IF($N513="","",IF(INDEX('Per Invoice'!$L$2:$L$801,$N513)="","",INDEX('Per Invoice'!$L$2:$L$801,$N513)))</f>
        <v/>
      </c>
      <c r="M513" s="5">
        <f>IF($N513="","",IF(INDEX('Per Invoice'!$M$2:$M$801,$N513)="","",INDEX('Per Invoice'!$M$2:$M$801,$N513)))</f>
        <v/>
      </c>
      <c r="N513">
        <f>IF(ROWS($N$2:$N513)&lt;=COUNT('Per Invoice'!$P$2:$P$801),MATCH(ROWS($N$2:$N513),'Per Invoice'!$P$2:$P$801,0),"")</f>
        <v/>
      </c>
    </row>
    <row r="514">
      <c r="A514">
        <f>IF($N514="","",IF(INDEX('Per Invoice'!$A$2:$A$801,$N514)="","",INDEX('Per Invoice'!$A$2:$A$801,$N514)))</f>
        <v/>
      </c>
      <c r="B514">
        <f>IF($N514="","",IF(INDEX('Per Invoice'!$B$2:$B$801,$N514)="","",INDEX('Per Invoice'!$B$2:$B$801,$N514)))</f>
        <v/>
      </c>
      <c r="C514">
        <f>IF($N514="","",IF(INDEX('Per Invoice'!$C$2:$C$801,$N514)="","",INDEX('Per Invoice'!$C$2:$C$801,$N514)))</f>
        <v/>
      </c>
      <c r="D514">
        <f>IF($N514="","",IF(INDEX('Per Invoice'!$D$2:$D$801,$N514)="","",INDEX('Per Invoice'!$D$2:$D$801,$N514)))</f>
        <v/>
      </c>
      <c r="E514">
        <f>IF($N514="","",IF(INDEX('Per Invoice'!$E$2:$E$801,$N514)="","",INDEX('Per Invoice'!$E$2:$E$801,$N514)))</f>
        <v/>
      </c>
      <c r="F514">
        <f>IF($N514="","",IF(INDEX('Per Invoice'!$F$2:$F$801,$N514)="","",INDEX('Per Invoice'!$F$2:$F$801,$N514)))</f>
        <v/>
      </c>
      <c r="G514">
        <f>IF($N514="","",IF(INDEX('Per Invoice'!$G$2:$G$801,$N514)="","",INDEX('Per Invoice'!$G$2:$G$801,$N514)))</f>
        <v/>
      </c>
      <c r="H514">
        <f>IF($N514="","",IF(INDEX('Per Invoice'!$H$2:$H$801,$N514)="","",INDEX('Per Invoice'!$H$2:$H$801,$N514)))</f>
        <v/>
      </c>
      <c r="I514" s="5">
        <f>IF($N514="","",IF(INDEX('Per Invoice'!$I$2:$I$801,$N514)="","",INDEX('Per Invoice'!$I$2:$I$801,$N514)))</f>
        <v/>
      </c>
      <c r="J514" s="5">
        <f>IF($N514="","",IF(INDEX('Per Invoice'!$J$2:$J$801,$N514)="","",INDEX('Per Invoice'!$J$2:$J$801,$N514)))</f>
        <v/>
      </c>
      <c r="K514" s="5">
        <f>IF($N514="","",IF(INDEX('Per Invoice'!$K$2:$K$801,$N514)="","",INDEX('Per Invoice'!$K$2:$K$801,$N514)))</f>
        <v/>
      </c>
      <c r="L514" s="5">
        <f>IF($N514="","",IF(INDEX('Per Invoice'!$L$2:$L$801,$N514)="","",INDEX('Per Invoice'!$L$2:$L$801,$N514)))</f>
        <v/>
      </c>
      <c r="M514" s="5">
        <f>IF($N514="","",IF(INDEX('Per Invoice'!$M$2:$M$801,$N514)="","",INDEX('Per Invoice'!$M$2:$M$801,$N514)))</f>
        <v/>
      </c>
      <c r="N514">
        <f>IF(ROWS($N$2:$N514)&lt;=COUNT('Per Invoice'!$P$2:$P$801),MATCH(ROWS($N$2:$N514),'Per Invoice'!$P$2:$P$801,0),"")</f>
        <v/>
      </c>
    </row>
    <row r="515">
      <c r="A515">
        <f>IF($N515="","",IF(INDEX('Per Invoice'!$A$2:$A$801,$N515)="","",INDEX('Per Invoice'!$A$2:$A$801,$N515)))</f>
        <v/>
      </c>
      <c r="B515">
        <f>IF($N515="","",IF(INDEX('Per Invoice'!$B$2:$B$801,$N515)="","",INDEX('Per Invoice'!$B$2:$B$801,$N515)))</f>
        <v/>
      </c>
      <c r="C515">
        <f>IF($N515="","",IF(INDEX('Per Invoice'!$C$2:$C$801,$N515)="","",INDEX('Per Invoice'!$C$2:$C$801,$N515)))</f>
        <v/>
      </c>
      <c r="D515">
        <f>IF($N515="","",IF(INDEX('Per Invoice'!$D$2:$D$801,$N515)="","",INDEX('Per Invoice'!$D$2:$D$801,$N515)))</f>
        <v/>
      </c>
      <c r="E515">
        <f>IF($N515="","",IF(INDEX('Per Invoice'!$E$2:$E$801,$N515)="","",INDEX('Per Invoice'!$E$2:$E$801,$N515)))</f>
        <v/>
      </c>
      <c r="F515">
        <f>IF($N515="","",IF(INDEX('Per Invoice'!$F$2:$F$801,$N515)="","",INDEX('Per Invoice'!$F$2:$F$801,$N515)))</f>
        <v/>
      </c>
      <c r="G515">
        <f>IF($N515="","",IF(INDEX('Per Invoice'!$G$2:$G$801,$N515)="","",INDEX('Per Invoice'!$G$2:$G$801,$N515)))</f>
        <v/>
      </c>
      <c r="H515">
        <f>IF($N515="","",IF(INDEX('Per Invoice'!$H$2:$H$801,$N515)="","",INDEX('Per Invoice'!$H$2:$H$801,$N515)))</f>
        <v/>
      </c>
      <c r="I515" s="5">
        <f>IF($N515="","",IF(INDEX('Per Invoice'!$I$2:$I$801,$N515)="","",INDEX('Per Invoice'!$I$2:$I$801,$N515)))</f>
        <v/>
      </c>
      <c r="J515" s="5">
        <f>IF($N515="","",IF(INDEX('Per Invoice'!$J$2:$J$801,$N515)="","",INDEX('Per Invoice'!$J$2:$J$801,$N515)))</f>
        <v/>
      </c>
      <c r="K515" s="5">
        <f>IF($N515="","",IF(INDEX('Per Invoice'!$K$2:$K$801,$N515)="","",INDEX('Per Invoice'!$K$2:$K$801,$N515)))</f>
        <v/>
      </c>
      <c r="L515" s="5">
        <f>IF($N515="","",IF(INDEX('Per Invoice'!$L$2:$L$801,$N515)="","",INDEX('Per Invoice'!$L$2:$L$801,$N515)))</f>
        <v/>
      </c>
      <c r="M515" s="5">
        <f>IF($N515="","",IF(INDEX('Per Invoice'!$M$2:$M$801,$N515)="","",INDEX('Per Invoice'!$M$2:$M$801,$N515)))</f>
        <v/>
      </c>
      <c r="N515">
        <f>IF(ROWS($N$2:$N515)&lt;=COUNT('Per Invoice'!$P$2:$P$801),MATCH(ROWS($N$2:$N515),'Per Invoice'!$P$2:$P$801,0),"")</f>
        <v/>
      </c>
    </row>
    <row r="516">
      <c r="A516">
        <f>IF($N516="","",IF(INDEX('Per Invoice'!$A$2:$A$801,$N516)="","",INDEX('Per Invoice'!$A$2:$A$801,$N516)))</f>
        <v/>
      </c>
      <c r="B516">
        <f>IF($N516="","",IF(INDEX('Per Invoice'!$B$2:$B$801,$N516)="","",INDEX('Per Invoice'!$B$2:$B$801,$N516)))</f>
        <v/>
      </c>
      <c r="C516">
        <f>IF($N516="","",IF(INDEX('Per Invoice'!$C$2:$C$801,$N516)="","",INDEX('Per Invoice'!$C$2:$C$801,$N516)))</f>
        <v/>
      </c>
      <c r="D516">
        <f>IF($N516="","",IF(INDEX('Per Invoice'!$D$2:$D$801,$N516)="","",INDEX('Per Invoice'!$D$2:$D$801,$N516)))</f>
        <v/>
      </c>
      <c r="E516">
        <f>IF($N516="","",IF(INDEX('Per Invoice'!$E$2:$E$801,$N516)="","",INDEX('Per Invoice'!$E$2:$E$801,$N516)))</f>
        <v/>
      </c>
      <c r="F516">
        <f>IF($N516="","",IF(INDEX('Per Invoice'!$F$2:$F$801,$N516)="","",INDEX('Per Invoice'!$F$2:$F$801,$N516)))</f>
        <v/>
      </c>
      <c r="G516">
        <f>IF($N516="","",IF(INDEX('Per Invoice'!$G$2:$G$801,$N516)="","",INDEX('Per Invoice'!$G$2:$G$801,$N516)))</f>
        <v/>
      </c>
      <c r="H516">
        <f>IF($N516="","",IF(INDEX('Per Invoice'!$H$2:$H$801,$N516)="","",INDEX('Per Invoice'!$H$2:$H$801,$N516)))</f>
        <v/>
      </c>
      <c r="I516" s="5">
        <f>IF($N516="","",IF(INDEX('Per Invoice'!$I$2:$I$801,$N516)="","",INDEX('Per Invoice'!$I$2:$I$801,$N516)))</f>
        <v/>
      </c>
      <c r="J516" s="5">
        <f>IF($N516="","",IF(INDEX('Per Invoice'!$J$2:$J$801,$N516)="","",INDEX('Per Invoice'!$J$2:$J$801,$N516)))</f>
        <v/>
      </c>
      <c r="K516" s="5">
        <f>IF($N516="","",IF(INDEX('Per Invoice'!$K$2:$K$801,$N516)="","",INDEX('Per Invoice'!$K$2:$K$801,$N516)))</f>
        <v/>
      </c>
      <c r="L516" s="5">
        <f>IF($N516="","",IF(INDEX('Per Invoice'!$L$2:$L$801,$N516)="","",INDEX('Per Invoice'!$L$2:$L$801,$N516)))</f>
        <v/>
      </c>
      <c r="M516" s="5">
        <f>IF($N516="","",IF(INDEX('Per Invoice'!$M$2:$M$801,$N516)="","",INDEX('Per Invoice'!$M$2:$M$801,$N516)))</f>
        <v/>
      </c>
      <c r="N516">
        <f>IF(ROWS($N$2:$N516)&lt;=COUNT('Per Invoice'!$P$2:$P$801),MATCH(ROWS($N$2:$N516),'Per Invoice'!$P$2:$P$801,0),"")</f>
        <v/>
      </c>
    </row>
    <row r="517">
      <c r="A517">
        <f>IF($N517="","",IF(INDEX('Per Invoice'!$A$2:$A$801,$N517)="","",INDEX('Per Invoice'!$A$2:$A$801,$N517)))</f>
        <v/>
      </c>
      <c r="B517">
        <f>IF($N517="","",IF(INDEX('Per Invoice'!$B$2:$B$801,$N517)="","",INDEX('Per Invoice'!$B$2:$B$801,$N517)))</f>
        <v/>
      </c>
      <c r="C517">
        <f>IF($N517="","",IF(INDEX('Per Invoice'!$C$2:$C$801,$N517)="","",INDEX('Per Invoice'!$C$2:$C$801,$N517)))</f>
        <v/>
      </c>
      <c r="D517">
        <f>IF($N517="","",IF(INDEX('Per Invoice'!$D$2:$D$801,$N517)="","",INDEX('Per Invoice'!$D$2:$D$801,$N517)))</f>
        <v/>
      </c>
      <c r="E517">
        <f>IF($N517="","",IF(INDEX('Per Invoice'!$E$2:$E$801,$N517)="","",INDEX('Per Invoice'!$E$2:$E$801,$N517)))</f>
        <v/>
      </c>
      <c r="F517">
        <f>IF($N517="","",IF(INDEX('Per Invoice'!$F$2:$F$801,$N517)="","",INDEX('Per Invoice'!$F$2:$F$801,$N517)))</f>
        <v/>
      </c>
      <c r="G517">
        <f>IF($N517="","",IF(INDEX('Per Invoice'!$G$2:$G$801,$N517)="","",INDEX('Per Invoice'!$G$2:$G$801,$N517)))</f>
        <v/>
      </c>
      <c r="H517">
        <f>IF($N517="","",IF(INDEX('Per Invoice'!$H$2:$H$801,$N517)="","",INDEX('Per Invoice'!$H$2:$H$801,$N517)))</f>
        <v/>
      </c>
      <c r="I517" s="5">
        <f>IF($N517="","",IF(INDEX('Per Invoice'!$I$2:$I$801,$N517)="","",INDEX('Per Invoice'!$I$2:$I$801,$N517)))</f>
        <v/>
      </c>
      <c r="J517" s="5">
        <f>IF($N517="","",IF(INDEX('Per Invoice'!$J$2:$J$801,$N517)="","",INDEX('Per Invoice'!$J$2:$J$801,$N517)))</f>
        <v/>
      </c>
      <c r="K517" s="5">
        <f>IF($N517="","",IF(INDEX('Per Invoice'!$K$2:$K$801,$N517)="","",INDEX('Per Invoice'!$K$2:$K$801,$N517)))</f>
        <v/>
      </c>
      <c r="L517" s="5">
        <f>IF($N517="","",IF(INDEX('Per Invoice'!$L$2:$L$801,$N517)="","",INDEX('Per Invoice'!$L$2:$L$801,$N517)))</f>
        <v/>
      </c>
      <c r="M517" s="5">
        <f>IF($N517="","",IF(INDEX('Per Invoice'!$M$2:$M$801,$N517)="","",INDEX('Per Invoice'!$M$2:$M$801,$N517)))</f>
        <v/>
      </c>
      <c r="N517">
        <f>IF(ROWS($N$2:$N517)&lt;=COUNT('Per Invoice'!$P$2:$P$801),MATCH(ROWS($N$2:$N517),'Per Invoice'!$P$2:$P$801,0),"")</f>
        <v/>
      </c>
    </row>
    <row r="518">
      <c r="A518">
        <f>IF($N518="","",IF(INDEX('Per Invoice'!$A$2:$A$801,$N518)="","",INDEX('Per Invoice'!$A$2:$A$801,$N518)))</f>
        <v/>
      </c>
      <c r="B518">
        <f>IF($N518="","",IF(INDEX('Per Invoice'!$B$2:$B$801,$N518)="","",INDEX('Per Invoice'!$B$2:$B$801,$N518)))</f>
        <v/>
      </c>
      <c r="C518">
        <f>IF($N518="","",IF(INDEX('Per Invoice'!$C$2:$C$801,$N518)="","",INDEX('Per Invoice'!$C$2:$C$801,$N518)))</f>
        <v/>
      </c>
      <c r="D518">
        <f>IF($N518="","",IF(INDEX('Per Invoice'!$D$2:$D$801,$N518)="","",INDEX('Per Invoice'!$D$2:$D$801,$N518)))</f>
        <v/>
      </c>
      <c r="E518">
        <f>IF($N518="","",IF(INDEX('Per Invoice'!$E$2:$E$801,$N518)="","",INDEX('Per Invoice'!$E$2:$E$801,$N518)))</f>
        <v/>
      </c>
      <c r="F518">
        <f>IF($N518="","",IF(INDEX('Per Invoice'!$F$2:$F$801,$N518)="","",INDEX('Per Invoice'!$F$2:$F$801,$N518)))</f>
        <v/>
      </c>
      <c r="G518">
        <f>IF($N518="","",IF(INDEX('Per Invoice'!$G$2:$G$801,$N518)="","",INDEX('Per Invoice'!$G$2:$G$801,$N518)))</f>
        <v/>
      </c>
      <c r="H518">
        <f>IF($N518="","",IF(INDEX('Per Invoice'!$H$2:$H$801,$N518)="","",INDEX('Per Invoice'!$H$2:$H$801,$N518)))</f>
        <v/>
      </c>
      <c r="I518" s="5">
        <f>IF($N518="","",IF(INDEX('Per Invoice'!$I$2:$I$801,$N518)="","",INDEX('Per Invoice'!$I$2:$I$801,$N518)))</f>
        <v/>
      </c>
      <c r="J518" s="5">
        <f>IF($N518="","",IF(INDEX('Per Invoice'!$J$2:$J$801,$N518)="","",INDEX('Per Invoice'!$J$2:$J$801,$N518)))</f>
        <v/>
      </c>
      <c r="K518" s="5">
        <f>IF($N518="","",IF(INDEX('Per Invoice'!$K$2:$K$801,$N518)="","",INDEX('Per Invoice'!$K$2:$K$801,$N518)))</f>
        <v/>
      </c>
      <c r="L518" s="5">
        <f>IF($N518="","",IF(INDEX('Per Invoice'!$L$2:$L$801,$N518)="","",INDEX('Per Invoice'!$L$2:$L$801,$N518)))</f>
        <v/>
      </c>
      <c r="M518" s="5">
        <f>IF($N518="","",IF(INDEX('Per Invoice'!$M$2:$M$801,$N518)="","",INDEX('Per Invoice'!$M$2:$M$801,$N518)))</f>
        <v/>
      </c>
      <c r="N518">
        <f>IF(ROWS($N$2:$N518)&lt;=COUNT('Per Invoice'!$P$2:$P$801),MATCH(ROWS($N$2:$N518),'Per Invoice'!$P$2:$P$801,0),"")</f>
        <v/>
      </c>
    </row>
    <row r="519">
      <c r="A519">
        <f>IF($N519="","",IF(INDEX('Per Invoice'!$A$2:$A$801,$N519)="","",INDEX('Per Invoice'!$A$2:$A$801,$N519)))</f>
        <v/>
      </c>
      <c r="B519">
        <f>IF($N519="","",IF(INDEX('Per Invoice'!$B$2:$B$801,$N519)="","",INDEX('Per Invoice'!$B$2:$B$801,$N519)))</f>
        <v/>
      </c>
      <c r="C519">
        <f>IF($N519="","",IF(INDEX('Per Invoice'!$C$2:$C$801,$N519)="","",INDEX('Per Invoice'!$C$2:$C$801,$N519)))</f>
        <v/>
      </c>
      <c r="D519">
        <f>IF($N519="","",IF(INDEX('Per Invoice'!$D$2:$D$801,$N519)="","",INDEX('Per Invoice'!$D$2:$D$801,$N519)))</f>
        <v/>
      </c>
      <c r="E519">
        <f>IF($N519="","",IF(INDEX('Per Invoice'!$E$2:$E$801,$N519)="","",INDEX('Per Invoice'!$E$2:$E$801,$N519)))</f>
        <v/>
      </c>
      <c r="F519">
        <f>IF($N519="","",IF(INDEX('Per Invoice'!$F$2:$F$801,$N519)="","",INDEX('Per Invoice'!$F$2:$F$801,$N519)))</f>
        <v/>
      </c>
      <c r="G519">
        <f>IF($N519="","",IF(INDEX('Per Invoice'!$G$2:$G$801,$N519)="","",INDEX('Per Invoice'!$G$2:$G$801,$N519)))</f>
        <v/>
      </c>
      <c r="H519">
        <f>IF($N519="","",IF(INDEX('Per Invoice'!$H$2:$H$801,$N519)="","",INDEX('Per Invoice'!$H$2:$H$801,$N519)))</f>
        <v/>
      </c>
      <c r="I519" s="5">
        <f>IF($N519="","",IF(INDEX('Per Invoice'!$I$2:$I$801,$N519)="","",INDEX('Per Invoice'!$I$2:$I$801,$N519)))</f>
        <v/>
      </c>
      <c r="J519" s="5">
        <f>IF($N519="","",IF(INDEX('Per Invoice'!$J$2:$J$801,$N519)="","",INDEX('Per Invoice'!$J$2:$J$801,$N519)))</f>
        <v/>
      </c>
      <c r="K519" s="5">
        <f>IF($N519="","",IF(INDEX('Per Invoice'!$K$2:$K$801,$N519)="","",INDEX('Per Invoice'!$K$2:$K$801,$N519)))</f>
        <v/>
      </c>
      <c r="L519" s="5">
        <f>IF($N519="","",IF(INDEX('Per Invoice'!$L$2:$L$801,$N519)="","",INDEX('Per Invoice'!$L$2:$L$801,$N519)))</f>
        <v/>
      </c>
      <c r="M519" s="5">
        <f>IF($N519="","",IF(INDEX('Per Invoice'!$M$2:$M$801,$N519)="","",INDEX('Per Invoice'!$M$2:$M$801,$N519)))</f>
        <v/>
      </c>
      <c r="N519">
        <f>IF(ROWS($N$2:$N519)&lt;=COUNT('Per Invoice'!$P$2:$P$801),MATCH(ROWS($N$2:$N519),'Per Invoice'!$P$2:$P$801,0),"")</f>
        <v/>
      </c>
    </row>
    <row r="520">
      <c r="A520">
        <f>IF($N520="","",IF(INDEX('Per Invoice'!$A$2:$A$801,$N520)="","",INDEX('Per Invoice'!$A$2:$A$801,$N520)))</f>
        <v/>
      </c>
      <c r="B520">
        <f>IF($N520="","",IF(INDEX('Per Invoice'!$B$2:$B$801,$N520)="","",INDEX('Per Invoice'!$B$2:$B$801,$N520)))</f>
        <v/>
      </c>
      <c r="C520">
        <f>IF($N520="","",IF(INDEX('Per Invoice'!$C$2:$C$801,$N520)="","",INDEX('Per Invoice'!$C$2:$C$801,$N520)))</f>
        <v/>
      </c>
      <c r="D520">
        <f>IF($N520="","",IF(INDEX('Per Invoice'!$D$2:$D$801,$N520)="","",INDEX('Per Invoice'!$D$2:$D$801,$N520)))</f>
        <v/>
      </c>
      <c r="E520">
        <f>IF($N520="","",IF(INDEX('Per Invoice'!$E$2:$E$801,$N520)="","",INDEX('Per Invoice'!$E$2:$E$801,$N520)))</f>
        <v/>
      </c>
      <c r="F520">
        <f>IF($N520="","",IF(INDEX('Per Invoice'!$F$2:$F$801,$N520)="","",INDEX('Per Invoice'!$F$2:$F$801,$N520)))</f>
        <v/>
      </c>
      <c r="G520">
        <f>IF($N520="","",IF(INDEX('Per Invoice'!$G$2:$G$801,$N520)="","",INDEX('Per Invoice'!$G$2:$G$801,$N520)))</f>
        <v/>
      </c>
      <c r="H520">
        <f>IF($N520="","",IF(INDEX('Per Invoice'!$H$2:$H$801,$N520)="","",INDEX('Per Invoice'!$H$2:$H$801,$N520)))</f>
        <v/>
      </c>
      <c r="I520" s="5">
        <f>IF($N520="","",IF(INDEX('Per Invoice'!$I$2:$I$801,$N520)="","",INDEX('Per Invoice'!$I$2:$I$801,$N520)))</f>
        <v/>
      </c>
      <c r="J520" s="5">
        <f>IF($N520="","",IF(INDEX('Per Invoice'!$J$2:$J$801,$N520)="","",INDEX('Per Invoice'!$J$2:$J$801,$N520)))</f>
        <v/>
      </c>
      <c r="K520" s="5">
        <f>IF($N520="","",IF(INDEX('Per Invoice'!$K$2:$K$801,$N520)="","",INDEX('Per Invoice'!$K$2:$K$801,$N520)))</f>
        <v/>
      </c>
      <c r="L520" s="5">
        <f>IF($N520="","",IF(INDEX('Per Invoice'!$L$2:$L$801,$N520)="","",INDEX('Per Invoice'!$L$2:$L$801,$N520)))</f>
        <v/>
      </c>
      <c r="M520" s="5">
        <f>IF($N520="","",IF(INDEX('Per Invoice'!$M$2:$M$801,$N520)="","",INDEX('Per Invoice'!$M$2:$M$801,$N520)))</f>
        <v/>
      </c>
      <c r="N520">
        <f>IF(ROWS($N$2:$N520)&lt;=COUNT('Per Invoice'!$P$2:$P$801),MATCH(ROWS($N$2:$N520),'Per Invoice'!$P$2:$P$801,0),"")</f>
        <v/>
      </c>
    </row>
    <row r="521">
      <c r="A521">
        <f>IF($N521="","",IF(INDEX('Per Invoice'!$A$2:$A$801,$N521)="","",INDEX('Per Invoice'!$A$2:$A$801,$N521)))</f>
        <v/>
      </c>
      <c r="B521">
        <f>IF($N521="","",IF(INDEX('Per Invoice'!$B$2:$B$801,$N521)="","",INDEX('Per Invoice'!$B$2:$B$801,$N521)))</f>
        <v/>
      </c>
      <c r="C521">
        <f>IF($N521="","",IF(INDEX('Per Invoice'!$C$2:$C$801,$N521)="","",INDEX('Per Invoice'!$C$2:$C$801,$N521)))</f>
        <v/>
      </c>
      <c r="D521">
        <f>IF($N521="","",IF(INDEX('Per Invoice'!$D$2:$D$801,$N521)="","",INDEX('Per Invoice'!$D$2:$D$801,$N521)))</f>
        <v/>
      </c>
      <c r="E521">
        <f>IF($N521="","",IF(INDEX('Per Invoice'!$E$2:$E$801,$N521)="","",INDEX('Per Invoice'!$E$2:$E$801,$N521)))</f>
        <v/>
      </c>
      <c r="F521">
        <f>IF($N521="","",IF(INDEX('Per Invoice'!$F$2:$F$801,$N521)="","",INDEX('Per Invoice'!$F$2:$F$801,$N521)))</f>
        <v/>
      </c>
      <c r="G521">
        <f>IF($N521="","",IF(INDEX('Per Invoice'!$G$2:$G$801,$N521)="","",INDEX('Per Invoice'!$G$2:$G$801,$N521)))</f>
        <v/>
      </c>
      <c r="H521">
        <f>IF($N521="","",IF(INDEX('Per Invoice'!$H$2:$H$801,$N521)="","",INDEX('Per Invoice'!$H$2:$H$801,$N521)))</f>
        <v/>
      </c>
      <c r="I521" s="5">
        <f>IF($N521="","",IF(INDEX('Per Invoice'!$I$2:$I$801,$N521)="","",INDEX('Per Invoice'!$I$2:$I$801,$N521)))</f>
        <v/>
      </c>
      <c r="J521" s="5">
        <f>IF($N521="","",IF(INDEX('Per Invoice'!$J$2:$J$801,$N521)="","",INDEX('Per Invoice'!$J$2:$J$801,$N521)))</f>
        <v/>
      </c>
      <c r="K521" s="5">
        <f>IF($N521="","",IF(INDEX('Per Invoice'!$K$2:$K$801,$N521)="","",INDEX('Per Invoice'!$K$2:$K$801,$N521)))</f>
        <v/>
      </c>
      <c r="L521" s="5">
        <f>IF($N521="","",IF(INDEX('Per Invoice'!$L$2:$L$801,$N521)="","",INDEX('Per Invoice'!$L$2:$L$801,$N521)))</f>
        <v/>
      </c>
      <c r="M521" s="5">
        <f>IF($N521="","",IF(INDEX('Per Invoice'!$M$2:$M$801,$N521)="","",INDEX('Per Invoice'!$M$2:$M$801,$N521)))</f>
        <v/>
      </c>
      <c r="N521">
        <f>IF(ROWS($N$2:$N521)&lt;=COUNT('Per Invoice'!$P$2:$P$801),MATCH(ROWS($N$2:$N521),'Per Invoice'!$P$2:$P$801,0),"")</f>
        <v/>
      </c>
    </row>
    <row r="522">
      <c r="A522">
        <f>IF($N522="","",IF(INDEX('Per Invoice'!$A$2:$A$801,$N522)="","",INDEX('Per Invoice'!$A$2:$A$801,$N522)))</f>
        <v/>
      </c>
      <c r="B522">
        <f>IF($N522="","",IF(INDEX('Per Invoice'!$B$2:$B$801,$N522)="","",INDEX('Per Invoice'!$B$2:$B$801,$N522)))</f>
        <v/>
      </c>
      <c r="C522">
        <f>IF($N522="","",IF(INDEX('Per Invoice'!$C$2:$C$801,$N522)="","",INDEX('Per Invoice'!$C$2:$C$801,$N522)))</f>
        <v/>
      </c>
      <c r="D522">
        <f>IF($N522="","",IF(INDEX('Per Invoice'!$D$2:$D$801,$N522)="","",INDEX('Per Invoice'!$D$2:$D$801,$N522)))</f>
        <v/>
      </c>
      <c r="E522">
        <f>IF($N522="","",IF(INDEX('Per Invoice'!$E$2:$E$801,$N522)="","",INDEX('Per Invoice'!$E$2:$E$801,$N522)))</f>
        <v/>
      </c>
      <c r="F522">
        <f>IF($N522="","",IF(INDEX('Per Invoice'!$F$2:$F$801,$N522)="","",INDEX('Per Invoice'!$F$2:$F$801,$N522)))</f>
        <v/>
      </c>
      <c r="G522">
        <f>IF($N522="","",IF(INDEX('Per Invoice'!$G$2:$G$801,$N522)="","",INDEX('Per Invoice'!$G$2:$G$801,$N522)))</f>
        <v/>
      </c>
      <c r="H522">
        <f>IF($N522="","",IF(INDEX('Per Invoice'!$H$2:$H$801,$N522)="","",INDEX('Per Invoice'!$H$2:$H$801,$N522)))</f>
        <v/>
      </c>
      <c r="I522" s="5">
        <f>IF($N522="","",IF(INDEX('Per Invoice'!$I$2:$I$801,$N522)="","",INDEX('Per Invoice'!$I$2:$I$801,$N522)))</f>
        <v/>
      </c>
      <c r="J522" s="5">
        <f>IF($N522="","",IF(INDEX('Per Invoice'!$J$2:$J$801,$N522)="","",INDEX('Per Invoice'!$J$2:$J$801,$N522)))</f>
        <v/>
      </c>
      <c r="K522" s="5">
        <f>IF($N522="","",IF(INDEX('Per Invoice'!$K$2:$K$801,$N522)="","",INDEX('Per Invoice'!$K$2:$K$801,$N522)))</f>
        <v/>
      </c>
      <c r="L522" s="5">
        <f>IF($N522="","",IF(INDEX('Per Invoice'!$L$2:$L$801,$N522)="","",INDEX('Per Invoice'!$L$2:$L$801,$N522)))</f>
        <v/>
      </c>
      <c r="M522" s="5">
        <f>IF($N522="","",IF(INDEX('Per Invoice'!$M$2:$M$801,$N522)="","",INDEX('Per Invoice'!$M$2:$M$801,$N522)))</f>
        <v/>
      </c>
      <c r="N522">
        <f>IF(ROWS($N$2:$N522)&lt;=COUNT('Per Invoice'!$P$2:$P$801),MATCH(ROWS($N$2:$N522),'Per Invoice'!$P$2:$P$801,0),"")</f>
        <v/>
      </c>
    </row>
    <row r="523">
      <c r="A523">
        <f>IF($N523="","",IF(INDEX('Per Invoice'!$A$2:$A$801,$N523)="","",INDEX('Per Invoice'!$A$2:$A$801,$N523)))</f>
        <v/>
      </c>
      <c r="B523">
        <f>IF($N523="","",IF(INDEX('Per Invoice'!$B$2:$B$801,$N523)="","",INDEX('Per Invoice'!$B$2:$B$801,$N523)))</f>
        <v/>
      </c>
      <c r="C523">
        <f>IF($N523="","",IF(INDEX('Per Invoice'!$C$2:$C$801,$N523)="","",INDEX('Per Invoice'!$C$2:$C$801,$N523)))</f>
        <v/>
      </c>
      <c r="D523">
        <f>IF($N523="","",IF(INDEX('Per Invoice'!$D$2:$D$801,$N523)="","",INDEX('Per Invoice'!$D$2:$D$801,$N523)))</f>
        <v/>
      </c>
      <c r="E523">
        <f>IF($N523="","",IF(INDEX('Per Invoice'!$E$2:$E$801,$N523)="","",INDEX('Per Invoice'!$E$2:$E$801,$N523)))</f>
        <v/>
      </c>
      <c r="F523">
        <f>IF($N523="","",IF(INDEX('Per Invoice'!$F$2:$F$801,$N523)="","",INDEX('Per Invoice'!$F$2:$F$801,$N523)))</f>
        <v/>
      </c>
      <c r="G523">
        <f>IF($N523="","",IF(INDEX('Per Invoice'!$G$2:$G$801,$N523)="","",INDEX('Per Invoice'!$G$2:$G$801,$N523)))</f>
        <v/>
      </c>
      <c r="H523">
        <f>IF($N523="","",IF(INDEX('Per Invoice'!$H$2:$H$801,$N523)="","",INDEX('Per Invoice'!$H$2:$H$801,$N523)))</f>
        <v/>
      </c>
      <c r="I523" s="5">
        <f>IF($N523="","",IF(INDEX('Per Invoice'!$I$2:$I$801,$N523)="","",INDEX('Per Invoice'!$I$2:$I$801,$N523)))</f>
        <v/>
      </c>
      <c r="J523" s="5">
        <f>IF($N523="","",IF(INDEX('Per Invoice'!$J$2:$J$801,$N523)="","",INDEX('Per Invoice'!$J$2:$J$801,$N523)))</f>
        <v/>
      </c>
      <c r="K523" s="5">
        <f>IF($N523="","",IF(INDEX('Per Invoice'!$K$2:$K$801,$N523)="","",INDEX('Per Invoice'!$K$2:$K$801,$N523)))</f>
        <v/>
      </c>
      <c r="L523" s="5">
        <f>IF($N523="","",IF(INDEX('Per Invoice'!$L$2:$L$801,$N523)="","",INDEX('Per Invoice'!$L$2:$L$801,$N523)))</f>
        <v/>
      </c>
      <c r="M523" s="5">
        <f>IF($N523="","",IF(INDEX('Per Invoice'!$M$2:$M$801,$N523)="","",INDEX('Per Invoice'!$M$2:$M$801,$N523)))</f>
        <v/>
      </c>
      <c r="N523">
        <f>IF(ROWS($N$2:$N523)&lt;=COUNT('Per Invoice'!$P$2:$P$801),MATCH(ROWS($N$2:$N523),'Per Invoice'!$P$2:$P$801,0),"")</f>
        <v/>
      </c>
    </row>
    <row r="524">
      <c r="A524">
        <f>IF($N524="","",IF(INDEX('Per Invoice'!$A$2:$A$801,$N524)="","",INDEX('Per Invoice'!$A$2:$A$801,$N524)))</f>
        <v/>
      </c>
      <c r="B524">
        <f>IF($N524="","",IF(INDEX('Per Invoice'!$B$2:$B$801,$N524)="","",INDEX('Per Invoice'!$B$2:$B$801,$N524)))</f>
        <v/>
      </c>
      <c r="C524">
        <f>IF($N524="","",IF(INDEX('Per Invoice'!$C$2:$C$801,$N524)="","",INDEX('Per Invoice'!$C$2:$C$801,$N524)))</f>
        <v/>
      </c>
      <c r="D524">
        <f>IF($N524="","",IF(INDEX('Per Invoice'!$D$2:$D$801,$N524)="","",INDEX('Per Invoice'!$D$2:$D$801,$N524)))</f>
        <v/>
      </c>
      <c r="E524">
        <f>IF($N524="","",IF(INDEX('Per Invoice'!$E$2:$E$801,$N524)="","",INDEX('Per Invoice'!$E$2:$E$801,$N524)))</f>
        <v/>
      </c>
      <c r="F524">
        <f>IF($N524="","",IF(INDEX('Per Invoice'!$F$2:$F$801,$N524)="","",INDEX('Per Invoice'!$F$2:$F$801,$N524)))</f>
        <v/>
      </c>
      <c r="G524">
        <f>IF($N524="","",IF(INDEX('Per Invoice'!$G$2:$G$801,$N524)="","",INDEX('Per Invoice'!$G$2:$G$801,$N524)))</f>
        <v/>
      </c>
      <c r="H524">
        <f>IF($N524="","",IF(INDEX('Per Invoice'!$H$2:$H$801,$N524)="","",INDEX('Per Invoice'!$H$2:$H$801,$N524)))</f>
        <v/>
      </c>
      <c r="I524" s="5">
        <f>IF($N524="","",IF(INDEX('Per Invoice'!$I$2:$I$801,$N524)="","",INDEX('Per Invoice'!$I$2:$I$801,$N524)))</f>
        <v/>
      </c>
      <c r="J524" s="5">
        <f>IF($N524="","",IF(INDEX('Per Invoice'!$J$2:$J$801,$N524)="","",INDEX('Per Invoice'!$J$2:$J$801,$N524)))</f>
        <v/>
      </c>
      <c r="K524" s="5">
        <f>IF($N524="","",IF(INDEX('Per Invoice'!$K$2:$K$801,$N524)="","",INDEX('Per Invoice'!$K$2:$K$801,$N524)))</f>
        <v/>
      </c>
      <c r="L524" s="5">
        <f>IF($N524="","",IF(INDEX('Per Invoice'!$L$2:$L$801,$N524)="","",INDEX('Per Invoice'!$L$2:$L$801,$N524)))</f>
        <v/>
      </c>
      <c r="M524" s="5">
        <f>IF($N524="","",IF(INDEX('Per Invoice'!$M$2:$M$801,$N524)="","",INDEX('Per Invoice'!$M$2:$M$801,$N524)))</f>
        <v/>
      </c>
      <c r="N524">
        <f>IF(ROWS($N$2:$N524)&lt;=COUNT('Per Invoice'!$P$2:$P$801),MATCH(ROWS($N$2:$N524),'Per Invoice'!$P$2:$P$801,0),"")</f>
        <v/>
      </c>
    </row>
    <row r="525">
      <c r="A525">
        <f>IF($N525="","",IF(INDEX('Per Invoice'!$A$2:$A$801,$N525)="","",INDEX('Per Invoice'!$A$2:$A$801,$N525)))</f>
        <v/>
      </c>
      <c r="B525">
        <f>IF($N525="","",IF(INDEX('Per Invoice'!$B$2:$B$801,$N525)="","",INDEX('Per Invoice'!$B$2:$B$801,$N525)))</f>
        <v/>
      </c>
      <c r="C525">
        <f>IF($N525="","",IF(INDEX('Per Invoice'!$C$2:$C$801,$N525)="","",INDEX('Per Invoice'!$C$2:$C$801,$N525)))</f>
        <v/>
      </c>
      <c r="D525">
        <f>IF($N525="","",IF(INDEX('Per Invoice'!$D$2:$D$801,$N525)="","",INDEX('Per Invoice'!$D$2:$D$801,$N525)))</f>
        <v/>
      </c>
      <c r="E525">
        <f>IF($N525="","",IF(INDEX('Per Invoice'!$E$2:$E$801,$N525)="","",INDEX('Per Invoice'!$E$2:$E$801,$N525)))</f>
        <v/>
      </c>
      <c r="F525">
        <f>IF($N525="","",IF(INDEX('Per Invoice'!$F$2:$F$801,$N525)="","",INDEX('Per Invoice'!$F$2:$F$801,$N525)))</f>
        <v/>
      </c>
      <c r="G525">
        <f>IF($N525="","",IF(INDEX('Per Invoice'!$G$2:$G$801,$N525)="","",INDEX('Per Invoice'!$G$2:$G$801,$N525)))</f>
        <v/>
      </c>
      <c r="H525">
        <f>IF($N525="","",IF(INDEX('Per Invoice'!$H$2:$H$801,$N525)="","",INDEX('Per Invoice'!$H$2:$H$801,$N525)))</f>
        <v/>
      </c>
      <c r="I525" s="5">
        <f>IF($N525="","",IF(INDEX('Per Invoice'!$I$2:$I$801,$N525)="","",INDEX('Per Invoice'!$I$2:$I$801,$N525)))</f>
        <v/>
      </c>
      <c r="J525" s="5">
        <f>IF($N525="","",IF(INDEX('Per Invoice'!$J$2:$J$801,$N525)="","",INDEX('Per Invoice'!$J$2:$J$801,$N525)))</f>
        <v/>
      </c>
      <c r="K525" s="5">
        <f>IF($N525="","",IF(INDEX('Per Invoice'!$K$2:$K$801,$N525)="","",INDEX('Per Invoice'!$K$2:$K$801,$N525)))</f>
        <v/>
      </c>
      <c r="L525" s="5">
        <f>IF($N525="","",IF(INDEX('Per Invoice'!$L$2:$L$801,$N525)="","",INDEX('Per Invoice'!$L$2:$L$801,$N525)))</f>
        <v/>
      </c>
      <c r="M525" s="5">
        <f>IF($N525="","",IF(INDEX('Per Invoice'!$M$2:$M$801,$N525)="","",INDEX('Per Invoice'!$M$2:$M$801,$N525)))</f>
        <v/>
      </c>
      <c r="N525">
        <f>IF(ROWS($N$2:$N525)&lt;=COUNT('Per Invoice'!$P$2:$P$801),MATCH(ROWS($N$2:$N525),'Per Invoice'!$P$2:$P$801,0),"")</f>
        <v/>
      </c>
    </row>
    <row r="526">
      <c r="A526">
        <f>IF($N526="","",IF(INDEX('Per Invoice'!$A$2:$A$801,$N526)="","",INDEX('Per Invoice'!$A$2:$A$801,$N526)))</f>
        <v/>
      </c>
      <c r="B526">
        <f>IF($N526="","",IF(INDEX('Per Invoice'!$B$2:$B$801,$N526)="","",INDEX('Per Invoice'!$B$2:$B$801,$N526)))</f>
        <v/>
      </c>
      <c r="C526">
        <f>IF($N526="","",IF(INDEX('Per Invoice'!$C$2:$C$801,$N526)="","",INDEX('Per Invoice'!$C$2:$C$801,$N526)))</f>
        <v/>
      </c>
      <c r="D526">
        <f>IF($N526="","",IF(INDEX('Per Invoice'!$D$2:$D$801,$N526)="","",INDEX('Per Invoice'!$D$2:$D$801,$N526)))</f>
        <v/>
      </c>
      <c r="E526">
        <f>IF($N526="","",IF(INDEX('Per Invoice'!$E$2:$E$801,$N526)="","",INDEX('Per Invoice'!$E$2:$E$801,$N526)))</f>
        <v/>
      </c>
      <c r="F526">
        <f>IF($N526="","",IF(INDEX('Per Invoice'!$F$2:$F$801,$N526)="","",INDEX('Per Invoice'!$F$2:$F$801,$N526)))</f>
        <v/>
      </c>
      <c r="G526">
        <f>IF($N526="","",IF(INDEX('Per Invoice'!$G$2:$G$801,$N526)="","",INDEX('Per Invoice'!$G$2:$G$801,$N526)))</f>
        <v/>
      </c>
      <c r="H526">
        <f>IF($N526="","",IF(INDEX('Per Invoice'!$H$2:$H$801,$N526)="","",INDEX('Per Invoice'!$H$2:$H$801,$N526)))</f>
        <v/>
      </c>
      <c r="I526" s="5">
        <f>IF($N526="","",IF(INDEX('Per Invoice'!$I$2:$I$801,$N526)="","",INDEX('Per Invoice'!$I$2:$I$801,$N526)))</f>
        <v/>
      </c>
      <c r="J526" s="5">
        <f>IF($N526="","",IF(INDEX('Per Invoice'!$J$2:$J$801,$N526)="","",INDEX('Per Invoice'!$J$2:$J$801,$N526)))</f>
        <v/>
      </c>
      <c r="K526" s="5">
        <f>IF($N526="","",IF(INDEX('Per Invoice'!$K$2:$K$801,$N526)="","",INDEX('Per Invoice'!$K$2:$K$801,$N526)))</f>
        <v/>
      </c>
      <c r="L526" s="5">
        <f>IF($N526="","",IF(INDEX('Per Invoice'!$L$2:$L$801,$N526)="","",INDEX('Per Invoice'!$L$2:$L$801,$N526)))</f>
        <v/>
      </c>
      <c r="M526" s="5">
        <f>IF($N526="","",IF(INDEX('Per Invoice'!$M$2:$M$801,$N526)="","",INDEX('Per Invoice'!$M$2:$M$801,$N526)))</f>
        <v/>
      </c>
      <c r="N526">
        <f>IF(ROWS($N$2:$N526)&lt;=COUNT('Per Invoice'!$P$2:$P$801),MATCH(ROWS($N$2:$N526),'Per Invoice'!$P$2:$P$801,0),"")</f>
        <v/>
      </c>
    </row>
    <row r="527">
      <c r="A527">
        <f>IF($N527="","",IF(INDEX('Per Invoice'!$A$2:$A$801,$N527)="","",INDEX('Per Invoice'!$A$2:$A$801,$N527)))</f>
        <v/>
      </c>
      <c r="B527">
        <f>IF($N527="","",IF(INDEX('Per Invoice'!$B$2:$B$801,$N527)="","",INDEX('Per Invoice'!$B$2:$B$801,$N527)))</f>
        <v/>
      </c>
      <c r="C527">
        <f>IF($N527="","",IF(INDEX('Per Invoice'!$C$2:$C$801,$N527)="","",INDEX('Per Invoice'!$C$2:$C$801,$N527)))</f>
        <v/>
      </c>
      <c r="D527">
        <f>IF($N527="","",IF(INDEX('Per Invoice'!$D$2:$D$801,$N527)="","",INDEX('Per Invoice'!$D$2:$D$801,$N527)))</f>
        <v/>
      </c>
      <c r="E527">
        <f>IF($N527="","",IF(INDEX('Per Invoice'!$E$2:$E$801,$N527)="","",INDEX('Per Invoice'!$E$2:$E$801,$N527)))</f>
        <v/>
      </c>
      <c r="F527">
        <f>IF($N527="","",IF(INDEX('Per Invoice'!$F$2:$F$801,$N527)="","",INDEX('Per Invoice'!$F$2:$F$801,$N527)))</f>
        <v/>
      </c>
      <c r="G527">
        <f>IF($N527="","",IF(INDEX('Per Invoice'!$G$2:$G$801,$N527)="","",INDEX('Per Invoice'!$G$2:$G$801,$N527)))</f>
        <v/>
      </c>
      <c r="H527">
        <f>IF($N527="","",IF(INDEX('Per Invoice'!$H$2:$H$801,$N527)="","",INDEX('Per Invoice'!$H$2:$H$801,$N527)))</f>
        <v/>
      </c>
      <c r="I527" s="5">
        <f>IF($N527="","",IF(INDEX('Per Invoice'!$I$2:$I$801,$N527)="","",INDEX('Per Invoice'!$I$2:$I$801,$N527)))</f>
        <v/>
      </c>
      <c r="J527" s="5">
        <f>IF($N527="","",IF(INDEX('Per Invoice'!$J$2:$J$801,$N527)="","",INDEX('Per Invoice'!$J$2:$J$801,$N527)))</f>
        <v/>
      </c>
      <c r="K527" s="5">
        <f>IF($N527="","",IF(INDEX('Per Invoice'!$K$2:$K$801,$N527)="","",INDEX('Per Invoice'!$K$2:$K$801,$N527)))</f>
        <v/>
      </c>
      <c r="L527" s="5">
        <f>IF($N527="","",IF(INDEX('Per Invoice'!$L$2:$L$801,$N527)="","",INDEX('Per Invoice'!$L$2:$L$801,$N527)))</f>
        <v/>
      </c>
      <c r="M527" s="5">
        <f>IF($N527="","",IF(INDEX('Per Invoice'!$M$2:$M$801,$N527)="","",INDEX('Per Invoice'!$M$2:$M$801,$N527)))</f>
        <v/>
      </c>
      <c r="N527">
        <f>IF(ROWS($N$2:$N527)&lt;=COUNT('Per Invoice'!$P$2:$P$801),MATCH(ROWS($N$2:$N527),'Per Invoice'!$P$2:$P$801,0),"")</f>
        <v/>
      </c>
    </row>
    <row r="528">
      <c r="A528">
        <f>IF($N528="","",IF(INDEX('Per Invoice'!$A$2:$A$801,$N528)="","",INDEX('Per Invoice'!$A$2:$A$801,$N528)))</f>
        <v/>
      </c>
      <c r="B528">
        <f>IF($N528="","",IF(INDEX('Per Invoice'!$B$2:$B$801,$N528)="","",INDEX('Per Invoice'!$B$2:$B$801,$N528)))</f>
        <v/>
      </c>
      <c r="C528">
        <f>IF($N528="","",IF(INDEX('Per Invoice'!$C$2:$C$801,$N528)="","",INDEX('Per Invoice'!$C$2:$C$801,$N528)))</f>
        <v/>
      </c>
      <c r="D528">
        <f>IF($N528="","",IF(INDEX('Per Invoice'!$D$2:$D$801,$N528)="","",INDEX('Per Invoice'!$D$2:$D$801,$N528)))</f>
        <v/>
      </c>
      <c r="E528">
        <f>IF($N528="","",IF(INDEX('Per Invoice'!$E$2:$E$801,$N528)="","",INDEX('Per Invoice'!$E$2:$E$801,$N528)))</f>
        <v/>
      </c>
      <c r="F528">
        <f>IF($N528="","",IF(INDEX('Per Invoice'!$F$2:$F$801,$N528)="","",INDEX('Per Invoice'!$F$2:$F$801,$N528)))</f>
        <v/>
      </c>
      <c r="G528">
        <f>IF($N528="","",IF(INDEX('Per Invoice'!$G$2:$G$801,$N528)="","",INDEX('Per Invoice'!$G$2:$G$801,$N528)))</f>
        <v/>
      </c>
      <c r="H528">
        <f>IF($N528="","",IF(INDEX('Per Invoice'!$H$2:$H$801,$N528)="","",INDEX('Per Invoice'!$H$2:$H$801,$N528)))</f>
        <v/>
      </c>
      <c r="I528" s="5">
        <f>IF($N528="","",IF(INDEX('Per Invoice'!$I$2:$I$801,$N528)="","",INDEX('Per Invoice'!$I$2:$I$801,$N528)))</f>
        <v/>
      </c>
      <c r="J528" s="5">
        <f>IF($N528="","",IF(INDEX('Per Invoice'!$J$2:$J$801,$N528)="","",INDEX('Per Invoice'!$J$2:$J$801,$N528)))</f>
        <v/>
      </c>
      <c r="K528" s="5">
        <f>IF($N528="","",IF(INDEX('Per Invoice'!$K$2:$K$801,$N528)="","",INDEX('Per Invoice'!$K$2:$K$801,$N528)))</f>
        <v/>
      </c>
      <c r="L528" s="5">
        <f>IF($N528="","",IF(INDEX('Per Invoice'!$L$2:$L$801,$N528)="","",INDEX('Per Invoice'!$L$2:$L$801,$N528)))</f>
        <v/>
      </c>
      <c r="M528" s="5">
        <f>IF($N528="","",IF(INDEX('Per Invoice'!$M$2:$M$801,$N528)="","",INDEX('Per Invoice'!$M$2:$M$801,$N528)))</f>
        <v/>
      </c>
      <c r="N528">
        <f>IF(ROWS($N$2:$N528)&lt;=COUNT('Per Invoice'!$P$2:$P$801),MATCH(ROWS($N$2:$N528),'Per Invoice'!$P$2:$P$801,0),"")</f>
        <v/>
      </c>
    </row>
    <row r="529">
      <c r="A529">
        <f>IF($N529="","",IF(INDEX('Per Invoice'!$A$2:$A$801,$N529)="","",INDEX('Per Invoice'!$A$2:$A$801,$N529)))</f>
        <v/>
      </c>
      <c r="B529">
        <f>IF($N529="","",IF(INDEX('Per Invoice'!$B$2:$B$801,$N529)="","",INDEX('Per Invoice'!$B$2:$B$801,$N529)))</f>
        <v/>
      </c>
      <c r="C529">
        <f>IF($N529="","",IF(INDEX('Per Invoice'!$C$2:$C$801,$N529)="","",INDEX('Per Invoice'!$C$2:$C$801,$N529)))</f>
        <v/>
      </c>
      <c r="D529">
        <f>IF($N529="","",IF(INDEX('Per Invoice'!$D$2:$D$801,$N529)="","",INDEX('Per Invoice'!$D$2:$D$801,$N529)))</f>
        <v/>
      </c>
      <c r="E529">
        <f>IF($N529="","",IF(INDEX('Per Invoice'!$E$2:$E$801,$N529)="","",INDEX('Per Invoice'!$E$2:$E$801,$N529)))</f>
        <v/>
      </c>
      <c r="F529">
        <f>IF($N529="","",IF(INDEX('Per Invoice'!$F$2:$F$801,$N529)="","",INDEX('Per Invoice'!$F$2:$F$801,$N529)))</f>
        <v/>
      </c>
      <c r="G529">
        <f>IF($N529="","",IF(INDEX('Per Invoice'!$G$2:$G$801,$N529)="","",INDEX('Per Invoice'!$G$2:$G$801,$N529)))</f>
        <v/>
      </c>
      <c r="H529">
        <f>IF($N529="","",IF(INDEX('Per Invoice'!$H$2:$H$801,$N529)="","",INDEX('Per Invoice'!$H$2:$H$801,$N529)))</f>
        <v/>
      </c>
      <c r="I529" s="5">
        <f>IF($N529="","",IF(INDEX('Per Invoice'!$I$2:$I$801,$N529)="","",INDEX('Per Invoice'!$I$2:$I$801,$N529)))</f>
        <v/>
      </c>
      <c r="J529" s="5">
        <f>IF($N529="","",IF(INDEX('Per Invoice'!$J$2:$J$801,$N529)="","",INDEX('Per Invoice'!$J$2:$J$801,$N529)))</f>
        <v/>
      </c>
      <c r="K529" s="5">
        <f>IF($N529="","",IF(INDEX('Per Invoice'!$K$2:$K$801,$N529)="","",INDEX('Per Invoice'!$K$2:$K$801,$N529)))</f>
        <v/>
      </c>
      <c r="L529" s="5">
        <f>IF($N529="","",IF(INDEX('Per Invoice'!$L$2:$L$801,$N529)="","",INDEX('Per Invoice'!$L$2:$L$801,$N529)))</f>
        <v/>
      </c>
      <c r="M529" s="5">
        <f>IF($N529="","",IF(INDEX('Per Invoice'!$M$2:$M$801,$N529)="","",INDEX('Per Invoice'!$M$2:$M$801,$N529)))</f>
        <v/>
      </c>
      <c r="N529">
        <f>IF(ROWS($N$2:$N529)&lt;=COUNT('Per Invoice'!$P$2:$P$801),MATCH(ROWS($N$2:$N529),'Per Invoice'!$P$2:$P$801,0),"")</f>
        <v/>
      </c>
    </row>
    <row r="530">
      <c r="A530">
        <f>IF($N530="","",IF(INDEX('Per Invoice'!$A$2:$A$801,$N530)="","",INDEX('Per Invoice'!$A$2:$A$801,$N530)))</f>
        <v/>
      </c>
      <c r="B530">
        <f>IF($N530="","",IF(INDEX('Per Invoice'!$B$2:$B$801,$N530)="","",INDEX('Per Invoice'!$B$2:$B$801,$N530)))</f>
        <v/>
      </c>
      <c r="C530">
        <f>IF($N530="","",IF(INDEX('Per Invoice'!$C$2:$C$801,$N530)="","",INDEX('Per Invoice'!$C$2:$C$801,$N530)))</f>
        <v/>
      </c>
      <c r="D530">
        <f>IF($N530="","",IF(INDEX('Per Invoice'!$D$2:$D$801,$N530)="","",INDEX('Per Invoice'!$D$2:$D$801,$N530)))</f>
        <v/>
      </c>
      <c r="E530">
        <f>IF($N530="","",IF(INDEX('Per Invoice'!$E$2:$E$801,$N530)="","",INDEX('Per Invoice'!$E$2:$E$801,$N530)))</f>
        <v/>
      </c>
      <c r="F530">
        <f>IF($N530="","",IF(INDEX('Per Invoice'!$F$2:$F$801,$N530)="","",INDEX('Per Invoice'!$F$2:$F$801,$N530)))</f>
        <v/>
      </c>
      <c r="G530">
        <f>IF($N530="","",IF(INDEX('Per Invoice'!$G$2:$G$801,$N530)="","",INDEX('Per Invoice'!$G$2:$G$801,$N530)))</f>
        <v/>
      </c>
      <c r="H530">
        <f>IF($N530="","",IF(INDEX('Per Invoice'!$H$2:$H$801,$N530)="","",INDEX('Per Invoice'!$H$2:$H$801,$N530)))</f>
        <v/>
      </c>
      <c r="I530" s="5">
        <f>IF($N530="","",IF(INDEX('Per Invoice'!$I$2:$I$801,$N530)="","",INDEX('Per Invoice'!$I$2:$I$801,$N530)))</f>
        <v/>
      </c>
      <c r="J530" s="5">
        <f>IF($N530="","",IF(INDEX('Per Invoice'!$J$2:$J$801,$N530)="","",INDEX('Per Invoice'!$J$2:$J$801,$N530)))</f>
        <v/>
      </c>
      <c r="K530" s="5">
        <f>IF($N530="","",IF(INDEX('Per Invoice'!$K$2:$K$801,$N530)="","",INDEX('Per Invoice'!$K$2:$K$801,$N530)))</f>
        <v/>
      </c>
      <c r="L530" s="5">
        <f>IF($N530="","",IF(INDEX('Per Invoice'!$L$2:$L$801,$N530)="","",INDEX('Per Invoice'!$L$2:$L$801,$N530)))</f>
        <v/>
      </c>
      <c r="M530" s="5">
        <f>IF($N530="","",IF(INDEX('Per Invoice'!$M$2:$M$801,$N530)="","",INDEX('Per Invoice'!$M$2:$M$801,$N530)))</f>
        <v/>
      </c>
      <c r="N530">
        <f>IF(ROWS($N$2:$N530)&lt;=COUNT('Per Invoice'!$P$2:$P$801),MATCH(ROWS($N$2:$N530),'Per Invoice'!$P$2:$P$801,0),"")</f>
        <v/>
      </c>
    </row>
    <row r="531">
      <c r="A531">
        <f>IF($N531="","",IF(INDEX('Per Invoice'!$A$2:$A$801,$N531)="","",INDEX('Per Invoice'!$A$2:$A$801,$N531)))</f>
        <v/>
      </c>
      <c r="B531">
        <f>IF($N531="","",IF(INDEX('Per Invoice'!$B$2:$B$801,$N531)="","",INDEX('Per Invoice'!$B$2:$B$801,$N531)))</f>
        <v/>
      </c>
      <c r="C531">
        <f>IF($N531="","",IF(INDEX('Per Invoice'!$C$2:$C$801,$N531)="","",INDEX('Per Invoice'!$C$2:$C$801,$N531)))</f>
        <v/>
      </c>
      <c r="D531">
        <f>IF($N531="","",IF(INDEX('Per Invoice'!$D$2:$D$801,$N531)="","",INDEX('Per Invoice'!$D$2:$D$801,$N531)))</f>
        <v/>
      </c>
      <c r="E531">
        <f>IF($N531="","",IF(INDEX('Per Invoice'!$E$2:$E$801,$N531)="","",INDEX('Per Invoice'!$E$2:$E$801,$N531)))</f>
        <v/>
      </c>
      <c r="F531">
        <f>IF($N531="","",IF(INDEX('Per Invoice'!$F$2:$F$801,$N531)="","",INDEX('Per Invoice'!$F$2:$F$801,$N531)))</f>
        <v/>
      </c>
      <c r="G531">
        <f>IF($N531="","",IF(INDEX('Per Invoice'!$G$2:$G$801,$N531)="","",INDEX('Per Invoice'!$G$2:$G$801,$N531)))</f>
        <v/>
      </c>
      <c r="H531">
        <f>IF($N531="","",IF(INDEX('Per Invoice'!$H$2:$H$801,$N531)="","",INDEX('Per Invoice'!$H$2:$H$801,$N531)))</f>
        <v/>
      </c>
      <c r="I531" s="5">
        <f>IF($N531="","",IF(INDEX('Per Invoice'!$I$2:$I$801,$N531)="","",INDEX('Per Invoice'!$I$2:$I$801,$N531)))</f>
        <v/>
      </c>
      <c r="J531" s="5">
        <f>IF($N531="","",IF(INDEX('Per Invoice'!$J$2:$J$801,$N531)="","",INDEX('Per Invoice'!$J$2:$J$801,$N531)))</f>
        <v/>
      </c>
      <c r="K531" s="5">
        <f>IF($N531="","",IF(INDEX('Per Invoice'!$K$2:$K$801,$N531)="","",INDEX('Per Invoice'!$K$2:$K$801,$N531)))</f>
        <v/>
      </c>
      <c r="L531" s="5">
        <f>IF($N531="","",IF(INDEX('Per Invoice'!$L$2:$L$801,$N531)="","",INDEX('Per Invoice'!$L$2:$L$801,$N531)))</f>
        <v/>
      </c>
      <c r="M531" s="5">
        <f>IF($N531="","",IF(INDEX('Per Invoice'!$M$2:$M$801,$N531)="","",INDEX('Per Invoice'!$M$2:$M$801,$N531)))</f>
        <v/>
      </c>
      <c r="N531">
        <f>IF(ROWS($N$2:$N531)&lt;=COUNT('Per Invoice'!$P$2:$P$801),MATCH(ROWS($N$2:$N531),'Per Invoice'!$P$2:$P$801,0),"")</f>
        <v/>
      </c>
    </row>
    <row r="532">
      <c r="A532">
        <f>IF($N532="","",IF(INDEX('Per Invoice'!$A$2:$A$801,$N532)="","",INDEX('Per Invoice'!$A$2:$A$801,$N532)))</f>
        <v/>
      </c>
      <c r="B532">
        <f>IF($N532="","",IF(INDEX('Per Invoice'!$B$2:$B$801,$N532)="","",INDEX('Per Invoice'!$B$2:$B$801,$N532)))</f>
        <v/>
      </c>
      <c r="C532">
        <f>IF($N532="","",IF(INDEX('Per Invoice'!$C$2:$C$801,$N532)="","",INDEX('Per Invoice'!$C$2:$C$801,$N532)))</f>
        <v/>
      </c>
      <c r="D532">
        <f>IF($N532="","",IF(INDEX('Per Invoice'!$D$2:$D$801,$N532)="","",INDEX('Per Invoice'!$D$2:$D$801,$N532)))</f>
        <v/>
      </c>
      <c r="E532">
        <f>IF($N532="","",IF(INDEX('Per Invoice'!$E$2:$E$801,$N532)="","",INDEX('Per Invoice'!$E$2:$E$801,$N532)))</f>
        <v/>
      </c>
      <c r="F532">
        <f>IF($N532="","",IF(INDEX('Per Invoice'!$F$2:$F$801,$N532)="","",INDEX('Per Invoice'!$F$2:$F$801,$N532)))</f>
        <v/>
      </c>
      <c r="G532">
        <f>IF($N532="","",IF(INDEX('Per Invoice'!$G$2:$G$801,$N532)="","",INDEX('Per Invoice'!$G$2:$G$801,$N532)))</f>
        <v/>
      </c>
      <c r="H532">
        <f>IF($N532="","",IF(INDEX('Per Invoice'!$H$2:$H$801,$N532)="","",INDEX('Per Invoice'!$H$2:$H$801,$N532)))</f>
        <v/>
      </c>
      <c r="I532" s="5">
        <f>IF($N532="","",IF(INDEX('Per Invoice'!$I$2:$I$801,$N532)="","",INDEX('Per Invoice'!$I$2:$I$801,$N532)))</f>
        <v/>
      </c>
      <c r="J532" s="5">
        <f>IF($N532="","",IF(INDEX('Per Invoice'!$J$2:$J$801,$N532)="","",INDEX('Per Invoice'!$J$2:$J$801,$N532)))</f>
        <v/>
      </c>
      <c r="K532" s="5">
        <f>IF($N532="","",IF(INDEX('Per Invoice'!$K$2:$K$801,$N532)="","",INDEX('Per Invoice'!$K$2:$K$801,$N532)))</f>
        <v/>
      </c>
      <c r="L532" s="5">
        <f>IF($N532="","",IF(INDEX('Per Invoice'!$L$2:$L$801,$N532)="","",INDEX('Per Invoice'!$L$2:$L$801,$N532)))</f>
        <v/>
      </c>
      <c r="M532" s="5">
        <f>IF($N532="","",IF(INDEX('Per Invoice'!$M$2:$M$801,$N532)="","",INDEX('Per Invoice'!$M$2:$M$801,$N532)))</f>
        <v/>
      </c>
      <c r="N532">
        <f>IF(ROWS($N$2:$N532)&lt;=COUNT('Per Invoice'!$P$2:$P$801),MATCH(ROWS($N$2:$N532),'Per Invoice'!$P$2:$P$801,0),"")</f>
        <v/>
      </c>
    </row>
    <row r="533">
      <c r="A533">
        <f>IF($N533="","",IF(INDEX('Per Invoice'!$A$2:$A$801,$N533)="","",INDEX('Per Invoice'!$A$2:$A$801,$N533)))</f>
        <v/>
      </c>
      <c r="B533">
        <f>IF($N533="","",IF(INDEX('Per Invoice'!$B$2:$B$801,$N533)="","",INDEX('Per Invoice'!$B$2:$B$801,$N533)))</f>
        <v/>
      </c>
      <c r="C533">
        <f>IF($N533="","",IF(INDEX('Per Invoice'!$C$2:$C$801,$N533)="","",INDEX('Per Invoice'!$C$2:$C$801,$N533)))</f>
        <v/>
      </c>
      <c r="D533">
        <f>IF($N533="","",IF(INDEX('Per Invoice'!$D$2:$D$801,$N533)="","",INDEX('Per Invoice'!$D$2:$D$801,$N533)))</f>
        <v/>
      </c>
      <c r="E533">
        <f>IF($N533="","",IF(INDEX('Per Invoice'!$E$2:$E$801,$N533)="","",INDEX('Per Invoice'!$E$2:$E$801,$N533)))</f>
        <v/>
      </c>
      <c r="F533">
        <f>IF($N533="","",IF(INDEX('Per Invoice'!$F$2:$F$801,$N533)="","",INDEX('Per Invoice'!$F$2:$F$801,$N533)))</f>
        <v/>
      </c>
      <c r="G533">
        <f>IF($N533="","",IF(INDEX('Per Invoice'!$G$2:$G$801,$N533)="","",INDEX('Per Invoice'!$G$2:$G$801,$N533)))</f>
        <v/>
      </c>
      <c r="H533">
        <f>IF($N533="","",IF(INDEX('Per Invoice'!$H$2:$H$801,$N533)="","",INDEX('Per Invoice'!$H$2:$H$801,$N533)))</f>
        <v/>
      </c>
      <c r="I533" s="5">
        <f>IF($N533="","",IF(INDEX('Per Invoice'!$I$2:$I$801,$N533)="","",INDEX('Per Invoice'!$I$2:$I$801,$N533)))</f>
        <v/>
      </c>
      <c r="J533" s="5">
        <f>IF($N533="","",IF(INDEX('Per Invoice'!$J$2:$J$801,$N533)="","",INDEX('Per Invoice'!$J$2:$J$801,$N533)))</f>
        <v/>
      </c>
      <c r="K533" s="5">
        <f>IF($N533="","",IF(INDEX('Per Invoice'!$K$2:$K$801,$N533)="","",INDEX('Per Invoice'!$K$2:$K$801,$N533)))</f>
        <v/>
      </c>
      <c r="L533" s="5">
        <f>IF($N533="","",IF(INDEX('Per Invoice'!$L$2:$L$801,$N533)="","",INDEX('Per Invoice'!$L$2:$L$801,$N533)))</f>
        <v/>
      </c>
      <c r="M533" s="5">
        <f>IF($N533="","",IF(INDEX('Per Invoice'!$M$2:$M$801,$N533)="","",INDEX('Per Invoice'!$M$2:$M$801,$N533)))</f>
        <v/>
      </c>
      <c r="N533">
        <f>IF(ROWS($N$2:$N533)&lt;=COUNT('Per Invoice'!$P$2:$P$801),MATCH(ROWS($N$2:$N533),'Per Invoice'!$P$2:$P$801,0),"")</f>
        <v/>
      </c>
    </row>
    <row r="534">
      <c r="A534">
        <f>IF($N534="","",IF(INDEX('Per Invoice'!$A$2:$A$801,$N534)="","",INDEX('Per Invoice'!$A$2:$A$801,$N534)))</f>
        <v/>
      </c>
      <c r="B534">
        <f>IF($N534="","",IF(INDEX('Per Invoice'!$B$2:$B$801,$N534)="","",INDEX('Per Invoice'!$B$2:$B$801,$N534)))</f>
        <v/>
      </c>
      <c r="C534">
        <f>IF($N534="","",IF(INDEX('Per Invoice'!$C$2:$C$801,$N534)="","",INDEX('Per Invoice'!$C$2:$C$801,$N534)))</f>
        <v/>
      </c>
      <c r="D534">
        <f>IF($N534="","",IF(INDEX('Per Invoice'!$D$2:$D$801,$N534)="","",INDEX('Per Invoice'!$D$2:$D$801,$N534)))</f>
        <v/>
      </c>
      <c r="E534">
        <f>IF($N534="","",IF(INDEX('Per Invoice'!$E$2:$E$801,$N534)="","",INDEX('Per Invoice'!$E$2:$E$801,$N534)))</f>
        <v/>
      </c>
      <c r="F534">
        <f>IF($N534="","",IF(INDEX('Per Invoice'!$F$2:$F$801,$N534)="","",INDEX('Per Invoice'!$F$2:$F$801,$N534)))</f>
        <v/>
      </c>
      <c r="G534">
        <f>IF($N534="","",IF(INDEX('Per Invoice'!$G$2:$G$801,$N534)="","",INDEX('Per Invoice'!$G$2:$G$801,$N534)))</f>
        <v/>
      </c>
      <c r="H534">
        <f>IF($N534="","",IF(INDEX('Per Invoice'!$H$2:$H$801,$N534)="","",INDEX('Per Invoice'!$H$2:$H$801,$N534)))</f>
        <v/>
      </c>
      <c r="I534" s="5">
        <f>IF($N534="","",IF(INDEX('Per Invoice'!$I$2:$I$801,$N534)="","",INDEX('Per Invoice'!$I$2:$I$801,$N534)))</f>
        <v/>
      </c>
      <c r="J534" s="5">
        <f>IF($N534="","",IF(INDEX('Per Invoice'!$J$2:$J$801,$N534)="","",INDEX('Per Invoice'!$J$2:$J$801,$N534)))</f>
        <v/>
      </c>
      <c r="K534" s="5">
        <f>IF($N534="","",IF(INDEX('Per Invoice'!$K$2:$K$801,$N534)="","",INDEX('Per Invoice'!$K$2:$K$801,$N534)))</f>
        <v/>
      </c>
      <c r="L534" s="5">
        <f>IF($N534="","",IF(INDEX('Per Invoice'!$L$2:$L$801,$N534)="","",INDEX('Per Invoice'!$L$2:$L$801,$N534)))</f>
        <v/>
      </c>
      <c r="M534" s="5">
        <f>IF($N534="","",IF(INDEX('Per Invoice'!$M$2:$M$801,$N534)="","",INDEX('Per Invoice'!$M$2:$M$801,$N534)))</f>
        <v/>
      </c>
      <c r="N534">
        <f>IF(ROWS($N$2:$N534)&lt;=COUNT('Per Invoice'!$P$2:$P$801),MATCH(ROWS($N$2:$N534),'Per Invoice'!$P$2:$P$801,0),"")</f>
        <v/>
      </c>
    </row>
    <row r="535">
      <c r="A535">
        <f>IF($N535="","",IF(INDEX('Per Invoice'!$A$2:$A$801,$N535)="","",INDEX('Per Invoice'!$A$2:$A$801,$N535)))</f>
        <v/>
      </c>
      <c r="B535">
        <f>IF($N535="","",IF(INDEX('Per Invoice'!$B$2:$B$801,$N535)="","",INDEX('Per Invoice'!$B$2:$B$801,$N535)))</f>
        <v/>
      </c>
      <c r="C535">
        <f>IF($N535="","",IF(INDEX('Per Invoice'!$C$2:$C$801,$N535)="","",INDEX('Per Invoice'!$C$2:$C$801,$N535)))</f>
        <v/>
      </c>
      <c r="D535">
        <f>IF($N535="","",IF(INDEX('Per Invoice'!$D$2:$D$801,$N535)="","",INDEX('Per Invoice'!$D$2:$D$801,$N535)))</f>
        <v/>
      </c>
      <c r="E535">
        <f>IF($N535="","",IF(INDEX('Per Invoice'!$E$2:$E$801,$N535)="","",INDEX('Per Invoice'!$E$2:$E$801,$N535)))</f>
        <v/>
      </c>
      <c r="F535">
        <f>IF($N535="","",IF(INDEX('Per Invoice'!$F$2:$F$801,$N535)="","",INDEX('Per Invoice'!$F$2:$F$801,$N535)))</f>
        <v/>
      </c>
      <c r="G535">
        <f>IF($N535="","",IF(INDEX('Per Invoice'!$G$2:$G$801,$N535)="","",INDEX('Per Invoice'!$G$2:$G$801,$N535)))</f>
        <v/>
      </c>
      <c r="H535">
        <f>IF($N535="","",IF(INDEX('Per Invoice'!$H$2:$H$801,$N535)="","",INDEX('Per Invoice'!$H$2:$H$801,$N535)))</f>
        <v/>
      </c>
      <c r="I535" s="5">
        <f>IF($N535="","",IF(INDEX('Per Invoice'!$I$2:$I$801,$N535)="","",INDEX('Per Invoice'!$I$2:$I$801,$N535)))</f>
        <v/>
      </c>
      <c r="J535" s="5">
        <f>IF($N535="","",IF(INDEX('Per Invoice'!$J$2:$J$801,$N535)="","",INDEX('Per Invoice'!$J$2:$J$801,$N535)))</f>
        <v/>
      </c>
      <c r="K535" s="5">
        <f>IF($N535="","",IF(INDEX('Per Invoice'!$K$2:$K$801,$N535)="","",INDEX('Per Invoice'!$K$2:$K$801,$N535)))</f>
        <v/>
      </c>
      <c r="L535" s="5">
        <f>IF($N535="","",IF(INDEX('Per Invoice'!$L$2:$L$801,$N535)="","",INDEX('Per Invoice'!$L$2:$L$801,$N535)))</f>
        <v/>
      </c>
      <c r="M535" s="5">
        <f>IF($N535="","",IF(INDEX('Per Invoice'!$M$2:$M$801,$N535)="","",INDEX('Per Invoice'!$M$2:$M$801,$N535)))</f>
        <v/>
      </c>
      <c r="N535">
        <f>IF(ROWS($N$2:$N535)&lt;=COUNT('Per Invoice'!$P$2:$P$801),MATCH(ROWS($N$2:$N535),'Per Invoice'!$P$2:$P$801,0),"")</f>
        <v/>
      </c>
    </row>
    <row r="536">
      <c r="A536">
        <f>IF($N536="","",IF(INDEX('Per Invoice'!$A$2:$A$801,$N536)="","",INDEX('Per Invoice'!$A$2:$A$801,$N536)))</f>
        <v/>
      </c>
      <c r="B536">
        <f>IF($N536="","",IF(INDEX('Per Invoice'!$B$2:$B$801,$N536)="","",INDEX('Per Invoice'!$B$2:$B$801,$N536)))</f>
        <v/>
      </c>
      <c r="C536">
        <f>IF($N536="","",IF(INDEX('Per Invoice'!$C$2:$C$801,$N536)="","",INDEX('Per Invoice'!$C$2:$C$801,$N536)))</f>
        <v/>
      </c>
      <c r="D536">
        <f>IF($N536="","",IF(INDEX('Per Invoice'!$D$2:$D$801,$N536)="","",INDEX('Per Invoice'!$D$2:$D$801,$N536)))</f>
        <v/>
      </c>
      <c r="E536">
        <f>IF($N536="","",IF(INDEX('Per Invoice'!$E$2:$E$801,$N536)="","",INDEX('Per Invoice'!$E$2:$E$801,$N536)))</f>
        <v/>
      </c>
      <c r="F536">
        <f>IF($N536="","",IF(INDEX('Per Invoice'!$F$2:$F$801,$N536)="","",INDEX('Per Invoice'!$F$2:$F$801,$N536)))</f>
        <v/>
      </c>
      <c r="G536">
        <f>IF($N536="","",IF(INDEX('Per Invoice'!$G$2:$G$801,$N536)="","",INDEX('Per Invoice'!$G$2:$G$801,$N536)))</f>
        <v/>
      </c>
      <c r="H536">
        <f>IF($N536="","",IF(INDEX('Per Invoice'!$H$2:$H$801,$N536)="","",INDEX('Per Invoice'!$H$2:$H$801,$N536)))</f>
        <v/>
      </c>
      <c r="I536" s="5">
        <f>IF($N536="","",IF(INDEX('Per Invoice'!$I$2:$I$801,$N536)="","",INDEX('Per Invoice'!$I$2:$I$801,$N536)))</f>
        <v/>
      </c>
      <c r="J536" s="5">
        <f>IF($N536="","",IF(INDEX('Per Invoice'!$J$2:$J$801,$N536)="","",INDEX('Per Invoice'!$J$2:$J$801,$N536)))</f>
        <v/>
      </c>
      <c r="K536" s="5">
        <f>IF($N536="","",IF(INDEX('Per Invoice'!$K$2:$K$801,$N536)="","",INDEX('Per Invoice'!$K$2:$K$801,$N536)))</f>
        <v/>
      </c>
      <c r="L536" s="5">
        <f>IF($N536="","",IF(INDEX('Per Invoice'!$L$2:$L$801,$N536)="","",INDEX('Per Invoice'!$L$2:$L$801,$N536)))</f>
        <v/>
      </c>
      <c r="M536" s="5">
        <f>IF($N536="","",IF(INDEX('Per Invoice'!$M$2:$M$801,$N536)="","",INDEX('Per Invoice'!$M$2:$M$801,$N536)))</f>
        <v/>
      </c>
      <c r="N536">
        <f>IF(ROWS($N$2:$N536)&lt;=COUNT('Per Invoice'!$P$2:$P$801),MATCH(ROWS($N$2:$N536),'Per Invoice'!$P$2:$P$801,0),"")</f>
        <v/>
      </c>
    </row>
    <row r="537">
      <c r="A537">
        <f>IF($N537="","",IF(INDEX('Per Invoice'!$A$2:$A$801,$N537)="","",INDEX('Per Invoice'!$A$2:$A$801,$N537)))</f>
        <v/>
      </c>
      <c r="B537">
        <f>IF($N537="","",IF(INDEX('Per Invoice'!$B$2:$B$801,$N537)="","",INDEX('Per Invoice'!$B$2:$B$801,$N537)))</f>
        <v/>
      </c>
      <c r="C537">
        <f>IF($N537="","",IF(INDEX('Per Invoice'!$C$2:$C$801,$N537)="","",INDEX('Per Invoice'!$C$2:$C$801,$N537)))</f>
        <v/>
      </c>
      <c r="D537">
        <f>IF($N537="","",IF(INDEX('Per Invoice'!$D$2:$D$801,$N537)="","",INDEX('Per Invoice'!$D$2:$D$801,$N537)))</f>
        <v/>
      </c>
      <c r="E537">
        <f>IF($N537="","",IF(INDEX('Per Invoice'!$E$2:$E$801,$N537)="","",INDEX('Per Invoice'!$E$2:$E$801,$N537)))</f>
        <v/>
      </c>
      <c r="F537">
        <f>IF($N537="","",IF(INDEX('Per Invoice'!$F$2:$F$801,$N537)="","",INDEX('Per Invoice'!$F$2:$F$801,$N537)))</f>
        <v/>
      </c>
      <c r="G537">
        <f>IF($N537="","",IF(INDEX('Per Invoice'!$G$2:$G$801,$N537)="","",INDEX('Per Invoice'!$G$2:$G$801,$N537)))</f>
        <v/>
      </c>
      <c r="H537">
        <f>IF($N537="","",IF(INDEX('Per Invoice'!$H$2:$H$801,$N537)="","",INDEX('Per Invoice'!$H$2:$H$801,$N537)))</f>
        <v/>
      </c>
      <c r="I537" s="5">
        <f>IF($N537="","",IF(INDEX('Per Invoice'!$I$2:$I$801,$N537)="","",INDEX('Per Invoice'!$I$2:$I$801,$N537)))</f>
        <v/>
      </c>
      <c r="J537" s="5">
        <f>IF($N537="","",IF(INDEX('Per Invoice'!$J$2:$J$801,$N537)="","",INDEX('Per Invoice'!$J$2:$J$801,$N537)))</f>
        <v/>
      </c>
      <c r="K537" s="5">
        <f>IF($N537="","",IF(INDEX('Per Invoice'!$K$2:$K$801,$N537)="","",INDEX('Per Invoice'!$K$2:$K$801,$N537)))</f>
        <v/>
      </c>
      <c r="L537" s="5">
        <f>IF($N537="","",IF(INDEX('Per Invoice'!$L$2:$L$801,$N537)="","",INDEX('Per Invoice'!$L$2:$L$801,$N537)))</f>
        <v/>
      </c>
      <c r="M537" s="5">
        <f>IF($N537="","",IF(INDEX('Per Invoice'!$M$2:$M$801,$N537)="","",INDEX('Per Invoice'!$M$2:$M$801,$N537)))</f>
        <v/>
      </c>
      <c r="N537">
        <f>IF(ROWS($N$2:$N537)&lt;=COUNT('Per Invoice'!$P$2:$P$801),MATCH(ROWS($N$2:$N537),'Per Invoice'!$P$2:$P$801,0),"")</f>
        <v/>
      </c>
    </row>
    <row r="538">
      <c r="A538">
        <f>IF($N538="","",IF(INDEX('Per Invoice'!$A$2:$A$801,$N538)="","",INDEX('Per Invoice'!$A$2:$A$801,$N538)))</f>
        <v/>
      </c>
      <c r="B538">
        <f>IF($N538="","",IF(INDEX('Per Invoice'!$B$2:$B$801,$N538)="","",INDEX('Per Invoice'!$B$2:$B$801,$N538)))</f>
        <v/>
      </c>
      <c r="C538">
        <f>IF($N538="","",IF(INDEX('Per Invoice'!$C$2:$C$801,$N538)="","",INDEX('Per Invoice'!$C$2:$C$801,$N538)))</f>
        <v/>
      </c>
      <c r="D538">
        <f>IF($N538="","",IF(INDEX('Per Invoice'!$D$2:$D$801,$N538)="","",INDEX('Per Invoice'!$D$2:$D$801,$N538)))</f>
        <v/>
      </c>
      <c r="E538">
        <f>IF($N538="","",IF(INDEX('Per Invoice'!$E$2:$E$801,$N538)="","",INDEX('Per Invoice'!$E$2:$E$801,$N538)))</f>
        <v/>
      </c>
      <c r="F538">
        <f>IF($N538="","",IF(INDEX('Per Invoice'!$F$2:$F$801,$N538)="","",INDEX('Per Invoice'!$F$2:$F$801,$N538)))</f>
        <v/>
      </c>
      <c r="G538">
        <f>IF($N538="","",IF(INDEX('Per Invoice'!$G$2:$G$801,$N538)="","",INDEX('Per Invoice'!$G$2:$G$801,$N538)))</f>
        <v/>
      </c>
      <c r="H538">
        <f>IF($N538="","",IF(INDEX('Per Invoice'!$H$2:$H$801,$N538)="","",INDEX('Per Invoice'!$H$2:$H$801,$N538)))</f>
        <v/>
      </c>
      <c r="I538" s="5">
        <f>IF($N538="","",IF(INDEX('Per Invoice'!$I$2:$I$801,$N538)="","",INDEX('Per Invoice'!$I$2:$I$801,$N538)))</f>
        <v/>
      </c>
      <c r="J538" s="5">
        <f>IF($N538="","",IF(INDEX('Per Invoice'!$J$2:$J$801,$N538)="","",INDEX('Per Invoice'!$J$2:$J$801,$N538)))</f>
        <v/>
      </c>
      <c r="K538" s="5">
        <f>IF($N538="","",IF(INDEX('Per Invoice'!$K$2:$K$801,$N538)="","",INDEX('Per Invoice'!$K$2:$K$801,$N538)))</f>
        <v/>
      </c>
      <c r="L538" s="5">
        <f>IF($N538="","",IF(INDEX('Per Invoice'!$L$2:$L$801,$N538)="","",INDEX('Per Invoice'!$L$2:$L$801,$N538)))</f>
        <v/>
      </c>
      <c r="M538" s="5">
        <f>IF($N538="","",IF(INDEX('Per Invoice'!$M$2:$M$801,$N538)="","",INDEX('Per Invoice'!$M$2:$M$801,$N538)))</f>
        <v/>
      </c>
      <c r="N538">
        <f>IF(ROWS($N$2:$N538)&lt;=COUNT('Per Invoice'!$P$2:$P$801),MATCH(ROWS($N$2:$N538),'Per Invoice'!$P$2:$P$801,0),"")</f>
        <v/>
      </c>
    </row>
    <row r="539">
      <c r="A539">
        <f>IF($N539="","",IF(INDEX('Per Invoice'!$A$2:$A$801,$N539)="","",INDEX('Per Invoice'!$A$2:$A$801,$N539)))</f>
        <v/>
      </c>
      <c r="B539">
        <f>IF($N539="","",IF(INDEX('Per Invoice'!$B$2:$B$801,$N539)="","",INDEX('Per Invoice'!$B$2:$B$801,$N539)))</f>
        <v/>
      </c>
      <c r="C539">
        <f>IF($N539="","",IF(INDEX('Per Invoice'!$C$2:$C$801,$N539)="","",INDEX('Per Invoice'!$C$2:$C$801,$N539)))</f>
        <v/>
      </c>
      <c r="D539">
        <f>IF($N539="","",IF(INDEX('Per Invoice'!$D$2:$D$801,$N539)="","",INDEX('Per Invoice'!$D$2:$D$801,$N539)))</f>
        <v/>
      </c>
      <c r="E539">
        <f>IF($N539="","",IF(INDEX('Per Invoice'!$E$2:$E$801,$N539)="","",INDEX('Per Invoice'!$E$2:$E$801,$N539)))</f>
        <v/>
      </c>
      <c r="F539">
        <f>IF($N539="","",IF(INDEX('Per Invoice'!$F$2:$F$801,$N539)="","",INDEX('Per Invoice'!$F$2:$F$801,$N539)))</f>
        <v/>
      </c>
      <c r="G539">
        <f>IF($N539="","",IF(INDEX('Per Invoice'!$G$2:$G$801,$N539)="","",INDEX('Per Invoice'!$G$2:$G$801,$N539)))</f>
        <v/>
      </c>
      <c r="H539">
        <f>IF($N539="","",IF(INDEX('Per Invoice'!$H$2:$H$801,$N539)="","",INDEX('Per Invoice'!$H$2:$H$801,$N539)))</f>
        <v/>
      </c>
      <c r="I539" s="5">
        <f>IF($N539="","",IF(INDEX('Per Invoice'!$I$2:$I$801,$N539)="","",INDEX('Per Invoice'!$I$2:$I$801,$N539)))</f>
        <v/>
      </c>
      <c r="J539" s="5">
        <f>IF($N539="","",IF(INDEX('Per Invoice'!$J$2:$J$801,$N539)="","",INDEX('Per Invoice'!$J$2:$J$801,$N539)))</f>
        <v/>
      </c>
      <c r="K539" s="5">
        <f>IF($N539="","",IF(INDEX('Per Invoice'!$K$2:$K$801,$N539)="","",INDEX('Per Invoice'!$K$2:$K$801,$N539)))</f>
        <v/>
      </c>
      <c r="L539" s="5">
        <f>IF($N539="","",IF(INDEX('Per Invoice'!$L$2:$L$801,$N539)="","",INDEX('Per Invoice'!$L$2:$L$801,$N539)))</f>
        <v/>
      </c>
      <c r="M539" s="5">
        <f>IF($N539="","",IF(INDEX('Per Invoice'!$M$2:$M$801,$N539)="","",INDEX('Per Invoice'!$M$2:$M$801,$N539)))</f>
        <v/>
      </c>
      <c r="N539">
        <f>IF(ROWS($N$2:$N539)&lt;=COUNT('Per Invoice'!$P$2:$P$801),MATCH(ROWS($N$2:$N539),'Per Invoice'!$P$2:$P$801,0),"")</f>
        <v/>
      </c>
    </row>
    <row r="540">
      <c r="A540">
        <f>IF($N540="","",IF(INDEX('Per Invoice'!$A$2:$A$801,$N540)="","",INDEX('Per Invoice'!$A$2:$A$801,$N540)))</f>
        <v/>
      </c>
      <c r="B540">
        <f>IF($N540="","",IF(INDEX('Per Invoice'!$B$2:$B$801,$N540)="","",INDEX('Per Invoice'!$B$2:$B$801,$N540)))</f>
        <v/>
      </c>
      <c r="C540">
        <f>IF($N540="","",IF(INDEX('Per Invoice'!$C$2:$C$801,$N540)="","",INDEX('Per Invoice'!$C$2:$C$801,$N540)))</f>
        <v/>
      </c>
      <c r="D540">
        <f>IF($N540="","",IF(INDEX('Per Invoice'!$D$2:$D$801,$N540)="","",INDEX('Per Invoice'!$D$2:$D$801,$N540)))</f>
        <v/>
      </c>
      <c r="E540">
        <f>IF($N540="","",IF(INDEX('Per Invoice'!$E$2:$E$801,$N540)="","",INDEX('Per Invoice'!$E$2:$E$801,$N540)))</f>
        <v/>
      </c>
      <c r="F540">
        <f>IF($N540="","",IF(INDEX('Per Invoice'!$F$2:$F$801,$N540)="","",INDEX('Per Invoice'!$F$2:$F$801,$N540)))</f>
        <v/>
      </c>
      <c r="G540">
        <f>IF($N540="","",IF(INDEX('Per Invoice'!$G$2:$G$801,$N540)="","",INDEX('Per Invoice'!$G$2:$G$801,$N540)))</f>
        <v/>
      </c>
      <c r="H540">
        <f>IF($N540="","",IF(INDEX('Per Invoice'!$H$2:$H$801,$N540)="","",INDEX('Per Invoice'!$H$2:$H$801,$N540)))</f>
        <v/>
      </c>
      <c r="I540" s="5">
        <f>IF($N540="","",IF(INDEX('Per Invoice'!$I$2:$I$801,$N540)="","",INDEX('Per Invoice'!$I$2:$I$801,$N540)))</f>
        <v/>
      </c>
      <c r="J540" s="5">
        <f>IF($N540="","",IF(INDEX('Per Invoice'!$J$2:$J$801,$N540)="","",INDEX('Per Invoice'!$J$2:$J$801,$N540)))</f>
        <v/>
      </c>
      <c r="K540" s="5">
        <f>IF($N540="","",IF(INDEX('Per Invoice'!$K$2:$K$801,$N540)="","",INDEX('Per Invoice'!$K$2:$K$801,$N540)))</f>
        <v/>
      </c>
      <c r="L540" s="5">
        <f>IF($N540="","",IF(INDEX('Per Invoice'!$L$2:$L$801,$N540)="","",INDEX('Per Invoice'!$L$2:$L$801,$N540)))</f>
        <v/>
      </c>
      <c r="M540" s="5">
        <f>IF($N540="","",IF(INDEX('Per Invoice'!$M$2:$M$801,$N540)="","",INDEX('Per Invoice'!$M$2:$M$801,$N540)))</f>
        <v/>
      </c>
      <c r="N540">
        <f>IF(ROWS($N$2:$N540)&lt;=COUNT('Per Invoice'!$P$2:$P$801),MATCH(ROWS($N$2:$N540),'Per Invoice'!$P$2:$P$801,0),"")</f>
        <v/>
      </c>
    </row>
    <row r="541">
      <c r="A541">
        <f>IF($N541="","",IF(INDEX('Per Invoice'!$A$2:$A$801,$N541)="","",INDEX('Per Invoice'!$A$2:$A$801,$N541)))</f>
        <v/>
      </c>
      <c r="B541">
        <f>IF($N541="","",IF(INDEX('Per Invoice'!$B$2:$B$801,$N541)="","",INDEX('Per Invoice'!$B$2:$B$801,$N541)))</f>
        <v/>
      </c>
      <c r="C541">
        <f>IF($N541="","",IF(INDEX('Per Invoice'!$C$2:$C$801,$N541)="","",INDEX('Per Invoice'!$C$2:$C$801,$N541)))</f>
        <v/>
      </c>
      <c r="D541">
        <f>IF($N541="","",IF(INDEX('Per Invoice'!$D$2:$D$801,$N541)="","",INDEX('Per Invoice'!$D$2:$D$801,$N541)))</f>
        <v/>
      </c>
      <c r="E541">
        <f>IF($N541="","",IF(INDEX('Per Invoice'!$E$2:$E$801,$N541)="","",INDEX('Per Invoice'!$E$2:$E$801,$N541)))</f>
        <v/>
      </c>
      <c r="F541">
        <f>IF($N541="","",IF(INDEX('Per Invoice'!$F$2:$F$801,$N541)="","",INDEX('Per Invoice'!$F$2:$F$801,$N541)))</f>
        <v/>
      </c>
      <c r="G541">
        <f>IF($N541="","",IF(INDEX('Per Invoice'!$G$2:$G$801,$N541)="","",INDEX('Per Invoice'!$G$2:$G$801,$N541)))</f>
        <v/>
      </c>
      <c r="H541">
        <f>IF($N541="","",IF(INDEX('Per Invoice'!$H$2:$H$801,$N541)="","",INDEX('Per Invoice'!$H$2:$H$801,$N541)))</f>
        <v/>
      </c>
      <c r="I541" s="5">
        <f>IF($N541="","",IF(INDEX('Per Invoice'!$I$2:$I$801,$N541)="","",INDEX('Per Invoice'!$I$2:$I$801,$N541)))</f>
        <v/>
      </c>
      <c r="J541" s="5">
        <f>IF($N541="","",IF(INDEX('Per Invoice'!$J$2:$J$801,$N541)="","",INDEX('Per Invoice'!$J$2:$J$801,$N541)))</f>
        <v/>
      </c>
      <c r="K541" s="5">
        <f>IF($N541="","",IF(INDEX('Per Invoice'!$K$2:$K$801,$N541)="","",INDEX('Per Invoice'!$K$2:$K$801,$N541)))</f>
        <v/>
      </c>
      <c r="L541" s="5">
        <f>IF($N541="","",IF(INDEX('Per Invoice'!$L$2:$L$801,$N541)="","",INDEX('Per Invoice'!$L$2:$L$801,$N541)))</f>
        <v/>
      </c>
      <c r="M541" s="5">
        <f>IF($N541="","",IF(INDEX('Per Invoice'!$M$2:$M$801,$N541)="","",INDEX('Per Invoice'!$M$2:$M$801,$N541)))</f>
        <v/>
      </c>
      <c r="N541">
        <f>IF(ROWS($N$2:$N541)&lt;=COUNT('Per Invoice'!$P$2:$P$801),MATCH(ROWS($N$2:$N541),'Per Invoice'!$P$2:$P$801,0),"")</f>
        <v/>
      </c>
    </row>
    <row r="542">
      <c r="A542">
        <f>IF($N542="","",IF(INDEX('Per Invoice'!$A$2:$A$801,$N542)="","",INDEX('Per Invoice'!$A$2:$A$801,$N542)))</f>
        <v/>
      </c>
      <c r="B542">
        <f>IF($N542="","",IF(INDEX('Per Invoice'!$B$2:$B$801,$N542)="","",INDEX('Per Invoice'!$B$2:$B$801,$N542)))</f>
        <v/>
      </c>
      <c r="C542">
        <f>IF($N542="","",IF(INDEX('Per Invoice'!$C$2:$C$801,$N542)="","",INDEX('Per Invoice'!$C$2:$C$801,$N542)))</f>
        <v/>
      </c>
      <c r="D542">
        <f>IF($N542="","",IF(INDEX('Per Invoice'!$D$2:$D$801,$N542)="","",INDEX('Per Invoice'!$D$2:$D$801,$N542)))</f>
        <v/>
      </c>
      <c r="E542">
        <f>IF($N542="","",IF(INDEX('Per Invoice'!$E$2:$E$801,$N542)="","",INDEX('Per Invoice'!$E$2:$E$801,$N542)))</f>
        <v/>
      </c>
      <c r="F542">
        <f>IF($N542="","",IF(INDEX('Per Invoice'!$F$2:$F$801,$N542)="","",INDEX('Per Invoice'!$F$2:$F$801,$N542)))</f>
        <v/>
      </c>
      <c r="G542">
        <f>IF($N542="","",IF(INDEX('Per Invoice'!$G$2:$G$801,$N542)="","",INDEX('Per Invoice'!$G$2:$G$801,$N542)))</f>
        <v/>
      </c>
      <c r="H542">
        <f>IF($N542="","",IF(INDEX('Per Invoice'!$H$2:$H$801,$N542)="","",INDEX('Per Invoice'!$H$2:$H$801,$N542)))</f>
        <v/>
      </c>
      <c r="I542" s="5">
        <f>IF($N542="","",IF(INDEX('Per Invoice'!$I$2:$I$801,$N542)="","",INDEX('Per Invoice'!$I$2:$I$801,$N542)))</f>
        <v/>
      </c>
      <c r="J542" s="5">
        <f>IF($N542="","",IF(INDEX('Per Invoice'!$J$2:$J$801,$N542)="","",INDEX('Per Invoice'!$J$2:$J$801,$N542)))</f>
        <v/>
      </c>
      <c r="K542" s="5">
        <f>IF($N542="","",IF(INDEX('Per Invoice'!$K$2:$K$801,$N542)="","",INDEX('Per Invoice'!$K$2:$K$801,$N542)))</f>
        <v/>
      </c>
      <c r="L542" s="5">
        <f>IF($N542="","",IF(INDEX('Per Invoice'!$L$2:$L$801,$N542)="","",INDEX('Per Invoice'!$L$2:$L$801,$N542)))</f>
        <v/>
      </c>
      <c r="M542" s="5">
        <f>IF($N542="","",IF(INDEX('Per Invoice'!$M$2:$M$801,$N542)="","",INDEX('Per Invoice'!$M$2:$M$801,$N542)))</f>
        <v/>
      </c>
      <c r="N542">
        <f>IF(ROWS($N$2:$N542)&lt;=COUNT('Per Invoice'!$P$2:$P$801),MATCH(ROWS($N$2:$N542),'Per Invoice'!$P$2:$P$801,0),"")</f>
        <v/>
      </c>
    </row>
    <row r="543">
      <c r="A543">
        <f>IF($N543="","",IF(INDEX('Per Invoice'!$A$2:$A$801,$N543)="","",INDEX('Per Invoice'!$A$2:$A$801,$N543)))</f>
        <v/>
      </c>
      <c r="B543">
        <f>IF($N543="","",IF(INDEX('Per Invoice'!$B$2:$B$801,$N543)="","",INDEX('Per Invoice'!$B$2:$B$801,$N543)))</f>
        <v/>
      </c>
      <c r="C543">
        <f>IF($N543="","",IF(INDEX('Per Invoice'!$C$2:$C$801,$N543)="","",INDEX('Per Invoice'!$C$2:$C$801,$N543)))</f>
        <v/>
      </c>
      <c r="D543">
        <f>IF($N543="","",IF(INDEX('Per Invoice'!$D$2:$D$801,$N543)="","",INDEX('Per Invoice'!$D$2:$D$801,$N543)))</f>
        <v/>
      </c>
      <c r="E543">
        <f>IF($N543="","",IF(INDEX('Per Invoice'!$E$2:$E$801,$N543)="","",INDEX('Per Invoice'!$E$2:$E$801,$N543)))</f>
        <v/>
      </c>
      <c r="F543">
        <f>IF($N543="","",IF(INDEX('Per Invoice'!$F$2:$F$801,$N543)="","",INDEX('Per Invoice'!$F$2:$F$801,$N543)))</f>
        <v/>
      </c>
      <c r="G543">
        <f>IF($N543="","",IF(INDEX('Per Invoice'!$G$2:$G$801,$N543)="","",INDEX('Per Invoice'!$G$2:$G$801,$N543)))</f>
        <v/>
      </c>
      <c r="H543">
        <f>IF($N543="","",IF(INDEX('Per Invoice'!$H$2:$H$801,$N543)="","",INDEX('Per Invoice'!$H$2:$H$801,$N543)))</f>
        <v/>
      </c>
      <c r="I543" s="5">
        <f>IF($N543="","",IF(INDEX('Per Invoice'!$I$2:$I$801,$N543)="","",INDEX('Per Invoice'!$I$2:$I$801,$N543)))</f>
        <v/>
      </c>
      <c r="J543" s="5">
        <f>IF($N543="","",IF(INDEX('Per Invoice'!$J$2:$J$801,$N543)="","",INDEX('Per Invoice'!$J$2:$J$801,$N543)))</f>
        <v/>
      </c>
      <c r="K543" s="5">
        <f>IF($N543="","",IF(INDEX('Per Invoice'!$K$2:$K$801,$N543)="","",INDEX('Per Invoice'!$K$2:$K$801,$N543)))</f>
        <v/>
      </c>
      <c r="L543" s="5">
        <f>IF($N543="","",IF(INDEX('Per Invoice'!$L$2:$L$801,$N543)="","",INDEX('Per Invoice'!$L$2:$L$801,$N543)))</f>
        <v/>
      </c>
      <c r="M543" s="5">
        <f>IF($N543="","",IF(INDEX('Per Invoice'!$M$2:$M$801,$N543)="","",INDEX('Per Invoice'!$M$2:$M$801,$N543)))</f>
        <v/>
      </c>
      <c r="N543">
        <f>IF(ROWS($N$2:$N543)&lt;=COUNT('Per Invoice'!$P$2:$P$801),MATCH(ROWS($N$2:$N543),'Per Invoice'!$P$2:$P$801,0),"")</f>
        <v/>
      </c>
    </row>
    <row r="544">
      <c r="A544">
        <f>IF($N544="","",IF(INDEX('Per Invoice'!$A$2:$A$801,$N544)="","",INDEX('Per Invoice'!$A$2:$A$801,$N544)))</f>
        <v/>
      </c>
      <c r="B544">
        <f>IF($N544="","",IF(INDEX('Per Invoice'!$B$2:$B$801,$N544)="","",INDEX('Per Invoice'!$B$2:$B$801,$N544)))</f>
        <v/>
      </c>
      <c r="C544">
        <f>IF($N544="","",IF(INDEX('Per Invoice'!$C$2:$C$801,$N544)="","",INDEX('Per Invoice'!$C$2:$C$801,$N544)))</f>
        <v/>
      </c>
      <c r="D544">
        <f>IF($N544="","",IF(INDEX('Per Invoice'!$D$2:$D$801,$N544)="","",INDEX('Per Invoice'!$D$2:$D$801,$N544)))</f>
        <v/>
      </c>
      <c r="E544">
        <f>IF($N544="","",IF(INDEX('Per Invoice'!$E$2:$E$801,$N544)="","",INDEX('Per Invoice'!$E$2:$E$801,$N544)))</f>
        <v/>
      </c>
      <c r="F544">
        <f>IF($N544="","",IF(INDEX('Per Invoice'!$F$2:$F$801,$N544)="","",INDEX('Per Invoice'!$F$2:$F$801,$N544)))</f>
        <v/>
      </c>
      <c r="G544">
        <f>IF($N544="","",IF(INDEX('Per Invoice'!$G$2:$G$801,$N544)="","",INDEX('Per Invoice'!$G$2:$G$801,$N544)))</f>
        <v/>
      </c>
      <c r="H544">
        <f>IF($N544="","",IF(INDEX('Per Invoice'!$H$2:$H$801,$N544)="","",INDEX('Per Invoice'!$H$2:$H$801,$N544)))</f>
        <v/>
      </c>
      <c r="I544" s="5">
        <f>IF($N544="","",IF(INDEX('Per Invoice'!$I$2:$I$801,$N544)="","",INDEX('Per Invoice'!$I$2:$I$801,$N544)))</f>
        <v/>
      </c>
      <c r="J544" s="5">
        <f>IF($N544="","",IF(INDEX('Per Invoice'!$J$2:$J$801,$N544)="","",INDEX('Per Invoice'!$J$2:$J$801,$N544)))</f>
        <v/>
      </c>
      <c r="K544" s="5">
        <f>IF($N544="","",IF(INDEX('Per Invoice'!$K$2:$K$801,$N544)="","",INDEX('Per Invoice'!$K$2:$K$801,$N544)))</f>
        <v/>
      </c>
      <c r="L544" s="5">
        <f>IF($N544="","",IF(INDEX('Per Invoice'!$L$2:$L$801,$N544)="","",INDEX('Per Invoice'!$L$2:$L$801,$N544)))</f>
        <v/>
      </c>
      <c r="M544" s="5">
        <f>IF($N544="","",IF(INDEX('Per Invoice'!$M$2:$M$801,$N544)="","",INDEX('Per Invoice'!$M$2:$M$801,$N544)))</f>
        <v/>
      </c>
      <c r="N544">
        <f>IF(ROWS($N$2:$N544)&lt;=COUNT('Per Invoice'!$P$2:$P$801),MATCH(ROWS($N$2:$N544),'Per Invoice'!$P$2:$P$801,0),"")</f>
        <v/>
      </c>
    </row>
    <row r="545">
      <c r="A545">
        <f>IF($N545="","",IF(INDEX('Per Invoice'!$A$2:$A$801,$N545)="","",INDEX('Per Invoice'!$A$2:$A$801,$N545)))</f>
        <v/>
      </c>
      <c r="B545">
        <f>IF($N545="","",IF(INDEX('Per Invoice'!$B$2:$B$801,$N545)="","",INDEX('Per Invoice'!$B$2:$B$801,$N545)))</f>
        <v/>
      </c>
      <c r="C545">
        <f>IF($N545="","",IF(INDEX('Per Invoice'!$C$2:$C$801,$N545)="","",INDEX('Per Invoice'!$C$2:$C$801,$N545)))</f>
        <v/>
      </c>
      <c r="D545">
        <f>IF($N545="","",IF(INDEX('Per Invoice'!$D$2:$D$801,$N545)="","",INDEX('Per Invoice'!$D$2:$D$801,$N545)))</f>
        <v/>
      </c>
      <c r="E545">
        <f>IF($N545="","",IF(INDEX('Per Invoice'!$E$2:$E$801,$N545)="","",INDEX('Per Invoice'!$E$2:$E$801,$N545)))</f>
        <v/>
      </c>
      <c r="F545">
        <f>IF($N545="","",IF(INDEX('Per Invoice'!$F$2:$F$801,$N545)="","",INDEX('Per Invoice'!$F$2:$F$801,$N545)))</f>
        <v/>
      </c>
      <c r="G545">
        <f>IF($N545="","",IF(INDEX('Per Invoice'!$G$2:$G$801,$N545)="","",INDEX('Per Invoice'!$G$2:$G$801,$N545)))</f>
        <v/>
      </c>
      <c r="H545">
        <f>IF($N545="","",IF(INDEX('Per Invoice'!$H$2:$H$801,$N545)="","",INDEX('Per Invoice'!$H$2:$H$801,$N545)))</f>
        <v/>
      </c>
      <c r="I545" s="5">
        <f>IF($N545="","",IF(INDEX('Per Invoice'!$I$2:$I$801,$N545)="","",INDEX('Per Invoice'!$I$2:$I$801,$N545)))</f>
        <v/>
      </c>
      <c r="J545" s="5">
        <f>IF($N545="","",IF(INDEX('Per Invoice'!$J$2:$J$801,$N545)="","",INDEX('Per Invoice'!$J$2:$J$801,$N545)))</f>
        <v/>
      </c>
      <c r="K545" s="5">
        <f>IF($N545="","",IF(INDEX('Per Invoice'!$K$2:$K$801,$N545)="","",INDEX('Per Invoice'!$K$2:$K$801,$N545)))</f>
        <v/>
      </c>
      <c r="L545" s="5">
        <f>IF($N545="","",IF(INDEX('Per Invoice'!$L$2:$L$801,$N545)="","",INDEX('Per Invoice'!$L$2:$L$801,$N545)))</f>
        <v/>
      </c>
      <c r="M545" s="5">
        <f>IF($N545="","",IF(INDEX('Per Invoice'!$M$2:$M$801,$N545)="","",INDEX('Per Invoice'!$M$2:$M$801,$N545)))</f>
        <v/>
      </c>
      <c r="N545">
        <f>IF(ROWS($N$2:$N545)&lt;=COUNT('Per Invoice'!$P$2:$P$801),MATCH(ROWS($N$2:$N545),'Per Invoice'!$P$2:$P$801,0),"")</f>
        <v/>
      </c>
    </row>
    <row r="546">
      <c r="A546">
        <f>IF($N546="","",IF(INDEX('Per Invoice'!$A$2:$A$801,$N546)="","",INDEX('Per Invoice'!$A$2:$A$801,$N546)))</f>
        <v/>
      </c>
      <c r="B546">
        <f>IF($N546="","",IF(INDEX('Per Invoice'!$B$2:$B$801,$N546)="","",INDEX('Per Invoice'!$B$2:$B$801,$N546)))</f>
        <v/>
      </c>
      <c r="C546">
        <f>IF($N546="","",IF(INDEX('Per Invoice'!$C$2:$C$801,$N546)="","",INDEX('Per Invoice'!$C$2:$C$801,$N546)))</f>
        <v/>
      </c>
      <c r="D546">
        <f>IF($N546="","",IF(INDEX('Per Invoice'!$D$2:$D$801,$N546)="","",INDEX('Per Invoice'!$D$2:$D$801,$N546)))</f>
        <v/>
      </c>
      <c r="E546">
        <f>IF($N546="","",IF(INDEX('Per Invoice'!$E$2:$E$801,$N546)="","",INDEX('Per Invoice'!$E$2:$E$801,$N546)))</f>
        <v/>
      </c>
      <c r="F546">
        <f>IF($N546="","",IF(INDEX('Per Invoice'!$F$2:$F$801,$N546)="","",INDEX('Per Invoice'!$F$2:$F$801,$N546)))</f>
        <v/>
      </c>
      <c r="G546">
        <f>IF($N546="","",IF(INDEX('Per Invoice'!$G$2:$G$801,$N546)="","",INDEX('Per Invoice'!$G$2:$G$801,$N546)))</f>
        <v/>
      </c>
      <c r="H546">
        <f>IF($N546="","",IF(INDEX('Per Invoice'!$H$2:$H$801,$N546)="","",INDEX('Per Invoice'!$H$2:$H$801,$N546)))</f>
        <v/>
      </c>
      <c r="I546" s="5">
        <f>IF($N546="","",IF(INDEX('Per Invoice'!$I$2:$I$801,$N546)="","",INDEX('Per Invoice'!$I$2:$I$801,$N546)))</f>
        <v/>
      </c>
      <c r="J546" s="5">
        <f>IF($N546="","",IF(INDEX('Per Invoice'!$J$2:$J$801,$N546)="","",INDEX('Per Invoice'!$J$2:$J$801,$N546)))</f>
        <v/>
      </c>
      <c r="K546" s="5">
        <f>IF($N546="","",IF(INDEX('Per Invoice'!$K$2:$K$801,$N546)="","",INDEX('Per Invoice'!$K$2:$K$801,$N546)))</f>
        <v/>
      </c>
      <c r="L546" s="5">
        <f>IF($N546="","",IF(INDEX('Per Invoice'!$L$2:$L$801,$N546)="","",INDEX('Per Invoice'!$L$2:$L$801,$N546)))</f>
        <v/>
      </c>
      <c r="M546" s="5">
        <f>IF($N546="","",IF(INDEX('Per Invoice'!$M$2:$M$801,$N546)="","",INDEX('Per Invoice'!$M$2:$M$801,$N546)))</f>
        <v/>
      </c>
      <c r="N546">
        <f>IF(ROWS($N$2:$N546)&lt;=COUNT('Per Invoice'!$P$2:$P$801),MATCH(ROWS($N$2:$N546),'Per Invoice'!$P$2:$P$801,0),"")</f>
        <v/>
      </c>
    </row>
    <row r="547">
      <c r="A547">
        <f>IF($N547="","",IF(INDEX('Per Invoice'!$A$2:$A$801,$N547)="","",INDEX('Per Invoice'!$A$2:$A$801,$N547)))</f>
        <v/>
      </c>
      <c r="B547">
        <f>IF($N547="","",IF(INDEX('Per Invoice'!$B$2:$B$801,$N547)="","",INDEX('Per Invoice'!$B$2:$B$801,$N547)))</f>
        <v/>
      </c>
      <c r="C547">
        <f>IF($N547="","",IF(INDEX('Per Invoice'!$C$2:$C$801,$N547)="","",INDEX('Per Invoice'!$C$2:$C$801,$N547)))</f>
        <v/>
      </c>
      <c r="D547">
        <f>IF($N547="","",IF(INDEX('Per Invoice'!$D$2:$D$801,$N547)="","",INDEX('Per Invoice'!$D$2:$D$801,$N547)))</f>
        <v/>
      </c>
      <c r="E547">
        <f>IF($N547="","",IF(INDEX('Per Invoice'!$E$2:$E$801,$N547)="","",INDEX('Per Invoice'!$E$2:$E$801,$N547)))</f>
        <v/>
      </c>
      <c r="F547">
        <f>IF($N547="","",IF(INDEX('Per Invoice'!$F$2:$F$801,$N547)="","",INDEX('Per Invoice'!$F$2:$F$801,$N547)))</f>
        <v/>
      </c>
      <c r="G547">
        <f>IF($N547="","",IF(INDEX('Per Invoice'!$G$2:$G$801,$N547)="","",INDEX('Per Invoice'!$G$2:$G$801,$N547)))</f>
        <v/>
      </c>
      <c r="H547">
        <f>IF($N547="","",IF(INDEX('Per Invoice'!$H$2:$H$801,$N547)="","",INDEX('Per Invoice'!$H$2:$H$801,$N547)))</f>
        <v/>
      </c>
      <c r="I547" s="5">
        <f>IF($N547="","",IF(INDEX('Per Invoice'!$I$2:$I$801,$N547)="","",INDEX('Per Invoice'!$I$2:$I$801,$N547)))</f>
        <v/>
      </c>
      <c r="J547" s="5">
        <f>IF($N547="","",IF(INDEX('Per Invoice'!$J$2:$J$801,$N547)="","",INDEX('Per Invoice'!$J$2:$J$801,$N547)))</f>
        <v/>
      </c>
      <c r="K547" s="5">
        <f>IF($N547="","",IF(INDEX('Per Invoice'!$K$2:$K$801,$N547)="","",INDEX('Per Invoice'!$K$2:$K$801,$N547)))</f>
        <v/>
      </c>
      <c r="L547" s="5">
        <f>IF($N547="","",IF(INDEX('Per Invoice'!$L$2:$L$801,$N547)="","",INDEX('Per Invoice'!$L$2:$L$801,$N547)))</f>
        <v/>
      </c>
      <c r="M547" s="5">
        <f>IF($N547="","",IF(INDEX('Per Invoice'!$M$2:$M$801,$N547)="","",INDEX('Per Invoice'!$M$2:$M$801,$N547)))</f>
        <v/>
      </c>
      <c r="N547">
        <f>IF(ROWS($N$2:$N547)&lt;=COUNT('Per Invoice'!$P$2:$P$801),MATCH(ROWS($N$2:$N547),'Per Invoice'!$P$2:$P$801,0),"")</f>
        <v/>
      </c>
    </row>
    <row r="548">
      <c r="A548">
        <f>IF($N548="","",IF(INDEX('Per Invoice'!$A$2:$A$801,$N548)="","",INDEX('Per Invoice'!$A$2:$A$801,$N548)))</f>
        <v/>
      </c>
      <c r="B548">
        <f>IF($N548="","",IF(INDEX('Per Invoice'!$B$2:$B$801,$N548)="","",INDEX('Per Invoice'!$B$2:$B$801,$N548)))</f>
        <v/>
      </c>
      <c r="C548">
        <f>IF($N548="","",IF(INDEX('Per Invoice'!$C$2:$C$801,$N548)="","",INDEX('Per Invoice'!$C$2:$C$801,$N548)))</f>
        <v/>
      </c>
      <c r="D548">
        <f>IF($N548="","",IF(INDEX('Per Invoice'!$D$2:$D$801,$N548)="","",INDEX('Per Invoice'!$D$2:$D$801,$N548)))</f>
        <v/>
      </c>
      <c r="E548">
        <f>IF($N548="","",IF(INDEX('Per Invoice'!$E$2:$E$801,$N548)="","",INDEX('Per Invoice'!$E$2:$E$801,$N548)))</f>
        <v/>
      </c>
      <c r="F548">
        <f>IF($N548="","",IF(INDEX('Per Invoice'!$F$2:$F$801,$N548)="","",INDEX('Per Invoice'!$F$2:$F$801,$N548)))</f>
        <v/>
      </c>
      <c r="G548">
        <f>IF($N548="","",IF(INDEX('Per Invoice'!$G$2:$G$801,$N548)="","",INDEX('Per Invoice'!$G$2:$G$801,$N548)))</f>
        <v/>
      </c>
      <c r="H548">
        <f>IF($N548="","",IF(INDEX('Per Invoice'!$H$2:$H$801,$N548)="","",INDEX('Per Invoice'!$H$2:$H$801,$N548)))</f>
        <v/>
      </c>
      <c r="I548" s="5">
        <f>IF($N548="","",IF(INDEX('Per Invoice'!$I$2:$I$801,$N548)="","",INDEX('Per Invoice'!$I$2:$I$801,$N548)))</f>
        <v/>
      </c>
      <c r="J548" s="5">
        <f>IF($N548="","",IF(INDEX('Per Invoice'!$J$2:$J$801,$N548)="","",INDEX('Per Invoice'!$J$2:$J$801,$N548)))</f>
        <v/>
      </c>
      <c r="K548" s="5">
        <f>IF($N548="","",IF(INDEX('Per Invoice'!$K$2:$K$801,$N548)="","",INDEX('Per Invoice'!$K$2:$K$801,$N548)))</f>
        <v/>
      </c>
      <c r="L548" s="5">
        <f>IF($N548="","",IF(INDEX('Per Invoice'!$L$2:$L$801,$N548)="","",INDEX('Per Invoice'!$L$2:$L$801,$N548)))</f>
        <v/>
      </c>
      <c r="M548" s="5">
        <f>IF($N548="","",IF(INDEX('Per Invoice'!$M$2:$M$801,$N548)="","",INDEX('Per Invoice'!$M$2:$M$801,$N548)))</f>
        <v/>
      </c>
      <c r="N548">
        <f>IF(ROWS($N$2:$N548)&lt;=COUNT('Per Invoice'!$P$2:$P$801),MATCH(ROWS($N$2:$N548),'Per Invoice'!$P$2:$P$801,0),"")</f>
        <v/>
      </c>
    </row>
    <row r="549">
      <c r="A549">
        <f>IF($N549="","",IF(INDEX('Per Invoice'!$A$2:$A$801,$N549)="","",INDEX('Per Invoice'!$A$2:$A$801,$N549)))</f>
        <v/>
      </c>
      <c r="B549">
        <f>IF($N549="","",IF(INDEX('Per Invoice'!$B$2:$B$801,$N549)="","",INDEX('Per Invoice'!$B$2:$B$801,$N549)))</f>
        <v/>
      </c>
      <c r="C549">
        <f>IF($N549="","",IF(INDEX('Per Invoice'!$C$2:$C$801,$N549)="","",INDEX('Per Invoice'!$C$2:$C$801,$N549)))</f>
        <v/>
      </c>
      <c r="D549">
        <f>IF($N549="","",IF(INDEX('Per Invoice'!$D$2:$D$801,$N549)="","",INDEX('Per Invoice'!$D$2:$D$801,$N549)))</f>
        <v/>
      </c>
      <c r="E549">
        <f>IF($N549="","",IF(INDEX('Per Invoice'!$E$2:$E$801,$N549)="","",INDEX('Per Invoice'!$E$2:$E$801,$N549)))</f>
        <v/>
      </c>
      <c r="F549">
        <f>IF($N549="","",IF(INDEX('Per Invoice'!$F$2:$F$801,$N549)="","",INDEX('Per Invoice'!$F$2:$F$801,$N549)))</f>
        <v/>
      </c>
      <c r="G549">
        <f>IF($N549="","",IF(INDEX('Per Invoice'!$G$2:$G$801,$N549)="","",INDEX('Per Invoice'!$G$2:$G$801,$N549)))</f>
        <v/>
      </c>
      <c r="H549">
        <f>IF($N549="","",IF(INDEX('Per Invoice'!$H$2:$H$801,$N549)="","",INDEX('Per Invoice'!$H$2:$H$801,$N549)))</f>
        <v/>
      </c>
      <c r="I549" s="5">
        <f>IF($N549="","",IF(INDEX('Per Invoice'!$I$2:$I$801,$N549)="","",INDEX('Per Invoice'!$I$2:$I$801,$N549)))</f>
        <v/>
      </c>
      <c r="J549" s="5">
        <f>IF($N549="","",IF(INDEX('Per Invoice'!$J$2:$J$801,$N549)="","",INDEX('Per Invoice'!$J$2:$J$801,$N549)))</f>
        <v/>
      </c>
      <c r="K549" s="5">
        <f>IF($N549="","",IF(INDEX('Per Invoice'!$K$2:$K$801,$N549)="","",INDEX('Per Invoice'!$K$2:$K$801,$N549)))</f>
        <v/>
      </c>
      <c r="L549" s="5">
        <f>IF($N549="","",IF(INDEX('Per Invoice'!$L$2:$L$801,$N549)="","",INDEX('Per Invoice'!$L$2:$L$801,$N549)))</f>
        <v/>
      </c>
      <c r="M549" s="5">
        <f>IF($N549="","",IF(INDEX('Per Invoice'!$M$2:$M$801,$N549)="","",INDEX('Per Invoice'!$M$2:$M$801,$N549)))</f>
        <v/>
      </c>
      <c r="N549">
        <f>IF(ROWS($N$2:$N549)&lt;=COUNT('Per Invoice'!$P$2:$P$801),MATCH(ROWS($N$2:$N549),'Per Invoice'!$P$2:$P$801,0),"")</f>
        <v/>
      </c>
    </row>
    <row r="550">
      <c r="A550">
        <f>IF($N550="","",IF(INDEX('Per Invoice'!$A$2:$A$801,$N550)="","",INDEX('Per Invoice'!$A$2:$A$801,$N550)))</f>
        <v/>
      </c>
      <c r="B550">
        <f>IF($N550="","",IF(INDEX('Per Invoice'!$B$2:$B$801,$N550)="","",INDEX('Per Invoice'!$B$2:$B$801,$N550)))</f>
        <v/>
      </c>
      <c r="C550">
        <f>IF($N550="","",IF(INDEX('Per Invoice'!$C$2:$C$801,$N550)="","",INDEX('Per Invoice'!$C$2:$C$801,$N550)))</f>
        <v/>
      </c>
      <c r="D550">
        <f>IF($N550="","",IF(INDEX('Per Invoice'!$D$2:$D$801,$N550)="","",INDEX('Per Invoice'!$D$2:$D$801,$N550)))</f>
        <v/>
      </c>
      <c r="E550">
        <f>IF($N550="","",IF(INDEX('Per Invoice'!$E$2:$E$801,$N550)="","",INDEX('Per Invoice'!$E$2:$E$801,$N550)))</f>
        <v/>
      </c>
      <c r="F550">
        <f>IF($N550="","",IF(INDEX('Per Invoice'!$F$2:$F$801,$N550)="","",INDEX('Per Invoice'!$F$2:$F$801,$N550)))</f>
        <v/>
      </c>
      <c r="G550">
        <f>IF($N550="","",IF(INDEX('Per Invoice'!$G$2:$G$801,$N550)="","",INDEX('Per Invoice'!$G$2:$G$801,$N550)))</f>
        <v/>
      </c>
      <c r="H550">
        <f>IF($N550="","",IF(INDEX('Per Invoice'!$H$2:$H$801,$N550)="","",INDEX('Per Invoice'!$H$2:$H$801,$N550)))</f>
        <v/>
      </c>
      <c r="I550" s="5">
        <f>IF($N550="","",IF(INDEX('Per Invoice'!$I$2:$I$801,$N550)="","",INDEX('Per Invoice'!$I$2:$I$801,$N550)))</f>
        <v/>
      </c>
      <c r="J550" s="5">
        <f>IF($N550="","",IF(INDEX('Per Invoice'!$J$2:$J$801,$N550)="","",INDEX('Per Invoice'!$J$2:$J$801,$N550)))</f>
        <v/>
      </c>
      <c r="K550" s="5">
        <f>IF($N550="","",IF(INDEX('Per Invoice'!$K$2:$K$801,$N550)="","",INDEX('Per Invoice'!$K$2:$K$801,$N550)))</f>
        <v/>
      </c>
      <c r="L550" s="5">
        <f>IF($N550="","",IF(INDEX('Per Invoice'!$L$2:$L$801,$N550)="","",INDEX('Per Invoice'!$L$2:$L$801,$N550)))</f>
        <v/>
      </c>
      <c r="M550" s="5">
        <f>IF($N550="","",IF(INDEX('Per Invoice'!$M$2:$M$801,$N550)="","",INDEX('Per Invoice'!$M$2:$M$801,$N550)))</f>
        <v/>
      </c>
      <c r="N550">
        <f>IF(ROWS($N$2:$N550)&lt;=COUNT('Per Invoice'!$P$2:$P$801),MATCH(ROWS($N$2:$N550),'Per Invoice'!$P$2:$P$801,0),"")</f>
        <v/>
      </c>
    </row>
    <row r="551">
      <c r="A551">
        <f>IF($N551="","",IF(INDEX('Per Invoice'!$A$2:$A$801,$N551)="","",INDEX('Per Invoice'!$A$2:$A$801,$N551)))</f>
        <v/>
      </c>
      <c r="B551">
        <f>IF($N551="","",IF(INDEX('Per Invoice'!$B$2:$B$801,$N551)="","",INDEX('Per Invoice'!$B$2:$B$801,$N551)))</f>
        <v/>
      </c>
      <c r="C551">
        <f>IF($N551="","",IF(INDEX('Per Invoice'!$C$2:$C$801,$N551)="","",INDEX('Per Invoice'!$C$2:$C$801,$N551)))</f>
        <v/>
      </c>
      <c r="D551">
        <f>IF($N551="","",IF(INDEX('Per Invoice'!$D$2:$D$801,$N551)="","",INDEX('Per Invoice'!$D$2:$D$801,$N551)))</f>
        <v/>
      </c>
      <c r="E551">
        <f>IF($N551="","",IF(INDEX('Per Invoice'!$E$2:$E$801,$N551)="","",INDEX('Per Invoice'!$E$2:$E$801,$N551)))</f>
        <v/>
      </c>
      <c r="F551">
        <f>IF($N551="","",IF(INDEX('Per Invoice'!$F$2:$F$801,$N551)="","",INDEX('Per Invoice'!$F$2:$F$801,$N551)))</f>
        <v/>
      </c>
      <c r="G551">
        <f>IF($N551="","",IF(INDEX('Per Invoice'!$G$2:$G$801,$N551)="","",INDEX('Per Invoice'!$G$2:$G$801,$N551)))</f>
        <v/>
      </c>
      <c r="H551">
        <f>IF($N551="","",IF(INDEX('Per Invoice'!$H$2:$H$801,$N551)="","",INDEX('Per Invoice'!$H$2:$H$801,$N551)))</f>
        <v/>
      </c>
      <c r="I551" s="5">
        <f>IF($N551="","",IF(INDEX('Per Invoice'!$I$2:$I$801,$N551)="","",INDEX('Per Invoice'!$I$2:$I$801,$N551)))</f>
        <v/>
      </c>
      <c r="J551" s="5">
        <f>IF($N551="","",IF(INDEX('Per Invoice'!$J$2:$J$801,$N551)="","",INDEX('Per Invoice'!$J$2:$J$801,$N551)))</f>
        <v/>
      </c>
      <c r="K551" s="5">
        <f>IF($N551="","",IF(INDEX('Per Invoice'!$K$2:$K$801,$N551)="","",INDEX('Per Invoice'!$K$2:$K$801,$N551)))</f>
        <v/>
      </c>
      <c r="L551" s="5">
        <f>IF($N551="","",IF(INDEX('Per Invoice'!$L$2:$L$801,$N551)="","",INDEX('Per Invoice'!$L$2:$L$801,$N551)))</f>
        <v/>
      </c>
      <c r="M551" s="5">
        <f>IF($N551="","",IF(INDEX('Per Invoice'!$M$2:$M$801,$N551)="","",INDEX('Per Invoice'!$M$2:$M$801,$N551)))</f>
        <v/>
      </c>
      <c r="N551">
        <f>IF(ROWS($N$2:$N551)&lt;=COUNT('Per Invoice'!$P$2:$P$801),MATCH(ROWS($N$2:$N551),'Per Invoice'!$P$2:$P$801,0),"")</f>
        <v/>
      </c>
    </row>
    <row r="552">
      <c r="A552">
        <f>IF($N552="","",IF(INDEX('Per Invoice'!$A$2:$A$801,$N552)="","",INDEX('Per Invoice'!$A$2:$A$801,$N552)))</f>
        <v/>
      </c>
      <c r="B552">
        <f>IF($N552="","",IF(INDEX('Per Invoice'!$B$2:$B$801,$N552)="","",INDEX('Per Invoice'!$B$2:$B$801,$N552)))</f>
        <v/>
      </c>
      <c r="C552">
        <f>IF($N552="","",IF(INDEX('Per Invoice'!$C$2:$C$801,$N552)="","",INDEX('Per Invoice'!$C$2:$C$801,$N552)))</f>
        <v/>
      </c>
      <c r="D552">
        <f>IF($N552="","",IF(INDEX('Per Invoice'!$D$2:$D$801,$N552)="","",INDEX('Per Invoice'!$D$2:$D$801,$N552)))</f>
        <v/>
      </c>
      <c r="E552">
        <f>IF($N552="","",IF(INDEX('Per Invoice'!$E$2:$E$801,$N552)="","",INDEX('Per Invoice'!$E$2:$E$801,$N552)))</f>
        <v/>
      </c>
      <c r="F552">
        <f>IF($N552="","",IF(INDEX('Per Invoice'!$F$2:$F$801,$N552)="","",INDEX('Per Invoice'!$F$2:$F$801,$N552)))</f>
        <v/>
      </c>
      <c r="G552">
        <f>IF($N552="","",IF(INDEX('Per Invoice'!$G$2:$G$801,$N552)="","",INDEX('Per Invoice'!$G$2:$G$801,$N552)))</f>
        <v/>
      </c>
      <c r="H552">
        <f>IF($N552="","",IF(INDEX('Per Invoice'!$H$2:$H$801,$N552)="","",INDEX('Per Invoice'!$H$2:$H$801,$N552)))</f>
        <v/>
      </c>
      <c r="I552" s="5">
        <f>IF($N552="","",IF(INDEX('Per Invoice'!$I$2:$I$801,$N552)="","",INDEX('Per Invoice'!$I$2:$I$801,$N552)))</f>
        <v/>
      </c>
      <c r="J552" s="5">
        <f>IF($N552="","",IF(INDEX('Per Invoice'!$J$2:$J$801,$N552)="","",INDEX('Per Invoice'!$J$2:$J$801,$N552)))</f>
        <v/>
      </c>
      <c r="K552" s="5">
        <f>IF($N552="","",IF(INDEX('Per Invoice'!$K$2:$K$801,$N552)="","",INDEX('Per Invoice'!$K$2:$K$801,$N552)))</f>
        <v/>
      </c>
      <c r="L552" s="5">
        <f>IF($N552="","",IF(INDEX('Per Invoice'!$L$2:$L$801,$N552)="","",INDEX('Per Invoice'!$L$2:$L$801,$N552)))</f>
        <v/>
      </c>
      <c r="M552" s="5">
        <f>IF($N552="","",IF(INDEX('Per Invoice'!$M$2:$M$801,$N552)="","",INDEX('Per Invoice'!$M$2:$M$801,$N552)))</f>
        <v/>
      </c>
      <c r="N552">
        <f>IF(ROWS($N$2:$N552)&lt;=COUNT('Per Invoice'!$P$2:$P$801),MATCH(ROWS($N$2:$N552),'Per Invoice'!$P$2:$P$801,0),"")</f>
        <v/>
      </c>
    </row>
    <row r="553">
      <c r="A553">
        <f>IF($N553="","",IF(INDEX('Per Invoice'!$A$2:$A$801,$N553)="","",INDEX('Per Invoice'!$A$2:$A$801,$N553)))</f>
        <v/>
      </c>
      <c r="B553">
        <f>IF($N553="","",IF(INDEX('Per Invoice'!$B$2:$B$801,$N553)="","",INDEX('Per Invoice'!$B$2:$B$801,$N553)))</f>
        <v/>
      </c>
      <c r="C553">
        <f>IF($N553="","",IF(INDEX('Per Invoice'!$C$2:$C$801,$N553)="","",INDEX('Per Invoice'!$C$2:$C$801,$N553)))</f>
        <v/>
      </c>
      <c r="D553">
        <f>IF($N553="","",IF(INDEX('Per Invoice'!$D$2:$D$801,$N553)="","",INDEX('Per Invoice'!$D$2:$D$801,$N553)))</f>
        <v/>
      </c>
      <c r="E553">
        <f>IF($N553="","",IF(INDEX('Per Invoice'!$E$2:$E$801,$N553)="","",INDEX('Per Invoice'!$E$2:$E$801,$N553)))</f>
        <v/>
      </c>
      <c r="F553">
        <f>IF($N553="","",IF(INDEX('Per Invoice'!$F$2:$F$801,$N553)="","",INDEX('Per Invoice'!$F$2:$F$801,$N553)))</f>
        <v/>
      </c>
      <c r="G553">
        <f>IF($N553="","",IF(INDEX('Per Invoice'!$G$2:$G$801,$N553)="","",INDEX('Per Invoice'!$G$2:$G$801,$N553)))</f>
        <v/>
      </c>
      <c r="H553">
        <f>IF($N553="","",IF(INDEX('Per Invoice'!$H$2:$H$801,$N553)="","",INDEX('Per Invoice'!$H$2:$H$801,$N553)))</f>
        <v/>
      </c>
      <c r="I553" s="5">
        <f>IF($N553="","",IF(INDEX('Per Invoice'!$I$2:$I$801,$N553)="","",INDEX('Per Invoice'!$I$2:$I$801,$N553)))</f>
        <v/>
      </c>
      <c r="J553" s="5">
        <f>IF($N553="","",IF(INDEX('Per Invoice'!$J$2:$J$801,$N553)="","",INDEX('Per Invoice'!$J$2:$J$801,$N553)))</f>
        <v/>
      </c>
      <c r="K553" s="5">
        <f>IF($N553="","",IF(INDEX('Per Invoice'!$K$2:$K$801,$N553)="","",INDEX('Per Invoice'!$K$2:$K$801,$N553)))</f>
        <v/>
      </c>
      <c r="L553" s="5">
        <f>IF($N553="","",IF(INDEX('Per Invoice'!$L$2:$L$801,$N553)="","",INDEX('Per Invoice'!$L$2:$L$801,$N553)))</f>
        <v/>
      </c>
      <c r="M553" s="5">
        <f>IF($N553="","",IF(INDEX('Per Invoice'!$M$2:$M$801,$N553)="","",INDEX('Per Invoice'!$M$2:$M$801,$N553)))</f>
        <v/>
      </c>
      <c r="N553">
        <f>IF(ROWS($N$2:$N553)&lt;=COUNT('Per Invoice'!$P$2:$P$801),MATCH(ROWS($N$2:$N553),'Per Invoice'!$P$2:$P$801,0),"")</f>
        <v/>
      </c>
    </row>
    <row r="554">
      <c r="A554">
        <f>IF($N554="","",IF(INDEX('Per Invoice'!$A$2:$A$801,$N554)="","",INDEX('Per Invoice'!$A$2:$A$801,$N554)))</f>
        <v/>
      </c>
      <c r="B554">
        <f>IF($N554="","",IF(INDEX('Per Invoice'!$B$2:$B$801,$N554)="","",INDEX('Per Invoice'!$B$2:$B$801,$N554)))</f>
        <v/>
      </c>
      <c r="C554">
        <f>IF($N554="","",IF(INDEX('Per Invoice'!$C$2:$C$801,$N554)="","",INDEX('Per Invoice'!$C$2:$C$801,$N554)))</f>
        <v/>
      </c>
      <c r="D554">
        <f>IF($N554="","",IF(INDEX('Per Invoice'!$D$2:$D$801,$N554)="","",INDEX('Per Invoice'!$D$2:$D$801,$N554)))</f>
        <v/>
      </c>
      <c r="E554">
        <f>IF($N554="","",IF(INDEX('Per Invoice'!$E$2:$E$801,$N554)="","",INDEX('Per Invoice'!$E$2:$E$801,$N554)))</f>
        <v/>
      </c>
      <c r="F554">
        <f>IF($N554="","",IF(INDEX('Per Invoice'!$F$2:$F$801,$N554)="","",INDEX('Per Invoice'!$F$2:$F$801,$N554)))</f>
        <v/>
      </c>
      <c r="G554">
        <f>IF($N554="","",IF(INDEX('Per Invoice'!$G$2:$G$801,$N554)="","",INDEX('Per Invoice'!$G$2:$G$801,$N554)))</f>
        <v/>
      </c>
      <c r="H554">
        <f>IF($N554="","",IF(INDEX('Per Invoice'!$H$2:$H$801,$N554)="","",INDEX('Per Invoice'!$H$2:$H$801,$N554)))</f>
        <v/>
      </c>
      <c r="I554" s="5">
        <f>IF($N554="","",IF(INDEX('Per Invoice'!$I$2:$I$801,$N554)="","",INDEX('Per Invoice'!$I$2:$I$801,$N554)))</f>
        <v/>
      </c>
      <c r="J554" s="5">
        <f>IF($N554="","",IF(INDEX('Per Invoice'!$J$2:$J$801,$N554)="","",INDEX('Per Invoice'!$J$2:$J$801,$N554)))</f>
        <v/>
      </c>
      <c r="K554" s="5">
        <f>IF($N554="","",IF(INDEX('Per Invoice'!$K$2:$K$801,$N554)="","",INDEX('Per Invoice'!$K$2:$K$801,$N554)))</f>
        <v/>
      </c>
      <c r="L554" s="5">
        <f>IF($N554="","",IF(INDEX('Per Invoice'!$L$2:$L$801,$N554)="","",INDEX('Per Invoice'!$L$2:$L$801,$N554)))</f>
        <v/>
      </c>
      <c r="M554" s="5">
        <f>IF($N554="","",IF(INDEX('Per Invoice'!$M$2:$M$801,$N554)="","",INDEX('Per Invoice'!$M$2:$M$801,$N554)))</f>
        <v/>
      </c>
      <c r="N554">
        <f>IF(ROWS($N$2:$N554)&lt;=COUNT('Per Invoice'!$P$2:$P$801),MATCH(ROWS($N$2:$N554),'Per Invoice'!$P$2:$P$801,0),"")</f>
        <v/>
      </c>
    </row>
    <row r="555">
      <c r="A555">
        <f>IF($N555="","",IF(INDEX('Per Invoice'!$A$2:$A$801,$N555)="","",INDEX('Per Invoice'!$A$2:$A$801,$N555)))</f>
        <v/>
      </c>
      <c r="B555">
        <f>IF($N555="","",IF(INDEX('Per Invoice'!$B$2:$B$801,$N555)="","",INDEX('Per Invoice'!$B$2:$B$801,$N555)))</f>
        <v/>
      </c>
      <c r="C555">
        <f>IF($N555="","",IF(INDEX('Per Invoice'!$C$2:$C$801,$N555)="","",INDEX('Per Invoice'!$C$2:$C$801,$N555)))</f>
        <v/>
      </c>
      <c r="D555">
        <f>IF($N555="","",IF(INDEX('Per Invoice'!$D$2:$D$801,$N555)="","",INDEX('Per Invoice'!$D$2:$D$801,$N555)))</f>
        <v/>
      </c>
      <c r="E555">
        <f>IF($N555="","",IF(INDEX('Per Invoice'!$E$2:$E$801,$N555)="","",INDEX('Per Invoice'!$E$2:$E$801,$N555)))</f>
        <v/>
      </c>
      <c r="F555">
        <f>IF($N555="","",IF(INDEX('Per Invoice'!$F$2:$F$801,$N555)="","",INDEX('Per Invoice'!$F$2:$F$801,$N555)))</f>
        <v/>
      </c>
      <c r="G555">
        <f>IF($N555="","",IF(INDEX('Per Invoice'!$G$2:$G$801,$N555)="","",INDEX('Per Invoice'!$G$2:$G$801,$N555)))</f>
        <v/>
      </c>
      <c r="H555">
        <f>IF($N555="","",IF(INDEX('Per Invoice'!$H$2:$H$801,$N555)="","",INDEX('Per Invoice'!$H$2:$H$801,$N555)))</f>
        <v/>
      </c>
      <c r="I555" s="5">
        <f>IF($N555="","",IF(INDEX('Per Invoice'!$I$2:$I$801,$N555)="","",INDEX('Per Invoice'!$I$2:$I$801,$N555)))</f>
        <v/>
      </c>
      <c r="J555" s="5">
        <f>IF($N555="","",IF(INDEX('Per Invoice'!$J$2:$J$801,$N555)="","",INDEX('Per Invoice'!$J$2:$J$801,$N555)))</f>
        <v/>
      </c>
      <c r="K555" s="5">
        <f>IF($N555="","",IF(INDEX('Per Invoice'!$K$2:$K$801,$N555)="","",INDEX('Per Invoice'!$K$2:$K$801,$N555)))</f>
        <v/>
      </c>
      <c r="L555" s="5">
        <f>IF($N555="","",IF(INDEX('Per Invoice'!$L$2:$L$801,$N555)="","",INDEX('Per Invoice'!$L$2:$L$801,$N555)))</f>
        <v/>
      </c>
      <c r="M555" s="5">
        <f>IF($N555="","",IF(INDEX('Per Invoice'!$M$2:$M$801,$N555)="","",INDEX('Per Invoice'!$M$2:$M$801,$N555)))</f>
        <v/>
      </c>
      <c r="N555">
        <f>IF(ROWS($N$2:$N555)&lt;=COUNT('Per Invoice'!$P$2:$P$801),MATCH(ROWS($N$2:$N555),'Per Invoice'!$P$2:$P$801,0),"")</f>
        <v/>
      </c>
    </row>
    <row r="556">
      <c r="A556">
        <f>IF($N556="","",IF(INDEX('Per Invoice'!$A$2:$A$801,$N556)="","",INDEX('Per Invoice'!$A$2:$A$801,$N556)))</f>
        <v/>
      </c>
      <c r="B556">
        <f>IF($N556="","",IF(INDEX('Per Invoice'!$B$2:$B$801,$N556)="","",INDEX('Per Invoice'!$B$2:$B$801,$N556)))</f>
        <v/>
      </c>
      <c r="C556">
        <f>IF($N556="","",IF(INDEX('Per Invoice'!$C$2:$C$801,$N556)="","",INDEX('Per Invoice'!$C$2:$C$801,$N556)))</f>
        <v/>
      </c>
      <c r="D556">
        <f>IF($N556="","",IF(INDEX('Per Invoice'!$D$2:$D$801,$N556)="","",INDEX('Per Invoice'!$D$2:$D$801,$N556)))</f>
        <v/>
      </c>
      <c r="E556">
        <f>IF($N556="","",IF(INDEX('Per Invoice'!$E$2:$E$801,$N556)="","",INDEX('Per Invoice'!$E$2:$E$801,$N556)))</f>
        <v/>
      </c>
      <c r="F556">
        <f>IF($N556="","",IF(INDEX('Per Invoice'!$F$2:$F$801,$N556)="","",INDEX('Per Invoice'!$F$2:$F$801,$N556)))</f>
        <v/>
      </c>
      <c r="G556">
        <f>IF($N556="","",IF(INDEX('Per Invoice'!$G$2:$G$801,$N556)="","",INDEX('Per Invoice'!$G$2:$G$801,$N556)))</f>
        <v/>
      </c>
      <c r="H556">
        <f>IF($N556="","",IF(INDEX('Per Invoice'!$H$2:$H$801,$N556)="","",INDEX('Per Invoice'!$H$2:$H$801,$N556)))</f>
        <v/>
      </c>
      <c r="I556" s="5">
        <f>IF($N556="","",IF(INDEX('Per Invoice'!$I$2:$I$801,$N556)="","",INDEX('Per Invoice'!$I$2:$I$801,$N556)))</f>
        <v/>
      </c>
      <c r="J556" s="5">
        <f>IF($N556="","",IF(INDEX('Per Invoice'!$J$2:$J$801,$N556)="","",INDEX('Per Invoice'!$J$2:$J$801,$N556)))</f>
        <v/>
      </c>
      <c r="K556" s="5">
        <f>IF($N556="","",IF(INDEX('Per Invoice'!$K$2:$K$801,$N556)="","",INDEX('Per Invoice'!$K$2:$K$801,$N556)))</f>
        <v/>
      </c>
      <c r="L556" s="5">
        <f>IF($N556="","",IF(INDEX('Per Invoice'!$L$2:$L$801,$N556)="","",INDEX('Per Invoice'!$L$2:$L$801,$N556)))</f>
        <v/>
      </c>
      <c r="M556" s="5">
        <f>IF($N556="","",IF(INDEX('Per Invoice'!$M$2:$M$801,$N556)="","",INDEX('Per Invoice'!$M$2:$M$801,$N556)))</f>
        <v/>
      </c>
      <c r="N556">
        <f>IF(ROWS($N$2:$N556)&lt;=COUNT('Per Invoice'!$P$2:$P$801),MATCH(ROWS($N$2:$N556),'Per Invoice'!$P$2:$P$801,0),"")</f>
        <v/>
      </c>
    </row>
    <row r="557">
      <c r="A557">
        <f>IF($N557="","",IF(INDEX('Per Invoice'!$A$2:$A$801,$N557)="","",INDEX('Per Invoice'!$A$2:$A$801,$N557)))</f>
        <v/>
      </c>
      <c r="B557">
        <f>IF($N557="","",IF(INDEX('Per Invoice'!$B$2:$B$801,$N557)="","",INDEX('Per Invoice'!$B$2:$B$801,$N557)))</f>
        <v/>
      </c>
      <c r="C557">
        <f>IF($N557="","",IF(INDEX('Per Invoice'!$C$2:$C$801,$N557)="","",INDEX('Per Invoice'!$C$2:$C$801,$N557)))</f>
        <v/>
      </c>
      <c r="D557">
        <f>IF($N557="","",IF(INDEX('Per Invoice'!$D$2:$D$801,$N557)="","",INDEX('Per Invoice'!$D$2:$D$801,$N557)))</f>
        <v/>
      </c>
      <c r="E557">
        <f>IF($N557="","",IF(INDEX('Per Invoice'!$E$2:$E$801,$N557)="","",INDEX('Per Invoice'!$E$2:$E$801,$N557)))</f>
        <v/>
      </c>
      <c r="F557">
        <f>IF($N557="","",IF(INDEX('Per Invoice'!$F$2:$F$801,$N557)="","",INDEX('Per Invoice'!$F$2:$F$801,$N557)))</f>
        <v/>
      </c>
      <c r="G557">
        <f>IF($N557="","",IF(INDEX('Per Invoice'!$G$2:$G$801,$N557)="","",INDEX('Per Invoice'!$G$2:$G$801,$N557)))</f>
        <v/>
      </c>
      <c r="H557">
        <f>IF($N557="","",IF(INDEX('Per Invoice'!$H$2:$H$801,$N557)="","",INDEX('Per Invoice'!$H$2:$H$801,$N557)))</f>
        <v/>
      </c>
      <c r="I557" s="5">
        <f>IF($N557="","",IF(INDEX('Per Invoice'!$I$2:$I$801,$N557)="","",INDEX('Per Invoice'!$I$2:$I$801,$N557)))</f>
        <v/>
      </c>
      <c r="J557" s="5">
        <f>IF($N557="","",IF(INDEX('Per Invoice'!$J$2:$J$801,$N557)="","",INDEX('Per Invoice'!$J$2:$J$801,$N557)))</f>
        <v/>
      </c>
      <c r="K557" s="5">
        <f>IF($N557="","",IF(INDEX('Per Invoice'!$K$2:$K$801,$N557)="","",INDEX('Per Invoice'!$K$2:$K$801,$N557)))</f>
        <v/>
      </c>
      <c r="L557" s="5">
        <f>IF($N557="","",IF(INDEX('Per Invoice'!$L$2:$L$801,$N557)="","",INDEX('Per Invoice'!$L$2:$L$801,$N557)))</f>
        <v/>
      </c>
      <c r="M557" s="5">
        <f>IF($N557="","",IF(INDEX('Per Invoice'!$M$2:$M$801,$N557)="","",INDEX('Per Invoice'!$M$2:$M$801,$N557)))</f>
        <v/>
      </c>
      <c r="N557">
        <f>IF(ROWS($N$2:$N557)&lt;=COUNT('Per Invoice'!$P$2:$P$801),MATCH(ROWS($N$2:$N557),'Per Invoice'!$P$2:$P$801,0),"")</f>
        <v/>
      </c>
    </row>
    <row r="558">
      <c r="A558">
        <f>IF($N558="","",IF(INDEX('Per Invoice'!$A$2:$A$801,$N558)="","",INDEX('Per Invoice'!$A$2:$A$801,$N558)))</f>
        <v/>
      </c>
      <c r="B558">
        <f>IF($N558="","",IF(INDEX('Per Invoice'!$B$2:$B$801,$N558)="","",INDEX('Per Invoice'!$B$2:$B$801,$N558)))</f>
        <v/>
      </c>
      <c r="C558">
        <f>IF($N558="","",IF(INDEX('Per Invoice'!$C$2:$C$801,$N558)="","",INDEX('Per Invoice'!$C$2:$C$801,$N558)))</f>
        <v/>
      </c>
      <c r="D558">
        <f>IF($N558="","",IF(INDEX('Per Invoice'!$D$2:$D$801,$N558)="","",INDEX('Per Invoice'!$D$2:$D$801,$N558)))</f>
        <v/>
      </c>
      <c r="E558">
        <f>IF($N558="","",IF(INDEX('Per Invoice'!$E$2:$E$801,$N558)="","",INDEX('Per Invoice'!$E$2:$E$801,$N558)))</f>
        <v/>
      </c>
      <c r="F558">
        <f>IF($N558="","",IF(INDEX('Per Invoice'!$F$2:$F$801,$N558)="","",INDEX('Per Invoice'!$F$2:$F$801,$N558)))</f>
        <v/>
      </c>
      <c r="G558">
        <f>IF($N558="","",IF(INDEX('Per Invoice'!$G$2:$G$801,$N558)="","",INDEX('Per Invoice'!$G$2:$G$801,$N558)))</f>
        <v/>
      </c>
      <c r="H558">
        <f>IF($N558="","",IF(INDEX('Per Invoice'!$H$2:$H$801,$N558)="","",INDEX('Per Invoice'!$H$2:$H$801,$N558)))</f>
        <v/>
      </c>
      <c r="I558" s="5">
        <f>IF($N558="","",IF(INDEX('Per Invoice'!$I$2:$I$801,$N558)="","",INDEX('Per Invoice'!$I$2:$I$801,$N558)))</f>
        <v/>
      </c>
      <c r="J558" s="5">
        <f>IF($N558="","",IF(INDEX('Per Invoice'!$J$2:$J$801,$N558)="","",INDEX('Per Invoice'!$J$2:$J$801,$N558)))</f>
        <v/>
      </c>
      <c r="K558" s="5">
        <f>IF($N558="","",IF(INDEX('Per Invoice'!$K$2:$K$801,$N558)="","",INDEX('Per Invoice'!$K$2:$K$801,$N558)))</f>
        <v/>
      </c>
      <c r="L558" s="5">
        <f>IF($N558="","",IF(INDEX('Per Invoice'!$L$2:$L$801,$N558)="","",INDEX('Per Invoice'!$L$2:$L$801,$N558)))</f>
        <v/>
      </c>
      <c r="M558" s="5">
        <f>IF($N558="","",IF(INDEX('Per Invoice'!$M$2:$M$801,$N558)="","",INDEX('Per Invoice'!$M$2:$M$801,$N558)))</f>
        <v/>
      </c>
      <c r="N558">
        <f>IF(ROWS($N$2:$N558)&lt;=COUNT('Per Invoice'!$P$2:$P$801),MATCH(ROWS($N$2:$N558),'Per Invoice'!$P$2:$P$801,0),"")</f>
        <v/>
      </c>
    </row>
    <row r="559">
      <c r="A559">
        <f>IF($N559="","",IF(INDEX('Per Invoice'!$A$2:$A$801,$N559)="","",INDEX('Per Invoice'!$A$2:$A$801,$N559)))</f>
        <v/>
      </c>
      <c r="B559">
        <f>IF($N559="","",IF(INDEX('Per Invoice'!$B$2:$B$801,$N559)="","",INDEX('Per Invoice'!$B$2:$B$801,$N559)))</f>
        <v/>
      </c>
      <c r="C559">
        <f>IF($N559="","",IF(INDEX('Per Invoice'!$C$2:$C$801,$N559)="","",INDEX('Per Invoice'!$C$2:$C$801,$N559)))</f>
        <v/>
      </c>
      <c r="D559">
        <f>IF($N559="","",IF(INDEX('Per Invoice'!$D$2:$D$801,$N559)="","",INDEX('Per Invoice'!$D$2:$D$801,$N559)))</f>
        <v/>
      </c>
      <c r="E559">
        <f>IF($N559="","",IF(INDEX('Per Invoice'!$E$2:$E$801,$N559)="","",INDEX('Per Invoice'!$E$2:$E$801,$N559)))</f>
        <v/>
      </c>
      <c r="F559">
        <f>IF($N559="","",IF(INDEX('Per Invoice'!$F$2:$F$801,$N559)="","",INDEX('Per Invoice'!$F$2:$F$801,$N559)))</f>
        <v/>
      </c>
      <c r="G559">
        <f>IF($N559="","",IF(INDEX('Per Invoice'!$G$2:$G$801,$N559)="","",INDEX('Per Invoice'!$G$2:$G$801,$N559)))</f>
        <v/>
      </c>
      <c r="H559">
        <f>IF($N559="","",IF(INDEX('Per Invoice'!$H$2:$H$801,$N559)="","",INDEX('Per Invoice'!$H$2:$H$801,$N559)))</f>
        <v/>
      </c>
      <c r="I559" s="5">
        <f>IF($N559="","",IF(INDEX('Per Invoice'!$I$2:$I$801,$N559)="","",INDEX('Per Invoice'!$I$2:$I$801,$N559)))</f>
        <v/>
      </c>
      <c r="J559" s="5">
        <f>IF($N559="","",IF(INDEX('Per Invoice'!$J$2:$J$801,$N559)="","",INDEX('Per Invoice'!$J$2:$J$801,$N559)))</f>
        <v/>
      </c>
      <c r="K559" s="5">
        <f>IF($N559="","",IF(INDEX('Per Invoice'!$K$2:$K$801,$N559)="","",INDEX('Per Invoice'!$K$2:$K$801,$N559)))</f>
        <v/>
      </c>
      <c r="L559" s="5">
        <f>IF($N559="","",IF(INDEX('Per Invoice'!$L$2:$L$801,$N559)="","",INDEX('Per Invoice'!$L$2:$L$801,$N559)))</f>
        <v/>
      </c>
      <c r="M559" s="5">
        <f>IF($N559="","",IF(INDEX('Per Invoice'!$M$2:$M$801,$N559)="","",INDEX('Per Invoice'!$M$2:$M$801,$N559)))</f>
        <v/>
      </c>
      <c r="N559">
        <f>IF(ROWS($N$2:$N559)&lt;=COUNT('Per Invoice'!$P$2:$P$801),MATCH(ROWS($N$2:$N559),'Per Invoice'!$P$2:$P$801,0),"")</f>
        <v/>
      </c>
    </row>
    <row r="560">
      <c r="A560">
        <f>IF($N560="","",IF(INDEX('Per Invoice'!$A$2:$A$801,$N560)="","",INDEX('Per Invoice'!$A$2:$A$801,$N560)))</f>
        <v/>
      </c>
      <c r="B560">
        <f>IF($N560="","",IF(INDEX('Per Invoice'!$B$2:$B$801,$N560)="","",INDEX('Per Invoice'!$B$2:$B$801,$N560)))</f>
        <v/>
      </c>
      <c r="C560">
        <f>IF($N560="","",IF(INDEX('Per Invoice'!$C$2:$C$801,$N560)="","",INDEX('Per Invoice'!$C$2:$C$801,$N560)))</f>
        <v/>
      </c>
      <c r="D560">
        <f>IF($N560="","",IF(INDEX('Per Invoice'!$D$2:$D$801,$N560)="","",INDEX('Per Invoice'!$D$2:$D$801,$N560)))</f>
        <v/>
      </c>
      <c r="E560">
        <f>IF($N560="","",IF(INDEX('Per Invoice'!$E$2:$E$801,$N560)="","",INDEX('Per Invoice'!$E$2:$E$801,$N560)))</f>
        <v/>
      </c>
      <c r="F560">
        <f>IF($N560="","",IF(INDEX('Per Invoice'!$F$2:$F$801,$N560)="","",INDEX('Per Invoice'!$F$2:$F$801,$N560)))</f>
        <v/>
      </c>
      <c r="G560">
        <f>IF($N560="","",IF(INDEX('Per Invoice'!$G$2:$G$801,$N560)="","",INDEX('Per Invoice'!$G$2:$G$801,$N560)))</f>
        <v/>
      </c>
      <c r="H560">
        <f>IF($N560="","",IF(INDEX('Per Invoice'!$H$2:$H$801,$N560)="","",INDEX('Per Invoice'!$H$2:$H$801,$N560)))</f>
        <v/>
      </c>
      <c r="I560" s="5">
        <f>IF($N560="","",IF(INDEX('Per Invoice'!$I$2:$I$801,$N560)="","",INDEX('Per Invoice'!$I$2:$I$801,$N560)))</f>
        <v/>
      </c>
      <c r="J560" s="5">
        <f>IF($N560="","",IF(INDEX('Per Invoice'!$J$2:$J$801,$N560)="","",INDEX('Per Invoice'!$J$2:$J$801,$N560)))</f>
        <v/>
      </c>
      <c r="K560" s="5">
        <f>IF($N560="","",IF(INDEX('Per Invoice'!$K$2:$K$801,$N560)="","",INDEX('Per Invoice'!$K$2:$K$801,$N560)))</f>
        <v/>
      </c>
      <c r="L560" s="5">
        <f>IF($N560="","",IF(INDEX('Per Invoice'!$L$2:$L$801,$N560)="","",INDEX('Per Invoice'!$L$2:$L$801,$N560)))</f>
        <v/>
      </c>
      <c r="M560" s="5">
        <f>IF($N560="","",IF(INDEX('Per Invoice'!$M$2:$M$801,$N560)="","",INDEX('Per Invoice'!$M$2:$M$801,$N560)))</f>
        <v/>
      </c>
      <c r="N560">
        <f>IF(ROWS($N$2:$N560)&lt;=COUNT('Per Invoice'!$P$2:$P$801),MATCH(ROWS($N$2:$N560),'Per Invoice'!$P$2:$P$801,0),"")</f>
        <v/>
      </c>
    </row>
    <row r="561">
      <c r="A561">
        <f>IF($N561="","",IF(INDEX('Per Invoice'!$A$2:$A$801,$N561)="","",INDEX('Per Invoice'!$A$2:$A$801,$N561)))</f>
        <v/>
      </c>
      <c r="B561">
        <f>IF($N561="","",IF(INDEX('Per Invoice'!$B$2:$B$801,$N561)="","",INDEX('Per Invoice'!$B$2:$B$801,$N561)))</f>
        <v/>
      </c>
      <c r="C561">
        <f>IF($N561="","",IF(INDEX('Per Invoice'!$C$2:$C$801,$N561)="","",INDEX('Per Invoice'!$C$2:$C$801,$N561)))</f>
        <v/>
      </c>
      <c r="D561">
        <f>IF($N561="","",IF(INDEX('Per Invoice'!$D$2:$D$801,$N561)="","",INDEX('Per Invoice'!$D$2:$D$801,$N561)))</f>
        <v/>
      </c>
      <c r="E561">
        <f>IF($N561="","",IF(INDEX('Per Invoice'!$E$2:$E$801,$N561)="","",INDEX('Per Invoice'!$E$2:$E$801,$N561)))</f>
        <v/>
      </c>
      <c r="F561">
        <f>IF($N561="","",IF(INDEX('Per Invoice'!$F$2:$F$801,$N561)="","",INDEX('Per Invoice'!$F$2:$F$801,$N561)))</f>
        <v/>
      </c>
      <c r="G561">
        <f>IF($N561="","",IF(INDEX('Per Invoice'!$G$2:$G$801,$N561)="","",INDEX('Per Invoice'!$G$2:$G$801,$N561)))</f>
        <v/>
      </c>
      <c r="H561">
        <f>IF($N561="","",IF(INDEX('Per Invoice'!$H$2:$H$801,$N561)="","",INDEX('Per Invoice'!$H$2:$H$801,$N561)))</f>
        <v/>
      </c>
      <c r="I561" s="5">
        <f>IF($N561="","",IF(INDEX('Per Invoice'!$I$2:$I$801,$N561)="","",INDEX('Per Invoice'!$I$2:$I$801,$N561)))</f>
        <v/>
      </c>
      <c r="J561" s="5">
        <f>IF($N561="","",IF(INDEX('Per Invoice'!$J$2:$J$801,$N561)="","",INDEX('Per Invoice'!$J$2:$J$801,$N561)))</f>
        <v/>
      </c>
      <c r="K561" s="5">
        <f>IF($N561="","",IF(INDEX('Per Invoice'!$K$2:$K$801,$N561)="","",INDEX('Per Invoice'!$K$2:$K$801,$N561)))</f>
        <v/>
      </c>
      <c r="L561" s="5">
        <f>IF($N561="","",IF(INDEX('Per Invoice'!$L$2:$L$801,$N561)="","",INDEX('Per Invoice'!$L$2:$L$801,$N561)))</f>
        <v/>
      </c>
      <c r="M561" s="5">
        <f>IF($N561="","",IF(INDEX('Per Invoice'!$M$2:$M$801,$N561)="","",INDEX('Per Invoice'!$M$2:$M$801,$N561)))</f>
        <v/>
      </c>
      <c r="N561">
        <f>IF(ROWS($N$2:$N561)&lt;=COUNT('Per Invoice'!$P$2:$P$801),MATCH(ROWS($N$2:$N561),'Per Invoice'!$P$2:$P$801,0),"")</f>
        <v/>
      </c>
    </row>
    <row r="562">
      <c r="A562">
        <f>IF($N562="","",IF(INDEX('Per Invoice'!$A$2:$A$801,$N562)="","",INDEX('Per Invoice'!$A$2:$A$801,$N562)))</f>
        <v/>
      </c>
      <c r="B562">
        <f>IF($N562="","",IF(INDEX('Per Invoice'!$B$2:$B$801,$N562)="","",INDEX('Per Invoice'!$B$2:$B$801,$N562)))</f>
        <v/>
      </c>
      <c r="C562">
        <f>IF($N562="","",IF(INDEX('Per Invoice'!$C$2:$C$801,$N562)="","",INDEX('Per Invoice'!$C$2:$C$801,$N562)))</f>
        <v/>
      </c>
      <c r="D562">
        <f>IF($N562="","",IF(INDEX('Per Invoice'!$D$2:$D$801,$N562)="","",INDEX('Per Invoice'!$D$2:$D$801,$N562)))</f>
        <v/>
      </c>
      <c r="E562">
        <f>IF($N562="","",IF(INDEX('Per Invoice'!$E$2:$E$801,$N562)="","",INDEX('Per Invoice'!$E$2:$E$801,$N562)))</f>
        <v/>
      </c>
      <c r="F562">
        <f>IF($N562="","",IF(INDEX('Per Invoice'!$F$2:$F$801,$N562)="","",INDEX('Per Invoice'!$F$2:$F$801,$N562)))</f>
        <v/>
      </c>
      <c r="G562">
        <f>IF($N562="","",IF(INDEX('Per Invoice'!$G$2:$G$801,$N562)="","",INDEX('Per Invoice'!$G$2:$G$801,$N562)))</f>
        <v/>
      </c>
      <c r="H562">
        <f>IF($N562="","",IF(INDEX('Per Invoice'!$H$2:$H$801,$N562)="","",INDEX('Per Invoice'!$H$2:$H$801,$N562)))</f>
        <v/>
      </c>
      <c r="I562" s="5">
        <f>IF($N562="","",IF(INDEX('Per Invoice'!$I$2:$I$801,$N562)="","",INDEX('Per Invoice'!$I$2:$I$801,$N562)))</f>
        <v/>
      </c>
      <c r="J562" s="5">
        <f>IF($N562="","",IF(INDEX('Per Invoice'!$J$2:$J$801,$N562)="","",INDEX('Per Invoice'!$J$2:$J$801,$N562)))</f>
        <v/>
      </c>
      <c r="K562" s="5">
        <f>IF($N562="","",IF(INDEX('Per Invoice'!$K$2:$K$801,$N562)="","",INDEX('Per Invoice'!$K$2:$K$801,$N562)))</f>
        <v/>
      </c>
      <c r="L562" s="5">
        <f>IF($N562="","",IF(INDEX('Per Invoice'!$L$2:$L$801,$N562)="","",INDEX('Per Invoice'!$L$2:$L$801,$N562)))</f>
        <v/>
      </c>
      <c r="M562" s="5">
        <f>IF($N562="","",IF(INDEX('Per Invoice'!$M$2:$M$801,$N562)="","",INDEX('Per Invoice'!$M$2:$M$801,$N562)))</f>
        <v/>
      </c>
      <c r="N562">
        <f>IF(ROWS($N$2:$N562)&lt;=COUNT('Per Invoice'!$P$2:$P$801),MATCH(ROWS($N$2:$N562),'Per Invoice'!$P$2:$P$801,0),"")</f>
        <v/>
      </c>
    </row>
    <row r="563">
      <c r="A563">
        <f>IF($N563="","",IF(INDEX('Per Invoice'!$A$2:$A$801,$N563)="","",INDEX('Per Invoice'!$A$2:$A$801,$N563)))</f>
        <v/>
      </c>
      <c r="B563">
        <f>IF($N563="","",IF(INDEX('Per Invoice'!$B$2:$B$801,$N563)="","",INDEX('Per Invoice'!$B$2:$B$801,$N563)))</f>
        <v/>
      </c>
      <c r="C563">
        <f>IF($N563="","",IF(INDEX('Per Invoice'!$C$2:$C$801,$N563)="","",INDEX('Per Invoice'!$C$2:$C$801,$N563)))</f>
        <v/>
      </c>
      <c r="D563">
        <f>IF($N563="","",IF(INDEX('Per Invoice'!$D$2:$D$801,$N563)="","",INDEX('Per Invoice'!$D$2:$D$801,$N563)))</f>
        <v/>
      </c>
      <c r="E563">
        <f>IF($N563="","",IF(INDEX('Per Invoice'!$E$2:$E$801,$N563)="","",INDEX('Per Invoice'!$E$2:$E$801,$N563)))</f>
        <v/>
      </c>
      <c r="F563">
        <f>IF($N563="","",IF(INDEX('Per Invoice'!$F$2:$F$801,$N563)="","",INDEX('Per Invoice'!$F$2:$F$801,$N563)))</f>
        <v/>
      </c>
      <c r="G563">
        <f>IF($N563="","",IF(INDEX('Per Invoice'!$G$2:$G$801,$N563)="","",INDEX('Per Invoice'!$G$2:$G$801,$N563)))</f>
        <v/>
      </c>
      <c r="H563">
        <f>IF($N563="","",IF(INDEX('Per Invoice'!$H$2:$H$801,$N563)="","",INDEX('Per Invoice'!$H$2:$H$801,$N563)))</f>
        <v/>
      </c>
      <c r="I563" s="5">
        <f>IF($N563="","",IF(INDEX('Per Invoice'!$I$2:$I$801,$N563)="","",INDEX('Per Invoice'!$I$2:$I$801,$N563)))</f>
        <v/>
      </c>
      <c r="J563" s="5">
        <f>IF($N563="","",IF(INDEX('Per Invoice'!$J$2:$J$801,$N563)="","",INDEX('Per Invoice'!$J$2:$J$801,$N563)))</f>
        <v/>
      </c>
      <c r="K563" s="5">
        <f>IF($N563="","",IF(INDEX('Per Invoice'!$K$2:$K$801,$N563)="","",INDEX('Per Invoice'!$K$2:$K$801,$N563)))</f>
        <v/>
      </c>
      <c r="L563" s="5">
        <f>IF($N563="","",IF(INDEX('Per Invoice'!$L$2:$L$801,$N563)="","",INDEX('Per Invoice'!$L$2:$L$801,$N563)))</f>
        <v/>
      </c>
      <c r="M563" s="5">
        <f>IF($N563="","",IF(INDEX('Per Invoice'!$M$2:$M$801,$N563)="","",INDEX('Per Invoice'!$M$2:$M$801,$N563)))</f>
        <v/>
      </c>
      <c r="N563">
        <f>IF(ROWS($N$2:$N563)&lt;=COUNT('Per Invoice'!$P$2:$P$801),MATCH(ROWS($N$2:$N563),'Per Invoice'!$P$2:$P$801,0),"")</f>
        <v/>
      </c>
    </row>
    <row r="564">
      <c r="A564">
        <f>IF($N564="","",IF(INDEX('Per Invoice'!$A$2:$A$801,$N564)="","",INDEX('Per Invoice'!$A$2:$A$801,$N564)))</f>
        <v/>
      </c>
      <c r="B564">
        <f>IF($N564="","",IF(INDEX('Per Invoice'!$B$2:$B$801,$N564)="","",INDEX('Per Invoice'!$B$2:$B$801,$N564)))</f>
        <v/>
      </c>
      <c r="C564">
        <f>IF($N564="","",IF(INDEX('Per Invoice'!$C$2:$C$801,$N564)="","",INDEX('Per Invoice'!$C$2:$C$801,$N564)))</f>
        <v/>
      </c>
      <c r="D564">
        <f>IF($N564="","",IF(INDEX('Per Invoice'!$D$2:$D$801,$N564)="","",INDEX('Per Invoice'!$D$2:$D$801,$N564)))</f>
        <v/>
      </c>
      <c r="E564">
        <f>IF($N564="","",IF(INDEX('Per Invoice'!$E$2:$E$801,$N564)="","",INDEX('Per Invoice'!$E$2:$E$801,$N564)))</f>
        <v/>
      </c>
      <c r="F564">
        <f>IF($N564="","",IF(INDEX('Per Invoice'!$F$2:$F$801,$N564)="","",INDEX('Per Invoice'!$F$2:$F$801,$N564)))</f>
        <v/>
      </c>
      <c r="G564">
        <f>IF($N564="","",IF(INDEX('Per Invoice'!$G$2:$G$801,$N564)="","",INDEX('Per Invoice'!$G$2:$G$801,$N564)))</f>
        <v/>
      </c>
      <c r="H564">
        <f>IF($N564="","",IF(INDEX('Per Invoice'!$H$2:$H$801,$N564)="","",INDEX('Per Invoice'!$H$2:$H$801,$N564)))</f>
        <v/>
      </c>
      <c r="I564" s="5">
        <f>IF($N564="","",IF(INDEX('Per Invoice'!$I$2:$I$801,$N564)="","",INDEX('Per Invoice'!$I$2:$I$801,$N564)))</f>
        <v/>
      </c>
      <c r="J564" s="5">
        <f>IF($N564="","",IF(INDEX('Per Invoice'!$J$2:$J$801,$N564)="","",INDEX('Per Invoice'!$J$2:$J$801,$N564)))</f>
        <v/>
      </c>
      <c r="K564" s="5">
        <f>IF($N564="","",IF(INDEX('Per Invoice'!$K$2:$K$801,$N564)="","",INDEX('Per Invoice'!$K$2:$K$801,$N564)))</f>
        <v/>
      </c>
      <c r="L564" s="5">
        <f>IF($N564="","",IF(INDEX('Per Invoice'!$L$2:$L$801,$N564)="","",INDEX('Per Invoice'!$L$2:$L$801,$N564)))</f>
        <v/>
      </c>
      <c r="M564" s="5">
        <f>IF($N564="","",IF(INDEX('Per Invoice'!$M$2:$M$801,$N564)="","",INDEX('Per Invoice'!$M$2:$M$801,$N564)))</f>
        <v/>
      </c>
      <c r="N564">
        <f>IF(ROWS($N$2:$N564)&lt;=COUNT('Per Invoice'!$P$2:$P$801),MATCH(ROWS($N$2:$N564),'Per Invoice'!$P$2:$P$801,0),"")</f>
        <v/>
      </c>
    </row>
    <row r="565">
      <c r="A565">
        <f>IF($N565="","",IF(INDEX('Per Invoice'!$A$2:$A$801,$N565)="","",INDEX('Per Invoice'!$A$2:$A$801,$N565)))</f>
        <v/>
      </c>
      <c r="B565">
        <f>IF($N565="","",IF(INDEX('Per Invoice'!$B$2:$B$801,$N565)="","",INDEX('Per Invoice'!$B$2:$B$801,$N565)))</f>
        <v/>
      </c>
      <c r="C565">
        <f>IF($N565="","",IF(INDEX('Per Invoice'!$C$2:$C$801,$N565)="","",INDEX('Per Invoice'!$C$2:$C$801,$N565)))</f>
        <v/>
      </c>
      <c r="D565">
        <f>IF($N565="","",IF(INDEX('Per Invoice'!$D$2:$D$801,$N565)="","",INDEX('Per Invoice'!$D$2:$D$801,$N565)))</f>
        <v/>
      </c>
      <c r="E565">
        <f>IF($N565="","",IF(INDEX('Per Invoice'!$E$2:$E$801,$N565)="","",INDEX('Per Invoice'!$E$2:$E$801,$N565)))</f>
        <v/>
      </c>
      <c r="F565">
        <f>IF($N565="","",IF(INDEX('Per Invoice'!$F$2:$F$801,$N565)="","",INDEX('Per Invoice'!$F$2:$F$801,$N565)))</f>
        <v/>
      </c>
      <c r="G565">
        <f>IF($N565="","",IF(INDEX('Per Invoice'!$G$2:$G$801,$N565)="","",INDEX('Per Invoice'!$G$2:$G$801,$N565)))</f>
        <v/>
      </c>
      <c r="H565">
        <f>IF($N565="","",IF(INDEX('Per Invoice'!$H$2:$H$801,$N565)="","",INDEX('Per Invoice'!$H$2:$H$801,$N565)))</f>
        <v/>
      </c>
      <c r="I565" s="5">
        <f>IF($N565="","",IF(INDEX('Per Invoice'!$I$2:$I$801,$N565)="","",INDEX('Per Invoice'!$I$2:$I$801,$N565)))</f>
        <v/>
      </c>
      <c r="J565" s="5">
        <f>IF($N565="","",IF(INDEX('Per Invoice'!$J$2:$J$801,$N565)="","",INDEX('Per Invoice'!$J$2:$J$801,$N565)))</f>
        <v/>
      </c>
      <c r="K565" s="5">
        <f>IF($N565="","",IF(INDEX('Per Invoice'!$K$2:$K$801,$N565)="","",INDEX('Per Invoice'!$K$2:$K$801,$N565)))</f>
        <v/>
      </c>
      <c r="L565" s="5">
        <f>IF($N565="","",IF(INDEX('Per Invoice'!$L$2:$L$801,$N565)="","",INDEX('Per Invoice'!$L$2:$L$801,$N565)))</f>
        <v/>
      </c>
      <c r="M565" s="5">
        <f>IF($N565="","",IF(INDEX('Per Invoice'!$M$2:$M$801,$N565)="","",INDEX('Per Invoice'!$M$2:$M$801,$N565)))</f>
        <v/>
      </c>
      <c r="N565">
        <f>IF(ROWS($N$2:$N565)&lt;=COUNT('Per Invoice'!$P$2:$P$801),MATCH(ROWS($N$2:$N565),'Per Invoice'!$P$2:$P$801,0),"")</f>
        <v/>
      </c>
    </row>
    <row r="566">
      <c r="A566">
        <f>IF($N566="","",IF(INDEX('Per Invoice'!$A$2:$A$801,$N566)="","",INDEX('Per Invoice'!$A$2:$A$801,$N566)))</f>
        <v/>
      </c>
      <c r="B566">
        <f>IF($N566="","",IF(INDEX('Per Invoice'!$B$2:$B$801,$N566)="","",INDEX('Per Invoice'!$B$2:$B$801,$N566)))</f>
        <v/>
      </c>
      <c r="C566">
        <f>IF($N566="","",IF(INDEX('Per Invoice'!$C$2:$C$801,$N566)="","",INDEX('Per Invoice'!$C$2:$C$801,$N566)))</f>
        <v/>
      </c>
      <c r="D566">
        <f>IF($N566="","",IF(INDEX('Per Invoice'!$D$2:$D$801,$N566)="","",INDEX('Per Invoice'!$D$2:$D$801,$N566)))</f>
        <v/>
      </c>
      <c r="E566">
        <f>IF($N566="","",IF(INDEX('Per Invoice'!$E$2:$E$801,$N566)="","",INDEX('Per Invoice'!$E$2:$E$801,$N566)))</f>
        <v/>
      </c>
      <c r="F566">
        <f>IF($N566="","",IF(INDEX('Per Invoice'!$F$2:$F$801,$N566)="","",INDEX('Per Invoice'!$F$2:$F$801,$N566)))</f>
        <v/>
      </c>
      <c r="G566">
        <f>IF($N566="","",IF(INDEX('Per Invoice'!$G$2:$G$801,$N566)="","",INDEX('Per Invoice'!$G$2:$G$801,$N566)))</f>
        <v/>
      </c>
      <c r="H566">
        <f>IF($N566="","",IF(INDEX('Per Invoice'!$H$2:$H$801,$N566)="","",INDEX('Per Invoice'!$H$2:$H$801,$N566)))</f>
        <v/>
      </c>
      <c r="I566" s="5">
        <f>IF($N566="","",IF(INDEX('Per Invoice'!$I$2:$I$801,$N566)="","",INDEX('Per Invoice'!$I$2:$I$801,$N566)))</f>
        <v/>
      </c>
      <c r="J566" s="5">
        <f>IF($N566="","",IF(INDEX('Per Invoice'!$J$2:$J$801,$N566)="","",INDEX('Per Invoice'!$J$2:$J$801,$N566)))</f>
        <v/>
      </c>
      <c r="K566" s="5">
        <f>IF($N566="","",IF(INDEX('Per Invoice'!$K$2:$K$801,$N566)="","",INDEX('Per Invoice'!$K$2:$K$801,$N566)))</f>
        <v/>
      </c>
      <c r="L566" s="5">
        <f>IF($N566="","",IF(INDEX('Per Invoice'!$L$2:$L$801,$N566)="","",INDEX('Per Invoice'!$L$2:$L$801,$N566)))</f>
        <v/>
      </c>
      <c r="M566" s="5">
        <f>IF($N566="","",IF(INDEX('Per Invoice'!$M$2:$M$801,$N566)="","",INDEX('Per Invoice'!$M$2:$M$801,$N566)))</f>
        <v/>
      </c>
      <c r="N566">
        <f>IF(ROWS($N$2:$N566)&lt;=COUNT('Per Invoice'!$P$2:$P$801),MATCH(ROWS($N$2:$N566),'Per Invoice'!$P$2:$P$801,0),"")</f>
        <v/>
      </c>
    </row>
    <row r="567">
      <c r="A567">
        <f>IF($N567="","",IF(INDEX('Per Invoice'!$A$2:$A$801,$N567)="","",INDEX('Per Invoice'!$A$2:$A$801,$N567)))</f>
        <v/>
      </c>
      <c r="B567">
        <f>IF($N567="","",IF(INDEX('Per Invoice'!$B$2:$B$801,$N567)="","",INDEX('Per Invoice'!$B$2:$B$801,$N567)))</f>
        <v/>
      </c>
      <c r="C567">
        <f>IF($N567="","",IF(INDEX('Per Invoice'!$C$2:$C$801,$N567)="","",INDEX('Per Invoice'!$C$2:$C$801,$N567)))</f>
        <v/>
      </c>
      <c r="D567">
        <f>IF($N567="","",IF(INDEX('Per Invoice'!$D$2:$D$801,$N567)="","",INDEX('Per Invoice'!$D$2:$D$801,$N567)))</f>
        <v/>
      </c>
      <c r="E567">
        <f>IF($N567="","",IF(INDEX('Per Invoice'!$E$2:$E$801,$N567)="","",INDEX('Per Invoice'!$E$2:$E$801,$N567)))</f>
        <v/>
      </c>
      <c r="F567">
        <f>IF($N567="","",IF(INDEX('Per Invoice'!$F$2:$F$801,$N567)="","",INDEX('Per Invoice'!$F$2:$F$801,$N567)))</f>
        <v/>
      </c>
      <c r="G567">
        <f>IF($N567="","",IF(INDEX('Per Invoice'!$G$2:$G$801,$N567)="","",INDEX('Per Invoice'!$G$2:$G$801,$N567)))</f>
        <v/>
      </c>
      <c r="H567">
        <f>IF($N567="","",IF(INDEX('Per Invoice'!$H$2:$H$801,$N567)="","",INDEX('Per Invoice'!$H$2:$H$801,$N567)))</f>
        <v/>
      </c>
      <c r="I567" s="5">
        <f>IF($N567="","",IF(INDEX('Per Invoice'!$I$2:$I$801,$N567)="","",INDEX('Per Invoice'!$I$2:$I$801,$N567)))</f>
        <v/>
      </c>
      <c r="J567" s="5">
        <f>IF($N567="","",IF(INDEX('Per Invoice'!$J$2:$J$801,$N567)="","",INDEX('Per Invoice'!$J$2:$J$801,$N567)))</f>
        <v/>
      </c>
      <c r="K567" s="5">
        <f>IF($N567="","",IF(INDEX('Per Invoice'!$K$2:$K$801,$N567)="","",INDEX('Per Invoice'!$K$2:$K$801,$N567)))</f>
        <v/>
      </c>
      <c r="L567" s="5">
        <f>IF($N567="","",IF(INDEX('Per Invoice'!$L$2:$L$801,$N567)="","",INDEX('Per Invoice'!$L$2:$L$801,$N567)))</f>
        <v/>
      </c>
      <c r="M567" s="5">
        <f>IF($N567="","",IF(INDEX('Per Invoice'!$M$2:$M$801,$N567)="","",INDEX('Per Invoice'!$M$2:$M$801,$N567)))</f>
        <v/>
      </c>
      <c r="N567">
        <f>IF(ROWS($N$2:$N567)&lt;=COUNT('Per Invoice'!$P$2:$P$801),MATCH(ROWS($N$2:$N567),'Per Invoice'!$P$2:$P$801,0),"")</f>
        <v/>
      </c>
    </row>
    <row r="568">
      <c r="A568">
        <f>IF($N568="","",IF(INDEX('Per Invoice'!$A$2:$A$801,$N568)="","",INDEX('Per Invoice'!$A$2:$A$801,$N568)))</f>
        <v/>
      </c>
      <c r="B568">
        <f>IF($N568="","",IF(INDEX('Per Invoice'!$B$2:$B$801,$N568)="","",INDEX('Per Invoice'!$B$2:$B$801,$N568)))</f>
        <v/>
      </c>
      <c r="C568">
        <f>IF($N568="","",IF(INDEX('Per Invoice'!$C$2:$C$801,$N568)="","",INDEX('Per Invoice'!$C$2:$C$801,$N568)))</f>
        <v/>
      </c>
      <c r="D568">
        <f>IF($N568="","",IF(INDEX('Per Invoice'!$D$2:$D$801,$N568)="","",INDEX('Per Invoice'!$D$2:$D$801,$N568)))</f>
        <v/>
      </c>
      <c r="E568">
        <f>IF($N568="","",IF(INDEX('Per Invoice'!$E$2:$E$801,$N568)="","",INDEX('Per Invoice'!$E$2:$E$801,$N568)))</f>
        <v/>
      </c>
      <c r="F568">
        <f>IF($N568="","",IF(INDEX('Per Invoice'!$F$2:$F$801,$N568)="","",INDEX('Per Invoice'!$F$2:$F$801,$N568)))</f>
        <v/>
      </c>
      <c r="G568">
        <f>IF($N568="","",IF(INDEX('Per Invoice'!$G$2:$G$801,$N568)="","",INDEX('Per Invoice'!$G$2:$G$801,$N568)))</f>
        <v/>
      </c>
      <c r="H568">
        <f>IF($N568="","",IF(INDEX('Per Invoice'!$H$2:$H$801,$N568)="","",INDEX('Per Invoice'!$H$2:$H$801,$N568)))</f>
        <v/>
      </c>
      <c r="I568" s="5">
        <f>IF($N568="","",IF(INDEX('Per Invoice'!$I$2:$I$801,$N568)="","",INDEX('Per Invoice'!$I$2:$I$801,$N568)))</f>
        <v/>
      </c>
      <c r="J568" s="5">
        <f>IF($N568="","",IF(INDEX('Per Invoice'!$J$2:$J$801,$N568)="","",INDEX('Per Invoice'!$J$2:$J$801,$N568)))</f>
        <v/>
      </c>
      <c r="K568" s="5">
        <f>IF($N568="","",IF(INDEX('Per Invoice'!$K$2:$K$801,$N568)="","",INDEX('Per Invoice'!$K$2:$K$801,$N568)))</f>
        <v/>
      </c>
      <c r="L568" s="5">
        <f>IF($N568="","",IF(INDEX('Per Invoice'!$L$2:$L$801,$N568)="","",INDEX('Per Invoice'!$L$2:$L$801,$N568)))</f>
        <v/>
      </c>
      <c r="M568" s="5">
        <f>IF($N568="","",IF(INDEX('Per Invoice'!$M$2:$M$801,$N568)="","",INDEX('Per Invoice'!$M$2:$M$801,$N568)))</f>
        <v/>
      </c>
      <c r="N568">
        <f>IF(ROWS($N$2:$N568)&lt;=COUNT('Per Invoice'!$P$2:$P$801),MATCH(ROWS($N$2:$N568),'Per Invoice'!$P$2:$P$801,0),"")</f>
        <v/>
      </c>
    </row>
    <row r="569">
      <c r="A569">
        <f>IF($N569="","",IF(INDEX('Per Invoice'!$A$2:$A$801,$N569)="","",INDEX('Per Invoice'!$A$2:$A$801,$N569)))</f>
        <v/>
      </c>
      <c r="B569">
        <f>IF($N569="","",IF(INDEX('Per Invoice'!$B$2:$B$801,$N569)="","",INDEX('Per Invoice'!$B$2:$B$801,$N569)))</f>
        <v/>
      </c>
      <c r="C569">
        <f>IF($N569="","",IF(INDEX('Per Invoice'!$C$2:$C$801,$N569)="","",INDEX('Per Invoice'!$C$2:$C$801,$N569)))</f>
        <v/>
      </c>
      <c r="D569">
        <f>IF($N569="","",IF(INDEX('Per Invoice'!$D$2:$D$801,$N569)="","",INDEX('Per Invoice'!$D$2:$D$801,$N569)))</f>
        <v/>
      </c>
      <c r="E569">
        <f>IF($N569="","",IF(INDEX('Per Invoice'!$E$2:$E$801,$N569)="","",INDEX('Per Invoice'!$E$2:$E$801,$N569)))</f>
        <v/>
      </c>
      <c r="F569">
        <f>IF($N569="","",IF(INDEX('Per Invoice'!$F$2:$F$801,$N569)="","",INDEX('Per Invoice'!$F$2:$F$801,$N569)))</f>
        <v/>
      </c>
      <c r="G569">
        <f>IF($N569="","",IF(INDEX('Per Invoice'!$G$2:$G$801,$N569)="","",INDEX('Per Invoice'!$G$2:$G$801,$N569)))</f>
        <v/>
      </c>
      <c r="H569">
        <f>IF($N569="","",IF(INDEX('Per Invoice'!$H$2:$H$801,$N569)="","",INDEX('Per Invoice'!$H$2:$H$801,$N569)))</f>
        <v/>
      </c>
      <c r="I569" s="5">
        <f>IF($N569="","",IF(INDEX('Per Invoice'!$I$2:$I$801,$N569)="","",INDEX('Per Invoice'!$I$2:$I$801,$N569)))</f>
        <v/>
      </c>
      <c r="J569" s="5">
        <f>IF($N569="","",IF(INDEX('Per Invoice'!$J$2:$J$801,$N569)="","",INDEX('Per Invoice'!$J$2:$J$801,$N569)))</f>
        <v/>
      </c>
      <c r="K569" s="5">
        <f>IF($N569="","",IF(INDEX('Per Invoice'!$K$2:$K$801,$N569)="","",INDEX('Per Invoice'!$K$2:$K$801,$N569)))</f>
        <v/>
      </c>
      <c r="L569" s="5">
        <f>IF($N569="","",IF(INDEX('Per Invoice'!$L$2:$L$801,$N569)="","",INDEX('Per Invoice'!$L$2:$L$801,$N569)))</f>
        <v/>
      </c>
      <c r="M569" s="5">
        <f>IF($N569="","",IF(INDEX('Per Invoice'!$M$2:$M$801,$N569)="","",INDEX('Per Invoice'!$M$2:$M$801,$N569)))</f>
        <v/>
      </c>
      <c r="N569">
        <f>IF(ROWS($N$2:$N569)&lt;=COUNT('Per Invoice'!$P$2:$P$801),MATCH(ROWS($N$2:$N569),'Per Invoice'!$P$2:$P$801,0),"")</f>
        <v/>
      </c>
    </row>
    <row r="570">
      <c r="A570">
        <f>IF($N570="","",IF(INDEX('Per Invoice'!$A$2:$A$801,$N570)="","",INDEX('Per Invoice'!$A$2:$A$801,$N570)))</f>
        <v/>
      </c>
      <c r="B570">
        <f>IF($N570="","",IF(INDEX('Per Invoice'!$B$2:$B$801,$N570)="","",INDEX('Per Invoice'!$B$2:$B$801,$N570)))</f>
        <v/>
      </c>
      <c r="C570">
        <f>IF($N570="","",IF(INDEX('Per Invoice'!$C$2:$C$801,$N570)="","",INDEX('Per Invoice'!$C$2:$C$801,$N570)))</f>
        <v/>
      </c>
      <c r="D570">
        <f>IF($N570="","",IF(INDEX('Per Invoice'!$D$2:$D$801,$N570)="","",INDEX('Per Invoice'!$D$2:$D$801,$N570)))</f>
        <v/>
      </c>
      <c r="E570">
        <f>IF($N570="","",IF(INDEX('Per Invoice'!$E$2:$E$801,$N570)="","",INDEX('Per Invoice'!$E$2:$E$801,$N570)))</f>
        <v/>
      </c>
      <c r="F570">
        <f>IF($N570="","",IF(INDEX('Per Invoice'!$F$2:$F$801,$N570)="","",INDEX('Per Invoice'!$F$2:$F$801,$N570)))</f>
        <v/>
      </c>
      <c r="G570">
        <f>IF($N570="","",IF(INDEX('Per Invoice'!$G$2:$G$801,$N570)="","",INDEX('Per Invoice'!$G$2:$G$801,$N570)))</f>
        <v/>
      </c>
      <c r="H570">
        <f>IF($N570="","",IF(INDEX('Per Invoice'!$H$2:$H$801,$N570)="","",INDEX('Per Invoice'!$H$2:$H$801,$N570)))</f>
        <v/>
      </c>
      <c r="I570" s="5">
        <f>IF($N570="","",IF(INDEX('Per Invoice'!$I$2:$I$801,$N570)="","",INDEX('Per Invoice'!$I$2:$I$801,$N570)))</f>
        <v/>
      </c>
      <c r="J570" s="5">
        <f>IF($N570="","",IF(INDEX('Per Invoice'!$J$2:$J$801,$N570)="","",INDEX('Per Invoice'!$J$2:$J$801,$N570)))</f>
        <v/>
      </c>
      <c r="K570" s="5">
        <f>IF($N570="","",IF(INDEX('Per Invoice'!$K$2:$K$801,$N570)="","",INDEX('Per Invoice'!$K$2:$K$801,$N570)))</f>
        <v/>
      </c>
      <c r="L570" s="5">
        <f>IF($N570="","",IF(INDEX('Per Invoice'!$L$2:$L$801,$N570)="","",INDEX('Per Invoice'!$L$2:$L$801,$N570)))</f>
        <v/>
      </c>
      <c r="M570" s="5">
        <f>IF($N570="","",IF(INDEX('Per Invoice'!$M$2:$M$801,$N570)="","",INDEX('Per Invoice'!$M$2:$M$801,$N570)))</f>
        <v/>
      </c>
      <c r="N570">
        <f>IF(ROWS($N$2:$N570)&lt;=COUNT('Per Invoice'!$P$2:$P$801),MATCH(ROWS($N$2:$N570),'Per Invoice'!$P$2:$P$801,0),"")</f>
        <v/>
      </c>
    </row>
    <row r="571">
      <c r="A571">
        <f>IF($N571="","",IF(INDEX('Per Invoice'!$A$2:$A$801,$N571)="","",INDEX('Per Invoice'!$A$2:$A$801,$N571)))</f>
        <v/>
      </c>
      <c r="B571">
        <f>IF($N571="","",IF(INDEX('Per Invoice'!$B$2:$B$801,$N571)="","",INDEX('Per Invoice'!$B$2:$B$801,$N571)))</f>
        <v/>
      </c>
      <c r="C571">
        <f>IF($N571="","",IF(INDEX('Per Invoice'!$C$2:$C$801,$N571)="","",INDEX('Per Invoice'!$C$2:$C$801,$N571)))</f>
        <v/>
      </c>
      <c r="D571">
        <f>IF($N571="","",IF(INDEX('Per Invoice'!$D$2:$D$801,$N571)="","",INDEX('Per Invoice'!$D$2:$D$801,$N571)))</f>
        <v/>
      </c>
      <c r="E571">
        <f>IF($N571="","",IF(INDEX('Per Invoice'!$E$2:$E$801,$N571)="","",INDEX('Per Invoice'!$E$2:$E$801,$N571)))</f>
        <v/>
      </c>
      <c r="F571">
        <f>IF($N571="","",IF(INDEX('Per Invoice'!$F$2:$F$801,$N571)="","",INDEX('Per Invoice'!$F$2:$F$801,$N571)))</f>
        <v/>
      </c>
      <c r="G571">
        <f>IF($N571="","",IF(INDEX('Per Invoice'!$G$2:$G$801,$N571)="","",INDEX('Per Invoice'!$G$2:$G$801,$N571)))</f>
        <v/>
      </c>
      <c r="H571">
        <f>IF($N571="","",IF(INDEX('Per Invoice'!$H$2:$H$801,$N571)="","",INDEX('Per Invoice'!$H$2:$H$801,$N571)))</f>
        <v/>
      </c>
      <c r="I571" s="5">
        <f>IF($N571="","",IF(INDEX('Per Invoice'!$I$2:$I$801,$N571)="","",INDEX('Per Invoice'!$I$2:$I$801,$N571)))</f>
        <v/>
      </c>
      <c r="J571" s="5">
        <f>IF($N571="","",IF(INDEX('Per Invoice'!$J$2:$J$801,$N571)="","",INDEX('Per Invoice'!$J$2:$J$801,$N571)))</f>
        <v/>
      </c>
      <c r="K571" s="5">
        <f>IF($N571="","",IF(INDEX('Per Invoice'!$K$2:$K$801,$N571)="","",INDEX('Per Invoice'!$K$2:$K$801,$N571)))</f>
        <v/>
      </c>
      <c r="L571" s="5">
        <f>IF($N571="","",IF(INDEX('Per Invoice'!$L$2:$L$801,$N571)="","",INDEX('Per Invoice'!$L$2:$L$801,$N571)))</f>
        <v/>
      </c>
      <c r="M571" s="5">
        <f>IF($N571="","",IF(INDEX('Per Invoice'!$M$2:$M$801,$N571)="","",INDEX('Per Invoice'!$M$2:$M$801,$N571)))</f>
        <v/>
      </c>
      <c r="N571">
        <f>IF(ROWS($N$2:$N571)&lt;=COUNT('Per Invoice'!$P$2:$P$801),MATCH(ROWS($N$2:$N571),'Per Invoice'!$P$2:$P$801,0),"")</f>
        <v/>
      </c>
    </row>
    <row r="572">
      <c r="A572">
        <f>IF($N572="","",IF(INDEX('Per Invoice'!$A$2:$A$801,$N572)="","",INDEX('Per Invoice'!$A$2:$A$801,$N572)))</f>
        <v/>
      </c>
      <c r="B572">
        <f>IF($N572="","",IF(INDEX('Per Invoice'!$B$2:$B$801,$N572)="","",INDEX('Per Invoice'!$B$2:$B$801,$N572)))</f>
        <v/>
      </c>
      <c r="C572">
        <f>IF($N572="","",IF(INDEX('Per Invoice'!$C$2:$C$801,$N572)="","",INDEX('Per Invoice'!$C$2:$C$801,$N572)))</f>
        <v/>
      </c>
      <c r="D572">
        <f>IF($N572="","",IF(INDEX('Per Invoice'!$D$2:$D$801,$N572)="","",INDEX('Per Invoice'!$D$2:$D$801,$N572)))</f>
        <v/>
      </c>
      <c r="E572">
        <f>IF($N572="","",IF(INDEX('Per Invoice'!$E$2:$E$801,$N572)="","",INDEX('Per Invoice'!$E$2:$E$801,$N572)))</f>
        <v/>
      </c>
      <c r="F572">
        <f>IF($N572="","",IF(INDEX('Per Invoice'!$F$2:$F$801,$N572)="","",INDEX('Per Invoice'!$F$2:$F$801,$N572)))</f>
        <v/>
      </c>
      <c r="G572">
        <f>IF($N572="","",IF(INDEX('Per Invoice'!$G$2:$G$801,$N572)="","",INDEX('Per Invoice'!$G$2:$G$801,$N572)))</f>
        <v/>
      </c>
      <c r="H572">
        <f>IF($N572="","",IF(INDEX('Per Invoice'!$H$2:$H$801,$N572)="","",INDEX('Per Invoice'!$H$2:$H$801,$N572)))</f>
        <v/>
      </c>
      <c r="I572" s="5">
        <f>IF($N572="","",IF(INDEX('Per Invoice'!$I$2:$I$801,$N572)="","",INDEX('Per Invoice'!$I$2:$I$801,$N572)))</f>
        <v/>
      </c>
      <c r="J572" s="5">
        <f>IF($N572="","",IF(INDEX('Per Invoice'!$J$2:$J$801,$N572)="","",INDEX('Per Invoice'!$J$2:$J$801,$N572)))</f>
        <v/>
      </c>
      <c r="K572" s="5">
        <f>IF($N572="","",IF(INDEX('Per Invoice'!$K$2:$K$801,$N572)="","",INDEX('Per Invoice'!$K$2:$K$801,$N572)))</f>
        <v/>
      </c>
      <c r="L572" s="5">
        <f>IF($N572="","",IF(INDEX('Per Invoice'!$L$2:$L$801,$N572)="","",INDEX('Per Invoice'!$L$2:$L$801,$N572)))</f>
        <v/>
      </c>
      <c r="M572" s="5">
        <f>IF($N572="","",IF(INDEX('Per Invoice'!$M$2:$M$801,$N572)="","",INDEX('Per Invoice'!$M$2:$M$801,$N572)))</f>
        <v/>
      </c>
      <c r="N572">
        <f>IF(ROWS($N$2:$N572)&lt;=COUNT('Per Invoice'!$P$2:$P$801),MATCH(ROWS($N$2:$N572),'Per Invoice'!$P$2:$P$801,0),"")</f>
        <v/>
      </c>
    </row>
    <row r="573">
      <c r="A573">
        <f>IF($N573="","",IF(INDEX('Per Invoice'!$A$2:$A$801,$N573)="","",INDEX('Per Invoice'!$A$2:$A$801,$N573)))</f>
        <v/>
      </c>
      <c r="B573">
        <f>IF($N573="","",IF(INDEX('Per Invoice'!$B$2:$B$801,$N573)="","",INDEX('Per Invoice'!$B$2:$B$801,$N573)))</f>
        <v/>
      </c>
      <c r="C573">
        <f>IF($N573="","",IF(INDEX('Per Invoice'!$C$2:$C$801,$N573)="","",INDEX('Per Invoice'!$C$2:$C$801,$N573)))</f>
        <v/>
      </c>
      <c r="D573">
        <f>IF($N573="","",IF(INDEX('Per Invoice'!$D$2:$D$801,$N573)="","",INDEX('Per Invoice'!$D$2:$D$801,$N573)))</f>
        <v/>
      </c>
      <c r="E573">
        <f>IF($N573="","",IF(INDEX('Per Invoice'!$E$2:$E$801,$N573)="","",INDEX('Per Invoice'!$E$2:$E$801,$N573)))</f>
        <v/>
      </c>
      <c r="F573">
        <f>IF($N573="","",IF(INDEX('Per Invoice'!$F$2:$F$801,$N573)="","",INDEX('Per Invoice'!$F$2:$F$801,$N573)))</f>
        <v/>
      </c>
      <c r="G573">
        <f>IF($N573="","",IF(INDEX('Per Invoice'!$G$2:$G$801,$N573)="","",INDEX('Per Invoice'!$G$2:$G$801,$N573)))</f>
        <v/>
      </c>
      <c r="H573">
        <f>IF($N573="","",IF(INDEX('Per Invoice'!$H$2:$H$801,$N573)="","",INDEX('Per Invoice'!$H$2:$H$801,$N573)))</f>
        <v/>
      </c>
      <c r="I573" s="5">
        <f>IF($N573="","",IF(INDEX('Per Invoice'!$I$2:$I$801,$N573)="","",INDEX('Per Invoice'!$I$2:$I$801,$N573)))</f>
        <v/>
      </c>
      <c r="J573" s="5">
        <f>IF($N573="","",IF(INDEX('Per Invoice'!$J$2:$J$801,$N573)="","",INDEX('Per Invoice'!$J$2:$J$801,$N573)))</f>
        <v/>
      </c>
      <c r="K573" s="5">
        <f>IF($N573="","",IF(INDEX('Per Invoice'!$K$2:$K$801,$N573)="","",INDEX('Per Invoice'!$K$2:$K$801,$N573)))</f>
        <v/>
      </c>
      <c r="L573" s="5">
        <f>IF($N573="","",IF(INDEX('Per Invoice'!$L$2:$L$801,$N573)="","",INDEX('Per Invoice'!$L$2:$L$801,$N573)))</f>
        <v/>
      </c>
      <c r="M573" s="5">
        <f>IF($N573="","",IF(INDEX('Per Invoice'!$M$2:$M$801,$N573)="","",INDEX('Per Invoice'!$M$2:$M$801,$N573)))</f>
        <v/>
      </c>
      <c r="N573">
        <f>IF(ROWS($N$2:$N573)&lt;=COUNT('Per Invoice'!$P$2:$P$801),MATCH(ROWS($N$2:$N573),'Per Invoice'!$P$2:$P$801,0),"")</f>
        <v/>
      </c>
    </row>
    <row r="574">
      <c r="A574">
        <f>IF($N574="","",IF(INDEX('Per Invoice'!$A$2:$A$801,$N574)="","",INDEX('Per Invoice'!$A$2:$A$801,$N574)))</f>
        <v/>
      </c>
      <c r="B574">
        <f>IF($N574="","",IF(INDEX('Per Invoice'!$B$2:$B$801,$N574)="","",INDEX('Per Invoice'!$B$2:$B$801,$N574)))</f>
        <v/>
      </c>
      <c r="C574">
        <f>IF($N574="","",IF(INDEX('Per Invoice'!$C$2:$C$801,$N574)="","",INDEX('Per Invoice'!$C$2:$C$801,$N574)))</f>
        <v/>
      </c>
      <c r="D574">
        <f>IF($N574="","",IF(INDEX('Per Invoice'!$D$2:$D$801,$N574)="","",INDEX('Per Invoice'!$D$2:$D$801,$N574)))</f>
        <v/>
      </c>
      <c r="E574">
        <f>IF($N574="","",IF(INDEX('Per Invoice'!$E$2:$E$801,$N574)="","",INDEX('Per Invoice'!$E$2:$E$801,$N574)))</f>
        <v/>
      </c>
      <c r="F574">
        <f>IF($N574="","",IF(INDEX('Per Invoice'!$F$2:$F$801,$N574)="","",INDEX('Per Invoice'!$F$2:$F$801,$N574)))</f>
        <v/>
      </c>
      <c r="G574">
        <f>IF($N574="","",IF(INDEX('Per Invoice'!$G$2:$G$801,$N574)="","",INDEX('Per Invoice'!$G$2:$G$801,$N574)))</f>
        <v/>
      </c>
      <c r="H574">
        <f>IF($N574="","",IF(INDEX('Per Invoice'!$H$2:$H$801,$N574)="","",INDEX('Per Invoice'!$H$2:$H$801,$N574)))</f>
        <v/>
      </c>
      <c r="I574" s="5">
        <f>IF($N574="","",IF(INDEX('Per Invoice'!$I$2:$I$801,$N574)="","",INDEX('Per Invoice'!$I$2:$I$801,$N574)))</f>
        <v/>
      </c>
      <c r="J574" s="5">
        <f>IF($N574="","",IF(INDEX('Per Invoice'!$J$2:$J$801,$N574)="","",INDEX('Per Invoice'!$J$2:$J$801,$N574)))</f>
        <v/>
      </c>
      <c r="K574" s="5">
        <f>IF($N574="","",IF(INDEX('Per Invoice'!$K$2:$K$801,$N574)="","",INDEX('Per Invoice'!$K$2:$K$801,$N574)))</f>
        <v/>
      </c>
      <c r="L574" s="5">
        <f>IF($N574="","",IF(INDEX('Per Invoice'!$L$2:$L$801,$N574)="","",INDEX('Per Invoice'!$L$2:$L$801,$N574)))</f>
        <v/>
      </c>
      <c r="M574" s="5">
        <f>IF($N574="","",IF(INDEX('Per Invoice'!$M$2:$M$801,$N574)="","",INDEX('Per Invoice'!$M$2:$M$801,$N574)))</f>
        <v/>
      </c>
      <c r="N574">
        <f>IF(ROWS($N$2:$N574)&lt;=COUNT('Per Invoice'!$P$2:$P$801),MATCH(ROWS($N$2:$N574),'Per Invoice'!$P$2:$P$801,0),"")</f>
        <v/>
      </c>
    </row>
    <row r="575">
      <c r="A575">
        <f>IF($N575="","",IF(INDEX('Per Invoice'!$A$2:$A$801,$N575)="","",INDEX('Per Invoice'!$A$2:$A$801,$N575)))</f>
        <v/>
      </c>
      <c r="B575">
        <f>IF($N575="","",IF(INDEX('Per Invoice'!$B$2:$B$801,$N575)="","",INDEX('Per Invoice'!$B$2:$B$801,$N575)))</f>
        <v/>
      </c>
      <c r="C575">
        <f>IF($N575="","",IF(INDEX('Per Invoice'!$C$2:$C$801,$N575)="","",INDEX('Per Invoice'!$C$2:$C$801,$N575)))</f>
        <v/>
      </c>
      <c r="D575">
        <f>IF($N575="","",IF(INDEX('Per Invoice'!$D$2:$D$801,$N575)="","",INDEX('Per Invoice'!$D$2:$D$801,$N575)))</f>
        <v/>
      </c>
      <c r="E575">
        <f>IF($N575="","",IF(INDEX('Per Invoice'!$E$2:$E$801,$N575)="","",INDEX('Per Invoice'!$E$2:$E$801,$N575)))</f>
        <v/>
      </c>
      <c r="F575">
        <f>IF($N575="","",IF(INDEX('Per Invoice'!$F$2:$F$801,$N575)="","",INDEX('Per Invoice'!$F$2:$F$801,$N575)))</f>
        <v/>
      </c>
      <c r="G575">
        <f>IF($N575="","",IF(INDEX('Per Invoice'!$G$2:$G$801,$N575)="","",INDEX('Per Invoice'!$G$2:$G$801,$N575)))</f>
        <v/>
      </c>
      <c r="H575">
        <f>IF($N575="","",IF(INDEX('Per Invoice'!$H$2:$H$801,$N575)="","",INDEX('Per Invoice'!$H$2:$H$801,$N575)))</f>
        <v/>
      </c>
      <c r="I575" s="5">
        <f>IF($N575="","",IF(INDEX('Per Invoice'!$I$2:$I$801,$N575)="","",INDEX('Per Invoice'!$I$2:$I$801,$N575)))</f>
        <v/>
      </c>
      <c r="J575" s="5">
        <f>IF($N575="","",IF(INDEX('Per Invoice'!$J$2:$J$801,$N575)="","",INDEX('Per Invoice'!$J$2:$J$801,$N575)))</f>
        <v/>
      </c>
      <c r="K575" s="5">
        <f>IF($N575="","",IF(INDEX('Per Invoice'!$K$2:$K$801,$N575)="","",INDEX('Per Invoice'!$K$2:$K$801,$N575)))</f>
        <v/>
      </c>
      <c r="L575" s="5">
        <f>IF($N575="","",IF(INDEX('Per Invoice'!$L$2:$L$801,$N575)="","",INDEX('Per Invoice'!$L$2:$L$801,$N575)))</f>
        <v/>
      </c>
      <c r="M575" s="5">
        <f>IF($N575="","",IF(INDEX('Per Invoice'!$M$2:$M$801,$N575)="","",INDEX('Per Invoice'!$M$2:$M$801,$N575)))</f>
        <v/>
      </c>
      <c r="N575">
        <f>IF(ROWS($N$2:$N575)&lt;=COUNT('Per Invoice'!$P$2:$P$801),MATCH(ROWS($N$2:$N575),'Per Invoice'!$P$2:$P$801,0),"")</f>
        <v/>
      </c>
    </row>
    <row r="576">
      <c r="A576">
        <f>IF($N576="","",IF(INDEX('Per Invoice'!$A$2:$A$801,$N576)="","",INDEX('Per Invoice'!$A$2:$A$801,$N576)))</f>
        <v/>
      </c>
      <c r="B576">
        <f>IF($N576="","",IF(INDEX('Per Invoice'!$B$2:$B$801,$N576)="","",INDEX('Per Invoice'!$B$2:$B$801,$N576)))</f>
        <v/>
      </c>
      <c r="C576">
        <f>IF($N576="","",IF(INDEX('Per Invoice'!$C$2:$C$801,$N576)="","",INDEX('Per Invoice'!$C$2:$C$801,$N576)))</f>
        <v/>
      </c>
      <c r="D576">
        <f>IF($N576="","",IF(INDEX('Per Invoice'!$D$2:$D$801,$N576)="","",INDEX('Per Invoice'!$D$2:$D$801,$N576)))</f>
        <v/>
      </c>
      <c r="E576">
        <f>IF($N576="","",IF(INDEX('Per Invoice'!$E$2:$E$801,$N576)="","",INDEX('Per Invoice'!$E$2:$E$801,$N576)))</f>
        <v/>
      </c>
      <c r="F576">
        <f>IF($N576="","",IF(INDEX('Per Invoice'!$F$2:$F$801,$N576)="","",INDEX('Per Invoice'!$F$2:$F$801,$N576)))</f>
        <v/>
      </c>
      <c r="G576">
        <f>IF($N576="","",IF(INDEX('Per Invoice'!$G$2:$G$801,$N576)="","",INDEX('Per Invoice'!$G$2:$G$801,$N576)))</f>
        <v/>
      </c>
      <c r="H576">
        <f>IF($N576="","",IF(INDEX('Per Invoice'!$H$2:$H$801,$N576)="","",INDEX('Per Invoice'!$H$2:$H$801,$N576)))</f>
        <v/>
      </c>
      <c r="I576" s="5">
        <f>IF($N576="","",IF(INDEX('Per Invoice'!$I$2:$I$801,$N576)="","",INDEX('Per Invoice'!$I$2:$I$801,$N576)))</f>
        <v/>
      </c>
      <c r="J576" s="5">
        <f>IF($N576="","",IF(INDEX('Per Invoice'!$J$2:$J$801,$N576)="","",INDEX('Per Invoice'!$J$2:$J$801,$N576)))</f>
        <v/>
      </c>
      <c r="K576" s="5">
        <f>IF($N576="","",IF(INDEX('Per Invoice'!$K$2:$K$801,$N576)="","",INDEX('Per Invoice'!$K$2:$K$801,$N576)))</f>
        <v/>
      </c>
      <c r="L576" s="5">
        <f>IF($N576="","",IF(INDEX('Per Invoice'!$L$2:$L$801,$N576)="","",INDEX('Per Invoice'!$L$2:$L$801,$N576)))</f>
        <v/>
      </c>
      <c r="M576" s="5">
        <f>IF($N576="","",IF(INDEX('Per Invoice'!$M$2:$M$801,$N576)="","",INDEX('Per Invoice'!$M$2:$M$801,$N576)))</f>
        <v/>
      </c>
      <c r="N576">
        <f>IF(ROWS($N$2:$N576)&lt;=COUNT('Per Invoice'!$P$2:$P$801),MATCH(ROWS($N$2:$N576),'Per Invoice'!$P$2:$P$801,0),"")</f>
        <v/>
      </c>
    </row>
    <row r="577">
      <c r="A577">
        <f>IF($N577="","",IF(INDEX('Per Invoice'!$A$2:$A$801,$N577)="","",INDEX('Per Invoice'!$A$2:$A$801,$N577)))</f>
        <v/>
      </c>
      <c r="B577">
        <f>IF($N577="","",IF(INDEX('Per Invoice'!$B$2:$B$801,$N577)="","",INDEX('Per Invoice'!$B$2:$B$801,$N577)))</f>
        <v/>
      </c>
      <c r="C577">
        <f>IF($N577="","",IF(INDEX('Per Invoice'!$C$2:$C$801,$N577)="","",INDEX('Per Invoice'!$C$2:$C$801,$N577)))</f>
        <v/>
      </c>
      <c r="D577">
        <f>IF($N577="","",IF(INDEX('Per Invoice'!$D$2:$D$801,$N577)="","",INDEX('Per Invoice'!$D$2:$D$801,$N577)))</f>
        <v/>
      </c>
      <c r="E577">
        <f>IF($N577="","",IF(INDEX('Per Invoice'!$E$2:$E$801,$N577)="","",INDEX('Per Invoice'!$E$2:$E$801,$N577)))</f>
        <v/>
      </c>
      <c r="F577">
        <f>IF($N577="","",IF(INDEX('Per Invoice'!$F$2:$F$801,$N577)="","",INDEX('Per Invoice'!$F$2:$F$801,$N577)))</f>
        <v/>
      </c>
      <c r="G577">
        <f>IF($N577="","",IF(INDEX('Per Invoice'!$G$2:$G$801,$N577)="","",INDEX('Per Invoice'!$G$2:$G$801,$N577)))</f>
        <v/>
      </c>
      <c r="H577">
        <f>IF($N577="","",IF(INDEX('Per Invoice'!$H$2:$H$801,$N577)="","",INDEX('Per Invoice'!$H$2:$H$801,$N577)))</f>
        <v/>
      </c>
      <c r="I577" s="5">
        <f>IF($N577="","",IF(INDEX('Per Invoice'!$I$2:$I$801,$N577)="","",INDEX('Per Invoice'!$I$2:$I$801,$N577)))</f>
        <v/>
      </c>
      <c r="J577" s="5">
        <f>IF($N577="","",IF(INDEX('Per Invoice'!$J$2:$J$801,$N577)="","",INDEX('Per Invoice'!$J$2:$J$801,$N577)))</f>
        <v/>
      </c>
      <c r="K577" s="5">
        <f>IF($N577="","",IF(INDEX('Per Invoice'!$K$2:$K$801,$N577)="","",INDEX('Per Invoice'!$K$2:$K$801,$N577)))</f>
        <v/>
      </c>
      <c r="L577" s="5">
        <f>IF($N577="","",IF(INDEX('Per Invoice'!$L$2:$L$801,$N577)="","",INDEX('Per Invoice'!$L$2:$L$801,$N577)))</f>
        <v/>
      </c>
      <c r="M577" s="5">
        <f>IF($N577="","",IF(INDEX('Per Invoice'!$M$2:$M$801,$N577)="","",INDEX('Per Invoice'!$M$2:$M$801,$N577)))</f>
        <v/>
      </c>
      <c r="N577">
        <f>IF(ROWS($N$2:$N577)&lt;=COUNT('Per Invoice'!$P$2:$P$801),MATCH(ROWS($N$2:$N577),'Per Invoice'!$P$2:$P$801,0),"")</f>
        <v/>
      </c>
    </row>
    <row r="578">
      <c r="A578">
        <f>IF($N578="","",IF(INDEX('Per Invoice'!$A$2:$A$801,$N578)="","",INDEX('Per Invoice'!$A$2:$A$801,$N578)))</f>
        <v/>
      </c>
      <c r="B578">
        <f>IF($N578="","",IF(INDEX('Per Invoice'!$B$2:$B$801,$N578)="","",INDEX('Per Invoice'!$B$2:$B$801,$N578)))</f>
        <v/>
      </c>
      <c r="C578">
        <f>IF($N578="","",IF(INDEX('Per Invoice'!$C$2:$C$801,$N578)="","",INDEX('Per Invoice'!$C$2:$C$801,$N578)))</f>
        <v/>
      </c>
      <c r="D578">
        <f>IF($N578="","",IF(INDEX('Per Invoice'!$D$2:$D$801,$N578)="","",INDEX('Per Invoice'!$D$2:$D$801,$N578)))</f>
        <v/>
      </c>
      <c r="E578">
        <f>IF($N578="","",IF(INDEX('Per Invoice'!$E$2:$E$801,$N578)="","",INDEX('Per Invoice'!$E$2:$E$801,$N578)))</f>
        <v/>
      </c>
      <c r="F578">
        <f>IF($N578="","",IF(INDEX('Per Invoice'!$F$2:$F$801,$N578)="","",INDEX('Per Invoice'!$F$2:$F$801,$N578)))</f>
        <v/>
      </c>
      <c r="G578">
        <f>IF($N578="","",IF(INDEX('Per Invoice'!$G$2:$G$801,$N578)="","",INDEX('Per Invoice'!$G$2:$G$801,$N578)))</f>
        <v/>
      </c>
      <c r="H578">
        <f>IF($N578="","",IF(INDEX('Per Invoice'!$H$2:$H$801,$N578)="","",INDEX('Per Invoice'!$H$2:$H$801,$N578)))</f>
        <v/>
      </c>
      <c r="I578" s="5">
        <f>IF($N578="","",IF(INDEX('Per Invoice'!$I$2:$I$801,$N578)="","",INDEX('Per Invoice'!$I$2:$I$801,$N578)))</f>
        <v/>
      </c>
      <c r="J578" s="5">
        <f>IF($N578="","",IF(INDEX('Per Invoice'!$J$2:$J$801,$N578)="","",INDEX('Per Invoice'!$J$2:$J$801,$N578)))</f>
        <v/>
      </c>
      <c r="K578" s="5">
        <f>IF($N578="","",IF(INDEX('Per Invoice'!$K$2:$K$801,$N578)="","",INDEX('Per Invoice'!$K$2:$K$801,$N578)))</f>
        <v/>
      </c>
      <c r="L578" s="5">
        <f>IF($N578="","",IF(INDEX('Per Invoice'!$L$2:$L$801,$N578)="","",INDEX('Per Invoice'!$L$2:$L$801,$N578)))</f>
        <v/>
      </c>
      <c r="M578" s="5">
        <f>IF($N578="","",IF(INDEX('Per Invoice'!$M$2:$M$801,$N578)="","",INDEX('Per Invoice'!$M$2:$M$801,$N578)))</f>
        <v/>
      </c>
      <c r="N578">
        <f>IF(ROWS($N$2:$N578)&lt;=COUNT('Per Invoice'!$P$2:$P$801),MATCH(ROWS($N$2:$N578),'Per Invoice'!$P$2:$P$801,0),"")</f>
        <v/>
      </c>
    </row>
    <row r="579">
      <c r="A579">
        <f>IF($N579="","",IF(INDEX('Per Invoice'!$A$2:$A$801,$N579)="","",INDEX('Per Invoice'!$A$2:$A$801,$N579)))</f>
        <v/>
      </c>
      <c r="B579">
        <f>IF($N579="","",IF(INDEX('Per Invoice'!$B$2:$B$801,$N579)="","",INDEX('Per Invoice'!$B$2:$B$801,$N579)))</f>
        <v/>
      </c>
      <c r="C579">
        <f>IF($N579="","",IF(INDEX('Per Invoice'!$C$2:$C$801,$N579)="","",INDEX('Per Invoice'!$C$2:$C$801,$N579)))</f>
        <v/>
      </c>
      <c r="D579">
        <f>IF($N579="","",IF(INDEX('Per Invoice'!$D$2:$D$801,$N579)="","",INDEX('Per Invoice'!$D$2:$D$801,$N579)))</f>
        <v/>
      </c>
      <c r="E579">
        <f>IF($N579="","",IF(INDEX('Per Invoice'!$E$2:$E$801,$N579)="","",INDEX('Per Invoice'!$E$2:$E$801,$N579)))</f>
        <v/>
      </c>
      <c r="F579">
        <f>IF($N579="","",IF(INDEX('Per Invoice'!$F$2:$F$801,$N579)="","",INDEX('Per Invoice'!$F$2:$F$801,$N579)))</f>
        <v/>
      </c>
      <c r="G579">
        <f>IF($N579="","",IF(INDEX('Per Invoice'!$G$2:$G$801,$N579)="","",INDEX('Per Invoice'!$G$2:$G$801,$N579)))</f>
        <v/>
      </c>
      <c r="H579">
        <f>IF($N579="","",IF(INDEX('Per Invoice'!$H$2:$H$801,$N579)="","",INDEX('Per Invoice'!$H$2:$H$801,$N579)))</f>
        <v/>
      </c>
      <c r="I579" s="5">
        <f>IF($N579="","",IF(INDEX('Per Invoice'!$I$2:$I$801,$N579)="","",INDEX('Per Invoice'!$I$2:$I$801,$N579)))</f>
        <v/>
      </c>
      <c r="J579" s="5">
        <f>IF($N579="","",IF(INDEX('Per Invoice'!$J$2:$J$801,$N579)="","",INDEX('Per Invoice'!$J$2:$J$801,$N579)))</f>
        <v/>
      </c>
      <c r="K579" s="5">
        <f>IF($N579="","",IF(INDEX('Per Invoice'!$K$2:$K$801,$N579)="","",INDEX('Per Invoice'!$K$2:$K$801,$N579)))</f>
        <v/>
      </c>
      <c r="L579" s="5">
        <f>IF($N579="","",IF(INDEX('Per Invoice'!$L$2:$L$801,$N579)="","",INDEX('Per Invoice'!$L$2:$L$801,$N579)))</f>
        <v/>
      </c>
      <c r="M579" s="5">
        <f>IF($N579="","",IF(INDEX('Per Invoice'!$M$2:$M$801,$N579)="","",INDEX('Per Invoice'!$M$2:$M$801,$N579)))</f>
        <v/>
      </c>
      <c r="N579">
        <f>IF(ROWS($N$2:$N579)&lt;=COUNT('Per Invoice'!$P$2:$P$801),MATCH(ROWS($N$2:$N579),'Per Invoice'!$P$2:$P$801,0),"")</f>
        <v/>
      </c>
    </row>
    <row r="580">
      <c r="A580">
        <f>IF($N580="","",IF(INDEX('Per Invoice'!$A$2:$A$801,$N580)="","",INDEX('Per Invoice'!$A$2:$A$801,$N580)))</f>
        <v/>
      </c>
      <c r="B580">
        <f>IF($N580="","",IF(INDEX('Per Invoice'!$B$2:$B$801,$N580)="","",INDEX('Per Invoice'!$B$2:$B$801,$N580)))</f>
        <v/>
      </c>
      <c r="C580">
        <f>IF($N580="","",IF(INDEX('Per Invoice'!$C$2:$C$801,$N580)="","",INDEX('Per Invoice'!$C$2:$C$801,$N580)))</f>
        <v/>
      </c>
      <c r="D580">
        <f>IF($N580="","",IF(INDEX('Per Invoice'!$D$2:$D$801,$N580)="","",INDEX('Per Invoice'!$D$2:$D$801,$N580)))</f>
        <v/>
      </c>
      <c r="E580">
        <f>IF($N580="","",IF(INDEX('Per Invoice'!$E$2:$E$801,$N580)="","",INDEX('Per Invoice'!$E$2:$E$801,$N580)))</f>
        <v/>
      </c>
      <c r="F580">
        <f>IF($N580="","",IF(INDEX('Per Invoice'!$F$2:$F$801,$N580)="","",INDEX('Per Invoice'!$F$2:$F$801,$N580)))</f>
        <v/>
      </c>
      <c r="G580">
        <f>IF($N580="","",IF(INDEX('Per Invoice'!$G$2:$G$801,$N580)="","",INDEX('Per Invoice'!$G$2:$G$801,$N580)))</f>
        <v/>
      </c>
      <c r="H580">
        <f>IF($N580="","",IF(INDEX('Per Invoice'!$H$2:$H$801,$N580)="","",INDEX('Per Invoice'!$H$2:$H$801,$N580)))</f>
        <v/>
      </c>
      <c r="I580" s="5">
        <f>IF($N580="","",IF(INDEX('Per Invoice'!$I$2:$I$801,$N580)="","",INDEX('Per Invoice'!$I$2:$I$801,$N580)))</f>
        <v/>
      </c>
      <c r="J580" s="5">
        <f>IF($N580="","",IF(INDEX('Per Invoice'!$J$2:$J$801,$N580)="","",INDEX('Per Invoice'!$J$2:$J$801,$N580)))</f>
        <v/>
      </c>
      <c r="K580" s="5">
        <f>IF($N580="","",IF(INDEX('Per Invoice'!$K$2:$K$801,$N580)="","",INDEX('Per Invoice'!$K$2:$K$801,$N580)))</f>
        <v/>
      </c>
      <c r="L580" s="5">
        <f>IF($N580="","",IF(INDEX('Per Invoice'!$L$2:$L$801,$N580)="","",INDEX('Per Invoice'!$L$2:$L$801,$N580)))</f>
        <v/>
      </c>
      <c r="M580" s="5">
        <f>IF($N580="","",IF(INDEX('Per Invoice'!$M$2:$M$801,$N580)="","",INDEX('Per Invoice'!$M$2:$M$801,$N580)))</f>
        <v/>
      </c>
      <c r="N580">
        <f>IF(ROWS($N$2:$N580)&lt;=COUNT('Per Invoice'!$P$2:$P$801),MATCH(ROWS($N$2:$N580),'Per Invoice'!$P$2:$P$801,0),"")</f>
        <v/>
      </c>
    </row>
    <row r="581">
      <c r="A581">
        <f>IF($N581="","",IF(INDEX('Per Invoice'!$A$2:$A$801,$N581)="","",INDEX('Per Invoice'!$A$2:$A$801,$N581)))</f>
        <v/>
      </c>
      <c r="B581">
        <f>IF($N581="","",IF(INDEX('Per Invoice'!$B$2:$B$801,$N581)="","",INDEX('Per Invoice'!$B$2:$B$801,$N581)))</f>
        <v/>
      </c>
      <c r="C581">
        <f>IF($N581="","",IF(INDEX('Per Invoice'!$C$2:$C$801,$N581)="","",INDEX('Per Invoice'!$C$2:$C$801,$N581)))</f>
        <v/>
      </c>
      <c r="D581">
        <f>IF($N581="","",IF(INDEX('Per Invoice'!$D$2:$D$801,$N581)="","",INDEX('Per Invoice'!$D$2:$D$801,$N581)))</f>
        <v/>
      </c>
      <c r="E581">
        <f>IF($N581="","",IF(INDEX('Per Invoice'!$E$2:$E$801,$N581)="","",INDEX('Per Invoice'!$E$2:$E$801,$N581)))</f>
        <v/>
      </c>
      <c r="F581">
        <f>IF($N581="","",IF(INDEX('Per Invoice'!$F$2:$F$801,$N581)="","",INDEX('Per Invoice'!$F$2:$F$801,$N581)))</f>
        <v/>
      </c>
      <c r="G581">
        <f>IF($N581="","",IF(INDEX('Per Invoice'!$G$2:$G$801,$N581)="","",INDEX('Per Invoice'!$G$2:$G$801,$N581)))</f>
        <v/>
      </c>
      <c r="H581">
        <f>IF($N581="","",IF(INDEX('Per Invoice'!$H$2:$H$801,$N581)="","",INDEX('Per Invoice'!$H$2:$H$801,$N581)))</f>
        <v/>
      </c>
      <c r="I581" s="5">
        <f>IF($N581="","",IF(INDEX('Per Invoice'!$I$2:$I$801,$N581)="","",INDEX('Per Invoice'!$I$2:$I$801,$N581)))</f>
        <v/>
      </c>
      <c r="J581" s="5">
        <f>IF($N581="","",IF(INDEX('Per Invoice'!$J$2:$J$801,$N581)="","",INDEX('Per Invoice'!$J$2:$J$801,$N581)))</f>
        <v/>
      </c>
      <c r="K581" s="5">
        <f>IF($N581="","",IF(INDEX('Per Invoice'!$K$2:$K$801,$N581)="","",INDEX('Per Invoice'!$K$2:$K$801,$N581)))</f>
        <v/>
      </c>
      <c r="L581" s="5">
        <f>IF($N581="","",IF(INDEX('Per Invoice'!$L$2:$L$801,$N581)="","",INDEX('Per Invoice'!$L$2:$L$801,$N581)))</f>
        <v/>
      </c>
      <c r="M581" s="5">
        <f>IF($N581="","",IF(INDEX('Per Invoice'!$M$2:$M$801,$N581)="","",INDEX('Per Invoice'!$M$2:$M$801,$N581)))</f>
        <v/>
      </c>
      <c r="N581">
        <f>IF(ROWS($N$2:$N581)&lt;=COUNT('Per Invoice'!$P$2:$P$801),MATCH(ROWS($N$2:$N581),'Per Invoice'!$P$2:$P$801,0),"")</f>
        <v/>
      </c>
    </row>
    <row r="582">
      <c r="A582">
        <f>IF($N582="","",IF(INDEX('Per Invoice'!$A$2:$A$801,$N582)="","",INDEX('Per Invoice'!$A$2:$A$801,$N582)))</f>
        <v/>
      </c>
      <c r="B582">
        <f>IF($N582="","",IF(INDEX('Per Invoice'!$B$2:$B$801,$N582)="","",INDEX('Per Invoice'!$B$2:$B$801,$N582)))</f>
        <v/>
      </c>
      <c r="C582">
        <f>IF($N582="","",IF(INDEX('Per Invoice'!$C$2:$C$801,$N582)="","",INDEX('Per Invoice'!$C$2:$C$801,$N582)))</f>
        <v/>
      </c>
      <c r="D582">
        <f>IF($N582="","",IF(INDEX('Per Invoice'!$D$2:$D$801,$N582)="","",INDEX('Per Invoice'!$D$2:$D$801,$N582)))</f>
        <v/>
      </c>
      <c r="E582">
        <f>IF($N582="","",IF(INDEX('Per Invoice'!$E$2:$E$801,$N582)="","",INDEX('Per Invoice'!$E$2:$E$801,$N582)))</f>
        <v/>
      </c>
      <c r="F582">
        <f>IF($N582="","",IF(INDEX('Per Invoice'!$F$2:$F$801,$N582)="","",INDEX('Per Invoice'!$F$2:$F$801,$N582)))</f>
        <v/>
      </c>
      <c r="G582">
        <f>IF($N582="","",IF(INDEX('Per Invoice'!$G$2:$G$801,$N582)="","",INDEX('Per Invoice'!$G$2:$G$801,$N582)))</f>
        <v/>
      </c>
      <c r="H582">
        <f>IF($N582="","",IF(INDEX('Per Invoice'!$H$2:$H$801,$N582)="","",INDEX('Per Invoice'!$H$2:$H$801,$N582)))</f>
        <v/>
      </c>
      <c r="I582" s="5">
        <f>IF($N582="","",IF(INDEX('Per Invoice'!$I$2:$I$801,$N582)="","",INDEX('Per Invoice'!$I$2:$I$801,$N582)))</f>
        <v/>
      </c>
      <c r="J582" s="5">
        <f>IF($N582="","",IF(INDEX('Per Invoice'!$J$2:$J$801,$N582)="","",INDEX('Per Invoice'!$J$2:$J$801,$N582)))</f>
        <v/>
      </c>
      <c r="K582" s="5">
        <f>IF($N582="","",IF(INDEX('Per Invoice'!$K$2:$K$801,$N582)="","",INDEX('Per Invoice'!$K$2:$K$801,$N582)))</f>
        <v/>
      </c>
      <c r="L582" s="5">
        <f>IF($N582="","",IF(INDEX('Per Invoice'!$L$2:$L$801,$N582)="","",INDEX('Per Invoice'!$L$2:$L$801,$N582)))</f>
        <v/>
      </c>
      <c r="M582" s="5">
        <f>IF($N582="","",IF(INDEX('Per Invoice'!$M$2:$M$801,$N582)="","",INDEX('Per Invoice'!$M$2:$M$801,$N582)))</f>
        <v/>
      </c>
      <c r="N582">
        <f>IF(ROWS($N$2:$N582)&lt;=COUNT('Per Invoice'!$P$2:$P$801),MATCH(ROWS($N$2:$N582),'Per Invoice'!$P$2:$P$801,0),"")</f>
        <v/>
      </c>
    </row>
    <row r="583">
      <c r="A583">
        <f>IF($N583="","",IF(INDEX('Per Invoice'!$A$2:$A$801,$N583)="","",INDEX('Per Invoice'!$A$2:$A$801,$N583)))</f>
        <v/>
      </c>
      <c r="B583">
        <f>IF($N583="","",IF(INDEX('Per Invoice'!$B$2:$B$801,$N583)="","",INDEX('Per Invoice'!$B$2:$B$801,$N583)))</f>
        <v/>
      </c>
      <c r="C583">
        <f>IF($N583="","",IF(INDEX('Per Invoice'!$C$2:$C$801,$N583)="","",INDEX('Per Invoice'!$C$2:$C$801,$N583)))</f>
        <v/>
      </c>
      <c r="D583">
        <f>IF($N583="","",IF(INDEX('Per Invoice'!$D$2:$D$801,$N583)="","",INDEX('Per Invoice'!$D$2:$D$801,$N583)))</f>
        <v/>
      </c>
      <c r="E583">
        <f>IF($N583="","",IF(INDEX('Per Invoice'!$E$2:$E$801,$N583)="","",INDEX('Per Invoice'!$E$2:$E$801,$N583)))</f>
        <v/>
      </c>
      <c r="F583">
        <f>IF($N583="","",IF(INDEX('Per Invoice'!$F$2:$F$801,$N583)="","",INDEX('Per Invoice'!$F$2:$F$801,$N583)))</f>
        <v/>
      </c>
      <c r="G583">
        <f>IF($N583="","",IF(INDEX('Per Invoice'!$G$2:$G$801,$N583)="","",INDEX('Per Invoice'!$G$2:$G$801,$N583)))</f>
        <v/>
      </c>
      <c r="H583">
        <f>IF($N583="","",IF(INDEX('Per Invoice'!$H$2:$H$801,$N583)="","",INDEX('Per Invoice'!$H$2:$H$801,$N583)))</f>
        <v/>
      </c>
      <c r="I583" s="5">
        <f>IF($N583="","",IF(INDEX('Per Invoice'!$I$2:$I$801,$N583)="","",INDEX('Per Invoice'!$I$2:$I$801,$N583)))</f>
        <v/>
      </c>
      <c r="J583" s="5">
        <f>IF($N583="","",IF(INDEX('Per Invoice'!$J$2:$J$801,$N583)="","",INDEX('Per Invoice'!$J$2:$J$801,$N583)))</f>
        <v/>
      </c>
      <c r="K583" s="5">
        <f>IF($N583="","",IF(INDEX('Per Invoice'!$K$2:$K$801,$N583)="","",INDEX('Per Invoice'!$K$2:$K$801,$N583)))</f>
        <v/>
      </c>
      <c r="L583" s="5">
        <f>IF($N583="","",IF(INDEX('Per Invoice'!$L$2:$L$801,$N583)="","",INDEX('Per Invoice'!$L$2:$L$801,$N583)))</f>
        <v/>
      </c>
      <c r="M583" s="5">
        <f>IF($N583="","",IF(INDEX('Per Invoice'!$M$2:$M$801,$N583)="","",INDEX('Per Invoice'!$M$2:$M$801,$N583)))</f>
        <v/>
      </c>
      <c r="N583">
        <f>IF(ROWS($N$2:$N583)&lt;=COUNT('Per Invoice'!$P$2:$P$801),MATCH(ROWS($N$2:$N583),'Per Invoice'!$P$2:$P$801,0),"")</f>
        <v/>
      </c>
    </row>
    <row r="584">
      <c r="A584">
        <f>IF($N584="","",IF(INDEX('Per Invoice'!$A$2:$A$801,$N584)="","",INDEX('Per Invoice'!$A$2:$A$801,$N584)))</f>
        <v/>
      </c>
      <c r="B584">
        <f>IF($N584="","",IF(INDEX('Per Invoice'!$B$2:$B$801,$N584)="","",INDEX('Per Invoice'!$B$2:$B$801,$N584)))</f>
        <v/>
      </c>
      <c r="C584">
        <f>IF($N584="","",IF(INDEX('Per Invoice'!$C$2:$C$801,$N584)="","",INDEX('Per Invoice'!$C$2:$C$801,$N584)))</f>
        <v/>
      </c>
      <c r="D584">
        <f>IF($N584="","",IF(INDEX('Per Invoice'!$D$2:$D$801,$N584)="","",INDEX('Per Invoice'!$D$2:$D$801,$N584)))</f>
        <v/>
      </c>
      <c r="E584">
        <f>IF($N584="","",IF(INDEX('Per Invoice'!$E$2:$E$801,$N584)="","",INDEX('Per Invoice'!$E$2:$E$801,$N584)))</f>
        <v/>
      </c>
      <c r="F584">
        <f>IF($N584="","",IF(INDEX('Per Invoice'!$F$2:$F$801,$N584)="","",INDEX('Per Invoice'!$F$2:$F$801,$N584)))</f>
        <v/>
      </c>
      <c r="G584">
        <f>IF($N584="","",IF(INDEX('Per Invoice'!$G$2:$G$801,$N584)="","",INDEX('Per Invoice'!$G$2:$G$801,$N584)))</f>
        <v/>
      </c>
      <c r="H584">
        <f>IF($N584="","",IF(INDEX('Per Invoice'!$H$2:$H$801,$N584)="","",INDEX('Per Invoice'!$H$2:$H$801,$N584)))</f>
        <v/>
      </c>
      <c r="I584" s="5">
        <f>IF($N584="","",IF(INDEX('Per Invoice'!$I$2:$I$801,$N584)="","",INDEX('Per Invoice'!$I$2:$I$801,$N584)))</f>
        <v/>
      </c>
      <c r="J584" s="5">
        <f>IF($N584="","",IF(INDEX('Per Invoice'!$J$2:$J$801,$N584)="","",INDEX('Per Invoice'!$J$2:$J$801,$N584)))</f>
        <v/>
      </c>
      <c r="K584" s="5">
        <f>IF($N584="","",IF(INDEX('Per Invoice'!$K$2:$K$801,$N584)="","",INDEX('Per Invoice'!$K$2:$K$801,$N584)))</f>
        <v/>
      </c>
      <c r="L584" s="5">
        <f>IF($N584="","",IF(INDEX('Per Invoice'!$L$2:$L$801,$N584)="","",INDEX('Per Invoice'!$L$2:$L$801,$N584)))</f>
        <v/>
      </c>
      <c r="M584" s="5">
        <f>IF($N584="","",IF(INDEX('Per Invoice'!$M$2:$M$801,$N584)="","",INDEX('Per Invoice'!$M$2:$M$801,$N584)))</f>
        <v/>
      </c>
      <c r="N584">
        <f>IF(ROWS($N$2:$N584)&lt;=COUNT('Per Invoice'!$P$2:$P$801),MATCH(ROWS($N$2:$N584),'Per Invoice'!$P$2:$P$801,0),"")</f>
        <v/>
      </c>
    </row>
    <row r="585">
      <c r="A585">
        <f>IF($N585="","",IF(INDEX('Per Invoice'!$A$2:$A$801,$N585)="","",INDEX('Per Invoice'!$A$2:$A$801,$N585)))</f>
        <v/>
      </c>
      <c r="B585">
        <f>IF($N585="","",IF(INDEX('Per Invoice'!$B$2:$B$801,$N585)="","",INDEX('Per Invoice'!$B$2:$B$801,$N585)))</f>
        <v/>
      </c>
      <c r="C585">
        <f>IF($N585="","",IF(INDEX('Per Invoice'!$C$2:$C$801,$N585)="","",INDEX('Per Invoice'!$C$2:$C$801,$N585)))</f>
        <v/>
      </c>
      <c r="D585">
        <f>IF($N585="","",IF(INDEX('Per Invoice'!$D$2:$D$801,$N585)="","",INDEX('Per Invoice'!$D$2:$D$801,$N585)))</f>
        <v/>
      </c>
      <c r="E585">
        <f>IF($N585="","",IF(INDEX('Per Invoice'!$E$2:$E$801,$N585)="","",INDEX('Per Invoice'!$E$2:$E$801,$N585)))</f>
        <v/>
      </c>
      <c r="F585">
        <f>IF($N585="","",IF(INDEX('Per Invoice'!$F$2:$F$801,$N585)="","",INDEX('Per Invoice'!$F$2:$F$801,$N585)))</f>
        <v/>
      </c>
      <c r="G585">
        <f>IF($N585="","",IF(INDEX('Per Invoice'!$G$2:$G$801,$N585)="","",INDEX('Per Invoice'!$G$2:$G$801,$N585)))</f>
        <v/>
      </c>
      <c r="H585">
        <f>IF($N585="","",IF(INDEX('Per Invoice'!$H$2:$H$801,$N585)="","",INDEX('Per Invoice'!$H$2:$H$801,$N585)))</f>
        <v/>
      </c>
      <c r="I585" s="5">
        <f>IF($N585="","",IF(INDEX('Per Invoice'!$I$2:$I$801,$N585)="","",INDEX('Per Invoice'!$I$2:$I$801,$N585)))</f>
        <v/>
      </c>
      <c r="J585" s="5">
        <f>IF($N585="","",IF(INDEX('Per Invoice'!$J$2:$J$801,$N585)="","",INDEX('Per Invoice'!$J$2:$J$801,$N585)))</f>
        <v/>
      </c>
      <c r="K585" s="5">
        <f>IF($N585="","",IF(INDEX('Per Invoice'!$K$2:$K$801,$N585)="","",INDEX('Per Invoice'!$K$2:$K$801,$N585)))</f>
        <v/>
      </c>
      <c r="L585" s="5">
        <f>IF($N585="","",IF(INDEX('Per Invoice'!$L$2:$L$801,$N585)="","",INDEX('Per Invoice'!$L$2:$L$801,$N585)))</f>
        <v/>
      </c>
      <c r="M585" s="5">
        <f>IF($N585="","",IF(INDEX('Per Invoice'!$M$2:$M$801,$N585)="","",INDEX('Per Invoice'!$M$2:$M$801,$N585)))</f>
        <v/>
      </c>
      <c r="N585">
        <f>IF(ROWS($N$2:$N585)&lt;=COUNT('Per Invoice'!$P$2:$P$801),MATCH(ROWS($N$2:$N585),'Per Invoice'!$P$2:$P$801,0),"")</f>
        <v/>
      </c>
    </row>
    <row r="586">
      <c r="A586">
        <f>IF($N586="","",IF(INDEX('Per Invoice'!$A$2:$A$801,$N586)="","",INDEX('Per Invoice'!$A$2:$A$801,$N586)))</f>
        <v/>
      </c>
      <c r="B586">
        <f>IF($N586="","",IF(INDEX('Per Invoice'!$B$2:$B$801,$N586)="","",INDEX('Per Invoice'!$B$2:$B$801,$N586)))</f>
        <v/>
      </c>
      <c r="C586">
        <f>IF($N586="","",IF(INDEX('Per Invoice'!$C$2:$C$801,$N586)="","",INDEX('Per Invoice'!$C$2:$C$801,$N586)))</f>
        <v/>
      </c>
      <c r="D586">
        <f>IF($N586="","",IF(INDEX('Per Invoice'!$D$2:$D$801,$N586)="","",INDEX('Per Invoice'!$D$2:$D$801,$N586)))</f>
        <v/>
      </c>
      <c r="E586">
        <f>IF($N586="","",IF(INDEX('Per Invoice'!$E$2:$E$801,$N586)="","",INDEX('Per Invoice'!$E$2:$E$801,$N586)))</f>
        <v/>
      </c>
      <c r="F586">
        <f>IF($N586="","",IF(INDEX('Per Invoice'!$F$2:$F$801,$N586)="","",INDEX('Per Invoice'!$F$2:$F$801,$N586)))</f>
        <v/>
      </c>
      <c r="G586">
        <f>IF($N586="","",IF(INDEX('Per Invoice'!$G$2:$G$801,$N586)="","",INDEX('Per Invoice'!$G$2:$G$801,$N586)))</f>
        <v/>
      </c>
      <c r="H586">
        <f>IF($N586="","",IF(INDEX('Per Invoice'!$H$2:$H$801,$N586)="","",INDEX('Per Invoice'!$H$2:$H$801,$N586)))</f>
        <v/>
      </c>
      <c r="I586" s="5">
        <f>IF($N586="","",IF(INDEX('Per Invoice'!$I$2:$I$801,$N586)="","",INDEX('Per Invoice'!$I$2:$I$801,$N586)))</f>
        <v/>
      </c>
      <c r="J586" s="5">
        <f>IF($N586="","",IF(INDEX('Per Invoice'!$J$2:$J$801,$N586)="","",INDEX('Per Invoice'!$J$2:$J$801,$N586)))</f>
        <v/>
      </c>
      <c r="K586" s="5">
        <f>IF($N586="","",IF(INDEX('Per Invoice'!$K$2:$K$801,$N586)="","",INDEX('Per Invoice'!$K$2:$K$801,$N586)))</f>
        <v/>
      </c>
      <c r="L586" s="5">
        <f>IF($N586="","",IF(INDEX('Per Invoice'!$L$2:$L$801,$N586)="","",INDEX('Per Invoice'!$L$2:$L$801,$N586)))</f>
        <v/>
      </c>
      <c r="M586" s="5">
        <f>IF($N586="","",IF(INDEX('Per Invoice'!$M$2:$M$801,$N586)="","",INDEX('Per Invoice'!$M$2:$M$801,$N586)))</f>
        <v/>
      </c>
      <c r="N586">
        <f>IF(ROWS($N$2:$N586)&lt;=COUNT('Per Invoice'!$P$2:$P$801),MATCH(ROWS($N$2:$N586),'Per Invoice'!$P$2:$P$801,0),"")</f>
        <v/>
      </c>
    </row>
    <row r="587">
      <c r="A587">
        <f>IF($N587="","",IF(INDEX('Per Invoice'!$A$2:$A$801,$N587)="","",INDEX('Per Invoice'!$A$2:$A$801,$N587)))</f>
        <v/>
      </c>
      <c r="B587">
        <f>IF($N587="","",IF(INDEX('Per Invoice'!$B$2:$B$801,$N587)="","",INDEX('Per Invoice'!$B$2:$B$801,$N587)))</f>
        <v/>
      </c>
      <c r="C587">
        <f>IF($N587="","",IF(INDEX('Per Invoice'!$C$2:$C$801,$N587)="","",INDEX('Per Invoice'!$C$2:$C$801,$N587)))</f>
        <v/>
      </c>
      <c r="D587">
        <f>IF($N587="","",IF(INDEX('Per Invoice'!$D$2:$D$801,$N587)="","",INDEX('Per Invoice'!$D$2:$D$801,$N587)))</f>
        <v/>
      </c>
      <c r="E587">
        <f>IF($N587="","",IF(INDEX('Per Invoice'!$E$2:$E$801,$N587)="","",INDEX('Per Invoice'!$E$2:$E$801,$N587)))</f>
        <v/>
      </c>
      <c r="F587">
        <f>IF($N587="","",IF(INDEX('Per Invoice'!$F$2:$F$801,$N587)="","",INDEX('Per Invoice'!$F$2:$F$801,$N587)))</f>
        <v/>
      </c>
      <c r="G587">
        <f>IF($N587="","",IF(INDEX('Per Invoice'!$G$2:$G$801,$N587)="","",INDEX('Per Invoice'!$G$2:$G$801,$N587)))</f>
        <v/>
      </c>
      <c r="H587">
        <f>IF($N587="","",IF(INDEX('Per Invoice'!$H$2:$H$801,$N587)="","",INDEX('Per Invoice'!$H$2:$H$801,$N587)))</f>
        <v/>
      </c>
      <c r="I587" s="5">
        <f>IF($N587="","",IF(INDEX('Per Invoice'!$I$2:$I$801,$N587)="","",INDEX('Per Invoice'!$I$2:$I$801,$N587)))</f>
        <v/>
      </c>
      <c r="J587" s="5">
        <f>IF($N587="","",IF(INDEX('Per Invoice'!$J$2:$J$801,$N587)="","",INDEX('Per Invoice'!$J$2:$J$801,$N587)))</f>
        <v/>
      </c>
      <c r="K587" s="5">
        <f>IF($N587="","",IF(INDEX('Per Invoice'!$K$2:$K$801,$N587)="","",INDEX('Per Invoice'!$K$2:$K$801,$N587)))</f>
        <v/>
      </c>
      <c r="L587" s="5">
        <f>IF($N587="","",IF(INDEX('Per Invoice'!$L$2:$L$801,$N587)="","",INDEX('Per Invoice'!$L$2:$L$801,$N587)))</f>
        <v/>
      </c>
      <c r="M587" s="5">
        <f>IF($N587="","",IF(INDEX('Per Invoice'!$M$2:$M$801,$N587)="","",INDEX('Per Invoice'!$M$2:$M$801,$N587)))</f>
        <v/>
      </c>
      <c r="N587">
        <f>IF(ROWS($N$2:$N587)&lt;=COUNT('Per Invoice'!$P$2:$P$801),MATCH(ROWS($N$2:$N587),'Per Invoice'!$P$2:$P$801,0),"")</f>
        <v/>
      </c>
    </row>
    <row r="588">
      <c r="A588">
        <f>IF($N588="","",IF(INDEX('Per Invoice'!$A$2:$A$801,$N588)="","",INDEX('Per Invoice'!$A$2:$A$801,$N588)))</f>
        <v/>
      </c>
      <c r="B588">
        <f>IF($N588="","",IF(INDEX('Per Invoice'!$B$2:$B$801,$N588)="","",INDEX('Per Invoice'!$B$2:$B$801,$N588)))</f>
        <v/>
      </c>
      <c r="C588">
        <f>IF($N588="","",IF(INDEX('Per Invoice'!$C$2:$C$801,$N588)="","",INDEX('Per Invoice'!$C$2:$C$801,$N588)))</f>
        <v/>
      </c>
      <c r="D588">
        <f>IF($N588="","",IF(INDEX('Per Invoice'!$D$2:$D$801,$N588)="","",INDEX('Per Invoice'!$D$2:$D$801,$N588)))</f>
        <v/>
      </c>
      <c r="E588">
        <f>IF($N588="","",IF(INDEX('Per Invoice'!$E$2:$E$801,$N588)="","",INDEX('Per Invoice'!$E$2:$E$801,$N588)))</f>
        <v/>
      </c>
      <c r="F588">
        <f>IF($N588="","",IF(INDEX('Per Invoice'!$F$2:$F$801,$N588)="","",INDEX('Per Invoice'!$F$2:$F$801,$N588)))</f>
        <v/>
      </c>
      <c r="G588">
        <f>IF($N588="","",IF(INDEX('Per Invoice'!$G$2:$G$801,$N588)="","",INDEX('Per Invoice'!$G$2:$G$801,$N588)))</f>
        <v/>
      </c>
      <c r="H588">
        <f>IF($N588="","",IF(INDEX('Per Invoice'!$H$2:$H$801,$N588)="","",INDEX('Per Invoice'!$H$2:$H$801,$N588)))</f>
        <v/>
      </c>
      <c r="I588" s="5">
        <f>IF($N588="","",IF(INDEX('Per Invoice'!$I$2:$I$801,$N588)="","",INDEX('Per Invoice'!$I$2:$I$801,$N588)))</f>
        <v/>
      </c>
      <c r="J588" s="5">
        <f>IF($N588="","",IF(INDEX('Per Invoice'!$J$2:$J$801,$N588)="","",INDEX('Per Invoice'!$J$2:$J$801,$N588)))</f>
        <v/>
      </c>
      <c r="K588" s="5">
        <f>IF($N588="","",IF(INDEX('Per Invoice'!$K$2:$K$801,$N588)="","",INDEX('Per Invoice'!$K$2:$K$801,$N588)))</f>
        <v/>
      </c>
      <c r="L588" s="5">
        <f>IF($N588="","",IF(INDEX('Per Invoice'!$L$2:$L$801,$N588)="","",INDEX('Per Invoice'!$L$2:$L$801,$N588)))</f>
        <v/>
      </c>
      <c r="M588" s="5">
        <f>IF($N588="","",IF(INDEX('Per Invoice'!$M$2:$M$801,$N588)="","",INDEX('Per Invoice'!$M$2:$M$801,$N588)))</f>
        <v/>
      </c>
      <c r="N588">
        <f>IF(ROWS($N$2:$N588)&lt;=COUNT('Per Invoice'!$P$2:$P$801),MATCH(ROWS($N$2:$N588),'Per Invoice'!$P$2:$P$801,0),"")</f>
        <v/>
      </c>
    </row>
    <row r="589">
      <c r="A589">
        <f>IF($N589="","",IF(INDEX('Per Invoice'!$A$2:$A$801,$N589)="","",INDEX('Per Invoice'!$A$2:$A$801,$N589)))</f>
        <v/>
      </c>
      <c r="B589">
        <f>IF($N589="","",IF(INDEX('Per Invoice'!$B$2:$B$801,$N589)="","",INDEX('Per Invoice'!$B$2:$B$801,$N589)))</f>
        <v/>
      </c>
      <c r="C589">
        <f>IF($N589="","",IF(INDEX('Per Invoice'!$C$2:$C$801,$N589)="","",INDEX('Per Invoice'!$C$2:$C$801,$N589)))</f>
        <v/>
      </c>
      <c r="D589">
        <f>IF($N589="","",IF(INDEX('Per Invoice'!$D$2:$D$801,$N589)="","",INDEX('Per Invoice'!$D$2:$D$801,$N589)))</f>
        <v/>
      </c>
      <c r="E589">
        <f>IF($N589="","",IF(INDEX('Per Invoice'!$E$2:$E$801,$N589)="","",INDEX('Per Invoice'!$E$2:$E$801,$N589)))</f>
        <v/>
      </c>
      <c r="F589">
        <f>IF($N589="","",IF(INDEX('Per Invoice'!$F$2:$F$801,$N589)="","",INDEX('Per Invoice'!$F$2:$F$801,$N589)))</f>
        <v/>
      </c>
      <c r="G589">
        <f>IF($N589="","",IF(INDEX('Per Invoice'!$G$2:$G$801,$N589)="","",INDEX('Per Invoice'!$G$2:$G$801,$N589)))</f>
        <v/>
      </c>
      <c r="H589">
        <f>IF($N589="","",IF(INDEX('Per Invoice'!$H$2:$H$801,$N589)="","",INDEX('Per Invoice'!$H$2:$H$801,$N589)))</f>
        <v/>
      </c>
      <c r="I589" s="5">
        <f>IF($N589="","",IF(INDEX('Per Invoice'!$I$2:$I$801,$N589)="","",INDEX('Per Invoice'!$I$2:$I$801,$N589)))</f>
        <v/>
      </c>
      <c r="J589" s="5">
        <f>IF($N589="","",IF(INDEX('Per Invoice'!$J$2:$J$801,$N589)="","",INDEX('Per Invoice'!$J$2:$J$801,$N589)))</f>
        <v/>
      </c>
      <c r="K589" s="5">
        <f>IF($N589="","",IF(INDEX('Per Invoice'!$K$2:$K$801,$N589)="","",INDEX('Per Invoice'!$K$2:$K$801,$N589)))</f>
        <v/>
      </c>
      <c r="L589" s="5">
        <f>IF($N589="","",IF(INDEX('Per Invoice'!$L$2:$L$801,$N589)="","",INDEX('Per Invoice'!$L$2:$L$801,$N589)))</f>
        <v/>
      </c>
      <c r="M589" s="5">
        <f>IF($N589="","",IF(INDEX('Per Invoice'!$M$2:$M$801,$N589)="","",INDEX('Per Invoice'!$M$2:$M$801,$N589)))</f>
        <v/>
      </c>
      <c r="N589">
        <f>IF(ROWS($N$2:$N589)&lt;=COUNT('Per Invoice'!$P$2:$P$801),MATCH(ROWS($N$2:$N589),'Per Invoice'!$P$2:$P$801,0),"")</f>
        <v/>
      </c>
    </row>
    <row r="590">
      <c r="A590">
        <f>IF($N590="","",IF(INDEX('Per Invoice'!$A$2:$A$801,$N590)="","",INDEX('Per Invoice'!$A$2:$A$801,$N590)))</f>
        <v/>
      </c>
      <c r="B590">
        <f>IF($N590="","",IF(INDEX('Per Invoice'!$B$2:$B$801,$N590)="","",INDEX('Per Invoice'!$B$2:$B$801,$N590)))</f>
        <v/>
      </c>
      <c r="C590">
        <f>IF($N590="","",IF(INDEX('Per Invoice'!$C$2:$C$801,$N590)="","",INDEX('Per Invoice'!$C$2:$C$801,$N590)))</f>
        <v/>
      </c>
      <c r="D590">
        <f>IF($N590="","",IF(INDEX('Per Invoice'!$D$2:$D$801,$N590)="","",INDEX('Per Invoice'!$D$2:$D$801,$N590)))</f>
        <v/>
      </c>
      <c r="E590">
        <f>IF($N590="","",IF(INDEX('Per Invoice'!$E$2:$E$801,$N590)="","",INDEX('Per Invoice'!$E$2:$E$801,$N590)))</f>
        <v/>
      </c>
      <c r="F590">
        <f>IF($N590="","",IF(INDEX('Per Invoice'!$F$2:$F$801,$N590)="","",INDEX('Per Invoice'!$F$2:$F$801,$N590)))</f>
        <v/>
      </c>
      <c r="G590">
        <f>IF($N590="","",IF(INDEX('Per Invoice'!$G$2:$G$801,$N590)="","",INDEX('Per Invoice'!$G$2:$G$801,$N590)))</f>
        <v/>
      </c>
      <c r="H590">
        <f>IF($N590="","",IF(INDEX('Per Invoice'!$H$2:$H$801,$N590)="","",INDEX('Per Invoice'!$H$2:$H$801,$N590)))</f>
        <v/>
      </c>
      <c r="I590" s="5">
        <f>IF($N590="","",IF(INDEX('Per Invoice'!$I$2:$I$801,$N590)="","",INDEX('Per Invoice'!$I$2:$I$801,$N590)))</f>
        <v/>
      </c>
      <c r="J590" s="5">
        <f>IF($N590="","",IF(INDEX('Per Invoice'!$J$2:$J$801,$N590)="","",INDEX('Per Invoice'!$J$2:$J$801,$N590)))</f>
        <v/>
      </c>
      <c r="K590" s="5">
        <f>IF($N590="","",IF(INDEX('Per Invoice'!$K$2:$K$801,$N590)="","",INDEX('Per Invoice'!$K$2:$K$801,$N590)))</f>
        <v/>
      </c>
      <c r="L590" s="5">
        <f>IF($N590="","",IF(INDEX('Per Invoice'!$L$2:$L$801,$N590)="","",INDEX('Per Invoice'!$L$2:$L$801,$N590)))</f>
        <v/>
      </c>
      <c r="M590" s="5">
        <f>IF($N590="","",IF(INDEX('Per Invoice'!$M$2:$M$801,$N590)="","",INDEX('Per Invoice'!$M$2:$M$801,$N590)))</f>
        <v/>
      </c>
      <c r="N590">
        <f>IF(ROWS($N$2:$N590)&lt;=COUNT('Per Invoice'!$P$2:$P$801),MATCH(ROWS($N$2:$N590),'Per Invoice'!$P$2:$P$801,0),"")</f>
        <v/>
      </c>
    </row>
    <row r="591">
      <c r="A591">
        <f>IF($N591="","",IF(INDEX('Per Invoice'!$A$2:$A$801,$N591)="","",INDEX('Per Invoice'!$A$2:$A$801,$N591)))</f>
        <v/>
      </c>
      <c r="B591">
        <f>IF($N591="","",IF(INDEX('Per Invoice'!$B$2:$B$801,$N591)="","",INDEX('Per Invoice'!$B$2:$B$801,$N591)))</f>
        <v/>
      </c>
      <c r="C591">
        <f>IF($N591="","",IF(INDEX('Per Invoice'!$C$2:$C$801,$N591)="","",INDEX('Per Invoice'!$C$2:$C$801,$N591)))</f>
        <v/>
      </c>
      <c r="D591">
        <f>IF($N591="","",IF(INDEX('Per Invoice'!$D$2:$D$801,$N591)="","",INDEX('Per Invoice'!$D$2:$D$801,$N591)))</f>
        <v/>
      </c>
      <c r="E591">
        <f>IF($N591="","",IF(INDEX('Per Invoice'!$E$2:$E$801,$N591)="","",INDEX('Per Invoice'!$E$2:$E$801,$N591)))</f>
        <v/>
      </c>
      <c r="F591">
        <f>IF($N591="","",IF(INDEX('Per Invoice'!$F$2:$F$801,$N591)="","",INDEX('Per Invoice'!$F$2:$F$801,$N591)))</f>
        <v/>
      </c>
      <c r="G591">
        <f>IF($N591="","",IF(INDEX('Per Invoice'!$G$2:$G$801,$N591)="","",INDEX('Per Invoice'!$G$2:$G$801,$N591)))</f>
        <v/>
      </c>
      <c r="H591">
        <f>IF($N591="","",IF(INDEX('Per Invoice'!$H$2:$H$801,$N591)="","",INDEX('Per Invoice'!$H$2:$H$801,$N591)))</f>
        <v/>
      </c>
      <c r="I591" s="5">
        <f>IF($N591="","",IF(INDEX('Per Invoice'!$I$2:$I$801,$N591)="","",INDEX('Per Invoice'!$I$2:$I$801,$N591)))</f>
        <v/>
      </c>
      <c r="J591" s="5">
        <f>IF($N591="","",IF(INDEX('Per Invoice'!$J$2:$J$801,$N591)="","",INDEX('Per Invoice'!$J$2:$J$801,$N591)))</f>
        <v/>
      </c>
      <c r="K591" s="5">
        <f>IF($N591="","",IF(INDEX('Per Invoice'!$K$2:$K$801,$N591)="","",INDEX('Per Invoice'!$K$2:$K$801,$N591)))</f>
        <v/>
      </c>
      <c r="L591" s="5">
        <f>IF($N591="","",IF(INDEX('Per Invoice'!$L$2:$L$801,$N591)="","",INDEX('Per Invoice'!$L$2:$L$801,$N591)))</f>
        <v/>
      </c>
      <c r="M591" s="5">
        <f>IF($N591="","",IF(INDEX('Per Invoice'!$M$2:$M$801,$N591)="","",INDEX('Per Invoice'!$M$2:$M$801,$N591)))</f>
        <v/>
      </c>
      <c r="N591">
        <f>IF(ROWS($N$2:$N591)&lt;=COUNT('Per Invoice'!$P$2:$P$801),MATCH(ROWS($N$2:$N591),'Per Invoice'!$P$2:$P$801,0),"")</f>
        <v/>
      </c>
    </row>
    <row r="592">
      <c r="A592">
        <f>IF($N592="","",IF(INDEX('Per Invoice'!$A$2:$A$801,$N592)="","",INDEX('Per Invoice'!$A$2:$A$801,$N592)))</f>
        <v/>
      </c>
      <c r="B592">
        <f>IF($N592="","",IF(INDEX('Per Invoice'!$B$2:$B$801,$N592)="","",INDEX('Per Invoice'!$B$2:$B$801,$N592)))</f>
        <v/>
      </c>
      <c r="C592">
        <f>IF($N592="","",IF(INDEX('Per Invoice'!$C$2:$C$801,$N592)="","",INDEX('Per Invoice'!$C$2:$C$801,$N592)))</f>
        <v/>
      </c>
      <c r="D592">
        <f>IF($N592="","",IF(INDEX('Per Invoice'!$D$2:$D$801,$N592)="","",INDEX('Per Invoice'!$D$2:$D$801,$N592)))</f>
        <v/>
      </c>
      <c r="E592">
        <f>IF($N592="","",IF(INDEX('Per Invoice'!$E$2:$E$801,$N592)="","",INDEX('Per Invoice'!$E$2:$E$801,$N592)))</f>
        <v/>
      </c>
      <c r="F592">
        <f>IF($N592="","",IF(INDEX('Per Invoice'!$F$2:$F$801,$N592)="","",INDEX('Per Invoice'!$F$2:$F$801,$N592)))</f>
        <v/>
      </c>
      <c r="G592">
        <f>IF($N592="","",IF(INDEX('Per Invoice'!$G$2:$G$801,$N592)="","",INDEX('Per Invoice'!$G$2:$G$801,$N592)))</f>
        <v/>
      </c>
      <c r="H592">
        <f>IF($N592="","",IF(INDEX('Per Invoice'!$H$2:$H$801,$N592)="","",INDEX('Per Invoice'!$H$2:$H$801,$N592)))</f>
        <v/>
      </c>
      <c r="I592" s="5">
        <f>IF($N592="","",IF(INDEX('Per Invoice'!$I$2:$I$801,$N592)="","",INDEX('Per Invoice'!$I$2:$I$801,$N592)))</f>
        <v/>
      </c>
      <c r="J592" s="5">
        <f>IF($N592="","",IF(INDEX('Per Invoice'!$J$2:$J$801,$N592)="","",INDEX('Per Invoice'!$J$2:$J$801,$N592)))</f>
        <v/>
      </c>
      <c r="K592" s="5">
        <f>IF($N592="","",IF(INDEX('Per Invoice'!$K$2:$K$801,$N592)="","",INDEX('Per Invoice'!$K$2:$K$801,$N592)))</f>
        <v/>
      </c>
      <c r="L592" s="5">
        <f>IF($N592="","",IF(INDEX('Per Invoice'!$L$2:$L$801,$N592)="","",INDEX('Per Invoice'!$L$2:$L$801,$N592)))</f>
        <v/>
      </c>
      <c r="M592" s="5">
        <f>IF($N592="","",IF(INDEX('Per Invoice'!$M$2:$M$801,$N592)="","",INDEX('Per Invoice'!$M$2:$M$801,$N592)))</f>
        <v/>
      </c>
      <c r="N592">
        <f>IF(ROWS($N$2:$N592)&lt;=COUNT('Per Invoice'!$P$2:$P$801),MATCH(ROWS($N$2:$N592),'Per Invoice'!$P$2:$P$801,0),"")</f>
        <v/>
      </c>
    </row>
    <row r="593">
      <c r="A593">
        <f>IF($N593="","",IF(INDEX('Per Invoice'!$A$2:$A$801,$N593)="","",INDEX('Per Invoice'!$A$2:$A$801,$N593)))</f>
        <v/>
      </c>
      <c r="B593">
        <f>IF($N593="","",IF(INDEX('Per Invoice'!$B$2:$B$801,$N593)="","",INDEX('Per Invoice'!$B$2:$B$801,$N593)))</f>
        <v/>
      </c>
      <c r="C593">
        <f>IF($N593="","",IF(INDEX('Per Invoice'!$C$2:$C$801,$N593)="","",INDEX('Per Invoice'!$C$2:$C$801,$N593)))</f>
        <v/>
      </c>
      <c r="D593">
        <f>IF($N593="","",IF(INDEX('Per Invoice'!$D$2:$D$801,$N593)="","",INDEX('Per Invoice'!$D$2:$D$801,$N593)))</f>
        <v/>
      </c>
      <c r="E593">
        <f>IF($N593="","",IF(INDEX('Per Invoice'!$E$2:$E$801,$N593)="","",INDEX('Per Invoice'!$E$2:$E$801,$N593)))</f>
        <v/>
      </c>
      <c r="F593">
        <f>IF($N593="","",IF(INDEX('Per Invoice'!$F$2:$F$801,$N593)="","",INDEX('Per Invoice'!$F$2:$F$801,$N593)))</f>
        <v/>
      </c>
      <c r="G593">
        <f>IF($N593="","",IF(INDEX('Per Invoice'!$G$2:$G$801,$N593)="","",INDEX('Per Invoice'!$G$2:$G$801,$N593)))</f>
        <v/>
      </c>
      <c r="H593">
        <f>IF($N593="","",IF(INDEX('Per Invoice'!$H$2:$H$801,$N593)="","",INDEX('Per Invoice'!$H$2:$H$801,$N593)))</f>
        <v/>
      </c>
      <c r="I593" s="5">
        <f>IF($N593="","",IF(INDEX('Per Invoice'!$I$2:$I$801,$N593)="","",INDEX('Per Invoice'!$I$2:$I$801,$N593)))</f>
        <v/>
      </c>
      <c r="J593" s="5">
        <f>IF($N593="","",IF(INDEX('Per Invoice'!$J$2:$J$801,$N593)="","",INDEX('Per Invoice'!$J$2:$J$801,$N593)))</f>
        <v/>
      </c>
      <c r="K593" s="5">
        <f>IF($N593="","",IF(INDEX('Per Invoice'!$K$2:$K$801,$N593)="","",INDEX('Per Invoice'!$K$2:$K$801,$N593)))</f>
        <v/>
      </c>
      <c r="L593" s="5">
        <f>IF($N593="","",IF(INDEX('Per Invoice'!$L$2:$L$801,$N593)="","",INDEX('Per Invoice'!$L$2:$L$801,$N593)))</f>
        <v/>
      </c>
      <c r="M593" s="5">
        <f>IF($N593="","",IF(INDEX('Per Invoice'!$M$2:$M$801,$N593)="","",INDEX('Per Invoice'!$M$2:$M$801,$N593)))</f>
        <v/>
      </c>
      <c r="N593">
        <f>IF(ROWS($N$2:$N593)&lt;=COUNT('Per Invoice'!$P$2:$P$801),MATCH(ROWS($N$2:$N593),'Per Invoice'!$P$2:$P$801,0),"")</f>
        <v/>
      </c>
    </row>
    <row r="594">
      <c r="A594">
        <f>IF($N594="","",IF(INDEX('Per Invoice'!$A$2:$A$801,$N594)="","",INDEX('Per Invoice'!$A$2:$A$801,$N594)))</f>
        <v/>
      </c>
      <c r="B594">
        <f>IF($N594="","",IF(INDEX('Per Invoice'!$B$2:$B$801,$N594)="","",INDEX('Per Invoice'!$B$2:$B$801,$N594)))</f>
        <v/>
      </c>
      <c r="C594">
        <f>IF($N594="","",IF(INDEX('Per Invoice'!$C$2:$C$801,$N594)="","",INDEX('Per Invoice'!$C$2:$C$801,$N594)))</f>
        <v/>
      </c>
      <c r="D594">
        <f>IF($N594="","",IF(INDEX('Per Invoice'!$D$2:$D$801,$N594)="","",INDEX('Per Invoice'!$D$2:$D$801,$N594)))</f>
        <v/>
      </c>
      <c r="E594">
        <f>IF($N594="","",IF(INDEX('Per Invoice'!$E$2:$E$801,$N594)="","",INDEX('Per Invoice'!$E$2:$E$801,$N594)))</f>
        <v/>
      </c>
      <c r="F594">
        <f>IF($N594="","",IF(INDEX('Per Invoice'!$F$2:$F$801,$N594)="","",INDEX('Per Invoice'!$F$2:$F$801,$N594)))</f>
        <v/>
      </c>
      <c r="G594">
        <f>IF($N594="","",IF(INDEX('Per Invoice'!$G$2:$G$801,$N594)="","",INDEX('Per Invoice'!$G$2:$G$801,$N594)))</f>
        <v/>
      </c>
      <c r="H594">
        <f>IF($N594="","",IF(INDEX('Per Invoice'!$H$2:$H$801,$N594)="","",INDEX('Per Invoice'!$H$2:$H$801,$N594)))</f>
        <v/>
      </c>
      <c r="I594" s="5">
        <f>IF($N594="","",IF(INDEX('Per Invoice'!$I$2:$I$801,$N594)="","",INDEX('Per Invoice'!$I$2:$I$801,$N594)))</f>
        <v/>
      </c>
      <c r="J594" s="5">
        <f>IF($N594="","",IF(INDEX('Per Invoice'!$J$2:$J$801,$N594)="","",INDEX('Per Invoice'!$J$2:$J$801,$N594)))</f>
        <v/>
      </c>
      <c r="K594" s="5">
        <f>IF($N594="","",IF(INDEX('Per Invoice'!$K$2:$K$801,$N594)="","",INDEX('Per Invoice'!$K$2:$K$801,$N594)))</f>
        <v/>
      </c>
      <c r="L594" s="5">
        <f>IF($N594="","",IF(INDEX('Per Invoice'!$L$2:$L$801,$N594)="","",INDEX('Per Invoice'!$L$2:$L$801,$N594)))</f>
        <v/>
      </c>
      <c r="M594" s="5">
        <f>IF($N594="","",IF(INDEX('Per Invoice'!$M$2:$M$801,$N594)="","",INDEX('Per Invoice'!$M$2:$M$801,$N594)))</f>
        <v/>
      </c>
      <c r="N594">
        <f>IF(ROWS($N$2:$N594)&lt;=COUNT('Per Invoice'!$P$2:$P$801),MATCH(ROWS($N$2:$N594),'Per Invoice'!$P$2:$P$801,0),"")</f>
        <v/>
      </c>
    </row>
    <row r="595">
      <c r="A595">
        <f>IF($N595="","",IF(INDEX('Per Invoice'!$A$2:$A$801,$N595)="","",INDEX('Per Invoice'!$A$2:$A$801,$N595)))</f>
        <v/>
      </c>
      <c r="B595">
        <f>IF($N595="","",IF(INDEX('Per Invoice'!$B$2:$B$801,$N595)="","",INDEX('Per Invoice'!$B$2:$B$801,$N595)))</f>
        <v/>
      </c>
      <c r="C595">
        <f>IF($N595="","",IF(INDEX('Per Invoice'!$C$2:$C$801,$N595)="","",INDEX('Per Invoice'!$C$2:$C$801,$N595)))</f>
        <v/>
      </c>
      <c r="D595">
        <f>IF($N595="","",IF(INDEX('Per Invoice'!$D$2:$D$801,$N595)="","",INDEX('Per Invoice'!$D$2:$D$801,$N595)))</f>
        <v/>
      </c>
      <c r="E595">
        <f>IF($N595="","",IF(INDEX('Per Invoice'!$E$2:$E$801,$N595)="","",INDEX('Per Invoice'!$E$2:$E$801,$N595)))</f>
        <v/>
      </c>
      <c r="F595">
        <f>IF($N595="","",IF(INDEX('Per Invoice'!$F$2:$F$801,$N595)="","",INDEX('Per Invoice'!$F$2:$F$801,$N595)))</f>
        <v/>
      </c>
      <c r="G595">
        <f>IF($N595="","",IF(INDEX('Per Invoice'!$G$2:$G$801,$N595)="","",INDEX('Per Invoice'!$G$2:$G$801,$N595)))</f>
        <v/>
      </c>
      <c r="H595">
        <f>IF($N595="","",IF(INDEX('Per Invoice'!$H$2:$H$801,$N595)="","",INDEX('Per Invoice'!$H$2:$H$801,$N595)))</f>
        <v/>
      </c>
      <c r="I595" s="5">
        <f>IF($N595="","",IF(INDEX('Per Invoice'!$I$2:$I$801,$N595)="","",INDEX('Per Invoice'!$I$2:$I$801,$N595)))</f>
        <v/>
      </c>
      <c r="J595" s="5">
        <f>IF($N595="","",IF(INDEX('Per Invoice'!$J$2:$J$801,$N595)="","",INDEX('Per Invoice'!$J$2:$J$801,$N595)))</f>
        <v/>
      </c>
      <c r="K595" s="5">
        <f>IF($N595="","",IF(INDEX('Per Invoice'!$K$2:$K$801,$N595)="","",INDEX('Per Invoice'!$K$2:$K$801,$N595)))</f>
        <v/>
      </c>
      <c r="L595" s="5">
        <f>IF($N595="","",IF(INDEX('Per Invoice'!$L$2:$L$801,$N595)="","",INDEX('Per Invoice'!$L$2:$L$801,$N595)))</f>
        <v/>
      </c>
      <c r="M595" s="5">
        <f>IF($N595="","",IF(INDEX('Per Invoice'!$M$2:$M$801,$N595)="","",INDEX('Per Invoice'!$M$2:$M$801,$N595)))</f>
        <v/>
      </c>
      <c r="N595">
        <f>IF(ROWS($N$2:$N595)&lt;=COUNT('Per Invoice'!$P$2:$P$801),MATCH(ROWS($N$2:$N595),'Per Invoice'!$P$2:$P$801,0),"")</f>
        <v/>
      </c>
    </row>
    <row r="596">
      <c r="A596">
        <f>IF($N596="","",IF(INDEX('Per Invoice'!$A$2:$A$801,$N596)="","",INDEX('Per Invoice'!$A$2:$A$801,$N596)))</f>
        <v/>
      </c>
      <c r="B596">
        <f>IF($N596="","",IF(INDEX('Per Invoice'!$B$2:$B$801,$N596)="","",INDEX('Per Invoice'!$B$2:$B$801,$N596)))</f>
        <v/>
      </c>
      <c r="C596">
        <f>IF($N596="","",IF(INDEX('Per Invoice'!$C$2:$C$801,$N596)="","",INDEX('Per Invoice'!$C$2:$C$801,$N596)))</f>
        <v/>
      </c>
      <c r="D596">
        <f>IF($N596="","",IF(INDEX('Per Invoice'!$D$2:$D$801,$N596)="","",INDEX('Per Invoice'!$D$2:$D$801,$N596)))</f>
        <v/>
      </c>
      <c r="E596">
        <f>IF($N596="","",IF(INDEX('Per Invoice'!$E$2:$E$801,$N596)="","",INDEX('Per Invoice'!$E$2:$E$801,$N596)))</f>
        <v/>
      </c>
      <c r="F596">
        <f>IF($N596="","",IF(INDEX('Per Invoice'!$F$2:$F$801,$N596)="","",INDEX('Per Invoice'!$F$2:$F$801,$N596)))</f>
        <v/>
      </c>
      <c r="G596">
        <f>IF($N596="","",IF(INDEX('Per Invoice'!$G$2:$G$801,$N596)="","",INDEX('Per Invoice'!$G$2:$G$801,$N596)))</f>
        <v/>
      </c>
      <c r="H596">
        <f>IF($N596="","",IF(INDEX('Per Invoice'!$H$2:$H$801,$N596)="","",INDEX('Per Invoice'!$H$2:$H$801,$N596)))</f>
        <v/>
      </c>
      <c r="I596" s="5">
        <f>IF($N596="","",IF(INDEX('Per Invoice'!$I$2:$I$801,$N596)="","",INDEX('Per Invoice'!$I$2:$I$801,$N596)))</f>
        <v/>
      </c>
      <c r="J596" s="5">
        <f>IF($N596="","",IF(INDEX('Per Invoice'!$J$2:$J$801,$N596)="","",INDEX('Per Invoice'!$J$2:$J$801,$N596)))</f>
        <v/>
      </c>
      <c r="K596" s="5">
        <f>IF($N596="","",IF(INDEX('Per Invoice'!$K$2:$K$801,$N596)="","",INDEX('Per Invoice'!$K$2:$K$801,$N596)))</f>
        <v/>
      </c>
      <c r="L596" s="5">
        <f>IF($N596="","",IF(INDEX('Per Invoice'!$L$2:$L$801,$N596)="","",INDEX('Per Invoice'!$L$2:$L$801,$N596)))</f>
        <v/>
      </c>
      <c r="M596" s="5">
        <f>IF($N596="","",IF(INDEX('Per Invoice'!$M$2:$M$801,$N596)="","",INDEX('Per Invoice'!$M$2:$M$801,$N596)))</f>
        <v/>
      </c>
      <c r="N596">
        <f>IF(ROWS($N$2:$N596)&lt;=COUNT('Per Invoice'!$P$2:$P$801),MATCH(ROWS($N$2:$N596),'Per Invoice'!$P$2:$P$801,0),"")</f>
        <v/>
      </c>
    </row>
    <row r="597">
      <c r="A597">
        <f>IF($N597="","",IF(INDEX('Per Invoice'!$A$2:$A$801,$N597)="","",INDEX('Per Invoice'!$A$2:$A$801,$N597)))</f>
        <v/>
      </c>
      <c r="B597">
        <f>IF($N597="","",IF(INDEX('Per Invoice'!$B$2:$B$801,$N597)="","",INDEX('Per Invoice'!$B$2:$B$801,$N597)))</f>
        <v/>
      </c>
      <c r="C597">
        <f>IF($N597="","",IF(INDEX('Per Invoice'!$C$2:$C$801,$N597)="","",INDEX('Per Invoice'!$C$2:$C$801,$N597)))</f>
        <v/>
      </c>
      <c r="D597">
        <f>IF($N597="","",IF(INDEX('Per Invoice'!$D$2:$D$801,$N597)="","",INDEX('Per Invoice'!$D$2:$D$801,$N597)))</f>
        <v/>
      </c>
      <c r="E597">
        <f>IF($N597="","",IF(INDEX('Per Invoice'!$E$2:$E$801,$N597)="","",INDEX('Per Invoice'!$E$2:$E$801,$N597)))</f>
        <v/>
      </c>
      <c r="F597">
        <f>IF($N597="","",IF(INDEX('Per Invoice'!$F$2:$F$801,$N597)="","",INDEX('Per Invoice'!$F$2:$F$801,$N597)))</f>
        <v/>
      </c>
      <c r="G597">
        <f>IF($N597="","",IF(INDEX('Per Invoice'!$G$2:$G$801,$N597)="","",INDEX('Per Invoice'!$G$2:$G$801,$N597)))</f>
        <v/>
      </c>
      <c r="H597">
        <f>IF($N597="","",IF(INDEX('Per Invoice'!$H$2:$H$801,$N597)="","",INDEX('Per Invoice'!$H$2:$H$801,$N597)))</f>
        <v/>
      </c>
      <c r="I597" s="5">
        <f>IF($N597="","",IF(INDEX('Per Invoice'!$I$2:$I$801,$N597)="","",INDEX('Per Invoice'!$I$2:$I$801,$N597)))</f>
        <v/>
      </c>
      <c r="J597" s="5">
        <f>IF($N597="","",IF(INDEX('Per Invoice'!$J$2:$J$801,$N597)="","",INDEX('Per Invoice'!$J$2:$J$801,$N597)))</f>
        <v/>
      </c>
      <c r="K597" s="5">
        <f>IF($N597="","",IF(INDEX('Per Invoice'!$K$2:$K$801,$N597)="","",INDEX('Per Invoice'!$K$2:$K$801,$N597)))</f>
        <v/>
      </c>
      <c r="L597" s="5">
        <f>IF($N597="","",IF(INDEX('Per Invoice'!$L$2:$L$801,$N597)="","",INDEX('Per Invoice'!$L$2:$L$801,$N597)))</f>
        <v/>
      </c>
      <c r="M597" s="5">
        <f>IF($N597="","",IF(INDEX('Per Invoice'!$M$2:$M$801,$N597)="","",INDEX('Per Invoice'!$M$2:$M$801,$N597)))</f>
        <v/>
      </c>
      <c r="N597">
        <f>IF(ROWS($N$2:$N597)&lt;=COUNT('Per Invoice'!$P$2:$P$801),MATCH(ROWS($N$2:$N597),'Per Invoice'!$P$2:$P$801,0),"")</f>
        <v/>
      </c>
    </row>
    <row r="598">
      <c r="A598">
        <f>IF($N598="","",IF(INDEX('Per Invoice'!$A$2:$A$801,$N598)="","",INDEX('Per Invoice'!$A$2:$A$801,$N598)))</f>
        <v/>
      </c>
      <c r="B598">
        <f>IF($N598="","",IF(INDEX('Per Invoice'!$B$2:$B$801,$N598)="","",INDEX('Per Invoice'!$B$2:$B$801,$N598)))</f>
        <v/>
      </c>
      <c r="C598">
        <f>IF($N598="","",IF(INDEX('Per Invoice'!$C$2:$C$801,$N598)="","",INDEX('Per Invoice'!$C$2:$C$801,$N598)))</f>
        <v/>
      </c>
      <c r="D598">
        <f>IF($N598="","",IF(INDEX('Per Invoice'!$D$2:$D$801,$N598)="","",INDEX('Per Invoice'!$D$2:$D$801,$N598)))</f>
        <v/>
      </c>
      <c r="E598">
        <f>IF($N598="","",IF(INDEX('Per Invoice'!$E$2:$E$801,$N598)="","",INDEX('Per Invoice'!$E$2:$E$801,$N598)))</f>
        <v/>
      </c>
      <c r="F598">
        <f>IF($N598="","",IF(INDEX('Per Invoice'!$F$2:$F$801,$N598)="","",INDEX('Per Invoice'!$F$2:$F$801,$N598)))</f>
        <v/>
      </c>
      <c r="G598">
        <f>IF($N598="","",IF(INDEX('Per Invoice'!$G$2:$G$801,$N598)="","",INDEX('Per Invoice'!$G$2:$G$801,$N598)))</f>
        <v/>
      </c>
      <c r="H598">
        <f>IF($N598="","",IF(INDEX('Per Invoice'!$H$2:$H$801,$N598)="","",INDEX('Per Invoice'!$H$2:$H$801,$N598)))</f>
        <v/>
      </c>
      <c r="I598" s="5">
        <f>IF($N598="","",IF(INDEX('Per Invoice'!$I$2:$I$801,$N598)="","",INDEX('Per Invoice'!$I$2:$I$801,$N598)))</f>
        <v/>
      </c>
      <c r="J598" s="5">
        <f>IF($N598="","",IF(INDEX('Per Invoice'!$J$2:$J$801,$N598)="","",INDEX('Per Invoice'!$J$2:$J$801,$N598)))</f>
        <v/>
      </c>
      <c r="K598" s="5">
        <f>IF($N598="","",IF(INDEX('Per Invoice'!$K$2:$K$801,$N598)="","",INDEX('Per Invoice'!$K$2:$K$801,$N598)))</f>
        <v/>
      </c>
      <c r="L598" s="5">
        <f>IF($N598="","",IF(INDEX('Per Invoice'!$L$2:$L$801,$N598)="","",INDEX('Per Invoice'!$L$2:$L$801,$N598)))</f>
        <v/>
      </c>
      <c r="M598" s="5">
        <f>IF($N598="","",IF(INDEX('Per Invoice'!$M$2:$M$801,$N598)="","",INDEX('Per Invoice'!$M$2:$M$801,$N598)))</f>
        <v/>
      </c>
      <c r="N598">
        <f>IF(ROWS($N$2:$N598)&lt;=COUNT('Per Invoice'!$P$2:$P$801),MATCH(ROWS($N$2:$N598),'Per Invoice'!$P$2:$P$801,0),"")</f>
        <v/>
      </c>
    </row>
    <row r="599">
      <c r="A599">
        <f>IF($N599="","",IF(INDEX('Per Invoice'!$A$2:$A$801,$N599)="","",INDEX('Per Invoice'!$A$2:$A$801,$N599)))</f>
        <v/>
      </c>
      <c r="B599">
        <f>IF($N599="","",IF(INDEX('Per Invoice'!$B$2:$B$801,$N599)="","",INDEX('Per Invoice'!$B$2:$B$801,$N599)))</f>
        <v/>
      </c>
      <c r="C599">
        <f>IF($N599="","",IF(INDEX('Per Invoice'!$C$2:$C$801,$N599)="","",INDEX('Per Invoice'!$C$2:$C$801,$N599)))</f>
        <v/>
      </c>
      <c r="D599">
        <f>IF($N599="","",IF(INDEX('Per Invoice'!$D$2:$D$801,$N599)="","",INDEX('Per Invoice'!$D$2:$D$801,$N599)))</f>
        <v/>
      </c>
      <c r="E599">
        <f>IF($N599="","",IF(INDEX('Per Invoice'!$E$2:$E$801,$N599)="","",INDEX('Per Invoice'!$E$2:$E$801,$N599)))</f>
        <v/>
      </c>
      <c r="F599">
        <f>IF($N599="","",IF(INDEX('Per Invoice'!$F$2:$F$801,$N599)="","",INDEX('Per Invoice'!$F$2:$F$801,$N599)))</f>
        <v/>
      </c>
      <c r="G599">
        <f>IF($N599="","",IF(INDEX('Per Invoice'!$G$2:$G$801,$N599)="","",INDEX('Per Invoice'!$G$2:$G$801,$N599)))</f>
        <v/>
      </c>
      <c r="H599">
        <f>IF($N599="","",IF(INDEX('Per Invoice'!$H$2:$H$801,$N599)="","",INDEX('Per Invoice'!$H$2:$H$801,$N599)))</f>
        <v/>
      </c>
      <c r="I599" s="5">
        <f>IF($N599="","",IF(INDEX('Per Invoice'!$I$2:$I$801,$N599)="","",INDEX('Per Invoice'!$I$2:$I$801,$N599)))</f>
        <v/>
      </c>
      <c r="J599" s="5">
        <f>IF($N599="","",IF(INDEX('Per Invoice'!$J$2:$J$801,$N599)="","",INDEX('Per Invoice'!$J$2:$J$801,$N599)))</f>
        <v/>
      </c>
      <c r="K599" s="5">
        <f>IF($N599="","",IF(INDEX('Per Invoice'!$K$2:$K$801,$N599)="","",INDEX('Per Invoice'!$K$2:$K$801,$N599)))</f>
        <v/>
      </c>
      <c r="L599" s="5">
        <f>IF($N599="","",IF(INDEX('Per Invoice'!$L$2:$L$801,$N599)="","",INDEX('Per Invoice'!$L$2:$L$801,$N599)))</f>
        <v/>
      </c>
      <c r="M599" s="5">
        <f>IF($N599="","",IF(INDEX('Per Invoice'!$M$2:$M$801,$N599)="","",INDEX('Per Invoice'!$M$2:$M$801,$N599)))</f>
        <v/>
      </c>
      <c r="N599">
        <f>IF(ROWS($N$2:$N599)&lt;=COUNT('Per Invoice'!$P$2:$P$801),MATCH(ROWS($N$2:$N599),'Per Invoice'!$P$2:$P$801,0),"")</f>
        <v/>
      </c>
    </row>
    <row r="600">
      <c r="A600">
        <f>IF($N600="","",IF(INDEX('Per Invoice'!$A$2:$A$801,$N600)="","",INDEX('Per Invoice'!$A$2:$A$801,$N600)))</f>
        <v/>
      </c>
      <c r="B600">
        <f>IF($N600="","",IF(INDEX('Per Invoice'!$B$2:$B$801,$N600)="","",INDEX('Per Invoice'!$B$2:$B$801,$N600)))</f>
        <v/>
      </c>
      <c r="C600">
        <f>IF($N600="","",IF(INDEX('Per Invoice'!$C$2:$C$801,$N600)="","",INDEX('Per Invoice'!$C$2:$C$801,$N600)))</f>
        <v/>
      </c>
      <c r="D600">
        <f>IF($N600="","",IF(INDEX('Per Invoice'!$D$2:$D$801,$N600)="","",INDEX('Per Invoice'!$D$2:$D$801,$N600)))</f>
        <v/>
      </c>
      <c r="E600">
        <f>IF($N600="","",IF(INDEX('Per Invoice'!$E$2:$E$801,$N600)="","",INDEX('Per Invoice'!$E$2:$E$801,$N600)))</f>
        <v/>
      </c>
      <c r="F600">
        <f>IF($N600="","",IF(INDEX('Per Invoice'!$F$2:$F$801,$N600)="","",INDEX('Per Invoice'!$F$2:$F$801,$N600)))</f>
        <v/>
      </c>
      <c r="G600">
        <f>IF($N600="","",IF(INDEX('Per Invoice'!$G$2:$G$801,$N600)="","",INDEX('Per Invoice'!$G$2:$G$801,$N600)))</f>
        <v/>
      </c>
      <c r="H600">
        <f>IF($N600="","",IF(INDEX('Per Invoice'!$H$2:$H$801,$N600)="","",INDEX('Per Invoice'!$H$2:$H$801,$N600)))</f>
        <v/>
      </c>
      <c r="I600" s="5">
        <f>IF($N600="","",IF(INDEX('Per Invoice'!$I$2:$I$801,$N600)="","",INDEX('Per Invoice'!$I$2:$I$801,$N600)))</f>
        <v/>
      </c>
      <c r="J600" s="5">
        <f>IF($N600="","",IF(INDEX('Per Invoice'!$J$2:$J$801,$N600)="","",INDEX('Per Invoice'!$J$2:$J$801,$N600)))</f>
        <v/>
      </c>
      <c r="K600" s="5">
        <f>IF($N600="","",IF(INDEX('Per Invoice'!$K$2:$K$801,$N600)="","",INDEX('Per Invoice'!$K$2:$K$801,$N600)))</f>
        <v/>
      </c>
      <c r="L600" s="5">
        <f>IF($N600="","",IF(INDEX('Per Invoice'!$L$2:$L$801,$N600)="","",INDEX('Per Invoice'!$L$2:$L$801,$N600)))</f>
        <v/>
      </c>
      <c r="M600" s="5">
        <f>IF($N600="","",IF(INDEX('Per Invoice'!$M$2:$M$801,$N600)="","",INDEX('Per Invoice'!$M$2:$M$801,$N600)))</f>
        <v/>
      </c>
      <c r="N600">
        <f>IF(ROWS($N$2:$N600)&lt;=COUNT('Per Invoice'!$P$2:$P$801),MATCH(ROWS($N$2:$N600),'Per Invoice'!$P$2:$P$801,0),"")</f>
        <v/>
      </c>
    </row>
    <row r="601">
      <c r="A601">
        <f>IF($N601="","",IF(INDEX('Per Invoice'!$A$2:$A$801,$N601)="","",INDEX('Per Invoice'!$A$2:$A$801,$N601)))</f>
        <v/>
      </c>
      <c r="B601">
        <f>IF($N601="","",IF(INDEX('Per Invoice'!$B$2:$B$801,$N601)="","",INDEX('Per Invoice'!$B$2:$B$801,$N601)))</f>
        <v/>
      </c>
      <c r="C601">
        <f>IF($N601="","",IF(INDEX('Per Invoice'!$C$2:$C$801,$N601)="","",INDEX('Per Invoice'!$C$2:$C$801,$N601)))</f>
        <v/>
      </c>
      <c r="D601">
        <f>IF($N601="","",IF(INDEX('Per Invoice'!$D$2:$D$801,$N601)="","",INDEX('Per Invoice'!$D$2:$D$801,$N601)))</f>
        <v/>
      </c>
      <c r="E601">
        <f>IF($N601="","",IF(INDEX('Per Invoice'!$E$2:$E$801,$N601)="","",INDEX('Per Invoice'!$E$2:$E$801,$N601)))</f>
        <v/>
      </c>
      <c r="F601">
        <f>IF($N601="","",IF(INDEX('Per Invoice'!$F$2:$F$801,$N601)="","",INDEX('Per Invoice'!$F$2:$F$801,$N601)))</f>
        <v/>
      </c>
      <c r="G601">
        <f>IF($N601="","",IF(INDEX('Per Invoice'!$G$2:$G$801,$N601)="","",INDEX('Per Invoice'!$G$2:$G$801,$N601)))</f>
        <v/>
      </c>
      <c r="H601">
        <f>IF($N601="","",IF(INDEX('Per Invoice'!$H$2:$H$801,$N601)="","",INDEX('Per Invoice'!$H$2:$H$801,$N601)))</f>
        <v/>
      </c>
      <c r="I601" s="5">
        <f>IF($N601="","",IF(INDEX('Per Invoice'!$I$2:$I$801,$N601)="","",INDEX('Per Invoice'!$I$2:$I$801,$N601)))</f>
        <v/>
      </c>
      <c r="J601" s="5">
        <f>IF($N601="","",IF(INDEX('Per Invoice'!$J$2:$J$801,$N601)="","",INDEX('Per Invoice'!$J$2:$J$801,$N601)))</f>
        <v/>
      </c>
      <c r="K601" s="5">
        <f>IF($N601="","",IF(INDEX('Per Invoice'!$K$2:$K$801,$N601)="","",INDEX('Per Invoice'!$K$2:$K$801,$N601)))</f>
        <v/>
      </c>
      <c r="L601" s="5">
        <f>IF($N601="","",IF(INDEX('Per Invoice'!$L$2:$L$801,$N601)="","",INDEX('Per Invoice'!$L$2:$L$801,$N601)))</f>
        <v/>
      </c>
      <c r="M601" s="5">
        <f>IF($N601="","",IF(INDEX('Per Invoice'!$M$2:$M$801,$N601)="","",INDEX('Per Invoice'!$M$2:$M$801,$N601)))</f>
        <v/>
      </c>
      <c r="N601">
        <f>IF(ROWS($N$2:$N601)&lt;=COUNT('Per Invoice'!$P$2:$P$801),MATCH(ROWS($N$2:$N601),'Per Invoice'!$P$2:$P$801,0),"")</f>
        <v/>
      </c>
    </row>
    <row r="602">
      <c r="A602">
        <f>IF($N602="","",IF(INDEX('Per Invoice'!$A$2:$A$801,$N602)="","",INDEX('Per Invoice'!$A$2:$A$801,$N602)))</f>
        <v/>
      </c>
      <c r="B602">
        <f>IF($N602="","",IF(INDEX('Per Invoice'!$B$2:$B$801,$N602)="","",INDEX('Per Invoice'!$B$2:$B$801,$N602)))</f>
        <v/>
      </c>
      <c r="C602">
        <f>IF($N602="","",IF(INDEX('Per Invoice'!$C$2:$C$801,$N602)="","",INDEX('Per Invoice'!$C$2:$C$801,$N602)))</f>
        <v/>
      </c>
      <c r="D602">
        <f>IF($N602="","",IF(INDEX('Per Invoice'!$D$2:$D$801,$N602)="","",INDEX('Per Invoice'!$D$2:$D$801,$N602)))</f>
        <v/>
      </c>
      <c r="E602">
        <f>IF($N602="","",IF(INDEX('Per Invoice'!$E$2:$E$801,$N602)="","",INDEX('Per Invoice'!$E$2:$E$801,$N602)))</f>
        <v/>
      </c>
      <c r="F602">
        <f>IF($N602="","",IF(INDEX('Per Invoice'!$F$2:$F$801,$N602)="","",INDEX('Per Invoice'!$F$2:$F$801,$N602)))</f>
        <v/>
      </c>
      <c r="G602">
        <f>IF($N602="","",IF(INDEX('Per Invoice'!$G$2:$G$801,$N602)="","",INDEX('Per Invoice'!$G$2:$G$801,$N602)))</f>
        <v/>
      </c>
      <c r="H602">
        <f>IF($N602="","",IF(INDEX('Per Invoice'!$H$2:$H$801,$N602)="","",INDEX('Per Invoice'!$H$2:$H$801,$N602)))</f>
        <v/>
      </c>
      <c r="I602" s="5">
        <f>IF($N602="","",IF(INDEX('Per Invoice'!$I$2:$I$801,$N602)="","",INDEX('Per Invoice'!$I$2:$I$801,$N602)))</f>
        <v/>
      </c>
      <c r="J602" s="5">
        <f>IF($N602="","",IF(INDEX('Per Invoice'!$J$2:$J$801,$N602)="","",INDEX('Per Invoice'!$J$2:$J$801,$N602)))</f>
        <v/>
      </c>
      <c r="K602" s="5">
        <f>IF($N602="","",IF(INDEX('Per Invoice'!$K$2:$K$801,$N602)="","",INDEX('Per Invoice'!$K$2:$K$801,$N602)))</f>
        <v/>
      </c>
      <c r="L602" s="5">
        <f>IF($N602="","",IF(INDEX('Per Invoice'!$L$2:$L$801,$N602)="","",INDEX('Per Invoice'!$L$2:$L$801,$N602)))</f>
        <v/>
      </c>
      <c r="M602" s="5">
        <f>IF($N602="","",IF(INDEX('Per Invoice'!$M$2:$M$801,$N602)="","",INDEX('Per Invoice'!$M$2:$M$801,$N602)))</f>
        <v/>
      </c>
      <c r="N602">
        <f>IF(ROWS($N$2:$N602)&lt;=COUNT('Per Invoice'!$P$2:$P$801),MATCH(ROWS($N$2:$N602),'Per Invoice'!$P$2:$P$801,0),"")</f>
        <v/>
      </c>
    </row>
    <row r="603">
      <c r="A603">
        <f>IF($N603="","",IF(INDEX('Per Invoice'!$A$2:$A$801,$N603)="","",INDEX('Per Invoice'!$A$2:$A$801,$N603)))</f>
        <v/>
      </c>
      <c r="B603">
        <f>IF($N603="","",IF(INDEX('Per Invoice'!$B$2:$B$801,$N603)="","",INDEX('Per Invoice'!$B$2:$B$801,$N603)))</f>
        <v/>
      </c>
      <c r="C603">
        <f>IF($N603="","",IF(INDEX('Per Invoice'!$C$2:$C$801,$N603)="","",INDEX('Per Invoice'!$C$2:$C$801,$N603)))</f>
        <v/>
      </c>
      <c r="D603">
        <f>IF($N603="","",IF(INDEX('Per Invoice'!$D$2:$D$801,$N603)="","",INDEX('Per Invoice'!$D$2:$D$801,$N603)))</f>
        <v/>
      </c>
      <c r="E603">
        <f>IF($N603="","",IF(INDEX('Per Invoice'!$E$2:$E$801,$N603)="","",INDEX('Per Invoice'!$E$2:$E$801,$N603)))</f>
        <v/>
      </c>
      <c r="F603">
        <f>IF($N603="","",IF(INDEX('Per Invoice'!$F$2:$F$801,$N603)="","",INDEX('Per Invoice'!$F$2:$F$801,$N603)))</f>
        <v/>
      </c>
      <c r="G603">
        <f>IF($N603="","",IF(INDEX('Per Invoice'!$G$2:$G$801,$N603)="","",INDEX('Per Invoice'!$G$2:$G$801,$N603)))</f>
        <v/>
      </c>
      <c r="H603">
        <f>IF($N603="","",IF(INDEX('Per Invoice'!$H$2:$H$801,$N603)="","",INDEX('Per Invoice'!$H$2:$H$801,$N603)))</f>
        <v/>
      </c>
      <c r="I603" s="5">
        <f>IF($N603="","",IF(INDEX('Per Invoice'!$I$2:$I$801,$N603)="","",INDEX('Per Invoice'!$I$2:$I$801,$N603)))</f>
        <v/>
      </c>
      <c r="J603" s="5">
        <f>IF($N603="","",IF(INDEX('Per Invoice'!$J$2:$J$801,$N603)="","",INDEX('Per Invoice'!$J$2:$J$801,$N603)))</f>
        <v/>
      </c>
      <c r="K603" s="5">
        <f>IF($N603="","",IF(INDEX('Per Invoice'!$K$2:$K$801,$N603)="","",INDEX('Per Invoice'!$K$2:$K$801,$N603)))</f>
        <v/>
      </c>
      <c r="L603" s="5">
        <f>IF($N603="","",IF(INDEX('Per Invoice'!$L$2:$L$801,$N603)="","",INDEX('Per Invoice'!$L$2:$L$801,$N603)))</f>
        <v/>
      </c>
      <c r="M603" s="5">
        <f>IF($N603="","",IF(INDEX('Per Invoice'!$M$2:$M$801,$N603)="","",INDEX('Per Invoice'!$M$2:$M$801,$N603)))</f>
        <v/>
      </c>
      <c r="N603">
        <f>IF(ROWS($N$2:$N603)&lt;=COUNT('Per Invoice'!$P$2:$P$801),MATCH(ROWS($N$2:$N603),'Per Invoice'!$P$2:$P$801,0),"")</f>
        <v/>
      </c>
    </row>
    <row r="604">
      <c r="A604">
        <f>IF($N604="","",IF(INDEX('Per Invoice'!$A$2:$A$801,$N604)="","",INDEX('Per Invoice'!$A$2:$A$801,$N604)))</f>
        <v/>
      </c>
      <c r="B604">
        <f>IF($N604="","",IF(INDEX('Per Invoice'!$B$2:$B$801,$N604)="","",INDEX('Per Invoice'!$B$2:$B$801,$N604)))</f>
        <v/>
      </c>
      <c r="C604">
        <f>IF($N604="","",IF(INDEX('Per Invoice'!$C$2:$C$801,$N604)="","",INDEX('Per Invoice'!$C$2:$C$801,$N604)))</f>
        <v/>
      </c>
      <c r="D604">
        <f>IF($N604="","",IF(INDEX('Per Invoice'!$D$2:$D$801,$N604)="","",INDEX('Per Invoice'!$D$2:$D$801,$N604)))</f>
        <v/>
      </c>
      <c r="E604">
        <f>IF($N604="","",IF(INDEX('Per Invoice'!$E$2:$E$801,$N604)="","",INDEX('Per Invoice'!$E$2:$E$801,$N604)))</f>
        <v/>
      </c>
      <c r="F604">
        <f>IF($N604="","",IF(INDEX('Per Invoice'!$F$2:$F$801,$N604)="","",INDEX('Per Invoice'!$F$2:$F$801,$N604)))</f>
        <v/>
      </c>
      <c r="G604">
        <f>IF($N604="","",IF(INDEX('Per Invoice'!$G$2:$G$801,$N604)="","",INDEX('Per Invoice'!$G$2:$G$801,$N604)))</f>
        <v/>
      </c>
      <c r="H604">
        <f>IF($N604="","",IF(INDEX('Per Invoice'!$H$2:$H$801,$N604)="","",INDEX('Per Invoice'!$H$2:$H$801,$N604)))</f>
        <v/>
      </c>
      <c r="I604" s="5">
        <f>IF($N604="","",IF(INDEX('Per Invoice'!$I$2:$I$801,$N604)="","",INDEX('Per Invoice'!$I$2:$I$801,$N604)))</f>
        <v/>
      </c>
      <c r="J604" s="5">
        <f>IF($N604="","",IF(INDEX('Per Invoice'!$J$2:$J$801,$N604)="","",INDEX('Per Invoice'!$J$2:$J$801,$N604)))</f>
        <v/>
      </c>
      <c r="K604" s="5">
        <f>IF($N604="","",IF(INDEX('Per Invoice'!$K$2:$K$801,$N604)="","",INDEX('Per Invoice'!$K$2:$K$801,$N604)))</f>
        <v/>
      </c>
      <c r="L604" s="5">
        <f>IF($N604="","",IF(INDEX('Per Invoice'!$L$2:$L$801,$N604)="","",INDEX('Per Invoice'!$L$2:$L$801,$N604)))</f>
        <v/>
      </c>
      <c r="M604" s="5">
        <f>IF($N604="","",IF(INDEX('Per Invoice'!$M$2:$M$801,$N604)="","",INDEX('Per Invoice'!$M$2:$M$801,$N604)))</f>
        <v/>
      </c>
      <c r="N604">
        <f>IF(ROWS($N$2:$N604)&lt;=COUNT('Per Invoice'!$P$2:$P$801),MATCH(ROWS($N$2:$N604),'Per Invoice'!$P$2:$P$801,0),"")</f>
        <v/>
      </c>
    </row>
    <row r="605">
      <c r="A605">
        <f>IF($N605="","",IF(INDEX('Per Invoice'!$A$2:$A$801,$N605)="","",INDEX('Per Invoice'!$A$2:$A$801,$N605)))</f>
        <v/>
      </c>
      <c r="B605">
        <f>IF($N605="","",IF(INDEX('Per Invoice'!$B$2:$B$801,$N605)="","",INDEX('Per Invoice'!$B$2:$B$801,$N605)))</f>
        <v/>
      </c>
      <c r="C605">
        <f>IF($N605="","",IF(INDEX('Per Invoice'!$C$2:$C$801,$N605)="","",INDEX('Per Invoice'!$C$2:$C$801,$N605)))</f>
        <v/>
      </c>
      <c r="D605">
        <f>IF($N605="","",IF(INDEX('Per Invoice'!$D$2:$D$801,$N605)="","",INDEX('Per Invoice'!$D$2:$D$801,$N605)))</f>
        <v/>
      </c>
      <c r="E605">
        <f>IF($N605="","",IF(INDEX('Per Invoice'!$E$2:$E$801,$N605)="","",INDEX('Per Invoice'!$E$2:$E$801,$N605)))</f>
        <v/>
      </c>
      <c r="F605">
        <f>IF($N605="","",IF(INDEX('Per Invoice'!$F$2:$F$801,$N605)="","",INDEX('Per Invoice'!$F$2:$F$801,$N605)))</f>
        <v/>
      </c>
      <c r="G605">
        <f>IF($N605="","",IF(INDEX('Per Invoice'!$G$2:$G$801,$N605)="","",INDEX('Per Invoice'!$G$2:$G$801,$N605)))</f>
        <v/>
      </c>
      <c r="H605">
        <f>IF($N605="","",IF(INDEX('Per Invoice'!$H$2:$H$801,$N605)="","",INDEX('Per Invoice'!$H$2:$H$801,$N605)))</f>
        <v/>
      </c>
      <c r="I605" s="5">
        <f>IF($N605="","",IF(INDEX('Per Invoice'!$I$2:$I$801,$N605)="","",INDEX('Per Invoice'!$I$2:$I$801,$N605)))</f>
        <v/>
      </c>
      <c r="J605" s="5">
        <f>IF($N605="","",IF(INDEX('Per Invoice'!$J$2:$J$801,$N605)="","",INDEX('Per Invoice'!$J$2:$J$801,$N605)))</f>
        <v/>
      </c>
      <c r="K605" s="5">
        <f>IF($N605="","",IF(INDEX('Per Invoice'!$K$2:$K$801,$N605)="","",INDEX('Per Invoice'!$K$2:$K$801,$N605)))</f>
        <v/>
      </c>
      <c r="L605" s="5">
        <f>IF($N605="","",IF(INDEX('Per Invoice'!$L$2:$L$801,$N605)="","",INDEX('Per Invoice'!$L$2:$L$801,$N605)))</f>
        <v/>
      </c>
      <c r="M605" s="5">
        <f>IF($N605="","",IF(INDEX('Per Invoice'!$M$2:$M$801,$N605)="","",INDEX('Per Invoice'!$M$2:$M$801,$N605)))</f>
        <v/>
      </c>
      <c r="N605">
        <f>IF(ROWS($N$2:$N605)&lt;=COUNT('Per Invoice'!$P$2:$P$801),MATCH(ROWS($N$2:$N605),'Per Invoice'!$P$2:$P$801,0),"")</f>
        <v/>
      </c>
    </row>
    <row r="606">
      <c r="A606">
        <f>IF($N606="","",IF(INDEX('Per Invoice'!$A$2:$A$801,$N606)="","",INDEX('Per Invoice'!$A$2:$A$801,$N606)))</f>
        <v/>
      </c>
      <c r="B606">
        <f>IF($N606="","",IF(INDEX('Per Invoice'!$B$2:$B$801,$N606)="","",INDEX('Per Invoice'!$B$2:$B$801,$N606)))</f>
        <v/>
      </c>
      <c r="C606">
        <f>IF($N606="","",IF(INDEX('Per Invoice'!$C$2:$C$801,$N606)="","",INDEX('Per Invoice'!$C$2:$C$801,$N606)))</f>
        <v/>
      </c>
      <c r="D606">
        <f>IF($N606="","",IF(INDEX('Per Invoice'!$D$2:$D$801,$N606)="","",INDEX('Per Invoice'!$D$2:$D$801,$N606)))</f>
        <v/>
      </c>
      <c r="E606">
        <f>IF($N606="","",IF(INDEX('Per Invoice'!$E$2:$E$801,$N606)="","",INDEX('Per Invoice'!$E$2:$E$801,$N606)))</f>
        <v/>
      </c>
      <c r="F606">
        <f>IF($N606="","",IF(INDEX('Per Invoice'!$F$2:$F$801,$N606)="","",INDEX('Per Invoice'!$F$2:$F$801,$N606)))</f>
        <v/>
      </c>
      <c r="G606">
        <f>IF($N606="","",IF(INDEX('Per Invoice'!$G$2:$G$801,$N606)="","",INDEX('Per Invoice'!$G$2:$G$801,$N606)))</f>
        <v/>
      </c>
      <c r="H606">
        <f>IF($N606="","",IF(INDEX('Per Invoice'!$H$2:$H$801,$N606)="","",INDEX('Per Invoice'!$H$2:$H$801,$N606)))</f>
        <v/>
      </c>
      <c r="I606" s="5">
        <f>IF($N606="","",IF(INDEX('Per Invoice'!$I$2:$I$801,$N606)="","",INDEX('Per Invoice'!$I$2:$I$801,$N606)))</f>
        <v/>
      </c>
      <c r="J606" s="5">
        <f>IF($N606="","",IF(INDEX('Per Invoice'!$J$2:$J$801,$N606)="","",INDEX('Per Invoice'!$J$2:$J$801,$N606)))</f>
        <v/>
      </c>
      <c r="K606" s="5">
        <f>IF($N606="","",IF(INDEX('Per Invoice'!$K$2:$K$801,$N606)="","",INDEX('Per Invoice'!$K$2:$K$801,$N606)))</f>
        <v/>
      </c>
      <c r="L606" s="5">
        <f>IF($N606="","",IF(INDEX('Per Invoice'!$L$2:$L$801,$N606)="","",INDEX('Per Invoice'!$L$2:$L$801,$N606)))</f>
        <v/>
      </c>
      <c r="M606" s="5">
        <f>IF($N606="","",IF(INDEX('Per Invoice'!$M$2:$M$801,$N606)="","",INDEX('Per Invoice'!$M$2:$M$801,$N606)))</f>
        <v/>
      </c>
      <c r="N606">
        <f>IF(ROWS($N$2:$N606)&lt;=COUNT('Per Invoice'!$P$2:$P$801),MATCH(ROWS($N$2:$N606),'Per Invoice'!$P$2:$P$801,0),"")</f>
        <v/>
      </c>
    </row>
    <row r="607">
      <c r="A607">
        <f>IF($N607="","",IF(INDEX('Per Invoice'!$A$2:$A$801,$N607)="","",INDEX('Per Invoice'!$A$2:$A$801,$N607)))</f>
        <v/>
      </c>
      <c r="B607">
        <f>IF($N607="","",IF(INDEX('Per Invoice'!$B$2:$B$801,$N607)="","",INDEX('Per Invoice'!$B$2:$B$801,$N607)))</f>
        <v/>
      </c>
      <c r="C607">
        <f>IF($N607="","",IF(INDEX('Per Invoice'!$C$2:$C$801,$N607)="","",INDEX('Per Invoice'!$C$2:$C$801,$N607)))</f>
        <v/>
      </c>
      <c r="D607">
        <f>IF($N607="","",IF(INDEX('Per Invoice'!$D$2:$D$801,$N607)="","",INDEX('Per Invoice'!$D$2:$D$801,$N607)))</f>
        <v/>
      </c>
      <c r="E607">
        <f>IF($N607="","",IF(INDEX('Per Invoice'!$E$2:$E$801,$N607)="","",INDEX('Per Invoice'!$E$2:$E$801,$N607)))</f>
        <v/>
      </c>
      <c r="F607">
        <f>IF($N607="","",IF(INDEX('Per Invoice'!$F$2:$F$801,$N607)="","",INDEX('Per Invoice'!$F$2:$F$801,$N607)))</f>
        <v/>
      </c>
      <c r="G607">
        <f>IF($N607="","",IF(INDEX('Per Invoice'!$G$2:$G$801,$N607)="","",INDEX('Per Invoice'!$G$2:$G$801,$N607)))</f>
        <v/>
      </c>
      <c r="H607">
        <f>IF($N607="","",IF(INDEX('Per Invoice'!$H$2:$H$801,$N607)="","",INDEX('Per Invoice'!$H$2:$H$801,$N607)))</f>
        <v/>
      </c>
      <c r="I607" s="5">
        <f>IF($N607="","",IF(INDEX('Per Invoice'!$I$2:$I$801,$N607)="","",INDEX('Per Invoice'!$I$2:$I$801,$N607)))</f>
        <v/>
      </c>
      <c r="J607" s="5">
        <f>IF($N607="","",IF(INDEX('Per Invoice'!$J$2:$J$801,$N607)="","",INDEX('Per Invoice'!$J$2:$J$801,$N607)))</f>
        <v/>
      </c>
      <c r="K607" s="5">
        <f>IF($N607="","",IF(INDEX('Per Invoice'!$K$2:$K$801,$N607)="","",INDEX('Per Invoice'!$K$2:$K$801,$N607)))</f>
        <v/>
      </c>
      <c r="L607" s="5">
        <f>IF($N607="","",IF(INDEX('Per Invoice'!$L$2:$L$801,$N607)="","",INDEX('Per Invoice'!$L$2:$L$801,$N607)))</f>
        <v/>
      </c>
      <c r="M607" s="5">
        <f>IF($N607="","",IF(INDEX('Per Invoice'!$M$2:$M$801,$N607)="","",INDEX('Per Invoice'!$M$2:$M$801,$N607)))</f>
        <v/>
      </c>
      <c r="N607">
        <f>IF(ROWS($N$2:$N607)&lt;=COUNT('Per Invoice'!$P$2:$P$801),MATCH(ROWS($N$2:$N607),'Per Invoice'!$P$2:$P$801,0),"")</f>
        <v/>
      </c>
    </row>
    <row r="608">
      <c r="A608">
        <f>IF($N608="","",IF(INDEX('Per Invoice'!$A$2:$A$801,$N608)="","",INDEX('Per Invoice'!$A$2:$A$801,$N608)))</f>
        <v/>
      </c>
      <c r="B608">
        <f>IF($N608="","",IF(INDEX('Per Invoice'!$B$2:$B$801,$N608)="","",INDEX('Per Invoice'!$B$2:$B$801,$N608)))</f>
        <v/>
      </c>
      <c r="C608">
        <f>IF($N608="","",IF(INDEX('Per Invoice'!$C$2:$C$801,$N608)="","",INDEX('Per Invoice'!$C$2:$C$801,$N608)))</f>
        <v/>
      </c>
      <c r="D608">
        <f>IF($N608="","",IF(INDEX('Per Invoice'!$D$2:$D$801,$N608)="","",INDEX('Per Invoice'!$D$2:$D$801,$N608)))</f>
        <v/>
      </c>
      <c r="E608">
        <f>IF($N608="","",IF(INDEX('Per Invoice'!$E$2:$E$801,$N608)="","",INDEX('Per Invoice'!$E$2:$E$801,$N608)))</f>
        <v/>
      </c>
      <c r="F608">
        <f>IF($N608="","",IF(INDEX('Per Invoice'!$F$2:$F$801,$N608)="","",INDEX('Per Invoice'!$F$2:$F$801,$N608)))</f>
        <v/>
      </c>
      <c r="G608">
        <f>IF($N608="","",IF(INDEX('Per Invoice'!$G$2:$G$801,$N608)="","",INDEX('Per Invoice'!$G$2:$G$801,$N608)))</f>
        <v/>
      </c>
      <c r="H608">
        <f>IF($N608="","",IF(INDEX('Per Invoice'!$H$2:$H$801,$N608)="","",INDEX('Per Invoice'!$H$2:$H$801,$N608)))</f>
        <v/>
      </c>
      <c r="I608" s="5">
        <f>IF($N608="","",IF(INDEX('Per Invoice'!$I$2:$I$801,$N608)="","",INDEX('Per Invoice'!$I$2:$I$801,$N608)))</f>
        <v/>
      </c>
      <c r="J608" s="5">
        <f>IF($N608="","",IF(INDEX('Per Invoice'!$J$2:$J$801,$N608)="","",INDEX('Per Invoice'!$J$2:$J$801,$N608)))</f>
        <v/>
      </c>
      <c r="K608" s="5">
        <f>IF($N608="","",IF(INDEX('Per Invoice'!$K$2:$K$801,$N608)="","",INDEX('Per Invoice'!$K$2:$K$801,$N608)))</f>
        <v/>
      </c>
      <c r="L608" s="5">
        <f>IF($N608="","",IF(INDEX('Per Invoice'!$L$2:$L$801,$N608)="","",INDEX('Per Invoice'!$L$2:$L$801,$N608)))</f>
        <v/>
      </c>
      <c r="M608" s="5">
        <f>IF($N608="","",IF(INDEX('Per Invoice'!$M$2:$M$801,$N608)="","",INDEX('Per Invoice'!$M$2:$M$801,$N608)))</f>
        <v/>
      </c>
      <c r="N608">
        <f>IF(ROWS($N$2:$N608)&lt;=COUNT('Per Invoice'!$P$2:$P$801),MATCH(ROWS($N$2:$N608),'Per Invoice'!$P$2:$P$801,0),"")</f>
        <v/>
      </c>
    </row>
    <row r="609">
      <c r="A609">
        <f>IF($N609="","",IF(INDEX('Per Invoice'!$A$2:$A$801,$N609)="","",INDEX('Per Invoice'!$A$2:$A$801,$N609)))</f>
        <v/>
      </c>
      <c r="B609">
        <f>IF($N609="","",IF(INDEX('Per Invoice'!$B$2:$B$801,$N609)="","",INDEX('Per Invoice'!$B$2:$B$801,$N609)))</f>
        <v/>
      </c>
      <c r="C609">
        <f>IF($N609="","",IF(INDEX('Per Invoice'!$C$2:$C$801,$N609)="","",INDEX('Per Invoice'!$C$2:$C$801,$N609)))</f>
        <v/>
      </c>
      <c r="D609">
        <f>IF($N609="","",IF(INDEX('Per Invoice'!$D$2:$D$801,$N609)="","",INDEX('Per Invoice'!$D$2:$D$801,$N609)))</f>
        <v/>
      </c>
      <c r="E609">
        <f>IF($N609="","",IF(INDEX('Per Invoice'!$E$2:$E$801,$N609)="","",INDEX('Per Invoice'!$E$2:$E$801,$N609)))</f>
        <v/>
      </c>
      <c r="F609">
        <f>IF($N609="","",IF(INDEX('Per Invoice'!$F$2:$F$801,$N609)="","",INDEX('Per Invoice'!$F$2:$F$801,$N609)))</f>
        <v/>
      </c>
      <c r="G609">
        <f>IF($N609="","",IF(INDEX('Per Invoice'!$G$2:$G$801,$N609)="","",INDEX('Per Invoice'!$G$2:$G$801,$N609)))</f>
        <v/>
      </c>
      <c r="H609">
        <f>IF($N609="","",IF(INDEX('Per Invoice'!$H$2:$H$801,$N609)="","",INDEX('Per Invoice'!$H$2:$H$801,$N609)))</f>
        <v/>
      </c>
      <c r="I609" s="5">
        <f>IF($N609="","",IF(INDEX('Per Invoice'!$I$2:$I$801,$N609)="","",INDEX('Per Invoice'!$I$2:$I$801,$N609)))</f>
        <v/>
      </c>
      <c r="J609" s="5">
        <f>IF($N609="","",IF(INDEX('Per Invoice'!$J$2:$J$801,$N609)="","",INDEX('Per Invoice'!$J$2:$J$801,$N609)))</f>
        <v/>
      </c>
      <c r="K609" s="5">
        <f>IF($N609="","",IF(INDEX('Per Invoice'!$K$2:$K$801,$N609)="","",INDEX('Per Invoice'!$K$2:$K$801,$N609)))</f>
        <v/>
      </c>
      <c r="L609" s="5">
        <f>IF($N609="","",IF(INDEX('Per Invoice'!$L$2:$L$801,$N609)="","",INDEX('Per Invoice'!$L$2:$L$801,$N609)))</f>
        <v/>
      </c>
      <c r="M609" s="5">
        <f>IF($N609="","",IF(INDEX('Per Invoice'!$M$2:$M$801,$N609)="","",INDEX('Per Invoice'!$M$2:$M$801,$N609)))</f>
        <v/>
      </c>
      <c r="N609">
        <f>IF(ROWS($N$2:$N609)&lt;=COUNT('Per Invoice'!$P$2:$P$801),MATCH(ROWS($N$2:$N609),'Per Invoice'!$P$2:$P$801,0),"")</f>
        <v/>
      </c>
    </row>
    <row r="610">
      <c r="A610">
        <f>IF($N610="","",IF(INDEX('Per Invoice'!$A$2:$A$801,$N610)="","",INDEX('Per Invoice'!$A$2:$A$801,$N610)))</f>
        <v/>
      </c>
      <c r="B610">
        <f>IF($N610="","",IF(INDEX('Per Invoice'!$B$2:$B$801,$N610)="","",INDEX('Per Invoice'!$B$2:$B$801,$N610)))</f>
        <v/>
      </c>
      <c r="C610">
        <f>IF($N610="","",IF(INDEX('Per Invoice'!$C$2:$C$801,$N610)="","",INDEX('Per Invoice'!$C$2:$C$801,$N610)))</f>
        <v/>
      </c>
      <c r="D610">
        <f>IF($N610="","",IF(INDEX('Per Invoice'!$D$2:$D$801,$N610)="","",INDEX('Per Invoice'!$D$2:$D$801,$N610)))</f>
        <v/>
      </c>
      <c r="E610">
        <f>IF($N610="","",IF(INDEX('Per Invoice'!$E$2:$E$801,$N610)="","",INDEX('Per Invoice'!$E$2:$E$801,$N610)))</f>
        <v/>
      </c>
      <c r="F610">
        <f>IF($N610="","",IF(INDEX('Per Invoice'!$F$2:$F$801,$N610)="","",INDEX('Per Invoice'!$F$2:$F$801,$N610)))</f>
        <v/>
      </c>
      <c r="G610">
        <f>IF($N610="","",IF(INDEX('Per Invoice'!$G$2:$G$801,$N610)="","",INDEX('Per Invoice'!$G$2:$G$801,$N610)))</f>
        <v/>
      </c>
      <c r="H610">
        <f>IF($N610="","",IF(INDEX('Per Invoice'!$H$2:$H$801,$N610)="","",INDEX('Per Invoice'!$H$2:$H$801,$N610)))</f>
        <v/>
      </c>
      <c r="I610" s="5">
        <f>IF($N610="","",IF(INDEX('Per Invoice'!$I$2:$I$801,$N610)="","",INDEX('Per Invoice'!$I$2:$I$801,$N610)))</f>
        <v/>
      </c>
      <c r="J610" s="5">
        <f>IF($N610="","",IF(INDEX('Per Invoice'!$J$2:$J$801,$N610)="","",INDEX('Per Invoice'!$J$2:$J$801,$N610)))</f>
        <v/>
      </c>
      <c r="K610" s="5">
        <f>IF($N610="","",IF(INDEX('Per Invoice'!$K$2:$K$801,$N610)="","",INDEX('Per Invoice'!$K$2:$K$801,$N610)))</f>
        <v/>
      </c>
      <c r="L610" s="5">
        <f>IF($N610="","",IF(INDEX('Per Invoice'!$L$2:$L$801,$N610)="","",INDEX('Per Invoice'!$L$2:$L$801,$N610)))</f>
        <v/>
      </c>
      <c r="M610" s="5">
        <f>IF($N610="","",IF(INDEX('Per Invoice'!$M$2:$M$801,$N610)="","",INDEX('Per Invoice'!$M$2:$M$801,$N610)))</f>
        <v/>
      </c>
      <c r="N610">
        <f>IF(ROWS($N$2:$N610)&lt;=COUNT('Per Invoice'!$P$2:$P$801),MATCH(ROWS($N$2:$N610),'Per Invoice'!$P$2:$P$801,0),"")</f>
        <v/>
      </c>
    </row>
    <row r="611">
      <c r="A611">
        <f>IF($N611="","",IF(INDEX('Per Invoice'!$A$2:$A$801,$N611)="","",INDEX('Per Invoice'!$A$2:$A$801,$N611)))</f>
        <v/>
      </c>
      <c r="B611">
        <f>IF($N611="","",IF(INDEX('Per Invoice'!$B$2:$B$801,$N611)="","",INDEX('Per Invoice'!$B$2:$B$801,$N611)))</f>
        <v/>
      </c>
      <c r="C611">
        <f>IF($N611="","",IF(INDEX('Per Invoice'!$C$2:$C$801,$N611)="","",INDEX('Per Invoice'!$C$2:$C$801,$N611)))</f>
        <v/>
      </c>
      <c r="D611">
        <f>IF($N611="","",IF(INDEX('Per Invoice'!$D$2:$D$801,$N611)="","",INDEX('Per Invoice'!$D$2:$D$801,$N611)))</f>
        <v/>
      </c>
      <c r="E611">
        <f>IF($N611="","",IF(INDEX('Per Invoice'!$E$2:$E$801,$N611)="","",INDEX('Per Invoice'!$E$2:$E$801,$N611)))</f>
        <v/>
      </c>
      <c r="F611">
        <f>IF($N611="","",IF(INDEX('Per Invoice'!$F$2:$F$801,$N611)="","",INDEX('Per Invoice'!$F$2:$F$801,$N611)))</f>
        <v/>
      </c>
      <c r="G611">
        <f>IF($N611="","",IF(INDEX('Per Invoice'!$G$2:$G$801,$N611)="","",INDEX('Per Invoice'!$G$2:$G$801,$N611)))</f>
        <v/>
      </c>
      <c r="H611">
        <f>IF($N611="","",IF(INDEX('Per Invoice'!$H$2:$H$801,$N611)="","",INDEX('Per Invoice'!$H$2:$H$801,$N611)))</f>
        <v/>
      </c>
      <c r="I611" s="5">
        <f>IF($N611="","",IF(INDEX('Per Invoice'!$I$2:$I$801,$N611)="","",INDEX('Per Invoice'!$I$2:$I$801,$N611)))</f>
        <v/>
      </c>
      <c r="J611" s="5">
        <f>IF($N611="","",IF(INDEX('Per Invoice'!$J$2:$J$801,$N611)="","",INDEX('Per Invoice'!$J$2:$J$801,$N611)))</f>
        <v/>
      </c>
      <c r="K611" s="5">
        <f>IF($N611="","",IF(INDEX('Per Invoice'!$K$2:$K$801,$N611)="","",INDEX('Per Invoice'!$K$2:$K$801,$N611)))</f>
        <v/>
      </c>
      <c r="L611" s="5">
        <f>IF($N611="","",IF(INDEX('Per Invoice'!$L$2:$L$801,$N611)="","",INDEX('Per Invoice'!$L$2:$L$801,$N611)))</f>
        <v/>
      </c>
      <c r="M611" s="5">
        <f>IF($N611="","",IF(INDEX('Per Invoice'!$M$2:$M$801,$N611)="","",INDEX('Per Invoice'!$M$2:$M$801,$N611)))</f>
        <v/>
      </c>
      <c r="N611">
        <f>IF(ROWS($N$2:$N611)&lt;=COUNT('Per Invoice'!$P$2:$P$801),MATCH(ROWS($N$2:$N611),'Per Invoice'!$P$2:$P$801,0),"")</f>
        <v/>
      </c>
    </row>
    <row r="612">
      <c r="A612">
        <f>IF($N612="","",IF(INDEX('Per Invoice'!$A$2:$A$801,$N612)="","",INDEX('Per Invoice'!$A$2:$A$801,$N612)))</f>
        <v/>
      </c>
      <c r="B612">
        <f>IF($N612="","",IF(INDEX('Per Invoice'!$B$2:$B$801,$N612)="","",INDEX('Per Invoice'!$B$2:$B$801,$N612)))</f>
        <v/>
      </c>
      <c r="C612">
        <f>IF($N612="","",IF(INDEX('Per Invoice'!$C$2:$C$801,$N612)="","",INDEX('Per Invoice'!$C$2:$C$801,$N612)))</f>
        <v/>
      </c>
      <c r="D612">
        <f>IF($N612="","",IF(INDEX('Per Invoice'!$D$2:$D$801,$N612)="","",INDEX('Per Invoice'!$D$2:$D$801,$N612)))</f>
        <v/>
      </c>
      <c r="E612">
        <f>IF($N612="","",IF(INDEX('Per Invoice'!$E$2:$E$801,$N612)="","",INDEX('Per Invoice'!$E$2:$E$801,$N612)))</f>
        <v/>
      </c>
      <c r="F612">
        <f>IF($N612="","",IF(INDEX('Per Invoice'!$F$2:$F$801,$N612)="","",INDEX('Per Invoice'!$F$2:$F$801,$N612)))</f>
        <v/>
      </c>
      <c r="G612">
        <f>IF($N612="","",IF(INDEX('Per Invoice'!$G$2:$G$801,$N612)="","",INDEX('Per Invoice'!$G$2:$G$801,$N612)))</f>
        <v/>
      </c>
      <c r="H612">
        <f>IF($N612="","",IF(INDEX('Per Invoice'!$H$2:$H$801,$N612)="","",INDEX('Per Invoice'!$H$2:$H$801,$N612)))</f>
        <v/>
      </c>
      <c r="I612" s="5">
        <f>IF($N612="","",IF(INDEX('Per Invoice'!$I$2:$I$801,$N612)="","",INDEX('Per Invoice'!$I$2:$I$801,$N612)))</f>
        <v/>
      </c>
      <c r="J612" s="5">
        <f>IF($N612="","",IF(INDEX('Per Invoice'!$J$2:$J$801,$N612)="","",INDEX('Per Invoice'!$J$2:$J$801,$N612)))</f>
        <v/>
      </c>
      <c r="K612" s="5">
        <f>IF($N612="","",IF(INDEX('Per Invoice'!$K$2:$K$801,$N612)="","",INDEX('Per Invoice'!$K$2:$K$801,$N612)))</f>
        <v/>
      </c>
      <c r="L612" s="5">
        <f>IF($N612="","",IF(INDEX('Per Invoice'!$L$2:$L$801,$N612)="","",INDEX('Per Invoice'!$L$2:$L$801,$N612)))</f>
        <v/>
      </c>
      <c r="M612" s="5">
        <f>IF($N612="","",IF(INDEX('Per Invoice'!$M$2:$M$801,$N612)="","",INDEX('Per Invoice'!$M$2:$M$801,$N612)))</f>
        <v/>
      </c>
      <c r="N612">
        <f>IF(ROWS($N$2:$N612)&lt;=COUNT('Per Invoice'!$P$2:$P$801),MATCH(ROWS($N$2:$N612),'Per Invoice'!$P$2:$P$801,0),"")</f>
        <v/>
      </c>
    </row>
    <row r="613">
      <c r="A613">
        <f>IF($N613="","",IF(INDEX('Per Invoice'!$A$2:$A$801,$N613)="","",INDEX('Per Invoice'!$A$2:$A$801,$N613)))</f>
        <v/>
      </c>
      <c r="B613">
        <f>IF($N613="","",IF(INDEX('Per Invoice'!$B$2:$B$801,$N613)="","",INDEX('Per Invoice'!$B$2:$B$801,$N613)))</f>
        <v/>
      </c>
      <c r="C613">
        <f>IF($N613="","",IF(INDEX('Per Invoice'!$C$2:$C$801,$N613)="","",INDEX('Per Invoice'!$C$2:$C$801,$N613)))</f>
        <v/>
      </c>
      <c r="D613">
        <f>IF($N613="","",IF(INDEX('Per Invoice'!$D$2:$D$801,$N613)="","",INDEX('Per Invoice'!$D$2:$D$801,$N613)))</f>
        <v/>
      </c>
      <c r="E613">
        <f>IF($N613="","",IF(INDEX('Per Invoice'!$E$2:$E$801,$N613)="","",INDEX('Per Invoice'!$E$2:$E$801,$N613)))</f>
        <v/>
      </c>
      <c r="F613">
        <f>IF($N613="","",IF(INDEX('Per Invoice'!$F$2:$F$801,$N613)="","",INDEX('Per Invoice'!$F$2:$F$801,$N613)))</f>
        <v/>
      </c>
      <c r="G613">
        <f>IF($N613="","",IF(INDEX('Per Invoice'!$G$2:$G$801,$N613)="","",INDEX('Per Invoice'!$G$2:$G$801,$N613)))</f>
        <v/>
      </c>
      <c r="H613">
        <f>IF($N613="","",IF(INDEX('Per Invoice'!$H$2:$H$801,$N613)="","",INDEX('Per Invoice'!$H$2:$H$801,$N613)))</f>
        <v/>
      </c>
      <c r="I613" s="5">
        <f>IF($N613="","",IF(INDEX('Per Invoice'!$I$2:$I$801,$N613)="","",INDEX('Per Invoice'!$I$2:$I$801,$N613)))</f>
        <v/>
      </c>
      <c r="J613" s="5">
        <f>IF($N613="","",IF(INDEX('Per Invoice'!$J$2:$J$801,$N613)="","",INDEX('Per Invoice'!$J$2:$J$801,$N613)))</f>
        <v/>
      </c>
      <c r="K613" s="5">
        <f>IF($N613="","",IF(INDEX('Per Invoice'!$K$2:$K$801,$N613)="","",INDEX('Per Invoice'!$K$2:$K$801,$N613)))</f>
        <v/>
      </c>
      <c r="L613" s="5">
        <f>IF($N613="","",IF(INDEX('Per Invoice'!$L$2:$L$801,$N613)="","",INDEX('Per Invoice'!$L$2:$L$801,$N613)))</f>
        <v/>
      </c>
      <c r="M613" s="5">
        <f>IF($N613="","",IF(INDEX('Per Invoice'!$M$2:$M$801,$N613)="","",INDEX('Per Invoice'!$M$2:$M$801,$N613)))</f>
        <v/>
      </c>
      <c r="N613">
        <f>IF(ROWS($N$2:$N613)&lt;=COUNT('Per Invoice'!$P$2:$P$801),MATCH(ROWS($N$2:$N613),'Per Invoice'!$P$2:$P$801,0),"")</f>
        <v/>
      </c>
    </row>
    <row r="614">
      <c r="A614">
        <f>IF($N614="","",IF(INDEX('Per Invoice'!$A$2:$A$801,$N614)="","",INDEX('Per Invoice'!$A$2:$A$801,$N614)))</f>
        <v/>
      </c>
      <c r="B614">
        <f>IF($N614="","",IF(INDEX('Per Invoice'!$B$2:$B$801,$N614)="","",INDEX('Per Invoice'!$B$2:$B$801,$N614)))</f>
        <v/>
      </c>
      <c r="C614">
        <f>IF($N614="","",IF(INDEX('Per Invoice'!$C$2:$C$801,$N614)="","",INDEX('Per Invoice'!$C$2:$C$801,$N614)))</f>
        <v/>
      </c>
      <c r="D614">
        <f>IF($N614="","",IF(INDEX('Per Invoice'!$D$2:$D$801,$N614)="","",INDEX('Per Invoice'!$D$2:$D$801,$N614)))</f>
        <v/>
      </c>
      <c r="E614">
        <f>IF($N614="","",IF(INDEX('Per Invoice'!$E$2:$E$801,$N614)="","",INDEX('Per Invoice'!$E$2:$E$801,$N614)))</f>
        <v/>
      </c>
      <c r="F614">
        <f>IF($N614="","",IF(INDEX('Per Invoice'!$F$2:$F$801,$N614)="","",INDEX('Per Invoice'!$F$2:$F$801,$N614)))</f>
        <v/>
      </c>
      <c r="G614">
        <f>IF($N614="","",IF(INDEX('Per Invoice'!$G$2:$G$801,$N614)="","",INDEX('Per Invoice'!$G$2:$G$801,$N614)))</f>
        <v/>
      </c>
      <c r="H614">
        <f>IF($N614="","",IF(INDEX('Per Invoice'!$H$2:$H$801,$N614)="","",INDEX('Per Invoice'!$H$2:$H$801,$N614)))</f>
        <v/>
      </c>
      <c r="I614" s="5">
        <f>IF($N614="","",IF(INDEX('Per Invoice'!$I$2:$I$801,$N614)="","",INDEX('Per Invoice'!$I$2:$I$801,$N614)))</f>
        <v/>
      </c>
      <c r="J614" s="5">
        <f>IF($N614="","",IF(INDEX('Per Invoice'!$J$2:$J$801,$N614)="","",INDEX('Per Invoice'!$J$2:$J$801,$N614)))</f>
        <v/>
      </c>
      <c r="K614" s="5">
        <f>IF($N614="","",IF(INDEX('Per Invoice'!$K$2:$K$801,$N614)="","",INDEX('Per Invoice'!$K$2:$K$801,$N614)))</f>
        <v/>
      </c>
      <c r="L614" s="5">
        <f>IF($N614="","",IF(INDEX('Per Invoice'!$L$2:$L$801,$N614)="","",INDEX('Per Invoice'!$L$2:$L$801,$N614)))</f>
        <v/>
      </c>
      <c r="M614" s="5">
        <f>IF($N614="","",IF(INDEX('Per Invoice'!$M$2:$M$801,$N614)="","",INDEX('Per Invoice'!$M$2:$M$801,$N614)))</f>
        <v/>
      </c>
      <c r="N614">
        <f>IF(ROWS($N$2:$N614)&lt;=COUNT('Per Invoice'!$P$2:$P$801),MATCH(ROWS($N$2:$N614),'Per Invoice'!$P$2:$P$801,0),"")</f>
        <v/>
      </c>
    </row>
    <row r="615">
      <c r="A615">
        <f>IF($N615="","",IF(INDEX('Per Invoice'!$A$2:$A$801,$N615)="","",INDEX('Per Invoice'!$A$2:$A$801,$N615)))</f>
        <v/>
      </c>
      <c r="B615">
        <f>IF($N615="","",IF(INDEX('Per Invoice'!$B$2:$B$801,$N615)="","",INDEX('Per Invoice'!$B$2:$B$801,$N615)))</f>
        <v/>
      </c>
      <c r="C615">
        <f>IF($N615="","",IF(INDEX('Per Invoice'!$C$2:$C$801,$N615)="","",INDEX('Per Invoice'!$C$2:$C$801,$N615)))</f>
        <v/>
      </c>
      <c r="D615">
        <f>IF($N615="","",IF(INDEX('Per Invoice'!$D$2:$D$801,$N615)="","",INDEX('Per Invoice'!$D$2:$D$801,$N615)))</f>
        <v/>
      </c>
      <c r="E615">
        <f>IF($N615="","",IF(INDEX('Per Invoice'!$E$2:$E$801,$N615)="","",INDEX('Per Invoice'!$E$2:$E$801,$N615)))</f>
        <v/>
      </c>
      <c r="F615">
        <f>IF($N615="","",IF(INDEX('Per Invoice'!$F$2:$F$801,$N615)="","",INDEX('Per Invoice'!$F$2:$F$801,$N615)))</f>
        <v/>
      </c>
      <c r="G615">
        <f>IF($N615="","",IF(INDEX('Per Invoice'!$G$2:$G$801,$N615)="","",INDEX('Per Invoice'!$G$2:$G$801,$N615)))</f>
        <v/>
      </c>
      <c r="H615">
        <f>IF($N615="","",IF(INDEX('Per Invoice'!$H$2:$H$801,$N615)="","",INDEX('Per Invoice'!$H$2:$H$801,$N615)))</f>
        <v/>
      </c>
      <c r="I615" s="5">
        <f>IF($N615="","",IF(INDEX('Per Invoice'!$I$2:$I$801,$N615)="","",INDEX('Per Invoice'!$I$2:$I$801,$N615)))</f>
        <v/>
      </c>
      <c r="J615" s="5">
        <f>IF($N615="","",IF(INDEX('Per Invoice'!$J$2:$J$801,$N615)="","",INDEX('Per Invoice'!$J$2:$J$801,$N615)))</f>
        <v/>
      </c>
      <c r="K615" s="5">
        <f>IF($N615="","",IF(INDEX('Per Invoice'!$K$2:$K$801,$N615)="","",INDEX('Per Invoice'!$K$2:$K$801,$N615)))</f>
        <v/>
      </c>
      <c r="L615" s="5">
        <f>IF($N615="","",IF(INDEX('Per Invoice'!$L$2:$L$801,$N615)="","",INDEX('Per Invoice'!$L$2:$L$801,$N615)))</f>
        <v/>
      </c>
      <c r="M615" s="5">
        <f>IF($N615="","",IF(INDEX('Per Invoice'!$M$2:$M$801,$N615)="","",INDEX('Per Invoice'!$M$2:$M$801,$N615)))</f>
        <v/>
      </c>
      <c r="N615">
        <f>IF(ROWS($N$2:$N615)&lt;=COUNT('Per Invoice'!$P$2:$P$801),MATCH(ROWS($N$2:$N615),'Per Invoice'!$P$2:$P$801,0),"")</f>
        <v/>
      </c>
    </row>
    <row r="616">
      <c r="A616">
        <f>IF($N616="","",IF(INDEX('Per Invoice'!$A$2:$A$801,$N616)="","",INDEX('Per Invoice'!$A$2:$A$801,$N616)))</f>
        <v/>
      </c>
      <c r="B616">
        <f>IF($N616="","",IF(INDEX('Per Invoice'!$B$2:$B$801,$N616)="","",INDEX('Per Invoice'!$B$2:$B$801,$N616)))</f>
        <v/>
      </c>
      <c r="C616">
        <f>IF($N616="","",IF(INDEX('Per Invoice'!$C$2:$C$801,$N616)="","",INDEX('Per Invoice'!$C$2:$C$801,$N616)))</f>
        <v/>
      </c>
      <c r="D616">
        <f>IF($N616="","",IF(INDEX('Per Invoice'!$D$2:$D$801,$N616)="","",INDEX('Per Invoice'!$D$2:$D$801,$N616)))</f>
        <v/>
      </c>
      <c r="E616">
        <f>IF($N616="","",IF(INDEX('Per Invoice'!$E$2:$E$801,$N616)="","",INDEX('Per Invoice'!$E$2:$E$801,$N616)))</f>
        <v/>
      </c>
      <c r="F616">
        <f>IF($N616="","",IF(INDEX('Per Invoice'!$F$2:$F$801,$N616)="","",INDEX('Per Invoice'!$F$2:$F$801,$N616)))</f>
        <v/>
      </c>
      <c r="G616">
        <f>IF($N616="","",IF(INDEX('Per Invoice'!$G$2:$G$801,$N616)="","",INDEX('Per Invoice'!$G$2:$G$801,$N616)))</f>
        <v/>
      </c>
      <c r="H616">
        <f>IF($N616="","",IF(INDEX('Per Invoice'!$H$2:$H$801,$N616)="","",INDEX('Per Invoice'!$H$2:$H$801,$N616)))</f>
        <v/>
      </c>
      <c r="I616" s="5">
        <f>IF($N616="","",IF(INDEX('Per Invoice'!$I$2:$I$801,$N616)="","",INDEX('Per Invoice'!$I$2:$I$801,$N616)))</f>
        <v/>
      </c>
      <c r="J616" s="5">
        <f>IF($N616="","",IF(INDEX('Per Invoice'!$J$2:$J$801,$N616)="","",INDEX('Per Invoice'!$J$2:$J$801,$N616)))</f>
        <v/>
      </c>
      <c r="K616" s="5">
        <f>IF($N616="","",IF(INDEX('Per Invoice'!$K$2:$K$801,$N616)="","",INDEX('Per Invoice'!$K$2:$K$801,$N616)))</f>
        <v/>
      </c>
      <c r="L616" s="5">
        <f>IF($N616="","",IF(INDEX('Per Invoice'!$L$2:$L$801,$N616)="","",INDEX('Per Invoice'!$L$2:$L$801,$N616)))</f>
        <v/>
      </c>
      <c r="M616" s="5">
        <f>IF($N616="","",IF(INDEX('Per Invoice'!$M$2:$M$801,$N616)="","",INDEX('Per Invoice'!$M$2:$M$801,$N616)))</f>
        <v/>
      </c>
      <c r="N616">
        <f>IF(ROWS($N$2:$N616)&lt;=COUNT('Per Invoice'!$P$2:$P$801),MATCH(ROWS($N$2:$N616),'Per Invoice'!$P$2:$P$801,0),"")</f>
        <v/>
      </c>
    </row>
    <row r="617">
      <c r="A617">
        <f>IF($N617="","",IF(INDEX('Per Invoice'!$A$2:$A$801,$N617)="","",INDEX('Per Invoice'!$A$2:$A$801,$N617)))</f>
        <v/>
      </c>
      <c r="B617">
        <f>IF($N617="","",IF(INDEX('Per Invoice'!$B$2:$B$801,$N617)="","",INDEX('Per Invoice'!$B$2:$B$801,$N617)))</f>
        <v/>
      </c>
      <c r="C617">
        <f>IF($N617="","",IF(INDEX('Per Invoice'!$C$2:$C$801,$N617)="","",INDEX('Per Invoice'!$C$2:$C$801,$N617)))</f>
        <v/>
      </c>
      <c r="D617">
        <f>IF($N617="","",IF(INDEX('Per Invoice'!$D$2:$D$801,$N617)="","",INDEX('Per Invoice'!$D$2:$D$801,$N617)))</f>
        <v/>
      </c>
      <c r="E617">
        <f>IF($N617="","",IF(INDEX('Per Invoice'!$E$2:$E$801,$N617)="","",INDEX('Per Invoice'!$E$2:$E$801,$N617)))</f>
        <v/>
      </c>
      <c r="F617">
        <f>IF($N617="","",IF(INDEX('Per Invoice'!$F$2:$F$801,$N617)="","",INDEX('Per Invoice'!$F$2:$F$801,$N617)))</f>
        <v/>
      </c>
      <c r="G617">
        <f>IF($N617="","",IF(INDEX('Per Invoice'!$G$2:$G$801,$N617)="","",INDEX('Per Invoice'!$G$2:$G$801,$N617)))</f>
        <v/>
      </c>
      <c r="H617">
        <f>IF($N617="","",IF(INDEX('Per Invoice'!$H$2:$H$801,$N617)="","",INDEX('Per Invoice'!$H$2:$H$801,$N617)))</f>
        <v/>
      </c>
      <c r="I617" s="5">
        <f>IF($N617="","",IF(INDEX('Per Invoice'!$I$2:$I$801,$N617)="","",INDEX('Per Invoice'!$I$2:$I$801,$N617)))</f>
        <v/>
      </c>
      <c r="J617" s="5">
        <f>IF($N617="","",IF(INDEX('Per Invoice'!$J$2:$J$801,$N617)="","",INDEX('Per Invoice'!$J$2:$J$801,$N617)))</f>
        <v/>
      </c>
      <c r="K617" s="5">
        <f>IF($N617="","",IF(INDEX('Per Invoice'!$K$2:$K$801,$N617)="","",INDEX('Per Invoice'!$K$2:$K$801,$N617)))</f>
        <v/>
      </c>
      <c r="L617" s="5">
        <f>IF($N617="","",IF(INDEX('Per Invoice'!$L$2:$L$801,$N617)="","",INDEX('Per Invoice'!$L$2:$L$801,$N617)))</f>
        <v/>
      </c>
      <c r="M617" s="5">
        <f>IF($N617="","",IF(INDEX('Per Invoice'!$M$2:$M$801,$N617)="","",INDEX('Per Invoice'!$M$2:$M$801,$N617)))</f>
        <v/>
      </c>
      <c r="N617">
        <f>IF(ROWS($N$2:$N617)&lt;=COUNT('Per Invoice'!$P$2:$P$801),MATCH(ROWS($N$2:$N617),'Per Invoice'!$P$2:$P$801,0),"")</f>
        <v/>
      </c>
    </row>
    <row r="618">
      <c r="A618">
        <f>IF($N618="","",IF(INDEX('Per Invoice'!$A$2:$A$801,$N618)="","",INDEX('Per Invoice'!$A$2:$A$801,$N618)))</f>
        <v/>
      </c>
      <c r="B618">
        <f>IF($N618="","",IF(INDEX('Per Invoice'!$B$2:$B$801,$N618)="","",INDEX('Per Invoice'!$B$2:$B$801,$N618)))</f>
        <v/>
      </c>
      <c r="C618">
        <f>IF($N618="","",IF(INDEX('Per Invoice'!$C$2:$C$801,$N618)="","",INDEX('Per Invoice'!$C$2:$C$801,$N618)))</f>
        <v/>
      </c>
      <c r="D618">
        <f>IF($N618="","",IF(INDEX('Per Invoice'!$D$2:$D$801,$N618)="","",INDEX('Per Invoice'!$D$2:$D$801,$N618)))</f>
        <v/>
      </c>
      <c r="E618">
        <f>IF($N618="","",IF(INDEX('Per Invoice'!$E$2:$E$801,$N618)="","",INDEX('Per Invoice'!$E$2:$E$801,$N618)))</f>
        <v/>
      </c>
      <c r="F618">
        <f>IF($N618="","",IF(INDEX('Per Invoice'!$F$2:$F$801,$N618)="","",INDEX('Per Invoice'!$F$2:$F$801,$N618)))</f>
        <v/>
      </c>
      <c r="G618">
        <f>IF($N618="","",IF(INDEX('Per Invoice'!$G$2:$G$801,$N618)="","",INDEX('Per Invoice'!$G$2:$G$801,$N618)))</f>
        <v/>
      </c>
      <c r="H618">
        <f>IF($N618="","",IF(INDEX('Per Invoice'!$H$2:$H$801,$N618)="","",INDEX('Per Invoice'!$H$2:$H$801,$N618)))</f>
        <v/>
      </c>
      <c r="I618" s="5">
        <f>IF($N618="","",IF(INDEX('Per Invoice'!$I$2:$I$801,$N618)="","",INDEX('Per Invoice'!$I$2:$I$801,$N618)))</f>
        <v/>
      </c>
      <c r="J618" s="5">
        <f>IF($N618="","",IF(INDEX('Per Invoice'!$J$2:$J$801,$N618)="","",INDEX('Per Invoice'!$J$2:$J$801,$N618)))</f>
        <v/>
      </c>
      <c r="K618" s="5">
        <f>IF($N618="","",IF(INDEX('Per Invoice'!$K$2:$K$801,$N618)="","",INDEX('Per Invoice'!$K$2:$K$801,$N618)))</f>
        <v/>
      </c>
      <c r="L618" s="5">
        <f>IF($N618="","",IF(INDEX('Per Invoice'!$L$2:$L$801,$N618)="","",INDEX('Per Invoice'!$L$2:$L$801,$N618)))</f>
        <v/>
      </c>
      <c r="M618" s="5">
        <f>IF($N618="","",IF(INDEX('Per Invoice'!$M$2:$M$801,$N618)="","",INDEX('Per Invoice'!$M$2:$M$801,$N618)))</f>
        <v/>
      </c>
      <c r="N618">
        <f>IF(ROWS($N$2:$N618)&lt;=COUNT('Per Invoice'!$P$2:$P$801),MATCH(ROWS($N$2:$N618),'Per Invoice'!$P$2:$P$801,0),"")</f>
        <v/>
      </c>
    </row>
    <row r="619">
      <c r="A619">
        <f>IF($N619="","",IF(INDEX('Per Invoice'!$A$2:$A$801,$N619)="","",INDEX('Per Invoice'!$A$2:$A$801,$N619)))</f>
        <v/>
      </c>
      <c r="B619">
        <f>IF($N619="","",IF(INDEX('Per Invoice'!$B$2:$B$801,$N619)="","",INDEX('Per Invoice'!$B$2:$B$801,$N619)))</f>
        <v/>
      </c>
      <c r="C619">
        <f>IF($N619="","",IF(INDEX('Per Invoice'!$C$2:$C$801,$N619)="","",INDEX('Per Invoice'!$C$2:$C$801,$N619)))</f>
        <v/>
      </c>
      <c r="D619">
        <f>IF($N619="","",IF(INDEX('Per Invoice'!$D$2:$D$801,$N619)="","",INDEX('Per Invoice'!$D$2:$D$801,$N619)))</f>
        <v/>
      </c>
      <c r="E619">
        <f>IF($N619="","",IF(INDEX('Per Invoice'!$E$2:$E$801,$N619)="","",INDEX('Per Invoice'!$E$2:$E$801,$N619)))</f>
        <v/>
      </c>
      <c r="F619">
        <f>IF($N619="","",IF(INDEX('Per Invoice'!$F$2:$F$801,$N619)="","",INDEX('Per Invoice'!$F$2:$F$801,$N619)))</f>
        <v/>
      </c>
      <c r="G619">
        <f>IF($N619="","",IF(INDEX('Per Invoice'!$G$2:$G$801,$N619)="","",INDEX('Per Invoice'!$G$2:$G$801,$N619)))</f>
        <v/>
      </c>
      <c r="H619">
        <f>IF($N619="","",IF(INDEX('Per Invoice'!$H$2:$H$801,$N619)="","",INDEX('Per Invoice'!$H$2:$H$801,$N619)))</f>
        <v/>
      </c>
      <c r="I619" s="5">
        <f>IF($N619="","",IF(INDEX('Per Invoice'!$I$2:$I$801,$N619)="","",INDEX('Per Invoice'!$I$2:$I$801,$N619)))</f>
        <v/>
      </c>
      <c r="J619" s="5">
        <f>IF($N619="","",IF(INDEX('Per Invoice'!$J$2:$J$801,$N619)="","",INDEX('Per Invoice'!$J$2:$J$801,$N619)))</f>
        <v/>
      </c>
      <c r="K619" s="5">
        <f>IF($N619="","",IF(INDEX('Per Invoice'!$K$2:$K$801,$N619)="","",INDEX('Per Invoice'!$K$2:$K$801,$N619)))</f>
        <v/>
      </c>
      <c r="L619" s="5">
        <f>IF($N619="","",IF(INDEX('Per Invoice'!$L$2:$L$801,$N619)="","",INDEX('Per Invoice'!$L$2:$L$801,$N619)))</f>
        <v/>
      </c>
      <c r="M619" s="5">
        <f>IF($N619="","",IF(INDEX('Per Invoice'!$M$2:$M$801,$N619)="","",INDEX('Per Invoice'!$M$2:$M$801,$N619)))</f>
        <v/>
      </c>
      <c r="N619">
        <f>IF(ROWS($N$2:$N619)&lt;=COUNT('Per Invoice'!$P$2:$P$801),MATCH(ROWS($N$2:$N619),'Per Invoice'!$P$2:$P$801,0),"")</f>
        <v/>
      </c>
    </row>
    <row r="620">
      <c r="A620">
        <f>IF($N620="","",IF(INDEX('Per Invoice'!$A$2:$A$801,$N620)="","",INDEX('Per Invoice'!$A$2:$A$801,$N620)))</f>
        <v/>
      </c>
      <c r="B620">
        <f>IF($N620="","",IF(INDEX('Per Invoice'!$B$2:$B$801,$N620)="","",INDEX('Per Invoice'!$B$2:$B$801,$N620)))</f>
        <v/>
      </c>
      <c r="C620">
        <f>IF($N620="","",IF(INDEX('Per Invoice'!$C$2:$C$801,$N620)="","",INDEX('Per Invoice'!$C$2:$C$801,$N620)))</f>
        <v/>
      </c>
      <c r="D620">
        <f>IF($N620="","",IF(INDEX('Per Invoice'!$D$2:$D$801,$N620)="","",INDEX('Per Invoice'!$D$2:$D$801,$N620)))</f>
        <v/>
      </c>
      <c r="E620">
        <f>IF($N620="","",IF(INDEX('Per Invoice'!$E$2:$E$801,$N620)="","",INDEX('Per Invoice'!$E$2:$E$801,$N620)))</f>
        <v/>
      </c>
      <c r="F620">
        <f>IF($N620="","",IF(INDEX('Per Invoice'!$F$2:$F$801,$N620)="","",INDEX('Per Invoice'!$F$2:$F$801,$N620)))</f>
        <v/>
      </c>
      <c r="G620">
        <f>IF($N620="","",IF(INDEX('Per Invoice'!$G$2:$G$801,$N620)="","",INDEX('Per Invoice'!$G$2:$G$801,$N620)))</f>
        <v/>
      </c>
      <c r="H620">
        <f>IF($N620="","",IF(INDEX('Per Invoice'!$H$2:$H$801,$N620)="","",INDEX('Per Invoice'!$H$2:$H$801,$N620)))</f>
        <v/>
      </c>
      <c r="I620" s="5">
        <f>IF($N620="","",IF(INDEX('Per Invoice'!$I$2:$I$801,$N620)="","",INDEX('Per Invoice'!$I$2:$I$801,$N620)))</f>
        <v/>
      </c>
      <c r="J620" s="5">
        <f>IF($N620="","",IF(INDEX('Per Invoice'!$J$2:$J$801,$N620)="","",INDEX('Per Invoice'!$J$2:$J$801,$N620)))</f>
        <v/>
      </c>
      <c r="K620" s="5">
        <f>IF($N620="","",IF(INDEX('Per Invoice'!$K$2:$K$801,$N620)="","",INDEX('Per Invoice'!$K$2:$K$801,$N620)))</f>
        <v/>
      </c>
      <c r="L620" s="5">
        <f>IF($N620="","",IF(INDEX('Per Invoice'!$L$2:$L$801,$N620)="","",INDEX('Per Invoice'!$L$2:$L$801,$N620)))</f>
        <v/>
      </c>
      <c r="M620" s="5">
        <f>IF($N620="","",IF(INDEX('Per Invoice'!$M$2:$M$801,$N620)="","",INDEX('Per Invoice'!$M$2:$M$801,$N620)))</f>
        <v/>
      </c>
      <c r="N620">
        <f>IF(ROWS($N$2:$N620)&lt;=COUNT('Per Invoice'!$P$2:$P$801),MATCH(ROWS($N$2:$N620),'Per Invoice'!$P$2:$P$801,0),"")</f>
        <v/>
      </c>
    </row>
    <row r="621">
      <c r="A621">
        <f>IF($N621="","",IF(INDEX('Per Invoice'!$A$2:$A$801,$N621)="","",INDEX('Per Invoice'!$A$2:$A$801,$N621)))</f>
        <v/>
      </c>
      <c r="B621">
        <f>IF($N621="","",IF(INDEX('Per Invoice'!$B$2:$B$801,$N621)="","",INDEX('Per Invoice'!$B$2:$B$801,$N621)))</f>
        <v/>
      </c>
      <c r="C621">
        <f>IF($N621="","",IF(INDEX('Per Invoice'!$C$2:$C$801,$N621)="","",INDEX('Per Invoice'!$C$2:$C$801,$N621)))</f>
        <v/>
      </c>
      <c r="D621">
        <f>IF($N621="","",IF(INDEX('Per Invoice'!$D$2:$D$801,$N621)="","",INDEX('Per Invoice'!$D$2:$D$801,$N621)))</f>
        <v/>
      </c>
      <c r="E621">
        <f>IF($N621="","",IF(INDEX('Per Invoice'!$E$2:$E$801,$N621)="","",INDEX('Per Invoice'!$E$2:$E$801,$N621)))</f>
        <v/>
      </c>
      <c r="F621">
        <f>IF($N621="","",IF(INDEX('Per Invoice'!$F$2:$F$801,$N621)="","",INDEX('Per Invoice'!$F$2:$F$801,$N621)))</f>
        <v/>
      </c>
      <c r="G621">
        <f>IF($N621="","",IF(INDEX('Per Invoice'!$G$2:$G$801,$N621)="","",INDEX('Per Invoice'!$G$2:$G$801,$N621)))</f>
        <v/>
      </c>
      <c r="H621">
        <f>IF($N621="","",IF(INDEX('Per Invoice'!$H$2:$H$801,$N621)="","",INDEX('Per Invoice'!$H$2:$H$801,$N621)))</f>
        <v/>
      </c>
      <c r="I621" s="5">
        <f>IF($N621="","",IF(INDEX('Per Invoice'!$I$2:$I$801,$N621)="","",INDEX('Per Invoice'!$I$2:$I$801,$N621)))</f>
        <v/>
      </c>
      <c r="J621" s="5">
        <f>IF($N621="","",IF(INDEX('Per Invoice'!$J$2:$J$801,$N621)="","",INDEX('Per Invoice'!$J$2:$J$801,$N621)))</f>
        <v/>
      </c>
      <c r="K621" s="5">
        <f>IF($N621="","",IF(INDEX('Per Invoice'!$K$2:$K$801,$N621)="","",INDEX('Per Invoice'!$K$2:$K$801,$N621)))</f>
        <v/>
      </c>
      <c r="L621" s="5">
        <f>IF($N621="","",IF(INDEX('Per Invoice'!$L$2:$L$801,$N621)="","",INDEX('Per Invoice'!$L$2:$L$801,$N621)))</f>
        <v/>
      </c>
      <c r="M621" s="5">
        <f>IF($N621="","",IF(INDEX('Per Invoice'!$M$2:$M$801,$N621)="","",INDEX('Per Invoice'!$M$2:$M$801,$N621)))</f>
        <v/>
      </c>
      <c r="N621">
        <f>IF(ROWS($N$2:$N621)&lt;=COUNT('Per Invoice'!$P$2:$P$801),MATCH(ROWS($N$2:$N621),'Per Invoice'!$P$2:$P$801,0),"")</f>
        <v/>
      </c>
    </row>
    <row r="622">
      <c r="A622">
        <f>IF($N622="","",IF(INDEX('Per Invoice'!$A$2:$A$801,$N622)="","",INDEX('Per Invoice'!$A$2:$A$801,$N622)))</f>
        <v/>
      </c>
      <c r="B622">
        <f>IF($N622="","",IF(INDEX('Per Invoice'!$B$2:$B$801,$N622)="","",INDEX('Per Invoice'!$B$2:$B$801,$N622)))</f>
        <v/>
      </c>
      <c r="C622">
        <f>IF($N622="","",IF(INDEX('Per Invoice'!$C$2:$C$801,$N622)="","",INDEX('Per Invoice'!$C$2:$C$801,$N622)))</f>
        <v/>
      </c>
      <c r="D622">
        <f>IF($N622="","",IF(INDEX('Per Invoice'!$D$2:$D$801,$N622)="","",INDEX('Per Invoice'!$D$2:$D$801,$N622)))</f>
        <v/>
      </c>
      <c r="E622">
        <f>IF($N622="","",IF(INDEX('Per Invoice'!$E$2:$E$801,$N622)="","",INDEX('Per Invoice'!$E$2:$E$801,$N622)))</f>
        <v/>
      </c>
      <c r="F622">
        <f>IF($N622="","",IF(INDEX('Per Invoice'!$F$2:$F$801,$N622)="","",INDEX('Per Invoice'!$F$2:$F$801,$N622)))</f>
        <v/>
      </c>
      <c r="G622">
        <f>IF($N622="","",IF(INDEX('Per Invoice'!$G$2:$G$801,$N622)="","",INDEX('Per Invoice'!$G$2:$G$801,$N622)))</f>
        <v/>
      </c>
      <c r="H622">
        <f>IF($N622="","",IF(INDEX('Per Invoice'!$H$2:$H$801,$N622)="","",INDEX('Per Invoice'!$H$2:$H$801,$N622)))</f>
        <v/>
      </c>
      <c r="I622" s="5">
        <f>IF($N622="","",IF(INDEX('Per Invoice'!$I$2:$I$801,$N622)="","",INDEX('Per Invoice'!$I$2:$I$801,$N622)))</f>
        <v/>
      </c>
      <c r="J622" s="5">
        <f>IF($N622="","",IF(INDEX('Per Invoice'!$J$2:$J$801,$N622)="","",INDEX('Per Invoice'!$J$2:$J$801,$N622)))</f>
        <v/>
      </c>
      <c r="K622" s="5">
        <f>IF($N622="","",IF(INDEX('Per Invoice'!$K$2:$K$801,$N622)="","",INDEX('Per Invoice'!$K$2:$K$801,$N622)))</f>
        <v/>
      </c>
      <c r="L622" s="5">
        <f>IF($N622="","",IF(INDEX('Per Invoice'!$L$2:$L$801,$N622)="","",INDEX('Per Invoice'!$L$2:$L$801,$N622)))</f>
        <v/>
      </c>
      <c r="M622" s="5">
        <f>IF($N622="","",IF(INDEX('Per Invoice'!$M$2:$M$801,$N622)="","",INDEX('Per Invoice'!$M$2:$M$801,$N622)))</f>
        <v/>
      </c>
      <c r="N622">
        <f>IF(ROWS($N$2:$N622)&lt;=COUNT('Per Invoice'!$P$2:$P$801),MATCH(ROWS($N$2:$N622),'Per Invoice'!$P$2:$P$801,0),"")</f>
        <v/>
      </c>
    </row>
    <row r="623">
      <c r="A623">
        <f>IF($N623="","",IF(INDEX('Per Invoice'!$A$2:$A$801,$N623)="","",INDEX('Per Invoice'!$A$2:$A$801,$N623)))</f>
        <v/>
      </c>
      <c r="B623">
        <f>IF($N623="","",IF(INDEX('Per Invoice'!$B$2:$B$801,$N623)="","",INDEX('Per Invoice'!$B$2:$B$801,$N623)))</f>
        <v/>
      </c>
      <c r="C623">
        <f>IF($N623="","",IF(INDEX('Per Invoice'!$C$2:$C$801,$N623)="","",INDEX('Per Invoice'!$C$2:$C$801,$N623)))</f>
        <v/>
      </c>
      <c r="D623">
        <f>IF($N623="","",IF(INDEX('Per Invoice'!$D$2:$D$801,$N623)="","",INDEX('Per Invoice'!$D$2:$D$801,$N623)))</f>
        <v/>
      </c>
      <c r="E623">
        <f>IF($N623="","",IF(INDEX('Per Invoice'!$E$2:$E$801,$N623)="","",INDEX('Per Invoice'!$E$2:$E$801,$N623)))</f>
        <v/>
      </c>
      <c r="F623">
        <f>IF($N623="","",IF(INDEX('Per Invoice'!$F$2:$F$801,$N623)="","",INDEX('Per Invoice'!$F$2:$F$801,$N623)))</f>
        <v/>
      </c>
      <c r="G623">
        <f>IF($N623="","",IF(INDEX('Per Invoice'!$G$2:$G$801,$N623)="","",INDEX('Per Invoice'!$G$2:$G$801,$N623)))</f>
        <v/>
      </c>
      <c r="H623">
        <f>IF($N623="","",IF(INDEX('Per Invoice'!$H$2:$H$801,$N623)="","",INDEX('Per Invoice'!$H$2:$H$801,$N623)))</f>
        <v/>
      </c>
      <c r="I623" s="5">
        <f>IF($N623="","",IF(INDEX('Per Invoice'!$I$2:$I$801,$N623)="","",INDEX('Per Invoice'!$I$2:$I$801,$N623)))</f>
        <v/>
      </c>
      <c r="J623" s="5">
        <f>IF($N623="","",IF(INDEX('Per Invoice'!$J$2:$J$801,$N623)="","",INDEX('Per Invoice'!$J$2:$J$801,$N623)))</f>
        <v/>
      </c>
      <c r="K623" s="5">
        <f>IF($N623="","",IF(INDEX('Per Invoice'!$K$2:$K$801,$N623)="","",INDEX('Per Invoice'!$K$2:$K$801,$N623)))</f>
        <v/>
      </c>
      <c r="L623" s="5">
        <f>IF($N623="","",IF(INDEX('Per Invoice'!$L$2:$L$801,$N623)="","",INDEX('Per Invoice'!$L$2:$L$801,$N623)))</f>
        <v/>
      </c>
      <c r="M623" s="5">
        <f>IF($N623="","",IF(INDEX('Per Invoice'!$M$2:$M$801,$N623)="","",INDEX('Per Invoice'!$M$2:$M$801,$N623)))</f>
        <v/>
      </c>
      <c r="N623">
        <f>IF(ROWS($N$2:$N623)&lt;=COUNT('Per Invoice'!$P$2:$P$801),MATCH(ROWS($N$2:$N623),'Per Invoice'!$P$2:$P$801,0),"")</f>
        <v/>
      </c>
    </row>
    <row r="624">
      <c r="A624">
        <f>IF($N624="","",IF(INDEX('Per Invoice'!$A$2:$A$801,$N624)="","",INDEX('Per Invoice'!$A$2:$A$801,$N624)))</f>
        <v/>
      </c>
      <c r="B624">
        <f>IF($N624="","",IF(INDEX('Per Invoice'!$B$2:$B$801,$N624)="","",INDEX('Per Invoice'!$B$2:$B$801,$N624)))</f>
        <v/>
      </c>
      <c r="C624">
        <f>IF($N624="","",IF(INDEX('Per Invoice'!$C$2:$C$801,$N624)="","",INDEX('Per Invoice'!$C$2:$C$801,$N624)))</f>
        <v/>
      </c>
      <c r="D624">
        <f>IF($N624="","",IF(INDEX('Per Invoice'!$D$2:$D$801,$N624)="","",INDEX('Per Invoice'!$D$2:$D$801,$N624)))</f>
        <v/>
      </c>
      <c r="E624">
        <f>IF($N624="","",IF(INDEX('Per Invoice'!$E$2:$E$801,$N624)="","",INDEX('Per Invoice'!$E$2:$E$801,$N624)))</f>
        <v/>
      </c>
      <c r="F624">
        <f>IF($N624="","",IF(INDEX('Per Invoice'!$F$2:$F$801,$N624)="","",INDEX('Per Invoice'!$F$2:$F$801,$N624)))</f>
        <v/>
      </c>
      <c r="G624">
        <f>IF($N624="","",IF(INDEX('Per Invoice'!$G$2:$G$801,$N624)="","",INDEX('Per Invoice'!$G$2:$G$801,$N624)))</f>
        <v/>
      </c>
      <c r="H624">
        <f>IF($N624="","",IF(INDEX('Per Invoice'!$H$2:$H$801,$N624)="","",INDEX('Per Invoice'!$H$2:$H$801,$N624)))</f>
        <v/>
      </c>
      <c r="I624" s="5">
        <f>IF($N624="","",IF(INDEX('Per Invoice'!$I$2:$I$801,$N624)="","",INDEX('Per Invoice'!$I$2:$I$801,$N624)))</f>
        <v/>
      </c>
      <c r="J624" s="5">
        <f>IF($N624="","",IF(INDEX('Per Invoice'!$J$2:$J$801,$N624)="","",INDEX('Per Invoice'!$J$2:$J$801,$N624)))</f>
        <v/>
      </c>
      <c r="K624" s="5">
        <f>IF($N624="","",IF(INDEX('Per Invoice'!$K$2:$K$801,$N624)="","",INDEX('Per Invoice'!$K$2:$K$801,$N624)))</f>
        <v/>
      </c>
      <c r="L624" s="5">
        <f>IF($N624="","",IF(INDEX('Per Invoice'!$L$2:$L$801,$N624)="","",INDEX('Per Invoice'!$L$2:$L$801,$N624)))</f>
        <v/>
      </c>
      <c r="M624" s="5">
        <f>IF($N624="","",IF(INDEX('Per Invoice'!$M$2:$M$801,$N624)="","",INDEX('Per Invoice'!$M$2:$M$801,$N624)))</f>
        <v/>
      </c>
      <c r="N624">
        <f>IF(ROWS($N$2:$N624)&lt;=COUNT('Per Invoice'!$P$2:$P$801),MATCH(ROWS($N$2:$N624),'Per Invoice'!$P$2:$P$801,0),"")</f>
        <v/>
      </c>
    </row>
    <row r="625">
      <c r="A625">
        <f>IF($N625="","",IF(INDEX('Per Invoice'!$A$2:$A$801,$N625)="","",INDEX('Per Invoice'!$A$2:$A$801,$N625)))</f>
        <v/>
      </c>
      <c r="B625">
        <f>IF($N625="","",IF(INDEX('Per Invoice'!$B$2:$B$801,$N625)="","",INDEX('Per Invoice'!$B$2:$B$801,$N625)))</f>
        <v/>
      </c>
      <c r="C625">
        <f>IF($N625="","",IF(INDEX('Per Invoice'!$C$2:$C$801,$N625)="","",INDEX('Per Invoice'!$C$2:$C$801,$N625)))</f>
        <v/>
      </c>
      <c r="D625">
        <f>IF($N625="","",IF(INDEX('Per Invoice'!$D$2:$D$801,$N625)="","",INDEX('Per Invoice'!$D$2:$D$801,$N625)))</f>
        <v/>
      </c>
      <c r="E625">
        <f>IF($N625="","",IF(INDEX('Per Invoice'!$E$2:$E$801,$N625)="","",INDEX('Per Invoice'!$E$2:$E$801,$N625)))</f>
        <v/>
      </c>
      <c r="F625">
        <f>IF($N625="","",IF(INDEX('Per Invoice'!$F$2:$F$801,$N625)="","",INDEX('Per Invoice'!$F$2:$F$801,$N625)))</f>
        <v/>
      </c>
      <c r="G625">
        <f>IF($N625="","",IF(INDEX('Per Invoice'!$G$2:$G$801,$N625)="","",INDEX('Per Invoice'!$G$2:$G$801,$N625)))</f>
        <v/>
      </c>
      <c r="H625">
        <f>IF($N625="","",IF(INDEX('Per Invoice'!$H$2:$H$801,$N625)="","",INDEX('Per Invoice'!$H$2:$H$801,$N625)))</f>
        <v/>
      </c>
      <c r="I625" s="5">
        <f>IF($N625="","",IF(INDEX('Per Invoice'!$I$2:$I$801,$N625)="","",INDEX('Per Invoice'!$I$2:$I$801,$N625)))</f>
        <v/>
      </c>
      <c r="J625" s="5">
        <f>IF($N625="","",IF(INDEX('Per Invoice'!$J$2:$J$801,$N625)="","",INDEX('Per Invoice'!$J$2:$J$801,$N625)))</f>
        <v/>
      </c>
      <c r="K625" s="5">
        <f>IF($N625="","",IF(INDEX('Per Invoice'!$K$2:$K$801,$N625)="","",INDEX('Per Invoice'!$K$2:$K$801,$N625)))</f>
        <v/>
      </c>
      <c r="L625" s="5">
        <f>IF($N625="","",IF(INDEX('Per Invoice'!$L$2:$L$801,$N625)="","",INDEX('Per Invoice'!$L$2:$L$801,$N625)))</f>
        <v/>
      </c>
      <c r="M625" s="5">
        <f>IF($N625="","",IF(INDEX('Per Invoice'!$M$2:$M$801,$N625)="","",INDEX('Per Invoice'!$M$2:$M$801,$N625)))</f>
        <v/>
      </c>
      <c r="N625">
        <f>IF(ROWS($N$2:$N625)&lt;=COUNT('Per Invoice'!$P$2:$P$801),MATCH(ROWS($N$2:$N625),'Per Invoice'!$P$2:$P$801,0),"")</f>
        <v/>
      </c>
    </row>
    <row r="626">
      <c r="A626">
        <f>IF($N626="","",IF(INDEX('Per Invoice'!$A$2:$A$801,$N626)="","",INDEX('Per Invoice'!$A$2:$A$801,$N626)))</f>
        <v/>
      </c>
      <c r="B626">
        <f>IF($N626="","",IF(INDEX('Per Invoice'!$B$2:$B$801,$N626)="","",INDEX('Per Invoice'!$B$2:$B$801,$N626)))</f>
        <v/>
      </c>
      <c r="C626">
        <f>IF($N626="","",IF(INDEX('Per Invoice'!$C$2:$C$801,$N626)="","",INDEX('Per Invoice'!$C$2:$C$801,$N626)))</f>
        <v/>
      </c>
      <c r="D626">
        <f>IF($N626="","",IF(INDEX('Per Invoice'!$D$2:$D$801,$N626)="","",INDEX('Per Invoice'!$D$2:$D$801,$N626)))</f>
        <v/>
      </c>
      <c r="E626">
        <f>IF($N626="","",IF(INDEX('Per Invoice'!$E$2:$E$801,$N626)="","",INDEX('Per Invoice'!$E$2:$E$801,$N626)))</f>
        <v/>
      </c>
      <c r="F626">
        <f>IF($N626="","",IF(INDEX('Per Invoice'!$F$2:$F$801,$N626)="","",INDEX('Per Invoice'!$F$2:$F$801,$N626)))</f>
        <v/>
      </c>
      <c r="G626">
        <f>IF($N626="","",IF(INDEX('Per Invoice'!$G$2:$G$801,$N626)="","",INDEX('Per Invoice'!$G$2:$G$801,$N626)))</f>
        <v/>
      </c>
      <c r="H626">
        <f>IF($N626="","",IF(INDEX('Per Invoice'!$H$2:$H$801,$N626)="","",INDEX('Per Invoice'!$H$2:$H$801,$N626)))</f>
        <v/>
      </c>
      <c r="I626" s="5">
        <f>IF($N626="","",IF(INDEX('Per Invoice'!$I$2:$I$801,$N626)="","",INDEX('Per Invoice'!$I$2:$I$801,$N626)))</f>
        <v/>
      </c>
      <c r="J626" s="5">
        <f>IF($N626="","",IF(INDEX('Per Invoice'!$J$2:$J$801,$N626)="","",INDEX('Per Invoice'!$J$2:$J$801,$N626)))</f>
        <v/>
      </c>
      <c r="K626" s="5">
        <f>IF($N626="","",IF(INDEX('Per Invoice'!$K$2:$K$801,$N626)="","",INDEX('Per Invoice'!$K$2:$K$801,$N626)))</f>
        <v/>
      </c>
      <c r="L626" s="5">
        <f>IF($N626="","",IF(INDEX('Per Invoice'!$L$2:$L$801,$N626)="","",INDEX('Per Invoice'!$L$2:$L$801,$N626)))</f>
        <v/>
      </c>
      <c r="M626" s="5">
        <f>IF($N626="","",IF(INDEX('Per Invoice'!$M$2:$M$801,$N626)="","",INDEX('Per Invoice'!$M$2:$M$801,$N626)))</f>
        <v/>
      </c>
      <c r="N626">
        <f>IF(ROWS($N$2:$N626)&lt;=COUNT('Per Invoice'!$P$2:$P$801),MATCH(ROWS($N$2:$N626),'Per Invoice'!$P$2:$P$801,0),"")</f>
        <v/>
      </c>
    </row>
    <row r="627">
      <c r="A627">
        <f>IF($N627="","",IF(INDEX('Per Invoice'!$A$2:$A$801,$N627)="","",INDEX('Per Invoice'!$A$2:$A$801,$N627)))</f>
        <v/>
      </c>
      <c r="B627">
        <f>IF($N627="","",IF(INDEX('Per Invoice'!$B$2:$B$801,$N627)="","",INDEX('Per Invoice'!$B$2:$B$801,$N627)))</f>
        <v/>
      </c>
      <c r="C627">
        <f>IF($N627="","",IF(INDEX('Per Invoice'!$C$2:$C$801,$N627)="","",INDEX('Per Invoice'!$C$2:$C$801,$N627)))</f>
        <v/>
      </c>
      <c r="D627">
        <f>IF($N627="","",IF(INDEX('Per Invoice'!$D$2:$D$801,$N627)="","",INDEX('Per Invoice'!$D$2:$D$801,$N627)))</f>
        <v/>
      </c>
      <c r="E627">
        <f>IF($N627="","",IF(INDEX('Per Invoice'!$E$2:$E$801,$N627)="","",INDEX('Per Invoice'!$E$2:$E$801,$N627)))</f>
        <v/>
      </c>
      <c r="F627">
        <f>IF($N627="","",IF(INDEX('Per Invoice'!$F$2:$F$801,$N627)="","",INDEX('Per Invoice'!$F$2:$F$801,$N627)))</f>
        <v/>
      </c>
      <c r="G627">
        <f>IF($N627="","",IF(INDEX('Per Invoice'!$G$2:$G$801,$N627)="","",INDEX('Per Invoice'!$G$2:$G$801,$N627)))</f>
        <v/>
      </c>
      <c r="H627">
        <f>IF($N627="","",IF(INDEX('Per Invoice'!$H$2:$H$801,$N627)="","",INDEX('Per Invoice'!$H$2:$H$801,$N627)))</f>
        <v/>
      </c>
      <c r="I627" s="5">
        <f>IF($N627="","",IF(INDEX('Per Invoice'!$I$2:$I$801,$N627)="","",INDEX('Per Invoice'!$I$2:$I$801,$N627)))</f>
        <v/>
      </c>
      <c r="J627" s="5">
        <f>IF($N627="","",IF(INDEX('Per Invoice'!$J$2:$J$801,$N627)="","",INDEX('Per Invoice'!$J$2:$J$801,$N627)))</f>
        <v/>
      </c>
      <c r="K627" s="5">
        <f>IF($N627="","",IF(INDEX('Per Invoice'!$K$2:$K$801,$N627)="","",INDEX('Per Invoice'!$K$2:$K$801,$N627)))</f>
        <v/>
      </c>
      <c r="L627" s="5">
        <f>IF($N627="","",IF(INDEX('Per Invoice'!$L$2:$L$801,$N627)="","",INDEX('Per Invoice'!$L$2:$L$801,$N627)))</f>
        <v/>
      </c>
      <c r="M627" s="5">
        <f>IF($N627="","",IF(INDEX('Per Invoice'!$M$2:$M$801,$N627)="","",INDEX('Per Invoice'!$M$2:$M$801,$N627)))</f>
        <v/>
      </c>
      <c r="N627">
        <f>IF(ROWS($N$2:$N627)&lt;=COUNT('Per Invoice'!$P$2:$P$801),MATCH(ROWS($N$2:$N627),'Per Invoice'!$P$2:$P$801,0),"")</f>
        <v/>
      </c>
    </row>
    <row r="628">
      <c r="A628">
        <f>IF($N628="","",IF(INDEX('Per Invoice'!$A$2:$A$801,$N628)="","",INDEX('Per Invoice'!$A$2:$A$801,$N628)))</f>
        <v/>
      </c>
      <c r="B628">
        <f>IF($N628="","",IF(INDEX('Per Invoice'!$B$2:$B$801,$N628)="","",INDEX('Per Invoice'!$B$2:$B$801,$N628)))</f>
        <v/>
      </c>
      <c r="C628">
        <f>IF($N628="","",IF(INDEX('Per Invoice'!$C$2:$C$801,$N628)="","",INDEX('Per Invoice'!$C$2:$C$801,$N628)))</f>
        <v/>
      </c>
      <c r="D628">
        <f>IF($N628="","",IF(INDEX('Per Invoice'!$D$2:$D$801,$N628)="","",INDEX('Per Invoice'!$D$2:$D$801,$N628)))</f>
        <v/>
      </c>
      <c r="E628">
        <f>IF($N628="","",IF(INDEX('Per Invoice'!$E$2:$E$801,$N628)="","",INDEX('Per Invoice'!$E$2:$E$801,$N628)))</f>
        <v/>
      </c>
      <c r="F628">
        <f>IF($N628="","",IF(INDEX('Per Invoice'!$F$2:$F$801,$N628)="","",INDEX('Per Invoice'!$F$2:$F$801,$N628)))</f>
        <v/>
      </c>
      <c r="G628">
        <f>IF($N628="","",IF(INDEX('Per Invoice'!$G$2:$G$801,$N628)="","",INDEX('Per Invoice'!$G$2:$G$801,$N628)))</f>
        <v/>
      </c>
      <c r="H628">
        <f>IF($N628="","",IF(INDEX('Per Invoice'!$H$2:$H$801,$N628)="","",INDEX('Per Invoice'!$H$2:$H$801,$N628)))</f>
        <v/>
      </c>
      <c r="I628" s="5">
        <f>IF($N628="","",IF(INDEX('Per Invoice'!$I$2:$I$801,$N628)="","",INDEX('Per Invoice'!$I$2:$I$801,$N628)))</f>
        <v/>
      </c>
      <c r="J628" s="5">
        <f>IF($N628="","",IF(INDEX('Per Invoice'!$J$2:$J$801,$N628)="","",INDEX('Per Invoice'!$J$2:$J$801,$N628)))</f>
        <v/>
      </c>
      <c r="K628" s="5">
        <f>IF($N628="","",IF(INDEX('Per Invoice'!$K$2:$K$801,$N628)="","",INDEX('Per Invoice'!$K$2:$K$801,$N628)))</f>
        <v/>
      </c>
      <c r="L628" s="5">
        <f>IF($N628="","",IF(INDEX('Per Invoice'!$L$2:$L$801,$N628)="","",INDEX('Per Invoice'!$L$2:$L$801,$N628)))</f>
        <v/>
      </c>
      <c r="M628" s="5">
        <f>IF($N628="","",IF(INDEX('Per Invoice'!$M$2:$M$801,$N628)="","",INDEX('Per Invoice'!$M$2:$M$801,$N628)))</f>
        <v/>
      </c>
      <c r="N628">
        <f>IF(ROWS($N$2:$N628)&lt;=COUNT('Per Invoice'!$P$2:$P$801),MATCH(ROWS($N$2:$N628),'Per Invoice'!$P$2:$P$801,0),"")</f>
        <v/>
      </c>
    </row>
    <row r="629">
      <c r="A629">
        <f>IF($N629="","",IF(INDEX('Per Invoice'!$A$2:$A$801,$N629)="","",INDEX('Per Invoice'!$A$2:$A$801,$N629)))</f>
        <v/>
      </c>
      <c r="B629">
        <f>IF($N629="","",IF(INDEX('Per Invoice'!$B$2:$B$801,$N629)="","",INDEX('Per Invoice'!$B$2:$B$801,$N629)))</f>
        <v/>
      </c>
      <c r="C629">
        <f>IF($N629="","",IF(INDEX('Per Invoice'!$C$2:$C$801,$N629)="","",INDEX('Per Invoice'!$C$2:$C$801,$N629)))</f>
        <v/>
      </c>
      <c r="D629">
        <f>IF($N629="","",IF(INDEX('Per Invoice'!$D$2:$D$801,$N629)="","",INDEX('Per Invoice'!$D$2:$D$801,$N629)))</f>
        <v/>
      </c>
      <c r="E629">
        <f>IF($N629="","",IF(INDEX('Per Invoice'!$E$2:$E$801,$N629)="","",INDEX('Per Invoice'!$E$2:$E$801,$N629)))</f>
        <v/>
      </c>
      <c r="F629">
        <f>IF($N629="","",IF(INDEX('Per Invoice'!$F$2:$F$801,$N629)="","",INDEX('Per Invoice'!$F$2:$F$801,$N629)))</f>
        <v/>
      </c>
      <c r="G629">
        <f>IF($N629="","",IF(INDEX('Per Invoice'!$G$2:$G$801,$N629)="","",INDEX('Per Invoice'!$G$2:$G$801,$N629)))</f>
        <v/>
      </c>
      <c r="H629">
        <f>IF($N629="","",IF(INDEX('Per Invoice'!$H$2:$H$801,$N629)="","",INDEX('Per Invoice'!$H$2:$H$801,$N629)))</f>
        <v/>
      </c>
      <c r="I629" s="5">
        <f>IF($N629="","",IF(INDEX('Per Invoice'!$I$2:$I$801,$N629)="","",INDEX('Per Invoice'!$I$2:$I$801,$N629)))</f>
        <v/>
      </c>
      <c r="J629" s="5">
        <f>IF($N629="","",IF(INDEX('Per Invoice'!$J$2:$J$801,$N629)="","",INDEX('Per Invoice'!$J$2:$J$801,$N629)))</f>
        <v/>
      </c>
      <c r="K629" s="5">
        <f>IF($N629="","",IF(INDEX('Per Invoice'!$K$2:$K$801,$N629)="","",INDEX('Per Invoice'!$K$2:$K$801,$N629)))</f>
        <v/>
      </c>
      <c r="L629" s="5">
        <f>IF($N629="","",IF(INDEX('Per Invoice'!$L$2:$L$801,$N629)="","",INDEX('Per Invoice'!$L$2:$L$801,$N629)))</f>
        <v/>
      </c>
      <c r="M629" s="5">
        <f>IF($N629="","",IF(INDEX('Per Invoice'!$M$2:$M$801,$N629)="","",INDEX('Per Invoice'!$M$2:$M$801,$N629)))</f>
        <v/>
      </c>
      <c r="N629">
        <f>IF(ROWS($N$2:$N629)&lt;=COUNT('Per Invoice'!$P$2:$P$801),MATCH(ROWS($N$2:$N629),'Per Invoice'!$P$2:$P$801,0),"")</f>
        <v/>
      </c>
    </row>
    <row r="630">
      <c r="A630">
        <f>IF($N630="","",IF(INDEX('Per Invoice'!$A$2:$A$801,$N630)="","",INDEX('Per Invoice'!$A$2:$A$801,$N630)))</f>
        <v/>
      </c>
      <c r="B630">
        <f>IF($N630="","",IF(INDEX('Per Invoice'!$B$2:$B$801,$N630)="","",INDEX('Per Invoice'!$B$2:$B$801,$N630)))</f>
        <v/>
      </c>
      <c r="C630">
        <f>IF($N630="","",IF(INDEX('Per Invoice'!$C$2:$C$801,$N630)="","",INDEX('Per Invoice'!$C$2:$C$801,$N630)))</f>
        <v/>
      </c>
      <c r="D630">
        <f>IF($N630="","",IF(INDEX('Per Invoice'!$D$2:$D$801,$N630)="","",INDEX('Per Invoice'!$D$2:$D$801,$N630)))</f>
        <v/>
      </c>
      <c r="E630">
        <f>IF($N630="","",IF(INDEX('Per Invoice'!$E$2:$E$801,$N630)="","",INDEX('Per Invoice'!$E$2:$E$801,$N630)))</f>
        <v/>
      </c>
      <c r="F630">
        <f>IF($N630="","",IF(INDEX('Per Invoice'!$F$2:$F$801,$N630)="","",INDEX('Per Invoice'!$F$2:$F$801,$N630)))</f>
        <v/>
      </c>
      <c r="G630">
        <f>IF($N630="","",IF(INDEX('Per Invoice'!$G$2:$G$801,$N630)="","",INDEX('Per Invoice'!$G$2:$G$801,$N630)))</f>
        <v/>
      </c>
      <c r="H630">
        <f>IF($N630="","",IF(INDEX('Per Invoice'!$H$2:$H$801,$N630)="","",INDEX('Per Invoice'!$H$2:$H$801,$N630)))</f>
        <v/>
      </c>
      <c r="I630" s="5">
        <f>IF($N630="","",IF(INDEX('Per Invoice'!$I$2:$I$801,$N630)="","",INDEX('Per Invoice'!$I$2:$I$801,$N630)))</f>
        <v/>
      </c>
      <c r="J630" s="5">
        <f>IF($N630="","",IF(INDEX('Per Invoice'!$J$2:$J$801,$N630)="","",INDEX('Per Invoice'!$J$2:$J$801,$N630)))</f>
        <v/>
      </c>
      <c r="K630" s="5">
        <f>IF($N630="","",IF(INDEX('Per Invoice'!$K$2:$K$801,$N630)="","",INDEX('Per Invoice'!$K$2:$K$801,$N630)))</f>
        <v/>
      </c>
      <c r="L630" s="5">
        <f>IF($N630="","",IF(INDEX('Per Invoice'!$L$2:$L$801,$N630)="","",INDEX('Per Invoice'!$L$2:$L$801,$N630)))</f>
        <v/>
      </c>
      <c r="M630" s="5">
        <f>IF($N630="","",IF(INDEX('Per Invoice'!$M$2:$M$801,$N630)="","",INDEX('Per Invoice'!$M$2:$M$801,$N630)))</f>
        <v/>
      </c>
      <c r="N630">
        <f>IF(ROWS($N$2:$N630)&lt;=COUNT('Per Invoice'!$P$2:$P$801),MATCH(ROWS($N$2:$N630),'Per Invoice'!$P$2:$P$801,0),"")</f>
        <v/>
      </c>
    </row>
    <row r="631">
      <c r="A631">
        <f>IF($N631="","",IF(INDEX('Per Invoice'!$A$2:$A$801,$N631)="","",INDEX('Per Invoice'!$A$2:$A$801,$N631)))</f>
        <v/>
      </c>
      <c r="B631">
        <f>IF($N631="","",IF(INDEX('Per Invoice'!$B$2:$B$801,$N631)="","",INDEX('Per Invoice'!$B$2:$B$801,$N631)))</f>
        <v/>
      </c>
      <c r="C631">
        <f>IF($N631="","",IF(INDEX('Per Invoice'!$C$2:$C$801,$N631)="","",INDEX('Per Invoice'!$C$2:$C$801,$N631)))</f>
        <v/>
      </c>
      <c r="D631">
        <f>IF($N631="","",IF(INDEX('Per Invoice'!$D$2:$D$801,$N631)="","",INDEX('Per Invoice'!$D$2:$D$801,$N631)))</f>
        <v/>
      </c>
      <c r="E631">
        <f>IF($N631="","",IF(INDEX('Per Invoice'!$E$2:$E$801,$N631)="","",INDEX('Per Invoice'!$E$2:$E$801,$N631)))</f>
        <v/>
      </c>
      <c r="F631">
        <f>IF($N631="","",IF(INDEX('Per Invoice'!$F$2:$F$801,$N631)="","",INDEX('Per Invoice'!$F$2:$F$801,$N631)))</f>
        <v/>
      </c>
      <c r="G631">
        <f>IF($N631="","",IF(INDEX('Per Invoice'!$G$2:$G$801,$N631)="","",INDEX('Per Invoice'!$G$2:$G$801,$N631)))</f>
        <v/>
      </c>
      <c r="H631">
        <f>IF($N631="","",IF(INDEX('Per Invoice'!$H$2:$H$801,$N631)="","",INDEX('Per Invoice'!$H$2:$H$801,$N631)))</f>
        <v/>
      </c>
      <c r="I631" s="5">
        <f>IF($N631="","",IF(INDEX('Per Invoice'!$I$2:$I$801,$N631)="","",INDEX('Per Invoice'!$I$2:$I$801,$N631)))</f>
        <v/>
      </c>
      <c r="J631" s="5">
        <f>IF($N631="","",IF(INDEX('Per Invoice'!$J$2:$J$801,$N631)="","",INDEX('Per Invoice'!$J$2:$J$801,$N631)))</f>
        <v/>
      </c>
      <c r="K631" s="5">
        <f>IF($N631="","",IF(INDEX('Per Invoice'!$K$2:$K$801,$N631)="","",INDEX('Per Invoice'!$K$2:$K$801,$N631)))</f>
        <v/>
      </c>
      <c r="L631" s="5">
        <f>IF($N631="","",IF(INDEX('Per Invoice'!$L$2:$L$801,$N631)="","",INDEX('Per Invoice'!$L$2:$L$801,$N631)))</f>
        <v/>
      </c>
      <c r="M631" s="5">
        <f>IF($N631="","",IF(INDEX('Per Invoice'!$M$2:$M$801,$N631)="","",INDEX('Per Invoice'!$M$2:$M$801,$N631)))</f>
        <v/>
      </c>
      <c r="N631">
        <f>IF(ROWS($N$2:$N631)&lt;=COUNT('Per Invoice'!$P$2:$P$801),MATCH(ROWS($N$2:$N631),'Per Invoice'!$P$2:$P$801,0),"")</f>
        <v/>
      </c>
    </row>
    <row r="632">
      <c r="A632">
        <f>IF($N632="","",IF(INDEX('Per Invoice'!$A$2:$A$801,$N632)="","",INDEX('Per Invoice'!$A$2:$A$801,$N632)))</f>
        <v/>
      </c>
      <c r="B632">
        <f>IF($N632="","",IF(INDEX('Per Invoice'!$B$2:$B$801,$N632)="","",INDEX('Per Invoice'!$B$2:$B$801,$N632)))</f>
        <v/>
      </c>
      <c r="C632">
        <f>IF($N632="","",IF(INDEX('Per Invoice'!$C$2:$C$801,$N632)="","",INDEX('Per Invoice'!$C$2:$C$801,$N632)))</f>
        <v/>
      </c>
      <c r="D632">
        <f>IF($N632="","",IF(INDEX('Per Invoice'!$D$2:$D$801,$N632)="","",INDEX('Per Invoice'!$D$2:$D$801,$N632)))</f>
        <v/>
      </c>
      <c r="E632">
        <f>IF($N632="","",IF(INDEX('Per Invoice'!$E$2:$E$801,$N632)="","",INDEX('Per Invoice'!$E$2:$E$801,$N632)))</f>
        <v/>
      </c>
      <c r="F632">
        <f>IF($N632="","",IF(INDEX('Per Invoice'!$F$2:$F$801,$N632)="","",INDEX('Per Invoice'!$F$2:$F$801,$N632)))</f>
        <v/>
      </c>
      <c r="G632">
        <f>IF($N632="","",IF(INDEX('Per Invoice'!$G$2:$G$801,$N632)="","",INDEX('Per Invoice'!$G$2:$G$801,$N632)))</f>
        <v/>
      </c>
      <c r="H632">
        <f>IF($N632="","",IF(INDEX('Per Invoice'!$H$2:$H$801,$N632)="","",INDEX('Per Invoice'!$H$2:$H$801,$N632)))</f>
        <v/>
      </c>
      <c r="I632" s="5">
        <f>IF($N632="","",IF(INDEX('Per Invoice'!$I$2:$I$801,$N632)="","",INDEX('Per Invoice'!$I$2:$I$801,$N632)))</f>
        <v/>
      </c>
      <c r="J632" s="5">
        <f>IF($N632="","",IF(INDEX('Per Invoice'!$J$2:$J$801,$N632)="","",INDEX('Per Invoice'!$J$2:$J$801,$N632)))</f>
        <v/>
      </c>
      <c r="K632" s="5">
        <f>IF($N632="","",IF(INDEX('Per Invoice'!$K$2:$K$801,$N632)="","",INDEX('Per Invoice'!$K$2:$K$801,$N632)))</f>
        <v/>
      </c>
      <c r="L632" s="5">
        <f>IF($N632="","",IF(INDEX('Per Invoice'!$L$2:$L$801,$N632)="","",INDEX('Per Invoice'!$L$2:$L$801,$N632)))</f>
        <v/>
      </c>
      <c r="M632" s="5">
        <f>IF($N632="","",IF(INDEX('Per Invoice'!$M$2:$M$801,$N632)="","",INDEX('Per Invoice'!$M$2:$M$801,$N632)))</f>
        <v/>
      </c>
      <c r="N632">
        <f>IF(ROWS($N$2:$N632)&lt;=COUNT('Per Invoice'!$P$2:$P$801),MATCH(ROWS($N$2:$N632),'Per Invoice'!$P$2:$P$801,0),"")</f>
        <v/>
      </c>
    </row>
    <row r="633">
      <c r="A633">
        <f>IF($N633="","",IF(INDEX('Per Invoice'!$A$2:$A$801,$N633)="","",INDEX('Per Invoice'!$A$2:$A$801,$N633)))</f>
        <v/>
      </c>
      <c r="B633">
        <f>IF($N633="","",IF(INDEX('Per Invoice'!$B$2:$B$801,$N633)="","",INDEX('Per Invoice'!$B$2:$B$801,$N633)))</f>
        <v/>
      </c>
      <c r="C633">
        <f>IF($N633="","",IF(INDEX('Per Invoice'!$C$2:$C$801,$N633)="","",INDEX('Per Invoice'!$C$2:$C$801,$N633)))</f>
        <v/>
      </c>
      <c r="D633">
        <f>IF($N633="","",IF(INDEX('Per Invoice'!$D$2:$D$801,$N633)="","",INDEX('Per Invoice'!$D$2:$D$801,$N633)))</f>
        <v/>
      </c>
      <c r="E633">
        <f>IF($N633="","",IF(INDEX('Per Invoice'!$E$2:$E$801,$N633)="","",INDEX('Per Invoice'!$E$2:$E$801,$N633)))</f>
        <v/>
      </c>
      <c r="F633">
        <f>IF($N633="","",IF(INDEX('Per Invoice'!$F$2:$F$801,$N633)="","",INDEX('Per Invoice'!$F$2:$F$801,$N633)))</f>
        <v/>
      </c>
      <c r="G633">
        <f>IF($N633="","",IF(INDEX('Per Invoice'!$G$2:$G$801,$N633)="","",INDEX('Per Invoice'!$G$2:$G$801,$N633)))</f>
        <v/>
      </c>
      <c r="H633">
        <f>IF($N633="","",IF(INDEX('Per Invoice'!$H$2:$H$801,$N633)="","",INDEX('Per Invoice'!$H$2:$H$801,$N633)))</f>
        <v/>
      </c>
      <c r="I633" s="5">
        <f>IF($N633="","",IF(INDEX('Per Invoice'!$I$2:$I$801,$N633)="","",INDEX('Per Invoice'!$I$2:$I$801,$N633)))</f>
        <v/>
      </c>
      <c r="J633" s="5">
        <f>IF($N633="","",IF(INDEX('Per Invoice'!$J$2:$J$801,$N633)="","",INDEX('Per Invoice'!$J$2:$J$801,$N633)))</f>
        <v/>
      </c>
      <c r="K633" s="5">
        <f>IF($N633="","",IF(INDEX('Per Invoice'!$K$2:$K$801,$N633)="","",INDEX('Per Invoice'!$K$2:$K$801,$N633)))</f>
        <v/>
      </c>
      <c r="L633" s="5">
        <f>IF($N633="","",IF(INDEX('Per Invoice'!$L$2:$L$801,$N633)="","",INDEX('Per Invoice'!$L$2:$L$801,$N633)))</f>
        <v/>
      </c>
      <c r="M633" s="5">
        <f>IF($N633="","",IF(INDEX('Per Invoice'!$M$2:$M$801,$N633)="","",INDEX('Per Invoice'!$M$2:$M$801,$N633)))</f>
        <v/>
      </c>
      <c r="N633">
        <f>IF(ROWS($N$2:$N633)&lt;=COUNT('Per Invoice'!$P$2:$P$801),MATCH(ROWS($N$2:$N633),'Per Invoice'!$P$2:$P$801,0),"")</f>
        <v/>
      </c>
    </row>
    <row r="634">
      <c r="A634">
        <f>IF($N634="","",IF(INDEX('Per Invoice'!$A$2:$A$801,$N634)="","",INDEX('Per Invoice'!$A$2:$A$801,$N634)))</f>
        <v/>
      </c>
      <c r="B634">
        <f>IF($N634="","",IF(INDEX('Per Invoice'!$B$2:$B$801,$N634)="","",INDEX('Per Invoice'!$B$2:$B$801,$N634)))</f>
        <v/>
      </c>
      <c r="C634">
        <f>IF($N634="","",IF(INDEX('Per Invoice'!$C$2:$C$801,$N634)="","",INDEX('Per Invoice'!$C$2:$C$801,$N634)))</f>
        <v/>
      </c>
      <c r="D634">
        <f>IF($N634="","",IF(INDEX('Per Invoice'!$D$2:$D$801,$N634)="","",INDEX('Per Invoice'!$D$2:$D$801,$N634)))</f>
        <v/>
      </c>
      <c r="E634">
        <f>IF($N634="","",IF(INDEX('Per Invoice'!$E$2:$E$801,$N634)="","",INDEX('Per Invoice'!$E$2:$E$801,$N634)))</f>
        <v/>
      </c>
      <c r="F634">
        <f>IF($N634="","",IF(INDEX('Per Invoice'!$F$2:$F$801,$N634)="","",INDEX('Per Invoice'!$F$2:$F$801,$N634)))</f>
        <v/>
      </c>
      <c r="G634">
        <f>IF($N634="","",IF(INDEX('Per Invoice'!$G$2:$G$801,$N634)="","",INDEX('Per Invoice'!$G$2:$G$801,$N634)))</f>
        <v/>
      </c>
      <c r="H634">
        <f>IF($N634="","",IF(INDEX('Per Invoice'!$H$2:$H$801,$N634)="","",INDEX('Per Invoice'!$H$2:$H$801,$N634)))</f>
        <v/>
      </c>
      <c r="I634" s="5">
        <f>IF($N634="","",IF(INDEX('Per Invoice'!$I$2:$I$801,$N634)="","",INDEX('Per Invoice'!$I$2:$I$801,$N634)))</f>
        <v/>
      </c>
      <c r="J634" s="5">
        <f>IF($N634="","",IF(INDEX('Per Invoice'!$J$2:$J$801,$N634)="","",INDEX('Per Invoice'!$J$2:$J$801,$N634)))</f>
        <v/>
      </c>
      <c r="K634" s="5">
        <f>IF($N634="","",IF(INDEX('Per Invoice'!$K$2:$K$801,$N634)="","",INDEX('Per Invoice'!$K$2:$K$801,$N634)))</f>
        <v/>
      </c>
      <c r="L634" s="5">
        <f>IF($N634="","",IF(INDEX('Per Invoice'!$L$2:$L$801,$N634)="","",INDEX('Per Invoice'!$L$2:$L$801,$N634)))</f>
        <v/>
      </c>
      <c r="M634" s="5">
        <f>IF($N634="","",IF(INDEX('Per Invoice'!$M$2:$M$801,$N634)="","",INDEX('Per Invoice'!$M$2:$M$801,$N634)))</f>
        <v/>
      </c>
      <c r="N634">
        <f>IF(ROWS($N$2:$N634)&lt;=COUNT('Per Invoice'!$P$2:$P$801),MATCH(ROWS($N$2:$N634),'Per Invoice'!$P$2:$P$801,0),"")</f>
        <v/>
      </c>
    </row>
    <row r="635">
      <c r="A635">
        <f>IF($N635="","",IF(INDEX('Per Invoice'!$A$2:$A$801,$N635)="","",INDEX('Per Invoice'!$A$2:$A$801,$N635)))</f>
        <v/>
      </c>
      <c r="B635">
        <f>IF($N635="","",IF(INDEX('Per Invoice'!$B$2:$B$801,$N635)="","",INDEX('Per Invoice'!$B$2:$B$801,$N635)))</f>
        <v/>
      </c>
      <c r="C635">
        <f>IF($N635="","",IF(INDEX('Per Invoice'!$C$2:$C$801,$N635)="","",INDEX('Per Invoice'!$C$2:$C$801,$N635)))</f>
        <v/>
      </c>
      <c r="D635">
        <f>IF($N635="","",IF(INDEX('Per Invoice'!$D$2:$D$801,$N635)="","",INDEX('Per Invoice'!$D$2:$D$801,$N635)))</f>
        <v/>
      </c>
      <c r="E635">
        <f>IF($N635="","",IF(INDEX('Per Invoice'!$E$2:$E$801,$N635)="","",INDEX('Per Invoice'!$E$2:$E$801,$N635)))</f>
        <v/>
      </c>
      <c r="F635">
        <f>IF($N635="","",IF(INDEX('Per Invoice'!$F$2:$F$801,$N635)="","",INDEX('Per Invoice'!$F$2:$F$801,$N635)))</f>
        <v/>
      </c>
      <c r="G635">
        <f>IF($N635="","",IF(INDEX('Per Invoice'!$G$2:$G$801,$N635)="","",INDEX('Per Invoice'!$G$2:$G$801,$N635)))</f>
        <v/>
      </c>
      <c r="H635">
        <f>IF($N635="","",IF(INDEX('Per Invoice'!$H$2:$H$801,$N635)="","",INDEX('Per Invoice'!$H$2:$H$801,$N635)))</f>
        <v/>
      </c>
      <c r="I635" s="5">
        <f>IF($N635="","",IF(INDEX('Per Invoice'!$I$2:$I$801,$N635)="","",INDEX('Per Invoice'!$I$2:$I$801,$N635)))</f>
        <v/>
      </c>
      <c r="J635" s="5">
        <f>IF($N635="","",IF(INDEX('Per Invoice'!$J$2:$J$801,$N635)="","",INDEX('Per Invoice'!$J$2:$J$801,$N635)))</f>
        <v/>
      </c>
      <c r="K635" s="5">
        <f>IF($N635="","",IF(INDEX('Per Invoice'!$K$2:$K$801,$N635)="","",INDEX('Per Invoice'!$K$2:$K$801,$N635)))</f>
        <v/>
      </c>
      <c r="L635" s="5">
        <f>IF($N635="","",IF(INDEX('Per Invoice'!$L$2:$L$801,$N635)="","",INDEX('Per Invoice'!$L$2:$L$801,$N635)))</f>
        <v/>
      </c>
      <c r="M635" s="5">
        <f>IF($N635="","",IF(INDEX('Per Invoice'!$M$2:$M$801,$N635)="","",INDEX('Per Invoice'!$M$2:$M$801,$N635)))</f>
        <v/>
      </c>
      <c r="N635">
        <f>IF(ROWS($N$2:$N635)&lt;=COUNT('Per Invoice'!$P$2:$P$801),MATCH(ROWS($N$2:$N635),'Per Invoice'!$P$2:$P$801,0),"")</f>
        <v/>
      </c>
    </row>
    <row r="636">
      <c r="A636">
        <f>IF($N636="","",IF(INDEX('Per Invoice'!$A$2:$A$801,$N636)="","",INDEX('Per Invoice'!$A$2:$A$801,$N636)))</f>
        <v/>
      </c>
      <c r="B636">
        <f>IF($N636="","",IF(INDEX('Per Invoice'!$B$2:$B$801,$N636)="","",INDEX('Per Invoice'!$B$2:$B$801,$N636)))</f>
        <v/>
      </c>
      <c r="C636">
        <f>IF($N636="","",IF(INDEX('Per Invoice'!$C$2:$C$801,$N636)="","",INDEX('Per Invoice'!$C$2:$C$801,$N636)))</f>
        <v/>
      </c>
      <c r="D636">
        <f>IF($N636="","",IF(INDEX('Per Invoice'!$D$2:$D$801,$N636)="","",INDEX('Per Invoice'!$D$2:$D$801,$N636)))</f>
        <v/>
      </c>
      <c r="E636">
        <f>IF($N636="","",IF(INDEX('Per Invoice'!$E$2:$E$801,$N636)="","",INDEX('Per Invoice'!$E$2:$E$801,$N636)))</f>
        <v/>
      </c>
      <c r="F636">
        <f>IF($N636="","",IF(INDEX('Per Invoice'!$F$2:$F$801,$N636)="","",INDEX('Per Invoice'!$F$2:$F$801,$N636)))</f>
        <v/>
      </c>
      <c r="G636">
        <f>IF($N636="","",IF(INDEX('Per Invoice'!$G$2:$G$801,$N636)="","",INDEX('Per Invoice'!$G$2:$G$801,$N636)))</f>
        <v/>
      </c>
      <c r="H636">
        <f>IF($N636="","",IF(INDEX('Per Invoice'!$H$2:$H$801,$N636)="","",INDEX('Per Invoice'!$H$2:$H$801,$N636)))</f>
        <v/>
      </c>
      <c r="I636" s="5">
        <f>IF($N636="","",IF(INDEX('Per Invoice'!$I$2:$I$801,$N636)="","",INDEX('Per Invoice'!$I$2:$I$801,$N636)))</f>
        <v/>
      </c>
      <c r="J636" s="5">
        <f>IF($N636="","",IF(INDEX('Per Invoice'!$J$2:$J$801,$N636)="","",INDEX('Per Invoice'!$J$2:$J$801,$N636)))</f>
        <v/>
      </c>
      <c r="K636" s="5">
        <f>IF($N636="","",IF(INDEX('Per Invoice'!$K$2:$K$801,$N636)="","",INDEX('Per Invoice'!$K$2:$K$801,$N636)))</f>
        <v/>
      </c>
      <c r="L636" s="5">
        <f>IF($N636="","",IF(INDEX('Per Invoice'!$L$2:$L$801,$N636)="","",INDEX('Per Invoice'!$L$2:$L$801,$N636)))</f>
        <v/>
      </c>
      <c r="M636" s="5">
        <f>IF($N636="","",IF(INDEX('Per Invoice'!$M$2:$M$801,$N636)="","",INDEX('Per Invoice'!$M$2:$M$801,$N636)))</f>
        <v/>
      </c>
      <c r="N636">
        <f>IF(ROWS($N$2:$N636)&lt;=COUNT('Per Invoice'!$P$2:$P$801),MATCH(ROWS($N$2:$N636),'Per Invoice'!$P$2:$P$801,0),"")</f>
        <v/>
      </c>
    </row>
    <row r="637">
      <c r="A637">
        <f>IF($N637="","",IF(INDEX('Per Invoice'!$A$2:$A$801,$N637)="","",INDEX('Per Invoice'!$A$2:$A$801,$N637)))</f>
        <v/>
      </c>
      <c r="B637">
        <f>IF($N637="","",IF(INDEX('Per Invoice'!$B$2:$B$801,$N637)="","",INDEX('Per Invoice'!$B$2:$B$801,$N637)))</f>
        <v/>
      </c>
      <c r="C637">
        <f>IF($N637="","",IF(INDEX('Per Invoice'!$C$2:$C$801,$N637)="","",INDEX('Per Invoice'!$C$2:$C$801,$N637)))</f>
        <v/>
      </c>
      <c r="D637">
        <f>IF($N637="","",IF(INDEX('Per Invoice'!$D$2:$D$801,$N637)="","",INDEX('Per Invoice'!$D$2:$D$801,$N637)))</f>
        <v/>
      </c>
      <c r="E637">
        <f>IF($N637="","",IF(INDEX('Per Invoice'!$E$2:$E$801,$N637)="","",INDEX('Per Invoice'!$E$2:$E$801,$N637)))</f>
        <v/>
      </c>
      <c r="F637">
        <f>IF($N637="","",IF(INDEX('Per Invoice'!$F$2:$F$801,$N637)="","",INDEX('Per Invoice'!$F$2:$F$801,$N637)))</f>
        <v/>
      </c>
      <c r="G637">
        <f>IF($N637="","",IF(INDEX('Per Invoice'!$G$2:$G$801,$N637)="","",INDEX('Per Invoice'!$G$2:$G$801,$N637)))</f>
        <v/>
      </c>
      <c r="H637">
        <f>IF($N637="","",IF(INDEX('Per Invoice'!$H$2:$H$801,$N637)="","",INDEX('Per Invoice'!$H$2:$H$801,$N637)))</f>
        <v/>
      </c>
      <c r="I637" s="5">
        <f>IF($N637="","",IF(INDEX('Per Invoice'!$I$2:$I$801,$N637)="","",INDEX('Per Invoice'!$I$2:$I$801,$N637)))</f>
        <v/>
      </c>
      <c r="J637" s="5">
        <f>IF($N637="","",IF(INDEX('Per Invoice'!$J$2:$J$801,$N637)="","",INDEX('Per Invoice'!$J$2:$J$801,$N637)))</f>
        <v/>
      </c>
      <c r="K637" s="5">
        <f>IF($N637="","",IF(INDEX('Per Invoice'!$K$2:$K$801,$N637)="","",INDEX('Per Invoice'!$K$2:$K$801,$N637)))</f>
        <v/>
      </c>
      <c r="L637" s="5">
        <f>IF($N637="","",IF(INDEX('Per Invoice'!$L$2:$L$801,$N637)="","",INDEX('Per Invoice'!$L$2:$L$801,$N637)))</f>
        <v/>
      </c>
      <c r="M637" s="5">
        <f>IF($N637="","",IF(INDEX('Per Invoice'!$M$2:$M$801,$N637)="","",INDEX('Per Invoice'!$M$2:$M$801,$N637)))</f>
        <v/>
      </c>
      <c r="N637">
        <f>IF(ROWS($N$2:$N637)&lt;=COUNT('Per Invoice'!$P$2:$P$801),MATCH(ROWS($N$2:$N637),'Per Invoice'!$P$2:$P$801,0),"")</f>
        <v/>
      </c>
    </row>
    <row r="638">
      <c r="A638">
        <f>IF($N638="","",IF(INDEX('Per Invoice'!$A$2:$A$801,$N638)="","",INDEX('Per Invoice'!$A$2:$A$801,$N638)))</f>
        <v/>
      </c>
      <c r="B638">
        <f>IF($N638="","",IF(INDEX('Per Invoice'!$B$2:$B$801,$N638)="","",INDEX('Per Invoice'!$B$2:$B$801,$N638)))</f>
        <v/>
      </c>
      <c r="C638">
        <f>IF($N638="","",IF(INDEX('Per Invoice'!$C$2:$C$801,$N638)="","",INDEX('Per Invoice'!$C$2:$C$801,$N638)))</f>
        <v/>
      </c>
      <c r="D638">
        <f>IF($N638="","",IF(INDEX('Per Invoice'!$D$2:$D$801,$N638)="","",INDEX('Per Invoice'!$D$2:$D$801,$N638)))</f>
        <v/>
      </c>
      <c r="E638">
        <f>IF($N638="","",IF(INDEX('Per Invoice'!$E$2:$E$801,$N638)="","",INDEX('Per Invoice'!$E$2:$E$801,$N638)))</f>
        <v/>
      </c>
      <c r="F638">
        <f>IF($N638="","",IF(INDEX('Per Invoice'!$F$2:$F$801,$N638)="","",INDEX('Per Invoice'!$F$2:$F$801,$N638)))</f>
        <v/>
      </c>
      <c r="G638">
        <f>IF($N638="","",IF(INDEX('Per Invoice'!$G$2:$G$801,$N638)="","",INDEX('Per Invoice'!$G$2:$G$801,$N638)))</f>
        <v/>
      </c>
      <c r="H638">
        <f>IF($N638="","",IF(INDEX('Per Invoice'!$H$2:$H$801,$N638)="","",INDEX('Per Invoice'!$H$2:$H$801,$N638)))</f>
        <v/>
      </c>
      <c r="I638" s="5">
        <f>IF($N638="","",IF(INDEX('Per Invoice'!$I$2:$I$801,$N638)="","",INDEX('Per Invoice'!$I$2:$I$801,$N638)))</f>
        <v/>
      </c>
      <c r="J638" s="5">
        <f>IF($N638="","",IF(INDEX('Per Invoice'!$J$2:$J$801,$N638)="","",INDEX('Per Invoice'!$J$2:$J$801,$N638)))</f>
        <v/>
      </c>
      <c r="K638" s="5">
        <f>IF($N638="","",IF(INDEX('Per Invoice'!$K$2:$K$801,$N638)="","",INDEX('Per Invoice'!$K$2:$K$801,$N638)))</f>
        <v/>
      </c>
      <c r="L638" s="5">
        <f>IF($N638="","",IF(INDEX('Per Invoice'!$L$2:$L$801,$N638)="","",INDEX('Per Invoice'!$L$2:$L$801,$N638)))</f>
        <v/>
      </c>
      <c r="M638" s="5">
        <f>IF($N638="","",IF(INDEX('Per Invoice'!$M$2:$M$801,$N638)="","",INDEX('Per Invoice'!$M$2:$M$801,$N638)))</f>
        <v/>
      </c>
      <c r="N638">
        <f>IF(ROWS($N$2:$N638)&lt;=COUNT('Per Invoice'!$P$2:$P$801),MATCH(ROWS($N$2:$N638),'Per Invoice'!$P$2:$P$801,0),"")</f>
        <v/>
      </c>
    </row>
    <row r="639">
      <c r="A639">
        <f>IF($N639="","",IF(INDEX('Per Invoice'!$A$2:$A$801,$N639)="","",INDEX('Per Invoice'!$A$2:$A$801,$N639)))</f>
        <v/>
      </c>
      <c r="B639">
        <f>IF($N639="","",IF(INDEX('Per Invoice'!$B$2:$B$801,$N639)="","",INDEX('Per Invoice'!$B$2:$B$801,$N639)))</f>
        <v/>
      </c>
      <c r="C639">
        <f>IF($N639="","",IF(INDEX('Per Invoice'!$C$2:$C$801,$N639)="","",INDEX('Per Invoice'!$C$2:$C$801,$N639)))</f>
        <v/>
      </c>
      <c r="D639">
        <f>IF($N639="","",IF(INDEX('Per Invoice'!$D$2:$D$801,$N639)="","",INDEX('Per Invoice'!$D$2:$D$801,$N639)))</f>
        <v/>
      </c>
      <c r="E639">
        <f>IF($N639="","",IF(INDEX('Per Invoice'!$E$2:$E$801,$N639)="","",INDEX('Per Invoice'!$E$2:$E$801,$N639)))</f>
        <v/>
      </c>
      <c r="F639">
        <f>IF($N639="","",IF(INDEX('Per Invoice'!$F$2:$F$801,$N639)="","",INDEX('Per Invoice'!$F$2:$F$801,$N639)))</f>
        <v/>
      </c>
      <c r="G639">
        <f>IF($N639="","",IF(INDEX('Per Invoice'!$G$2:$G$801,$N639)="","",INDEX('Per Invoice'!$G$2:$G$801,$N639)))</f>
        <v/>
      </c>
      <c r="H639">
        <f>IF($N639="","",IF(INDEX('Per Invoice'!$H$2:$H$801,$N639)="","",INDEX('Per Invoice'!$H$2:$H$801,$N639)))</f>
        <v/>
      </c>
      <c r="I639" s="5">
        <f>IF($N639="","",IF(INDEX('Per Invoice'!$I$2:$I$801,$N639)="","",INDEX('Per Invoice'!$I$2:$I$801,$N639)))</f>
        <v/>
      </c>
      <c r="J639" s="5">
        <f>IF($N639="","",IF(INDEX('Per Invoice'!$J$2:$J$801,$N639)="","",INDEX('Per Invoice'!$J$2:$J$801,$N639)))</f>
        <v/>
      </c>
      <c r="K639" s="5">
        <f>IF($N639="","",IF(INDEX('Per Invoice'!$K$2:$K$801,$N639)="","",INDEX('Per Invoice'!$K$2:$K$801,$N639)))</f>
        <v/>
      </c>
      <c r="L639" s="5">
        <f>IF($N639="","",IF(INDEX('Per Invoice'!$L$2:$L$801,$N639)="","",INDEX('Per Invoice'!$L$2:$L$801,$N639)))</f>
        <v/>
      </c>
      <c r="M639" s="5">
        <f>IF($N639="","",IF(INDEX('Per Invoice'!$M$2:$M$801,$N639)="","",INDEX('Per Invoice'!$M$2:$M$801,$N639)))</f>
        <v/>
      </c>
      <c r="N639">
        <f>IF(ROWS($N$2:$N639)&lt;=COUNT('Per Invoice'!$P$2:$P$801),MATCH(ROWS($N$2:$N639),'Per Invoice'!$P$2:$P$801,0),"")</f>
        <v/>
      </c>
    </row>
    <row r="640">
      <c r="A640">
        <f>IF($N640="","",IF(INDEX('Per Invoice'!$A$2:$A$801,$N640)="","",INDEX('Per Invoice'!$A$2:$A$801,$N640)))</f>
        <v/>
      </c>
      <c r="B640">
        <f>IF($N640="","",IF(INDEX('Per Invoice'!$B$2:$B$801,$N640)="","",INDEX('Per Invoice'!$B$2:$B$801,$N640)))</f>
        <v/>
      </c>
      <c r="C640">
        <f>IF($N640="","",IF(INDEX('Per Invoice'!$C$2:$C$801,$N640)="","",INDEX('Per Invoice'!$C$2:$C$801,$N640)))</f>
        <v/>
      </c>
      <c r="D640">
        <f>IF($N640="","",IF(INDEX('Per Invoice'!$D$2:$D$801,$N640)="","",INDEX('Per Invoice'!$D$2:$D$801,$N640)))</f>
        <v/>
      </c>
      <c r="E640">
        <f>IF($N640="","",IF(INDEX('Per Invoice'!$E$2:$E$801,$N640)="","",INDEX('Per Invoice'!$E$2:$E$801,$N640)))</f>
        <v/>
      </c>
      <c r="F640">
        <f>IF($N640="","",IF(INDEX('Per Invoice'!$F$2:$F$801,$N640)="","",INDEX('Per Invoice'!$F$2:$F$801,$N640)))</f>
        <v/>
      </c>
      <c r="G640">
        <f>IF($N640="","",IF(INDEX('Per Invoice'!$G$2:$G$801,$N640)="","",INDEX('Per Invoice'!$G$2:$G$801,$N640)))</f>
        <v/>
      </c>
      <c r="H640">
        <f>IF($N640="","",IF(INDEX('Per Invoice'!$H$2:$H$801,$N640)="","",INDEX('Per Invoice'!$H$2:$H$801,$N640)))</f>
        <v/>
      </c>
      <c r="I640" s="5">
        <f>IF($N640="","",IF(INDEX('Per Invoice'!$I$2:$I$801,$N640)="","",INDEX('Per Invoice'!$I$2:$I$801,$N640)))</f>
        <v/>
      </c>
      <c r="J640" s="5">
        <f>IF($N640="","",IF(INDEX('Per Invoice'!$J$2:$J$801,$N640)="","",INDEX('Per Invoice'!$J$2:$J$801,$N640)))</f>
        <v/>
      </c>
      <c r="K640" s="5">
        <f>IF($N640="","",IF(INDEX('Per Invoice'!$K$2:$K$801,$N640)="","",INDEX('Per Invoice'!$K$2:$K$801,$N640)))</f>
        <v/>
      </c>
      <c r="L640" s="5">
        <f>IF($N640="","",IF(INDEX('Per Invoice'!$L$2:$L$801,$N640)="","",INDEX('Per Invoice'!$L$2:$L$801,$N640)))</f>
        <v/>
      </c>
      <c r="M640" s="5">
        <f>IF($N640="","",IF(INDEX('Per Invoice'!$M$2:$M$801,$N640)="","",INDEX('Per Invoice'!$M$2:$M$801,$N640)))</f>
        <v/>
      </c>
      <c r="N640">
        <f>IF(ROWS($N$2:$N640)&lt;=COUNT('Per Invoice'!$P$2:$P$801),MATCH(ROWS($N$2:$N640),'Per Invoice'!$P$2:$P$801,0),"")</f>
        <v/>
      </c>
    </row>
    <row r="641">
      <c r="A641">
        <f>IF($N641="","",IF(INDEX('Per Invoice'!$A$2:$A$801,$N641)="","",INDEX('Per Invoice'!$A$2:$A$801,$N641)))</f>
        <v/>
      </c>
      <c r="B641">
        <f>IF($N641="","",IF(INDEX('Per Invoice'!$B$2:$B$801,$N641)="","",INDEX('Per Invoice'!$B$2:$B$801,$N641)))</f>
        <v/>
      </c>
      <c r="C641">
        <f>IF($N641="","",IF(INDEX('Per Invoice'!$C$2:$C$801,$N641)="","",INDEX('Per Invoice'!$C$2:$C$801,$N641)))</f>
        <v/>
      </c>
      <c r="D641">
        <f>IF($N641="","",IF(INDEX('Per Invoice'!$D$2:$D$801,$N641)="","",INDEX('Per Invoice'!$D$2:$D$801,$N641)))</f>
        <v/>
      </c>
      <c r="E641">
        <f>IF($N641="","",IF(INDEX('Per Invoice'!$E$2:$E$801,$N641)="","",INDEX('Per Invoice'!$E$2:$E$801,$N641)))</f>
        <v/>
      </c>
      <c r="F641">
        <f>IF($N641="","",IF(INDEX('Per Invoice'!$F$2:$F$801,$N641)="","",INDEX('Per Invoice'!$F$2:$F$801,$N641)))</f>
        <v/>
      </c>
      <c r="G641">
        <f>IF($N641="","",IF(INDEX('Per Invoice'!$G$2:$G$801,$N641)="","",INDEX('Per Invoice'!$G$2:$G$801,$N641)))</f>
        <v/>
      </c>
      <c r="H641">
        <f>IF($N641="","",IF(INDEX('Per Invoice'!$H$2:$H$801,$N641)="","",INDEX('Per Invoice'!$H$2:$H$801,$N641)))</f>
        <v/>
      </c>
      <c r="I641" s="5">
        <f>IF($N641="","",IF(INDEX('Per Invoice'!$I$2:$I$801,$N641)="","",INDEX('Per Invoice'!$I$2:$I$801,$N641)))</f>
        <v/>
      </c>
      <c r="J641" s="5">
        <f>IF($N641="","",IF(INDEX('Per Invoice'!$J$2:$J$801,$N641)="","",INDEX('Per Invoice'!$J$2:$J$801,$N641)))</f>
        <v/>
      </c>
      <c r="K641" s="5">
        <f>IF($N641="","",IF(INDEX('Per Invoice'!$K$2:$K$801,$N641)="","",INDEX('Per Invoice'!$K$2:$K$801,$N641)))</f>
        <v/>
      </c>
      <c r="L641" s="5">
        <f>IF($N641="","",IF(INDEX('Per Invoice'!$L$2:$L$801,$N641)="","",INDEX('Per Invoice'!$L$2:$L$801,$N641)))</f>
        <v/>
      </c>
      <c r="M641" s="5">
        <f>IF($N641="","",IF(INDEX('Per Invoice'!$M$2:$M$801,$N641)="","",INDEX('Per Invoice'!$M$2:$M$801,$N641)))</f>
        <v/>
      </c>
      <c r="N641">
        <f>IF(ROWS($N$2:$N641)&lt;=COUNT('Per Invoice'!$P$2:$P$801),MATCH(ROWS($N$2:$N641),'Per Invoice'!$P$2:$P$801,0),"")</f>
        <v/>
      </c>
    </row>
    <row r="642">
      <c r="A642">
        <f>IF($N642="","",IF(INDEX('Per Invoice'!$A$2:$A$801,$N642)="","",INDEX('Per Invoice'!$A$2:$A$801,$N642)))</f>
        <v/>
      </c>
      <c r="B642">
        <f>IF($N642="","",IF(INDEX('Per Invoice'!$B$2:$B$801,$N642)="","",INDEX('Per Invoice'!$B$2:$B$801,$N642)))</f>
        <v/>
      </c>
      <c r="C642">
        <f>IF($N642="","",IF(INDEX('Per Invoice'!$C$2:$C$801,$N642)="","",INDEX('Per Invoice'!$C$2:$C$801,$N642)))</f>
        <v/>
      </c>
      <c r="D642">
        <f>IF($N642="","",IF(INDEX('Per Invoice'!$D$2:$D$801,$N642)="","",INDEX('Per Invoice'!$D$2:$D$801,$N642)))</f>
        <v/>
      </c>
      <c r="E642">
        <f>IF($N642="","",IF(INDEX('Per Invoice'!$E$2:$E$801,$N642)="","",INDEX('Per Invoice'!$E$2:$E$801,$N642)))</f>
        <v/>
      </c>
      <c r="F642">
        <f>IF($N642="","",IF(INDEX('Per Invoice'!$F$2:$F$801,$N642)="","",INDEX('Per Invoice'!$F$2:$F$801,$N642)))</f>
        <v/>
      </c>
      <c r="G642">
        <f>IF($N642="","",IF(INDEX('Per Invoice'!$G$2:$G$801,$N642)="","",INDEX('Per Invoice'!$G$2:$G$801,$N642)))</f>
        <v/>
      </c>
      <c r="H642">
        <f>IF($N642="","",IF(INDEX('Per Invoice'!$H$2:$H$801,$N642)="","",INDEX('Per Invoice'!$H$2:$H$801,$N642)))</f>
        <v/>
      </c>
      <c r="I642" s="5">
        <f>IF($N642="","",IF(INDEX('Per Invoice'!$I$2:$I$801,$N642)="","",INDEX('Per Invoice'!$I$2:$I$801,$N642)))</f>
        <v/>
      </c>
      <c r="J642" s="5">
        <f>IF($N642="","",IF(INDEX('Per Invoice'!$J$2:$J$801,$N642)="","",INDEX('Per Invoice'!$J$2:$J$801,$N642)))</f>
        <v/>
      </c>
      <c r="K642" s="5">
        <f>IF($N642="","",IF(INDEX('Per Invoice'!$K$2:$K$801,$N642)="","",INDEX('Per Invoice'!$K$2:$K$801,$N642)))</f>
        <v/>
      </c>
      <c r="L642" s="5">
        <f>IF($N642="","",IF(INDEX('Per Invoice'!$L$2:$L$801,$N642)="","",INDEX('Per Invoice'!$L$2:$L$801,$N642)))</f>
        <v/>
      </c>
      <c r="M642" s="5">
        <f>IF($N642="","",IF(INDEX('Per Invoice'!$M$2:$M$801,$N642)="","",INDEX('Per Invoice'!$M$2:$M$801,$N642)))</f>
        <v/>
      </c>
      <c r="N642">
        <f>IF(ROWS($N$2:$N642)&lt;=COUNT('Per Invoice'!$P$2:$P$801),MATCH(ROWS($N$2:$N642),'Per Invoice'!$P$2:$P$801,0),"")</f>
        <v/>
      </c>
    </row>
    <row r="643">
      <c r="A643">
        <f>IF($N643="","",IF(INDEX('Per Invoice'!$A$2:$A$801,$N643)="","",INDEX('Per Invoice'!$A$2:$A$801,$N643)))</f>
        <v/>
      </c>
      <c r="B643">
        <f>IF($N643="","",IF(INDEX('Per Invoice'!$B$2:$B$801,$N643)="","",INDEX('Per Invoice'!$B$2:$B$801,$N643)))</f>
        <v/>
      </c>
      <c r="C643">
        <f>IF($N643="","",IF(INDEX('Per Invoice'!$C$2:$C$801,$N643)="","",INDEX('Per Invoice'!$C$2:$C$801,$N643)))</f>
        <v/>
      </c>
      <c r="D643">
        <f>IF($N643="","",IF(INDEX('Per Invoice'!$D$2:$D$801,$N643)="","",INDEX('Per Invoice'!$D$2:$D$801,$N643)))</f>
        <v/>
      </c>
      <c r="E643">
        <f>IF($N643="","",IF(INDEX('Per Invoice'!$E$2:$E$801,$N643)="","",INDEX('Per Invoice'!$E$2:$E$801,$N643)))</f>
        <v/>
      </c>
      <c r="F643">
        <f>IF($N643="","",IF(INDEX('Per Invoice'!$F$2:$F$801,$N643)="","",INDEX('Per Invoice'!$F$2:$F$801,$N643)))</f>
        <v/>
      </c>
      <c r="G643">
        <f>IF($N643="","",IF(INDEX('Per Invoice'!$G$2:$G$801,$N643)="","",INDEX('Per Invoice'!$G$2:$G$801,$N643)))</f>
        <v/>
      </c>
      <c r="H643">
        <f>IF($N643="","",IF(INDEX('Per Invoice'!$H$2:$H$801,$N643)="","",INDEX('Per Invoice'!$H$2:$H$801,$N643)))</f>
        <v/>
      </c>
      <c r="I643" s="5">
        <f>IF($N643="","",IF(INDEX('Per Invoice'!$I$2:$I$801,$N643)="","",INDEX('Per Invoice'!$I$2:$I$801,$N643)))</f>
        <v/>
      </c>
      <c r="J643" s="5">
        <f>IF($N643="","",IF(INDEX('Per Invoice'!$J$2:$J$801,$N643)="","",INDEX('Per Invoice'!$J$2:$J$801,$N643)))</f>
        <v/>
      </c>
      <c r="K643" s="5">
        <f>IF($N643="","",IF(INDEX('Per Invoice'!$K$2:$K$801,$N643)="","",INDEX('Per Invoice'!$K$2:$K$801,$N643)))</f>
        <v/>
      </c>
      <c r="L643" s="5">
        <f>IF($N643="","",IF(INDEX('Per Invoice'!$L$2:$L$801,$N643)="","",INDEX('Per Invoice'!$L$2:$L$801,$N643)))</f>
        <v/>
      </c>
      <c r="M643" s="5">
        <f>IF($N643="","",IF(INDEX('Per Invoice'!$M$2:$M$801,$N643)="","",INDEX('Per Invoice'!$M$2:$M$801,$N643)))</f>
        <v/>
      </c>
      <c r="N643">
        <f>IF(ROWS($N$2:$N643)&lt;=COUNT('Per Invoice'!$P$2:$P$801),MATCH(ROWS($N$2:$N643),'Per Invoice'!$P$2:$P$801,0),"")</f>
        <v/>
      </c>
    </row>
    <row r="644">
      <c r="A644">
        <f>IF($N644="","",IF(INDEX('Per Invoice'!$A$2:$A$801,$N644)="","",INDEX('Per Invoice'!$A$2:$A$801,$N644)))</f>
        <v/>
      </c>
      <c r="B644">
        <f>IF($N644="","",IF(INDEX('Per Invoice'!$B$2:$B$801,$N644)="","",INDEX('Per Invoice'!$B$2:$B$801,$N644)))</f>
        <v/>
      </c>
      <c r="C644">
        <f>IF($N644="","",IF(INDEX('Per Invoice'!$C$2:$C$801,$N644)="","",INDEX('Per Invoice'!$C$2:$C$801,$N644)))</f>
        <v/>
      </c>
      <c r="D644">
        <f>IF($N644="","",IF(INDEX('Per Invoice'!$D$2:$D$801,$N644)="","",INDEX('Per Invoice'!$D$2:$D$801,$N644)))</f>
        <v/>
      </c>
      <c r="E644">
        <f>IF($N644="","",IF(INDEX('Per Invoice'!$E$2:$E$801,$N644)="","",INDEX('Per Invoice'!$E$2:$E$801,$N644)))</f>
        <v/>
      </c>
      <c r="F644">
        <f>IF($N644="","",IF(INDEX('Per Invoice'!$F$2:$F$801,$N644)="","",INDEX('Per Invoice'!$F$2:$F$801,$N644)))</f>
        <v/>
      </c>
      <c r="G644">
        <f>IF($N644="","",IF(INDEX('Per Invoice'!$G$2:$G$801,$N644)="","",INDEX('Per Invoice'!$G$2:$G$801,$N644)))</f>
        <v/>
      </c>
      <c r="H644">
        <f>IF($N644="","",IF(INDEX('Per Invoice'!$H$2:$H$801,$N644)="","",INDEX('Per Invoice'!$H$2:$H$801,$N644)))</f>
        <v/>
      </c>
      <c r="I644" s="5">
        <f>IF($N644="","",IF(INDEX('Per Invoice'!$I$2:$I$801,$N644)="","",INDEX('Per Invoice'!$I$2:$I$801,$N644)))</f>
        <v/>
      </c>
      <c r="J644" s="5">
        <f>IF($N644="","",IF(INDEX('Per Invoice'!$J$2:$J$801,$N644)="","",INDEX('Per Invoice'!$J$2:$J$801,$N644)))</f>
        <v/>
      </c>
      <c r="K644" s="5">
        <f>IF($N644="","",IF(INDEX('Per Invoice'!$K$2:$K$801,$N644)="","",INDEX('Per Invoice'!$K$2:$K$801,$N644)))</f>
        <v/>
      </c>
      <c r="L644" s="5">
        <f>IF($N644="","",IF(INDEX('Per Invoice'!$L$2:$L$801,$N644)="","",INDEX('Per Invoice'!$L$2:$L$801,$N644)))</f>
        <v/>
      </c>
      <c r="M644" s="5">
        <f>IF($N644="","",IF(INDEX('Per Invoice'!$M$2:$M$801,$N644)="","",INDEX('Per Invoice'!$M$2:$M$801,$N644)))</f>
        <v/>
      </c>
      <c r="N644">
        <f>IF(ROWS($N$2:$N644)&lt;=COUNT('Per Invoice'!$P$2:$P$801),MATCH(ROWS($N$2:$N644),'Per Invoice'!$P$2:$P$801,0),"")</f>
        <v/>
      </c>
    </row>
    <row r="645">
      <c r="A645">
        <f>IF($N645="","",IF(INDEX('Per Invoice'!$A$2:$A$801,$N645)="","",INDEX('Per Invoice'!$A$2:$A$801,$N645)))</f>
        <v/>
      </c>
      <c r="B645">
        <f>IF($N645="","",IF(INDEX('Per Invoice'!$B$2:$B$801,$N645)="","",INDEX('Per Invoice'!$B$2:$B$801,$N645)))</f>
        <v/>
      </c>
      <c r="C645">
        <f>IF($N645="","",IF(INDEX('Per Invoice'!$C$2:$C$801,$N645)="","",INDEX('Per Invoice'!$C$2:$C$801,$N645)))</f>
        <v/>
      </c>
      <c r="D645">
        <f>IF($N645="","",IF(INDEX('Per Invoice'!$D$2:$D$801,$N645)="","",INDEX('Per Invoice'!$D$2:$D$801,$N645)))</f>
        <v/>
      </c>
      <c r="E645">
        <f>IF($N645="","",IF(INDEX('Per Invoice'!$E$2:$E$801,$N645)="","",INDEX('Per Invoice'!$E$2:$E$801,$N645)))</f>
        <v/>
      </c>
      <c r="F645">
        <f>IF($N645="","",IF(INDEX('Per Invoice'!$F$2:$F$801,$N645)="","",INDEX('Per Invoice'!$F$2:$F$801,$N645)))</f>
        <v/>
      </c>
      <c r="G645">
        <f>IF($N645="","",IF(INDEX('Per Invoice'!$G$2:$G$801,$N645)="","",INDEX('Per Invoice'!$G$2:$G$801,$N645)))</f>
        <v/>
      </c>
      <c r="H645">
        <f>IF($N645="","",IF(INDEX('Per Invoice'!$H$2:$H$801,$N645)="","",INDEX('Per Invoice'!$H$2:$H$801,$N645)))</f>
        <v/>
      </c>
      <c r="I645" s="5">
        <f>IF($N645="","",IF(INDEX('Per Invoice'!$I$2:$I$801,$N645)="","",INDEX('Per Invoice'!$I$2:$I$801,$N645)))</f>
        <v/>
      </c>
      <c r="J645" s="5">
        <f>IF($N645="","",IF(INDEX('Per Invoice'!$J$2:$J$801,$N645)="","",INDEX('Per Invoice'!$J$2:$J$801,$N645)))</f>
        <v/>
      </c>
      <c r="K645" s="5">
        <f>IF($N645="","",IF(INDEX('Per Invoice'!$K$2:$K$801,$N645)="","",INDEX('Per Invoice'!$K$2:$K$801,$N645)))</f>
        <v/>
      </c>
      <c r="L645" s="5">
        <f>IF($N645="","",IF(INDEX('Per Invoice'!$L$2:$L$801,$N645)="","",INDEX('Per Invoice'!$L$2:$L$801,$N645)))</f>
        <v/>
      </c>
      <c r="M645" s="5">
        <f>IF($N645="","",IF(INDEX('Per Invoice'!$M$2:$M$801,$N645)="","",INDEX('Per Invoice'!$M$2:$M$801,$N645)))</f>
        <v/>
      </c>
      <c r="N645">
        <f>IF(ROWS($N$2:$N645)&lt;=COUNT('Per Invoice'!$P$2:$P$801),MATCH(ROWS($N$2:$N645),'Per Invoice'!$P$2:$P$801,0),"")</f>
        <v/>
      </c>
    </row>
    <row r="646">
      <c r="A646">
        <f>IF($N646="","",IF(INDEX('Per Invoice'!$A$2:$A$801,$N646)="","",INDEX('Per Invoice'!$A$2:$A$801,$N646)))</f>
        <v/>
      </c>
      <c r="B646">
        <f>IF($N646="","",IF(INDEX('Per Invoice'!$B$2:$B$801,$N646)="","",INDEX('Per Invoice'!$B$2:$B$801,$N646)))</f>
        <v/>
      </c>
      <c r="C646">
        <f>IF($N646="","",IF(INDEX('Per Invoice'!$C$2:$C$801,$N646)="","",INDEX('Per Invoice'!$C$2:$C$801,$N646)))</f>
        <v/>
      </c>
      <c r="D646">
        <f>IF($N646="","",IF(INDEX('Per Invoice'!$D$2:$D$801,$N646)="","",INDEX('Per Invoice'!$D$2:$D$801,$N646)))</f>
        <v/>
      </c>
      <c r="E646">
        <f>IF($N646="","",IF(INDEX('Per Invoice'!$E$2:$E$801,$N646)="","",INDEX('Per Invoice'!$E$2:$E$801,$N646)))</f>
        <v/>
      </c>
      <c r="F646">
        <f>IF($N646="","",IF(INDEX('Per Invoice'!$F$2:$F$801,$N646)="","",INDEX('Per Invoice'!$F$2:$F$801,$N646)))</f>
        <v/>
      </c>
      <c r="G646">
        <f>IF($N646="","",IF(INDEX('Per Invoice'!$G$2:$G$801,$N646)="","",INDEX('Per Invoice'!$G$2:$G$801,$N646)))</f>
        <v/>
      </c>
      <c r="H646">
        <f>IF($N646="","",IF(INDEX('Per Invoice'!$H$2:$H$801,$N646)="","",INDEX('Per Invoice'!$H$2:$H$801,$N646)))</f>
        <v/>
      </c>
      <c r="I646" s="5">
        <f>IF($N646="","",IF(INDEX('Per Invoice'!$I$2:$I$801,$N646)="","",INDEX('Per Invoice'!$I$2:$I$801,$N646)))</f>
        <v/>
      </c>
      <c r="J646" s="5">
        <f>IF($N646="","",IF(INDEX('Per Invoice'!$J$2:$J$801,$N646)="","",INDEX('Per Invoice'!$J$2:$J$801,$N646)))</f>
        <v/>
      </c>
      <c r="K646" s="5">
        <f>IF($N646="","",IF(INDEX('Per Invoice'!$K$2:$K$801,$N646)="","",INDEX('Per Invoice'!$K$2:$K$801,$N646)))</f>
        <v/>
      </c>
      <c r="L646" s="5">
        <f>IF($N646="","",IF(INDEX('Per Invoice'!$L$2:$L$801,$N646)="","",INDEX('Per Invoice'!$L$2:$L$801,$N646)))</f>
        <v/>
      </c>
      <c r="M646" s="5">
        <f>IF($N646="","",IF(INDEX('Per Invoice'!$M$2:$M$801,$N646)="","",INDEX('Per Invoice'!$M$2:$M$801,$N646)))</f>
        <v/>
      </c>
      <c r="N646">
        <f>IF(ROWS($N$2:$N646)&lt;=COUNT('Per Invoice'!$P$2:$P$801),MATCH(ROWS($N$2:$N646),'Per Invoice'!$P$2:$P$801,0),"")</f>
        <v/>
      </c>
    </row>
    <row r="647">
      <c r="A647">
        <f>IF($N647="","",IF(INDEX('Per Invoice'!$A$2:$A$801,$N647)="","",INDEX('Per Invoice'!$A$2:$A$801,$N647)))</f>
        <v/>
      </c>
      <c r="B647">
        <f>IF($N647="","",IF(INDEX('Per Invoice'!$B$2:$B$801,$N647)="","",INDEX('Per Invoice'!$B$2:$B$801,$N647)))</f>
        <v/>
      </c>
      <c r="C647">
        <f>IF($N647="","",IF(INDEX('Per Invoice'!$C$2:$C$801,$N647)="","",INDEX('Per Invoice'!$C$2:$C$801,$N647)))</f>
        <v/>
      </c>
      <c r="D647">
        <f>IF($N647="","",IF(INDEX('Per Invoice'!$D$2:$D$801,$N647)="","",INDEX('Per Invoice'!$D$2:$D$801,$N647)))</f>
        <v/>
      </c>
      <c r="E647">
        <f>IF($N647="","",IF(INDEX('Per Invoice'!$E$2:$E$801,$N647)="","",INDEX('Per Invoice'!$E$2:$E$801,$N647)))</f>
        <v/>
      </c>
      <c r="F647">
        <f>IF($N647="","",IF(INDEX('Per Invoice'!$F$2:$F$801,$N647)="","",INDEX('Per Invoice'!$F$2:$F$801,$N647)))</f>
        <v/>
      </c>
      <c r="G647">
        <f>IF($N647="","",IF(INDEX('Per Invoice'!$G$2:$G$801,$N647)="","",INDEX('Per Invoice'!$G$2:$G$801,$N647)))</f>
        <v/>
      </c>
      <c r="H647">
        <f>IF($N647="","",IF(INDEX('Per Invoice'!$H$2:$H$801,$N647)="","",INDEX('Per Invoice'!$H$2:$H$801,$N647)))</f>
        <v/>
      </c>
      <c r="I647" s="5">
        <f>IF($N647="","",IF(INDEX('Per Invoice'!$I$2:$I$801,$N647)="","",INDEX('Per Invoice'!$I$2:$I$801,$N647)))</f>
        <v/>
      </c>
      <c r="J647" s="5">
        <f>IF($N647="","",IF(INDEX('Per Invoice'!$J$2:$J$801,$N647)="","",INDEX('Per Invoice'!$J$2:$J$801,$N647)))</f>
        <v/>
      </c>
      <c r="K647" s="5">
        <f>IF($N647="","",IF(INDEX('Per Invoice'!$K$2:$K$801,$N647)="","",INDEX('Per Invoice'!$K$2:$K$801,$N647)))</f>
        <v/>
      </c>
      <c r="L647" s="5">
        <f>IF($N647="","",IF(INDEX('Per Invoice'!$L$2:$L$801,$N647)="","",INDEX('Per Invoice'!$L$2:$L$801,$N647)))</f>
        <v/>
      </c>
      <c r="M647" s="5">
        <f>IF($N647="","",IF(INDEX('Per Invoice'!$M$2:$M$801,$N647)="","",INDEX('Per Invoice'!$M$2:$M$801,$N647)))</f>
        <v/>
      </c>
      <c r="N647">
        <f>IF(ROWS($N$2:$N647)&lt;=COUNT('Per Invoice'!$P$2:$P$801),MATCH(ROWS($N$2:$N647),'Per Invoice'!$P$2:$P$801,0),"")</f>
        <v/>
      </c>
    </row>
    <row r="648">
      <c r="A648">
        <f>IF($N648="","",IF(INDEX('Per Invoice'!$A$2:$A$801,$N648)="","",INDEX('Per Invoice'!$A$2:$A$801,$N648)))</f>
        <v/>
      </c>
      <c r="B648">
        <f>IF($N648="","",IF(INDEX('Per Invoice'!$B$2:$B$801,$N648)="","",INDEX('Per Invoice'!$B$2:$B$801,$N648)))</f>
        <v/>
      </c>
      <c r="C648">
        <f>IF($N648="","",IF(INDEX('Per Invoice'!$C$2:$C$801,$N648)="","",INDEX('Per Invoice'!$C$2:$C$801,$N648)))</f>
        <v/>
      </c>
      <c r="D648">
        <f>IF($N648="","",IF(INDEX('Per Invoice'!$D$2:$D$801,$N648)="","",INDEX('Per Invoice'!$D$2:$D$801,$N648)))</f>
        <v/>
      </c>
      <c r="E648">
        <f>IF($N648="","",IF(INDEX('Per Invoice'!$E$2:$E$801,$N648)="","",INDEX('Per Invoice'!$E$2:$E$801,$N648)))</f>
        <v/>
      </c>
      <c r="F648">
        <f>IF($N648="","",IF(INDEX('Per Invoice'!$F$2:$F$801,$N648)="","",INDEX('Per Invoice'!$F$2:$F$801,$N648)))</f>
        <v/>
      </c>
      <c r="G648">
        <f>IF($N648="","",IF(INDEX('Per Invoice'!$G$2:$G$801,$N648)="","",INDEX('Per Invoice'!$G$2:$G$801,$N648)))</f>
        <v/>
      </c>
      <c r="H648">
        <f>IF($N648="","",IF(INDEX('Per Invoice'!$H$2:$H$801,$N648)="","",INDEX('Per Invoice'!$H$2:$H$801,$N648)))</f>
        <v/>
      </c>
      <c r="I648" s="5">
        <f>IF($N648="","",IF(INDEX('Per Invoice'!$I$2:$I$801,$N648)="","",INDEX('Per Invoice'!$I$2:$I$801,$N648)))</f>
        <v/>
      </c>
      <c r="J648" s="5">
        <f>IF($N648="","",IF(INDEX('Per Invoice'!$J$2:$J$801,$N648)="","",INDEX('Per Invoice'!$J$2:$J$801,$N648)))</f>
        <v/>
      </c>
      <c r="K648" s="5">
        <f>IF($N648="","",IF(INDEX('Per Invoice'!$K$2:$K$801,$N648)="","",INDEX('Per Invoice'!$K$2:$K$801,$N648)))</f>
        <v/>
      </c>
      <c r="L648" s="5">
        <f>IF($N648="","",IF(INDEX('Per Invoice'!$L$2:$L$801,$N648)="","",INDEX('Per Invoice'!$L$2:$L$801,$N648)))</f>
        <v/>
      </c>
      <c r="M648" s="5">
        <f>IF($N648="","",IF(INDEX('Per Invoice'!$M$2:$M$801,$N648)="","",INDEX('Per Invoice'!$M$2:$M$801,$N648)))</f>
        <v/>
      </c>
      <c r="N648">
        <f>IF(ROWS($N$2:$N648)&lt;=COUNT('Per Invoice'!$P$2:$P$801),MATCH(ROWS($N$2:$N648),'Per Invoice'!$P$2:$P$801,0),"")</f>
        <v/>
      </c>
    </row>
    <row r="649">
      <c r="A649">
        <f>IF($N649="","",IF(INDEX('Per Invoice'!$A$2:$A$801,$N649)="","",INDEX('Per Invoice'!$A$2:$A$801,$N649)))</f>
        <v/>
      </c>
      <c r="B649">
        <f>IF($N649="","",IF(INDEX('Per Invoice'!$B$2:$B$801,$N649)="","",INDEX('Per Invoice'!$B$2:$B$801,$N649)))</f>
        <v/>
      </c>
      <c r="C649">
        <f>IF($N649="","",IF(INDEX('Per Invoice'!$C$2:$C$801,$N649)="","",INDEX('Per Invoice'!$C$2:$C$801,$N649)))</f>
        <v/>
      </c>
      <c r="D649">
        <f>IF($N649="","",IF(INDEX('Per Invoice'!$D$2:$D$801,$N649)="","",INDEX('Per Invoice'!$D$2:$D$801,$N649)))</f>
        <v/>
      </c>
      <c r="E649">
        <f>IF($N649="","",IF(INDEX('Per Invoice'!$E$2:$E$801,$N649)="","",INDEX('Per Invoice'!$E$2:$E$801,$N649)))</f>
        <v/>
      </c>
      <c r="F649">
        <f>IF($N649="","",IF(INDEX('Per Invoice'!$F$2:$F$801,$N649)="","",INDEX('Per Invoice'!$F$2:$F$801,$N649)))</f>
        <v/>
      </c>
      <c r="G649">
        <f>IF($N649="","",IF(INDEX('Per Invoice'!$G$2:$G$801,$N649)="","",INDEX('Per Invoice'!$G$2:$G$801,$N649)))</f>
        <v/>
      </c>
      <c r="H649">
        <f>IF($N649="","",IF(INDEX('Per Invoice'!$H$2:$H$801,$N649)="","",INDEX('Per Invoice'!$H$2:$H$801,$N649)))</f>
        <v/>
      </c>
      <c r="I649" s="5">
        <f>IF($N649="","",IF(INDEX('Per Invoice'!$I$2:$I$801,$N649)="","",INDEX('Per Invoice'!$I$2:$I$801,$N649)))</f>
        <v/>
      </c>
      <c r="J649" s="5">
        <f>IF($N649="","",IF(INDEX('Per Invoice'!$J$2:$J$801,$N649)="","",INDEX('Per Invoice'!$J$2:$J$801,$N649)))</f>
        <v/>
      </c>
      <c r="K649" s="5">
        <f>IF($N649="","",IF(INDEX('Per Invoice'!$K$2:$K$801,$N649)="","",INDEX('Per Invoice'!$K$2:$K$801,$N649)))</f>
        <v/>
      </c>
      <c r="L649" s="5">
        <f>IF($N649="","",IF(INDEX('Per Invoice'!$L$2:$L$801,$N649)="","",INDEX('Per Invoice'!$L$2:$L$801,$N649)))</f>
        <v/>
      </c>
      <c r="M649" s="5">
        <f>IF($N649="","",IF(INDEX('Per Invoice'!$M$2:$M$801,$N649)="","",INDEX('Per Invoice'!$M$2:$M$801,$N649)))</f>
        <v/>
      </c>
      <c r="N649">
        <f>IF(ROWS($N$2:$N649)&lt;=COUNT('Per Invoice'!$P$2:$P$801),MATCH(ROWS($N$2:$N649),'Per Invoice'!$P$2:$P$801,0),"")</f>
        <v/>
      </c>
    </row>
    <row r="650">
      <c r="A650">
        <f>IF($N650="","",IF(INDEX('Per Invoice'!$A$2:$A$801,$N650)="","",INDEX('Per Invoice'!$A$2:$A$801,$N650)))</f>
        <v/>
      </c>
      <c r="B650">
        <f>IF($N650="","",IF(INDEX('Per Invoice'!$B$2:$B$801,$N650)="","",INDEX('Per Invoice'!$B$2:$B$801,$N650)))</f>
        <v/>
      </c>
      <c r="C650">
        <f>IF($N650="","",IF(INDEX('Per Invoice'!$C$2:$C$801,$N650)="","",INDEX('Per Invoice'!$C$2:$C$801,$N650)))</f>
        <v/>
      </c>
      <c r="D650">
        <f>IF($N650="","",IF(INDEX('Per Invoice'!$D$2:$D$801,$N650)="","",INDEX('Per Invoice'!$D$2:$D$801,$N650)))</f>
        <v/>
      </c>
      <c r="E650">
        <f>IF($N650="","",IF(INDEX('Per Invoice'!$E$2:$E$801,$N650)="","",INDEX('Per Invoice'!$E$2:$E$801,$N650)))</f>
        <v/>
      </c>
      <c r="F650">
        <f>IF($N650="","",IF(INDEX('Per Invoice'!$F$2:$F$801,$N650)="","",INDEX('Per Invoice'!$F$2:$F$801,$N650)))</f>
        <v/>
      </c>
      <c r="G650">
        <f>IF($N650="","",IF(INDEX('Per Invoice'!$G$2:$G$801,$N650)="","",INDEX('Per Invoice'!$G$2:$G$801,$N650)))</f>
        <v/>
      </c>
      <c r="H650">
        <f>IF($N650="","",IF(INDEX('Per Invoice'!$H$2:$H$801,$N650)="","",INDEX('Per Invoice'!$H$2:$H$801,$N650)))</f>
        <v/>
      </c>
      <c r="I650" s="5">
        <f>IF($N650="","",IF(INDEX('Per Invoice'!$I$2:$I$801,$N650)="","",INDEX('Per Invoice'!$I$2:$I$801,$N650)))</f>
        <v/>
      </c>
      <c r="J650" s="5">
        <f>IF($N650="","",IF(INDEX('Per Invoice'!$J$2:$J$801,$N650)="","",INDEX('Per Invoice'!$J$2:$J$801,$N650)))</f>
        <v/>
      </c>
      <c r="K650" s="5">
        <f>IF($N650="","",IF(INDEX('Per Invoice'!$K$2:$K$801,$N650)="","",INDEX('Per Invoice'!$K$2:$K$801,$N650)))</f>
        <v/>
      </c>
      <c r="L650" s="5">
        <f>IF($N650="","",IF(INDEX('Per Invoice'!$L$2:$L$801,$N650)="","",INDEX('Per Invoice'!$L$2:$L$801,$N650)))</f>
        <v/>
      </c>
      <c r="M650" s="5">
        <f>IF($N650="","",IF(INDEX('Per Invoice'!$M$2:$M$801,$N650)="","",INDEX('Per Invoice'!$M$2:$M$801,$N650)))</f>
        <v/>
      </c>
      <c r="N650">
        <f>IF(ROWS($N$2:$N650)&lt;=COUNT('Per Invoice'!$P$2:$P$801),MATCH(ROWS($N$2:$N650),'Per Invoice'!$P$2:$P$801,0),"")</f>
        <v/>
      </c>
    </row>
    <row r="651">
      <c r="A651">
        <f>IF($N651="","",IF(INDEX('Per Invoice'!$A$2:$A$801,$N651)="","",INDEX('Per Invoice'!$A$2:$A$801,$N651)))</f>
        <v/>
      </c>
      <c r="B651">
        <f>IF($N651="","",IF(INDEX('Per Invoice'!$B$2:$B$801,$N651)="","",INDEX('Per Invoice'!$B$2:$B$801,$N651)))</f>
        <v/>
      </c>
      <c r="C651">
        <f>IF($N651="","",IF(INDEX('Per Invoice'!$C$2:$C$801,$N651)="","",INDEX('Per Invoice'!$C$2:$C$801,$N651)))</f>
        <v/>
      </c>
      <c r="D651">
        <f>IF($N651="","",IF(INDEX('Per Invoice'!$D$2:$D$801,$N651)="","",INDEX('Per Invoice'!$D$2:$D$801,$N651)))</f>
        <v/>
      </c>
      <c r="E651">
        <f>IF($N651="","",IF(INDEX('Per Invoice'!$E$2:$E$801,$N651)="","",INDEX('Per Invoice'!$E$2:$E$801,$N651)))</f>
        <v/>
      </c>
      <c r="F651">
        <f>IF($N651="","",IF(INDEX('Per Invoice'!$F$2:$F$801,$N651)="","",INDEX('Per Invoice'!$F$2:$F$801,$N651)))</f>
        <v/>
      </c>
      <c r="G651">
        <f>IF($N651="","",IF(INDEX('Per Invoice'!$G$2:$G$801,$N651)="","",INDEX('Per Invoice'!$G$2:$G$801,$N651)))</f>
        <v/>
      </c>
      <c r="H651">
        <f>IF($N651="","",IF(INDEX('Per Invoice'!$H$2:$H$801,$N651)="","",INDEX('Per Invoice'!$H$2:$H$801,$N651)))</f>
        <v/>
      </c>
      <c r="I651" s="5">
        <f>IF($N651="","",IF(INDEX('Per Invoice'!$I$2:$I$801,$N651)="","",INDEX('Per Invoice'!$I$2:$I$801,$N651)))</f>
        <v/>
      </c>
      <c r="J651" s="5">
        <f>IF($N651="","",IF(INDEX('Per Invoice'!$J$2:$J$801,$N651)="","",INDEX('Per Invoice'!$J$2:$J$801,$N651)))</f>
        <v/>
      </c>
      <c r="K651" s="5">
        <f>IF($N651="","",IF(INDEX('Per Invoice'!$K$2:$K$801,$N651)="","",INDEX('Per Invoice'!$K$2:$K$801,$N651)))</f>
        <v/>
      </c>
      <c r="L651" s="5">
        <f>IF($N651="","",IF(INDEX('Per Invoice'!$L$2:$L$801,$N651)="","",INDEX('Per Invoice'!$L$2:$L$801,$N651)))</f>
        <v/>
      </c>
      <c r="M651" s="5">
        <f>IF($N651="","",IF(INDEX('Per Invoice'!$M$2:$M$801,$N651)="","",INDEX('Per Invoice'!$M$2:$M$801,$N651)))</f>
        <v/>
      </c>
      <c r="N651">
        <f>IF(ROWS($N$2:$N651)&lt;=COUNT('Per Invoice'!$P$2:$P$801),MATCH(ROWS($N$2:$N651),'Per Invoice'!$P$2:$P$801,0),"")</f>
        <v/>
      </c>
    </row>
    <row r="652">
      <c r="A652">
        <f>IF($N652="","",IF(INDEX('Per Invoice'!$A$2:$A$801,$N652)="","",INDEX('Per Invoice'!$A$2:$A$801,$N652)))</f>
        <v/>
      </c>
      <c r="B652">
        <f>IF($N652="","",IF(INDEX('Per Invoice'!$B$2:$B$801,$N652)="","",INDEX('Per Invoice'!$B$2:$B$801,$N652)))</f>
        <v/>
      </c>
      <c r="C652">
        <f>IF($N652="","",IF(INDEX('Per Invoice'!$C$2:$C$801,$N652)="","",INDEX('Per Invoice'!$C$2:$C$801,$N652)))</f>
        <v/>
      </c>
      <c r="D652">
        <f>IF($N652="","",IF(INDEX('Per Invoice'!$D$2:$D$801,$N652)="","",INDEX('Per Invoice'!$D$2:$D$801,$N652)))</f>
        <v/>
      </c>
      <c r="E652">
        <f>IF($N652="","",IF(INDEX('Per Invoice'!$E$2:$E$801,$N652)="","",INDEX('Per Invoice'!$E$2:$E$801,$N652)))</f>
        <v/>
      </c>
      <c r="F652">
        <f>IF($N652="","",IF(INDEX('Per Invoice'!$F$2:$F$801,$N652)="","",INDEX('Per Invoice'!$F$2:$F$801,$N652)))</f>
        <v/>
      </c>
      <c r="G652">
        <f>IF($N652="","",IF(INDEX('Per Invoice'!$G$2:$G$801,$N652)="","",INDEX('Per Invoice'!$G$2:$G$801,$N652)))</f>
        <v/>
      </c>
      <c r="H652">
        <f>IF($N652="","",IF(INDEX('Per Invoice'!$H$2:$H$801,$N652)="","",INDEX('Per Invoice'!$H$2:$H$801,$N652)))</f>
        <v/>
      </c>
      <c r="I652" s="5">
        <f>IF($N652="","",IF(INDEX('Per Invoice'!$I$2:$I$801,$N652)="","",INDEX('Per Invoice'!$I$2:$I$801,$N652)))</f>
        <v/>
      </c>
      <c r="J652" s="5">
        <f>IF($N652="","",IF(INDEX('Per Invoice'!$J$2:$J$801,$N652)="","",INDEX('Per Invoice'!$J$2:$J$801,$N652)))</f>
        <v/>
      </c>
      <c r="K652" s="5">
        <f>IF($N652="","",IF(INDEX('Per Invoice'!$K$2:$K$801,$N652)="","",INDEX('Per Invoice'!$K$2:$K$801,$N652)))</f>
        <v/>
      </c>
      <c r="L652" s="5">
        <f>IF($N652="","",IF(INDEX('Per Invoice'!$L$2:$L$801,$N652)="","",INDEX('Per Invoice'!$L$2:$L$801,$N652)))</f>
        <v/>
      </c>
      <c r="M652" s="5">
        <f>IF($N652="","",IF(INDEX('Per Invoice'!$M$2:$M$801,$N652)="","",INDEX('Per Invoice'!$M$2:$M$801,$N652)))</f>
        <v/>
      </c>
      <c r="N652">
        <f>IF(ROWS($N$2:$N652)&lt;=COUNT('Per Invoice'!$P$2:$P$801),MATCH(ROWS($N$2:$N652),'Per Invoice'!$P$2:$P$801,0),"")</f>
        <v/>
      </c>
    </row>
    <row r="653">
      <c r="A653">
        <f>IF($N653="","",IF(INDEX('Per Invoice'!$A$2:$A$801,$N653)="","",INDEX('Per Invoice'!$A$2:$A$801,$N653)))</f>
        <v/>
      </c>
      <c r="B653">
        <f>IF($N653="","",IF(INDEX('Per Invoice'!$B$2:$B$801,$N653)="","",INDEX('Per Invoice'!$B$2:$B$801,$N653)))</f>
        <v/>
      </c>
      <c r="C653">
        <f>IF($N653="","",IF(INDEX('Per Invoice'!$C$2:$C$801,$N653)="","",INDEX('Per Invoice'!$C$2:$C$801,$N653)))</f>
        <v/>
      </c>
      <c r="D653">
        <f>IF($N653="","",IF(INDEX('Per Invoice'!$D$2:$D$801,$N653)="","",INDEX('Per Invoice'!$D$2:$D$801,$N653)))</f>
        <v/>
      </c>
      <c r="E653">
        <f>IF($N653="","",IF(INDEX('Per Invoice'!$E$2:$E$801,$N653)="","",INDEX('Per Invoice'!$E$2:$E$801,$N653)))</f>
        <v/>
      </c>
      <c r="F653">
        <f>IF($N653="","",IF(INDEX('Per Invoice'!$F$2:$F$801,$N653)="","",INDEX('Per Invoice'!$F$2:$F$801,$N653)))</f>
        <v/>
      </c>
      <c r="G653">
        <f>IF($N653="","",IF(INDEX('Per Invoice'!$G$2:$G$801,$N653)="","",INDEX('Per Invoice'!$G$2:$G$801,$N653)))</f>
        <v/>
      </c>
      <c r="H653">
        <f>IF($N653="","",IF(INDEX('Per Invoice'!$H$2:$H$801,$N653)="","",INDEX('Per Invoice'!$H$2:$H$801,$N653)))</f>
        <v/>
      </c>
      <c r="I653" s="5">
        <f>IF($N653="","",IF(INDEX('Per Invoice'!$I$2:$I$801,$N653)="","",INDEX('Per Invoice'!$I$2:$I$801,$N653)))</f>
        <v/>
      </c>
      <c r="J653" s="5">
        <f>IF($N653="","",IF(INDEX('Per Invoice'!$J$2:$J$801,$N653)="","",INDEX('Per Invoice'!$J$2:$J$801,$N653)))</f>
        <v/>
      </c>
      <c r="K653" s="5">
        <f>IF($N653="","",IF(INDEX('Per Invoice'!$K$2:$K$801,$N653)="","",INDEX('Per Invoice'!$K$2:$K$801,$N653)))</f>
        <v/>
      </c>
      <c r="L653" s="5">
        <f>IF($N653="","",IF(INDEX('Per Invoice'!$L$2:$L$801,$N653)="","",INDEX('Per Invoice'!$L$2:$L$801,$N653)))</f>
        <v/>
      </c>
      <c r="M653" s="5">
        <f>IF($N653="","",IF(INDEX('Per Invoice'!$M$2:$M$801,$N653)="","",INDEX('Per Invoice'!$M$2:$M$801,$N653)))</f>
        <v/>
      </c>
      <c r="N653">
        <f>IF(ROWS($N$2:$N653)&lt;=COUNT('Per Invoice'!$P$2:$P$801),MATCH(ROWS($N$2:$N653),'Per Invoice'!$P$2:$P$801,0),"")</f>
        <v/>
      </c>
    </row>
    <row r="654">
      <c r="A654">
        <f>IF($N654="","",IF(INDEX('Per Invoice'!$A$2:$A$801,$N654)="","",INDEX('Per Invoice'!$A$2:$A$801,$N654)))</f>
        <v/>
      </c>
      <c r="B654">
        <f>IF($N654="","",IF(INDEX('Per Invoice'!$B$2:$B$801,$N654)="","",INDEX('Per Invoice'!$B$2:$B$801,$N654)))</f>
        <v/>
      </c>
      <c r="C654">
        <f>IF($N654="","",IF(INDEX('Per Invoice'!$C$2:$C$801,$N654)="","",INDEX('Per Invoice'!$C$2:$C$801,$N654)))</f>
        <v/>
      </c>
      <c r="D654">
        <f>IF($N654="","",IF(INDEX('Per Invoice'!$D$2:$D$801,$N654)="","",INDEX('Per Invoice'!$D$2:$D$801,$N654)))</f>
        <v/>
      </c>
      <c r="E654">
        <f>IF($N654="","",IF(INDEX('Per Invoice'!$E$2:$E$801,$N654)="","",INDEX('Per Invoice'!$E$2:$E$801,$N654)))</f>
        <v/>
      </c>
      <c r="F654">
        <f>IF($N654="","",IF(INDEX('Per Invoice'!$F$2:$F$801,$N654)="","",INDEX('Per Invoice'!$F$2:$F$801,$N654)))</f>
        <v/>
      </c>
      <c r="G654">
        <f>IF($N654="","",IF(INDEX('Per Invoice'!$G$2:$G$801,$N654)="","",INDEX('Per Invoice'!$G$2:$G$801,$N654)))</f>
        <v/>
      </c>
      <c r="H654">
        <f>IF($N654="","",IF(INDEX('Per Invoice'!$H$2:$H$801,$N654)="","",INDEX('Per Invoice'!$H$2:$H$801,$N654)))</f>
        <v/>
      </c>
      <c r="I654" s="5">
        <f>IF($N654="","",IF(INDEX('Per Invoice'!$I$2:$I$801,$N654)="","",INDEX('Per Invoice'!$I$2:$I$801,$N654)))</f>
        <v/>
      </c>
      <c r="J654" s="5">
        <f>IF($N654="","",IF(INDEX('Per Invoice'!$J$2:$J$801,$N654)="","",INDEX('Per Invoice'!$J$2:$J$801,$N654)))</f>
        <v/>
      </c>
      <c r="K654" s="5">
        <f>IF($N654="","",IF(INDEX('Per Invoice'!$K$2:$K$801,$N654)="","",INDEX('Per Invoice'!$K$2:$K$801,$N654)))</f>
        <v/>
      </c>
      <c r="L654" s="5">
        <f>IF($N654="","",IF(INDEX('Per Invoice'!$L$2:$L$801,$N654)="","",INDEX('Per Invoice'!$L$2:$L$801,$N654)))</f>
        <v/>
      </c>
      <c r="M654" s="5">
        <f>IF($N654="","",IF(INDEX('Per Invoice'!$M$2:$M$801,$N654)="","",INDEX('Per Invoice'!$M$2:$M$801,$N654)))</f>
        <v/>
      </c>
      <c r="N654">
        <f>IF(ROWS($N$2:$N654)&lt;=COUNT('Per Invoice'!$P$2:$P$801),MATCH(ROWS($N$2:$N654),'Per Invoice'!$P$2:$P$801,0),"")</f>
        <v/>
      </c>
    </row>
    <row r="655">
      <c r="A655">
        <f>IF($N655="","",IF(INDEX('Per Invoice'!$A$2:$A$801,$N655)="","",INDEX('Per Invoice'!$A$2:$A$801,$N655)))</f>
        <v/>
      </c>
      <c r="B655">
        <f>IF($N655="","",IF(INDEX('Per Invoice'!$B$2:$B$801,$N655)="","",INDEX('Per Invoice'!$B$2:$B$801,$N655)))</f>
        <v/>
      </c>
      <c r="C655">
        <f>IF($N655="","",IF(INDEX('Per Invoice'!$C$2:$C$801,$N655)="","",INDEX('Per Invoice'!$C$2:$C$801,$N655)))</f>
        <v/>
      </c>
      <c r="D655">
        <f>IF($N655="","",IF(INDEX('Per Invoice'!$D$2:$D$801,$N655)="","",INDEX('Per Invoice'!$D$2:$D$801,$N655)))</f>
        <v/>
      </c>
      <c r="E655">
        <f>IF($N655="","",IF(INDEX('Per Invoice'!$E$2:$E$801,$N655)="","",INDEX('Per Invoice'!$E$2:$E$801,$N655)))</f>
        <v/>
      </c>
      <c r="F655">
        <f>IF($N655="","",IF(INDEX('Per Invoice'!$F$2:$F$801,$N655)="","",INDEX('Per Invoice'!$F$2:$F$801,$N655)))</f>
        <v/>
      </c>
      <c r="G655">
        <f>IF($N655="","",IF(INDEX('Per Invoice'!$G$2:$G$801,$N655)="","",INDEX('Per Invoice'!$G$2:$G$801,$N655)))</f>
        <v/>
      </c>
      <c r="H655">
        <f>IF($N655="","",IF(INDEX('Per Invoice'!$H$2:$H$801,$N655)="","",INDEX('Per Invoice'!$H$2:$H$801,$N655)))</f>
        <v/>
      </c>
      <c r="I655" s="5">
        <f>IF($N655="","",IF(INDEX('Per Invoice'!$I$2:$I$801,$N655)="","",INDEX('Per Invoice'!$I$2:$I$801,$N655)))</f>
        <v/>
      </c>
      <c r="J655" s="5">
        <f>IF($N655="","",IF(INDEX('Per Invoice'!$J$2:$J$801,$N655)="","",INDEX('Per Invoice'!$J$2:$J$801,$N655)))</f>
        <v/>
      </c>
      <c r="K655" s="5">
        <f>IF($N655="","",IF(INDEX('Per Invoice'!$K$2:$K$801,$N655)="","",INDEX('Per Invoice'!$K$2:$K$801,$N655)))</f>
        <v/>
      </c>
      <c r="L655" s="5">
        <f>IF($N655="","",IF(INDEX('Per Invoice'!$L$2:$L$801,$N655)="","",INDEX('Per Invoice'!$L$2:$L$801,$N655)))</f>
        <v/>
      </c>
      <c r="M655" s="5">
        <f>IF($N655="","",IF(INDEX('Per Invoice'!$M$2:$M$801,$N655)="","",INDEX('Per Invoice'!$M$2:$M$801,$N655)))</f>
        <v/>
      </c>
      <c r="N655">
        <f>IF(ROWS($N$2:$N655)&lt;=COUNT('Per Invoice'!$P$2:$P$801),MATCH(ROWS($N$2:$N655),'Per Invoice'!$P$2:$P$801,0),"")</f>
        <v/>
      </c>
    </row>
    <row r="656">
      <c r="A656">
        <f>IF($N656="","",IF(INDEX('Per Invoice'!$A$2:$A$801,$N656)="","",INDEX('Per Invoice'!$A$2:$A$801,$N656)))</f>
        <v/>
      </c>
      <c r="B656">
        <f>IF($N656="","",IF(INDEX('Per Invoice'!$B$2:$B$801,$N656)="","",INDEX('Per Invoice'!$B$2:$B$801,$N656)))</f>
        <v/>
      </c>
      <c r="C656">
        <f>IF($N656="","",IF(INDEX('Per Invoice'!$C$2:$C$801,$N656)="","",INDEX('Per Invoice'!$C$2:$C$801,$N656)))</f>
        <v/>
      </c>
      <c r="D656">
        <f>IF($N656="","",IF(INDEX('Per Invoice'!$D$2:$D$801,$N656)="","",INDEX('Per Invoice'!$D$2:$D$801,$N656)))</f>
        <v/>
      </c>
      <c r="E656">
        <f>IF($N656="","",IF(INDEX('Per Invoice'!$E$2:$E$801,$N656)="","",INDEX('Per Invoice'!$E$2:$E$801,$N656)))</f>
        <v/>
      </c>
      <c r="F656">
        <f>IF($N656="","",IF(INDEX('Per Invoice'!$F$2:$F$801,$N656)="","",INDEX('Per Invoice'!$F$2:$F$801,$N656)))</f>
        <v/>
      </c>
      <c r="G656">
        <f>IF($N656="","",IF(INDEX('Per Invoice'!$G$2:$G$801,$N656)="","",INDEX('Per Invoice'!$G$2:$G$801,$N656)))</f>
        <v/>
      </c>
      <c r="H656">
        <f>IF($N656="","",IF(INDEX('Per Invoice'!$H$2:$H$801,$N656)="","",INDEX('Per Invoice'!$H$2:$H$801,$N656)))</f>
        <v/>
      </c>
      <c r="I656" s="5">
        <f>IF($N656="","",IF(INDEX('Per Invoice'!$I$2:$I$801,$N656)="","",INDEX('Per Invoice'!$I$2:$I$801,$N656)))</f>
        <v/>
      </c>
      <c r="J656" s="5">
        <f>IF($N656="","",IF(INDEX('Per Invoice'!$J$2:$J$801,$N656)="","",INDEX('Per Invoice'!$J$2:$J$801,$N656)))</f>
        <v/>
      </c>
      <c r="K656" s="5">
        <f>IF($N656="","",IF(INDEX('Per Invoice'!$K$2:$K$801,$N656)="","",INDEX('Per Invoice'!$K$2:$K$801,$N656)))</f>
        <v/>
      </c>
      <c r="L656" s="5">
        <f>IF($N656="","",IF(INDEX('Per Invoice'!$L$2:$L$801,$N656)="","",INDEX('Per Invoice'!$L$2:$L$801,$N656)))</f>
        <v/>
      </c>
      <c r="M656" s="5">
        <f>IF($N656="","",IF(INDEX('Per Invoice'!$M$2:$M$801,$N656)="","",INDEX('Per Invoice'!$M$2:$M$801,$N656)))</f>
        <v/>
      </c>
      <c r="N656">
        <f>IF(ROWS($N$2:$N656)&lt;=COUNT('Per Invoice'!$P$2:$P$801),MATCH(ROWS($N$2:$N656),'Per Invoice'!$P$2:$P$801,0),"")</f>
        <v/>
      </c>
    </row>
    <row r="657">
      <c r="A657">
        <f>IF($N657="","",IF(INDEX('Per Invoice'!$A$2:$A$801,$N657)="","",INDEX('Per Invoice'!$A$2:$A$801,$N657)))</f>
        <v/>
      </c>
      <c r="B657">
        <f>IF($N657="","",IF(INDEX('Per Invoice'!$B$2:$B$801,$N657)="","",INDEX('Per Invoice'!$B$2:$B$801,$N657)))</f>
        <v/>
      </c>
      <c r="C657">
        <f>IF($N657="","",IF(INDEX('Per Invoice'!$C$2:$C$801,$N657)="","",INDEX('Per Invoice'!$C$2:$C$801,$N657)))</f>
        <v/>
      </c>
      <c r="D657">
        <f>IF($N657="","",IF(INDEX('Per Invoice'!$D$2:$D$801,$N657)="","",INDEX('Per Invoice'!$D$2:$D$801,$N657)))</f>
        <v/>
      </c>
      <c r="E657">
        <f>IF($N657="","",IF(INDEX('Per Invoice'!$E$2:$E$801,$N657)="","",INDEX('Per Invoice'!$E$2:$E$801,$N657)))</f>
        <v/>
      </c>
      <c r="F657">
        <f>IF($N657="","",IF(INDEX('Per Invoice'!$F$2:$F$801,$N657)="","",INDEX('Per Invoice'!$F$2:$F$801,$N657)))</f>
        <v/>
      </c>
      <c r="G657">
        <f>IF($N657="","",IF(INDEX('Per Invoice'!$G$2:$G$801,$N657)="","",INDEX('Per Invoice'!$G$2:$G$801,$N657)))</f>
        <v/>
      </c>
      <c r="H657">
        <f>IF($N657="","",IF(INDEX('Per Invoice'!$H$2:$H$801,$N657)="","",INDEX('Per Invoice'!$H$2:$H$801,$N657)))</f>
        <v/>
      </c>
      <c r="I657" s="5">
        <f>IF($N657="","",IF(INDEX('Per Invoice'!$I$2:$I$801,$N657)="","",INDEX('Per Invoice'!$I$2:$I$801,$N657)))</f>
        <v/>
      </c>
      <c r="J657" s="5">
        <f>IF($N657="","",IF(INDEX('Per Invoice'!$J$2:$J$801,$N657)="","",INDEX('Per Invoice'!$J$2:$J$801,$N657)))</f>
        <v/>
      </c>
      <c r="K657" s="5">
        <f>IF($N657="","",IF(INDEX('Per Invoice'!$K$2:$K$801,$N657)="","",INDEX('Per Invoice'!$K$2:$K$801,$N657)))</f>
        <v/>
      </c>
      <c r="L657" s="5">
        <f>IF($N657="","",IF(INDEX('Per Invoice'!$L$2:$L$801,$N657)="","",INDEX('Per Invoice'!$L$2:$L$801,$N657)))</f>
        <v/>
      </c>
      <c r="M657" s="5">
        <f>IF($N657="","",IF(INDEX('Per Invoice'!$M$2:$M$801,$N657)="","",INDEX('Per Invoice'!$M$2:$M$801,$N657)))</f>
        <v/>
      </c>
      <c r="N657">
        <f>IF(ROWS($N$2:$N657)&lt;=COUNT('Per Invoice'!$P$2:$P$801),MATCH(ROWS($N$2:$N657),'Per Invoice'!$P$2:$P$801,0),"")</f>
        <v/>
      </c>
    </row>
    <row r="658">
      <c r="A658">
        <f>IF($N658="","",IF(INDEX('Per Invoice'!$A$2:$A$801,$N658)="","",INDEX('Per Invoice'!$A$2:$A$801,$N658)))</f>
        <v/>
      </c>
      <c r="B658">
        <f>IF($N658="","",IF(INDEX('Per Invoice'!$B$2:$B$801,$N658)="","",INDEX('Per Invoice'!$B$2:$B$801,$N658)))</f>
        <v/>
      </c>
      <c r="C658">
        <f>IF($N658="","",IF(INDEX('Per Invoice'!$C$2:$C$801,$N658)="","",INDEX('Per Invoice'!$C$2:$C$801,$N658)))</f>
        <v/>
      </c>
      <c r="D658">
        <f>IF($N658="","",IF(INDEX('Per Invoice'!$D$2:$D$801,$N658)="","",INDEX('Per Invoice'!$D$2:$D$801,$N658)))</f>
        <v/>
      </c>
      <c r="E658">
        <f>IF($N658="","",IF(INDEX('Per Invoice'!$E$2:$E$801,$N658)="","",INDEX('Per Invoice'!$E$2:$E$801,$N658)))</f>
        <v/>
      </c>
      <c r="F658">
        <f>IF($N658="","",IF(INDEX('Per Invoice'!$F$2:$F$801,$N658)="","",INDEX('Per Invoice'!$F$2:$F$801,$N658)))</f>
        <v/>
      </c>
      <c r="G658">
        <f>IF($N658="","",IF(INDEX('Per Invoice'!$G$2:$G$801,$N658)="","",INDEX('Per Invoice'!$G$2:$G$801,$N658)))</f>
        <v/>
      </c>
      <c r="H658">
        <f>IF($N658="","",IF(INDEX('Per Invoice'!$H$2:$H$801,$N658)="","",INDEX('Per Invoice'!$H$2:$H$801,$N658)))</f>
        <v/>
      </c>
      <c r="I658" s="5">
        <f>IF($N658="","",IF(INDEX('Per Invoice'!$I$2:$I$801,$N658)="","",INDEX('Per Invoice'!$I$2:$I$801,$N658)))</f>
        <v/>
      </c>
      <c r="J658" s="5">
        <f>IF($N658="","",IF(INDEX('Per Invoice'!$J$2:$J$801,$N658)="","",INDEX('Per Invoice'!$J$2:$J$801,$N658)))</f>
        <v/>
      </c>
      <c r="K658" s="5">
        <f>IF($N658="","",IF(INDEX('Per Invoice'!$K$2:$K$801,$N658)="","",INDEX('Per Invoice'!$K$2:$K$801,$N658)))</f>
        <v/>
      </c>
      <c r="L658" s="5">
        <f>IF($N658="","",IF(INDEX('Per Invoice'!$L$2:$L$801,$N658)="","",INDEX('Per Invoice'!$L$2:$L$801,$N658)))</f>
        <v/>
      </c>
      <c r="M658" s="5">
        <f>IF($N658="","",IF(INDEX('Per Invoice'!$M$2:$M$801,$N658)="","",INDEX('Per Invoice'!$M$2:$M$801,$N658)))</f>
        <v/>
      </c>
      <c r="N658">
        <f>IF(ROWS($N$2:$N658)&lt;=COUNT('Per Invoice'!$P$2:$P$801),MATCH(ROWS($N$2:$N658),'Per Invoice'!$P$2:$P$801,0),"")</f>
        <v/>
      </c>
    </row>
    <row r="659">
      <c r="A659">
        <f>IF($N659="","",IF(INDEX('Per Invoice'!$A$2:$A$801,$N659)="","",INDEX('Per Invoice'!$A$2:$A$801,$N659)))</f>
        <v/>
      </c>
      <c r="B659">
        <f>IF($N659="","",IF(INDEX('Per Invoice'!$B$2:$B$801,$N659)="","",INDEX('Per Invoice'!$B$2:$B$801,$N659)))</f>
        <v/>
      </c>
      <c r="C659">
        <f>IF($N659="","",IF(INDEX('Per Invoice'!$C$2:$C$801,$N659)="","",INDEX('Per Invoice'!$C$2:$C$801,$N659)))</f>
        <v/>
      </c>
      <c r="D659">
        <f>IF($N659="","",IF(INDEX('Per Invoice'!$D$2:$D$801,$N659)="","",INDEX('Per Invoice'!$D$2:$D$801,$N659)))</f>
        <v/>
      </c>
      <c r="E659">
        <f>IF($N659="","",IF(INDEX('Per Invoice'!$E$2:$E$801,$N659)="","",INDEX('Per Invoice'!$E$2:$E$801,$N659)))</f>
        <v/>
      </c>
      <c r="F659">
        <f>IF($N659="","",IF(INDEX('Per Invoice'!$F$2:$F$801,$N659)="","",INDEX('Per Invoice'!$F$2:$F$801,$N659)))</f>
        <v/>
      </c>
      <c r="G659">
        <f>IF($N659="","",IF(INDEX('Per Invoice'!$G$2:$G$801,$N659)="","",INDEX('Per Invoice'!$G$2:$G$801,$N659)))</f>
        <v/>
      </c>
      <c r="H659">
        <f>IF($N659="","",IF(INDEX('Per Invoice'!$H$2:$H$801,$N659)="","",INDEX('Per Invoice'!$H$2:$H$801,$N659)))</f>
        <v/>
      </c>
      <c r="I659" s="5">
        <f>IF($N659="","",IF(INDEX('Per Invoice'!$I$2:$I$801,$N659)="","",INDEX('Per Invoice'!$I$2:$I$801,$N659)))</f>
        <v/>
      </c>
      <c r="J659" s="5">
        <f>IF($N659="","",IF(INDEX('Per Invoice'!$J$2:$J$801,$N659)="","",INDEX('Per Invoice'!$J$2:$J$801,$N659)))</f>
        <v/>
      </c>
      <c r="K659" s="5">
        <f>IF($N659="","",IF(INDEX('Per Invoice'!$K$2:$K$801,$N659)="","",INDEX('Per Invoice'!$K$2:$K$801,$N659)))</f>
        <v/>
      </c>
      <c r="L659" s="5">
        <f>IF($N659="","",IF(INDEX('Per Invoice'!$L$2:$L$801,$N659)="","",INDEX('Per Invoice'!$L$2:$L$801,$N659)))</f>
        <v/>
      </c>
      <c r="M659" s="5">
        <f>IF($N659="","",IF(INDEX('Per Invoice'!$M$2:$M$801,$N659)="","",INDEX('Per Invoice'!$M$2:$M$801,$N659)))</f>
        <v/>
      </c>
      <c r="N659">
        <f>IF(ROWS($N$2:$N659)&lt;=COUNT('Per Invoice'!$P$2:$P$801),MATCH(ROWS($N$2:$N659),'Per Invoice'!$P$2:$P$801,0),"")</f>
        <v/>
      </c>
    </row>
    <row r="660">
      <c r="A660">
        <f>IF($N660="","",IF(INDEX('Per Invoice'!$A$2:$A$801,$N660)="","",INDEX('Per Invoice'!$A$2:$A$801,$N660)))</f>
        <v/>
      </c>
      <c r="B660">
        <f>IF($N660="","",IF(INDEX('Per Invoice'!$B$2:$B$801,$N660)="","",INDEX('Per Invoice'!$B$2:$B$801,$N660)))</f>
        <v/>
      </c>
      <c r="C660">
        <f>IF($N660="","",IF(INDEX('Per Invoice'!$C$2:$C$801,$N660)="","",INDEX('Per Invoice'!$C$2:$C$801,$N660)))</f>
        <v/>
      </c>
      <c r="D660">
        <f>IF($N660="","",IF(INDEX('Per Invoice'!$D$2:$D$801,$N660)="","",INDEX('Per Invoice'!$D$2:$D$801,$N660)))</f>
        <v/>
      </c>
      <c r="E660">
        <f>IF($N660="","",IF(INDEX('Per Invoice'!$E$2:$E$801,$N660)="","",INDEX('Per Invoice'!$E$2:$E$801,$N660)))</f>
        <v/>
      </c>
      <c r="F660">
        <f>IF($N660="","",IF(INDEX('Per Invoice'!$F$2:$F$801,$N660)="","",INDEX('Per Invoice'!$F$2:$F$801,$N660)))</f>
        <v/>
      </c>
      <c r="G660">
        <f>IF($N660="","",IF(INDEX('Per Invoice'!$G$2:$G$801,$N660)="","",INDEX('Per Invoice'!$G$2:$G$801,$N660)))</f>
        <v/>
      </c>
      <c r="H660">
        <f>IF($N660="","",IF(INDEX('Per Invoice'!$H$2:$H$801,$N660)="","",INDEX('Per Invoice'!$H$2:$H$801,$N660)))</f>
        <v/>
      </c>
      <c r="I660" s="5">
        <f>IF($N660="","",IF(INDEX('Per Invoice'!$I$2:$I$801,$N660)="","",INDEX('Per Invoice'!$I$2:$I$801,$N660)))</f>
        <v/>
      </c>
      <c r="J660" s="5">
        <f>IF($N660="","",IF(INDEX('Per Invoice'!$J$2:$J$801,$N660)="","",INDEX('Per Invoice'!$J$2:$J$801,$N660)))</f>
        <v/>
      </c>
      <c r="K660" s="5">
        <f>IF($N660="","",IF(INDEX('Per Invoice'!$K$2:$K$801,$N660)="","",INDEX('Per Invoice'!$K$2:$K$801,$N660)))</f>
        <v/>
      </c>
      <c r="L660" s="5">
        <f>IF($N660="","",IF(INDEX('Per Invoice'!$L$2:$L$801,$N660)="","",INDEX('Per Invoice'!$L$2:$L$801,$N660)))</f>
        <v/>
      </c>
      <c r="M660" s="5">
        <f>IF($N660="","",IF(INDEX('Per Invoice'!$M$2:$M$801,$N660)="","",INDEX('Per Invoice'!$M$2:$M$801,$N660)))</f>
        <v/>
      </c>
      <c r="N660">
        <f>IF(ROWS($N$2:$N660)&lt;=COUNT('Per Invoice'!$P$2:$P$801),MATCH(ROWS($N$2:$N660),'Per Invoice'!$P$2:$P$801,0),"")</f>
        <v/>
      </c>
    </row>
    <row r="661">
      <c r="A661">
        <f>IF($N661="","",IF(INDEX('Per Invoice'!$A$2:$A$801,$N661)="","",INDEX('Per Invoice'!$A$2:$A$801,$N661)))</f>
        <v/>
      </c>
      <c r="B661">
        <f>IF($N661="","",IF(INDEX('Per Invoice'!$B$2:$B$801,$N661)="","",INDEX('Per Invoice'!$B$2:$B$801,$N661)))</f>
        <v/>
      </c>
      <c r="C661">
        <f>IF($N661="","",IF(INDEX('Per Invoice'!$C$2:$C$801,$N661)="","",INDEX('Per Invoice'!$C$2:$C$801,$N661)))</f>
        <v/>
      </c>
      <c r="D661">
        <f>IF($N661="","",IF(INDEX('Per Invoice'!$D$2:$D$801,$N661)="","",INDEX('Per Invoice'!$D$2:$D$801,$N661)))</f>
        <v/>
      </c>
      <c r="E661">
        <f>IF($N661="","",IF(INDEX('Per Invoice'!$E$2:$E$801,$N661)="","",INDEX('Per Invoice'!$E$2:$E$801,$N661)))</f>
        <v/>
      </c>
      <c r="F661">
        <f>IF($N661="","",IF(INDEX('Per Invoice'!$F$2:$F$801,$N661)="","",INDEX('Per Invoice'!$F$2:$F$801,$N661)))</f>
        <v/>
      </c>
      <c r="G661">
        <f>IF($N661="","",IF(INDEX('Per Invoice'!$G$2:$G$801,$N661)="","",INDEX('Per Invoice'!$G$2:$G$801,$N661)))</f>
        <v/>
      </c>
      <c r="H661">
        <f>IF($N661="","",IF(INDEX('Per Invoice'!$H$2:$H$801,$N661)="","",INDEX('Per Invoice'!$H$2:$H$801,$N661)))</f>
        <v/>
      </c>
      <c r="I661" s="5">
        <f>IF($N661="","",IF(INDEX('Per Invoice'!$I$2:$I$801,$N661)="","",INDEX('Per Invoice'!$I$2:$I$801,$N661)))</f>
        <v/>
      </c>
      <c r="J661" s="5">
        <f>IF($N661="","",IF(INDEX('Per Invoice'!$J$2:$J$801,$N661)="","",INDEX('Per Invoice'!$J$2:$J$801,$N661)))</f>
        <v/>
      </c>
      <c r="K661" s="5">
        <f>IF($N661="","",IF(INDEX('Per Invoice'!$K$2:$K$801,$N661)="","",INDEX('Per Invoice'!$K$2:$K$801,$N661)))</f>
        <v/>
      </c>
      <c r="L661" s="5">
        <f>IF($N661="","",IF(INDEX('Per Invoice'!$L$2:$L$801,$N661)="","",INDEX('Per Invoice'!$L$2:$L$801,$N661)))</f>
        <v/>
      </c>
      <c r="M661" s="5">
        <f>IF($N661="","",IF(INDEX('Per Invoice'!$M$2:$M$801,$N661)="","",INDEX('Per Invoice'!$M$2:$M$801,$N661)))</f>
        <v/>
      </c>
      <c r="N661">
        <f>IF(ROWS($N$2:$N661)&lt;=COUNT('Per Invoice'!$P$2:$P$801),MATCH(ROWS($N$2:$N661),'Per Invoice'!$P$2:$P$801,0),"")</f>
        <v/>
      </c>
    </row>
    <row r="662">
      <c r="A662">
        <f>IF($N662="","",IF(INDEX('Per Invoice'!$A$2:$A$801,$N662)="","",INDEX('Per Invoice'!$A$2:$A$801,$N662)))</f>
        <v/>
      </c>
      <c r="B662">
        <f>IF($N662="","",IF(INDEX('Per Invoice'!$B$2:$B$801,$N662)="","",INDEX('Per Invoice'!$B$2:$B$801,$N662)))</f>
        <v/>
      </c>
      <c r="C662">
        <f>IF($N662="","",IF(INDEX('Per Invoice'!$C$2:$C$801,$N662)="","",INDEX('Per Invoice'!$C$2:$C$801,$N662)))</f>
        <v/>
      </c>
      <c r="D662">
        <f>IF($N662="","",IF(INDEX('Per Invoice'!$D$2:$D$801,$N662)="","",INDEX('Per Invoice'!$D$2:$D$801,$N662)))</f>
        <v/>
      </c>
      <c r="E662">
        <f>IF($N662="","",IF(INDEX('Per Invoice'!$E$2:$E$801,$N662)="","",INDEX('Per Invoice'!$E$2:$E$801,$N662)))</f>
        <v/>
      </c>
      <c r="F662">
        <f>IF($N662="","",IF(INDEX('Per Invoice'!$F$2:$F$801,$N662)="","",INDEX('Per Invoice'!$F$2:$F$801,$N662)))</f>
        <v/>
      </c>
      <c r="G662">
        <f>IF($N662="","",IF(INDEX('Per Invoice'!$G$2:$G$801,$N662)="","",INDEX('Per Invoice'!$G$2:$G$801,$N662)))</f>
        <v/>
      </c>
      <c r="H662">
        <f>IF($N662="","",IF(INDEX('Per Invoice'!$H$2:$H$801,$N662)="","",INDEX('Per Invoice'!$H$2:$H$801,$N662)))</f>
        <v/>
      </c>
      <c r="I662" s="5">
        <f>IF($N662="","",IF(INDEX('Per Invoice'!$I$2:$I$801,$N662)="","",INDEX('Per Invoice'!$I$2:$I$801,$N662)))</f>
        <v/>
      </c>
      <c r="J662" s="5">
        <f>IF($N662="","",IF(INDEX('Per Invoice'!$J$2:$J$801,$N662)="","",INDEX('Per Invoice'!$J$2:$J$801,$N662)))</f>
        <v/>
      </c>
      <c r="K662" s="5">
        <f>IF($N662="","",IF(INDEX('Per Invoice'!$K$2:$K$801,$N662)="","",INDEX('Per Invoice'!$K$2:$K$801,$N662)))</f>
        <v/>
      </c>
      <c r="L662" s="5">
        <f>IF($N662="","",IF(INDEX('Per Invoice'!$L$2:$L$801,$N662)="","",INDEX('Per Invoice'!$L$2:$L$801,$N662)))</f>
        <v/>
      </c>
      <c r="M662" s="5">
        <f>IF($N662="","",IF(INDEX('Per Invoice'!$M$2:$M$801,$N662)="","",INDEX('Per Invoice'!$M$2:$M$801,$N662)))</f>
        <v/>
      </c>
      <c r="N662">
        <f>IF(ROWS($N$2:$N662)&lt;=COUNT('Per Invoice'!$P$2:$P$801),MATCH(ROWS($N$2:$N662),'Per Invoice'!$P$2:$P$801,0),"")</f>
        <v/>
      </c>
    </row>
    <row r="663">
      <c r="A663">
        <f>IF($N663="","",IF(INDEX('Per Invoice'!$A$2:$A$801,$N663)="","",INDEX('Per Invoice'!$A$2:$A$801,$N663)))</f>
        <v/>
      </c>
      <c r="B663">
        <f>IF($N663="","",IF(INDEX('Per Invoice'!$B$2:$B$801,$N663)="","",INDEX('Per Invoice'!$B$2:$B$801,$N663)))</f>
        <v/>
      </c>
      <c r="C663">
        <f>IF($N663="","",IF(INDEX('Per Invoice'!$C$2:$C$801,$N663)="","",INDEX('Per Invoice'!$C$2:$C$801,$N663)))</f>
        <v/>
      </c>
      <c r="D663">
        <f>IF($N663="","",IF(INDEX('Per Invoice'!$D$2:$D$801,$N663)="","",INDEX('Per Invoice'!$D$2:$D$801,$N663)))</f>
        <v/>
      </c>
      <c r="E663">
        <f>IF($N663="","",IF(INDEX('Per Invoice'!$E$2:$E$801,$N663)="","",INDEX('Per Invoice'!$E$2:$E$801,$N663)))</f>
        <v/>
      </c>
      <c r="F663">
        <f>IF($N663="","",IF(INDEX('Per Invoice'!$F$2:$F$801,$N663)="","",INDEX('Per Invoice'!$F$2:$F$801,$N663)))</f>
        <v/>
      </c>
      <c r="G663">
        <f>IF($N663="","",IF(INDEX('Per Invoice'!$G$2:$G$801,$N663)="","",INDEX('Per Invoice'!$G$2:$G$801,$N663)))</f>
        <v/>
      </c>
      <c r="H663">
        <f>IF($N663="","",IF(INDEX('Per Invoice'!$H$2:$H$801,$N663)="","",INDEX('Per Invoice'!$H$2:$H$801,$N663)))</f>
        <v/>
      </c>
      <c r="I663" s="5">
        <f>IF($N663="","",IF(INDEX('Per Invoice'!$I$2:$I$801,$N663)="","",INDEX('Per Invoice'!$I$2:$I$801,$N663)))</f>
        <v/>
      </c>
      <c r="J663" s="5">
        <f>IF($N663="","",IF(INDEX('Per Invoice'!$J$2:$J$801,$N663)="","",INDEX('Per Invoice'!$J$2:$J$801,$N663)))</f>
        <v/>
      </c>
      <c r="K663" s="5">
        <f>IF($N663="","",IF(INDEX('Per Invoice'!$K$2:$K$801,$N663)="","",INDEX('Per Invoice'!$K$2:$K$801,$N663)))</f>
        <v/>
      </c>
      <c r="L663" s="5">
        <f>IF($N663="","",IF(INDEX('Per Invoice'!$L$2:$L$801,$N663)="","",INDEX('Per Invoice'!$L$2:$L$801,$N663)))</f>
        <v/>
      </c>
      <c r="M663" s="5">
        <f>IF($N663="","",IF(INDEX('Per Invoice'!$M$2:$M$801,$N663)="","",INDEX('Per Invoice'!$M$2:$M$801,$N663)))</f>
        <v/>
      </c>
      <c r="N663">
        <f>IF(ROWS($N$2:$N663)&lt;=COUNT('Per Invoice'!$P$2:$P$801),MATCH(ROWS($N$2:$N663),'Per Invoice'!$P$2:$P$801,0),"")</f>
        <v/>
      </c>
    </row>
    <row r="664">
      <c r="A664">
        <f>IF($N664="","",IF(INDEX('Per Invoice'!$A$2:$A$801,$N664)="","",INDEX('Per Invoice'!$A$2:$A$801,$N664)))</f>
        <v/>
      </c>
      <c r="B664">
        <f>IF($N664="","",IF(INDEX('Per Invoice'!$B$2:$B$801,$N664)="","",INDEX('Per Invoice'!$B$2:$B$801,$N664)))</f>
        <v/>
      </c>
      <c r="C664">
        <f>IF($N664="","",IF(INDEX('Per Invoice'!$C$2:$C$801,$N664)="","",INDEX('Per Invoice'!$C$2:$C$801,$N664)))</f>
        <v/>
      </c>
      <c r="D664">
        <f>IF($N664="","",IF(INDEX('Per Invoice'!$D$2:$D$801,$N664)="","",INDEX('Per Invoice'!$D$2:$D$801,$N664)))</f>
        <v/>
      </c>
      <c r="E664">
        <f>IF($N664="","",IF(INDEX('Per Invoice'!$E$2:$E$801,$N664)="","",INDEX('Per Invoice'!$E$2:$E$801,$N664)))</f>
        <v/>
      </c>
      <c r="F664">
        <f>IF($N664="","",IF(INDEX('Per Invoice'!$F$2:$F$801,$N664)="","",INDEX('Per Invoice'!$F$2:$F$801,$N664)))</f>
        <v/>
      </c>
      <c r="G664">
        <f>IF($N664="","",IF(INDEX('Per Invoice'!$G$2:$G$801,$N664)="","",INDEX('Per Invoice'!$G$2:$G$801,$N664)))</f>
        <v/>
      </c>
      <c r="H664">
        <f>IF($N664="","",IF(INDEX('Per Invoice'!$H$2:$H$801,$N664)="","",INDEX('Per Invoice'!$H$2:$H$801,$N664)))</f>
        <v/>
      </c>
      <c r="I664" s="5">
        <f>IF($N664="","",IF(INDEX('Per Invoice'!$I$2:$I$801,$N664)="","",INDEX('Per Invoice'!$I$2:$I$801,$N664)))</f>
        <v/>
      </c>
      <c r="J664" s="5">
        <f>IF($N664="","",IF(INDEX('Per Invoice'!$J$2:$J$801,$N664)="","",INDEX('Per Invoice'!$J$2:$J$801,$N664)))</f>
        <v/>
      </c>
      <c r="K664" s="5">
        <f>IF($N664="","",IF(INDEX('Per Invoice'!$K$2:$K$801,$N664)="","",INDEX('Per Invoice'!$K$2:$K$801,$N664)))</f>
        <v/>
      </c>
      <c r="L664" s="5">
        <f>IF($N664="","",IF(INDEX('Per Invoice'!$L$2:$L$801,$N664)="","",INDEX('Per Invoice'!$L$2:$L$801,$N664)))</f>
        <v/>
      </c>
      <c r="M664" s="5">
        <f>IF($N664="","",IF(INDEX('Per Invoice'!$M$2:$M$801,$N664)="","",INDEX('Per Invoice'!$M$2:$M$801,$N664)))</f>
        <v/>
      </c>
      <c r="N664">
        <f>IF(ROWS($N$2:$N664)&lt;=COUNT('Per Invoice'!$P$2:$P$801),MATCH(ROWS($N$2:$N664),'Per Invoice'!$P$2:$P$801,0),"")</f>
        <v/>
      </c>
    </row>
    <row r="665">
      <c r="A665">
        <f>IF($N665="","",IF(INDEX('Per Invoice'!$A$2:$A$801,$N665)="","",INDEX('Per Invoice'!$A$2:$A$801,$N665)))</f>
        <v/>
      </c>
      <c r="B665">
        <f>IF($N665="","",IF(INDEX('Per Invoice'!$B$2:$B$801,$N665)="","",INDEX('Per Invoice'!$B$2:$B$801,$N665)))</f>
        <v/>
      </c>
      <c r="C665">
        <f>IF($N665="","",IF(INDEX('Per Invoice'!$C$2:$C$801,$N665)="","",INDEX('Per Invoice'!$C$2:$C$801,$N665)))</f>
        <v/>
      </c>
      <c r="D665">
        <f>IF($N665="","",IF(INDEX('Per Invoice'!$D$2:$D$801,$N665)="","",INDEX('Per Invoice'!$D$2:$D$801,$N665)))</f>
        <v/>
      </c>
      <c r="E665">
        <f>IF($N665="","",IF(INDEX('Per Invoice'!$E$2:$E$801,$N665)="","",INDEX('Per Invoice'!$E$2:$E$801,$N665)))</f>
        <v/>
      </c>
      <c r="F665">
        <f>IF($N665="","",IF(INDEX('Per Invoice'!$F$2:$F$801,$N665)="","",INDEX('Per Invoice'!$F$2:$F$801,$N665)))</f>
        <v/>
      </c>
      <c r="G665">
        <f>IF($N665="","",IF(INDEX('Per Invoice'!$G$2:$G$801,$N665)="","",INDEX('Per Invoice'!$G$2:$G$801,$N665)))</f>
        <v/>
      </c>
      <c r="H665">
        <f>IF($N665="","",IF(INDEX('Per Invoice'!$H$2:$H$801,$N665)="","",INDEX('Per Invoice'!$H$2:$H$801,$N665)))</f>
        <v/>
      </c>
      <c r="I665" s="5">
        <f>IF($N665="","",IF(INDEX('Per Invoice'!$I$2:$I$801,$N665)="","",INDEX('Per Invoice'!$I$2:$I$801,$N665)))</f>
        <v/>
      </c>
      <c r="J665" s="5">
        <f>IF($N665="","",IF(INDEX('Per Invoice'!$J$2:$J$801,$N665)="","",INDEX('Per Invoice'!$J$2:$J$801,$N665)))</f>
        <v/>
      </c>
      <c r="K665" s="5">
        <f>IF($N665="","",IF(INDEX('Per Invoice'!$K$2:$K$801,$N665)="","",INDEX('Per Invoice'!$K$2:$K$801,$N665)))</f>
        <v/>
      </c>
      <c r="L665" s="5">
        <f>IF($N665="","",IF(INDEX('Per Invoice'!$L$2:$L$801,$N665)="","",INDEX('Per Invoice'!$L$2:$L$801,$N665)))</f>
        <v/>
      </c>
      <c r="M665" s="5">
        <f>IF($N665="","",IF(INDEX('Per Invoice'!$M$2:$M$801,$N665)="","",INDEX('Per Invoice'!$M$2:$M$801,$N665)))</f>
        <v/>
      </c>
      <c r="N665">
        <f>IF(ROWS($N$2:$N665)&lt;=COUNT('Per Invoice'!$P$2:$P$801),MATCH(ROWS($N$2:$N665),'Per Invoice'!$P$2:$P$801,0),"")</f>
        <v/>
      </c>
    </row>
    <row r="666">
      <c r="A666">
        <f>IF($N666="","",IF(INDEX('Per Invoice'!$A$2:$A$801,$N666)="","",INDEX('Per Invoice'!$A$2:$A$801,$N666)))</f>
        <v/>
      </c>
      <c r="B666">
        <f>IF($N666="","",IF(INDEX('Per Invoice'!$B$2:$B$801,$N666)="","",INDEX('Per Invoice'!$B$2:$B$801,$N666)))</f>
        <v/>
      </c>
      <c r="C666">
        <f>IF($N666="","",IF(INDEX('Per Invoice'!$C$2:$C$801,$N666)="","",INDEX('Per Invoice'!$C$2:$C$801,$N666)))</f>
        <v/>
      </c>
      <c r="D666">
        <f>IF($N666="","",IF(INDEX('Per Invoice'!$D$2:$D$801,$N666)="","",INDEX('Per Invoice'!$D$2:$D$801,$N666)))</f>
        <v/>
      </c>
      <c r="E666">
        <f>IF($N666="","",IF(INDEX('Per Invoice'!$E$2:$E$801,$N666)="","",INDEX('Per Invoice'!$E$2:$E$801,$N666)))</f>
        <v/>
      </c>
      <c r="F666">
        <f>IF($N666="","",IF(INDEX('Per Invoice'!$F$2:$F$801,$N666)="","",INDEX('Per Invoice'!$F$2:$F$801,$N666)))</f>
        <v/>
      </c>
      <c r="G666">
        <f>IF($N666="","",IF(INDEX('Per Invoice'!$G$2:$G$801,$N666)="","",INDEX('Per Invoice'!$G$2:$G$801,$N666)))</f>
        <v/>
      </c>
      <c r="H666">
        <f>IF($N666="","",IF(INDEX('Per Invoice'!$H$2:$H$801,$N666)="","",INDEX('Per Invoice'!$H$2:$H$801,$N666)))</f>
        <v/>
      </c>
      <c r="I666" s="5">
        <f>IF($N666="","",IF(INDEX('Per Invoice'!$I$2:$I$801,$N666)="","",INDEX('Per Invoice'!$I$2:$I$801,$N666)))</f>
        <v/>
      </c>
      <c r="J666" s="5">
        <f>IF($N666="","",IF(INDEX('Per Invoice'!$J$2:$J$801,$N666)="","",INDEX('Per Invoice'!$J$2:$J$801,$N666)))</f>
        <v/>
      </c>
      <c r="K666" s="5">
        <f>IF($N666="","",IF(INDEX('Per Invoice'!$K$2:$K$801,$N666)="","",INDEX('Per Invoice'!$K$2:$K$801,$N666)))</f>
        <v/>
      </c>
      <c r="L666" s="5">
        <f>IF($N666="","",IF(INDEX('Per Invoice'!$L$2:$L$801,$N666)="","",INDEX('Per Invoice'!$L$2:$L$801,$N666)))</f>
        <v/>
      </c>
      <c r="M666" s="5">
        <f>IF($N666="","",IF(INDEX('Per Invoice'!$M$2:$M$801,$N666)="","",INDEX('Per Invoice'!$M$2:$M$801,$N666)))</f>
        <v/>
      </c>
      <c r="N666">
        <f>IF(ROWS($N$2:$N666)&lt;=COUNT('Per Invoice'!$P$2:$P$801),MATCH(ROWS($N$2:$N666),'Per Invoice'!$P$2:$P$801,0),"")</f>
        <v/>
      </c>
    </row>
    <row r="667">
      <c r="A667">
        <f>IF($N667="","",IF(INDEX('Per Invoice'!$A$2:$A$801,$N667)="","",INDEX('Per Invoice'!$A$2:$A$801,$N667)))</f>
        <v/>
      </c>
      <c r="B667">
        <f>IF($N667="","",IF(INDEX('Per Invoice'!$B$2:$B$801,$N667)="","",INDEX('Per Invoice'!$B$2:$B$801,$N667)))</f>
        <v/>
      </c>
      <c r="C667">
        <f>IF($N667="","",IF(INDEX('Per Invoice'!$C$2:$C$801,$N667)="","",INDEX('Per Invoice'!$C$2:$C$801,$N667)))</f>
        <v/>
      </c>
      <c r="D667">
        <f>IF($N667="","",IF(INDEX('Per Invoice'!$D$2:$D$801,$N667)="","",INDEX('Per Invoice'!$D$2:$D$801,$N667)))</f>
        <v/>
      </c>
      <c r="E667">
        <f>IF($N667="","",IF(INDEX('Per Invoice'!$E$2:$E$801,$N667)="","",INDEX('Per Invoice'!$E$2:$E$801,$N667)))</f>
        <v/>
      </c>
      <c r="F667">
        <f>IF($N667="","",IF(INDEX('Per Invoice'!$F$2:$F$801,$N667)="","",INDEX('Per Invoice'!$F$2:$F$801,$N667)))</f>
        <v/>
      </c>
      <c r="G667">
        <f>IF($N667="","",IF(INDEX('Per Invoice'!$G$2:$G$801,$N667)="","",INDEX('Per Invoice'!$G$2:$G$801,$N667)))</f>
        <v/>
      </c>
      <c r="H667">
        <f>IF($N667="","",IF(INDEX('Per Invoice'!$H$2:$H$801,$N667)="","",INDEX('Per Invoice'!$H$2:$H$801,$N667)))</f>
        <v/>
      </c>
      <c r="I667" s="5">
        <f>IF($N667="","",IF(INDEX('Per Invoice'!$I$2:$I$801,$N667)="","",INDEX('Per Invoice'!$I$2:$I$801,$N667)))</f>
        <v/>
      </c>
      <c r="J667" s="5">
        <f>IF($N667="","",IF(INDEX('Per Invoice'!$J$2:$J$801,$N667)="","",INDEX('Per Invoice'!$J$2:$J$801,$N667)))</f>
        <v/>
      </c>
      <c r="K667" s="5">
        <f>IF($N667="","",IF(INDEX('Per Invoice'!$K$2:$K$801,$N667)="","",INDEX('Per Invoice'!$K$2:$K$801,$N667)))</f>
        <v/>
      </c>
      <c r="L667" s="5">
        <f>IF($N667="","",IF(INDEX('Per Invoice'!$L$2:$L$801,$N667)="","",INDEX('Per Invoice'!$L$2:$L$801,$N667)))</f>
        <v/>
      </c>
      <c r="M667" s="5">
        <f>IF($N667="","",IF(INDEX('Per Invoice'!$M$2:$M$801,$N667)="","",INDEX('Per Invoice'!$M$2:$M$801,$N667)))</f>
        <v/>
      </c>
      <c r="N667">
        <f>IF(ROWS($N$2:$N667)&lt;=COUNT('Per Invoice'!$P$2:$P$801),MATCH(ROWS($N$2:$N667),'Per Invoice'!$P$2:$P$801,0),"")</f>
        <v/>
      </c>
    </row>
    <row r="668">
      <c r="A668">
        <f>IF($N668="","",IF(INDEX('Per Invoice'!$A$2:$A$801,$N668)="","",INDEX('Per Invoice'!$A$2:$A$801,$N668)))</f>
        <v/>
      </c>
      <c r="B668">
        <f>IF($N668="","",IF(INDEX('Per Invoice'!$B$2:$B$801,$N668)="","",INDEX('Per Invoice'!$B$2:$B$801,$N668)))</f>
        <v/>
      </c>
      <c r="C668">
        <f>IF($N668="","",IF(INDEX('Per Invoice'!$C$2:$C$801,$N668)="","",INDEX('Per Invoice'!$C$2:$C$801,$N668)))</f>
        <v/>
      </c>
      <c r="D668">
        <f>IF($N668="","",IF(INDEX('Per Invoice'!$D$2:$D$801,$N668)="","",INDEX('Per Invoice'!$D$2:$D$801,$N668)))</f>
        <v/>
      </c>
      <c r="E668">
        <f>IF($N668="","",IF(INDEX('Per Invoice'!$E$2:$E$801,$N668)="","",INDEX('Per Invoice'!$E$2:$E$801,$N668)))</f>
        <v/>
      </c>
      <c r="F668">
        <f>IF($N668="","",IF(INDEX('Per Invoice'!$F$2:$F$801,$N668)="","",INDEX('Per Invoice'!$F$2:$F$801,$N668)))</f>
        <v/>
      </c>
      <c r="G668">
        <f>IF($N668="","",IF(INDEX('Per Invoice'!$G$2:$G$801,$N668)="","",INDEX('Per Invoice'!$G$2:$G$801,$N668)))</f>
        <v/>
      </c>
      <c r="H668">
        <f>IF($N668="","",IF(INDEX('Per Invoice'!$H$2:$H$801,$N668)="","",INDEX('Per Invoice'!$H$2:$H$801,$N668)))</f>
        <v/>
      </c>
      <c r="I668" s="5">
        <f>IF($N668="","",IF(INDEX('Per Invoice'!$I$2:$I$801,$N668)="","",INDEX('Per Invoice'!$I$2:$I$801,$N668)))</f>
        <v/>
      </c>
      <c r="J668" s="5">
        <f>IF($N668="","",IF(INDEX('Per Invoice'!$J$2:$J$801,$N668)="","",INDEX('Per Invoice'!$J$2:$J$801,$N668)))</f>
        <v/>
      </c>
      <c r="K668" s="5">
        <f>IF($N668="","",IF(INDEX('Per Invoice'!$K$2:$K$801,$N668)="","",INDEX('Per Invoice'!$K$2:$K$801,$N668)))</f>
        <v/>
      </c>
      <c r="L668" s="5">
        <f>IF($N668="","",IF(INDEX('Per Invoice'!$L$2:$L$801,$N668)="","",INDEX('Per Invoice'!$L$2:$L$801,$N668)))</f>
        <v/>
      </c>
      <c r="M668" s="5">
        <f>IF($N668="","",IF(INDEX('Per Invoice'!$M$2:$M$801,$N668)="","",INDEX('Per Invoice'!$M$2:$M$801,$N668)))</f>
        <v/>
      </c>
      <c r="N668">
        <f>IF(ROWS($N$2:$N668)&lt;=COUNT('Per Invoice'!$P$2:$P$801),MATCH(ROWS($N$2:$N668),'Per Invoice'!$P$2:$P$801,0),"")</f>
        <v/>
      </c>
    </row>
    <row r="669">
      <c r="A669">
        <f>IF($N669="","",IF(INDEX('Per Invoice'!$A$2:$A$801,$N669)="","",INDEX('Per Invoice'!$A$2:$A$801,$N669)))</f>
        <v/>
      </c>
      <c r="B669">
        <f>IF($N669="","",IF(INDEX('Per Invoice'!$B$2:$B$801,$N669)="","",INDEX('Per Invoice'!$B$2:$B$801,$N669)))</f>
        <v/>
      </c>
      <c r="C669">
        <f>IF($N669="","",IF(INDEX('Per Invoice'!$C$2:$C$801,$N669)="","",INDEX('Per Invoice'!$C$2:$C$801,$N669)))</f>
        <v/>
      </c>
      <c r="D669">
        <f>IF($N669="","",IF(INDEX('Per Invoice'!$D$2:$D$801,$N669)="","",INDEX('Per Invoice'!$D$2:$D$801,$N669)))</f>
        <v/>
      </c>
      <c r="E669">
        <f>IF($N669="","",IF(INDEX('Per Invoice'!$E$2:$E$801,$N669)="","",INDEX('Per Invoice'!$E$2:$E$801,$N669)))</f>
        <v/>
      </c>
      <c r="F669">
        <f>IF($N669="","",IF(INDEX('Per Invoice'!$F$2:$F$801,$N669)="","",INDEX('Per Invoice'!$F$2:$F$801,$N669)))</f>
        <v/>
      </c>
      <c r="G669">
        <f>IF($N669="","",IF(INDEX('Per Invoice'!$G$2:$G$801,$N669)="","",INDEX('Per Invoice'!$G$2:$G$801,$N669)))</f>
        <v/>
      </c>
      <c r="H669">
        <f>IF($N669="","",IF(INDEX('Per Invoice'!$H$2:$H$801,$N669)="","",INDEX('Per Invoice'!$H$2:$H$801,$N669)))</f>
        <v/>
      </c>
      <c r="I669" s="5">
        <f>IF($N669="","",IF(INDEX('Per Invoice'!$I$2:$I$801,$N669)="","",INDEX('Per Invoice'!$I$2:$I$801,$N669)))</f>
        <v/>
      </c>
      <c r="J669" s="5">
        <f>IF($N669="","",IF(INDEX('Per Invoice'!$J$2:$J$801,$N669)="","",INDEX('Per Invoice'!$J$2:$J$801,$N669)))</f>
        <v/>
      </c>
      <c r="K669" s="5">
        <f>IF($N669="","",IF(INDEX('Per Invoice'!$K$2:$K$801,$N669)="","",INDEX('Per Invoice'!$K$2:$K$801,$N669)))</f>
        <v/>
      </c>
      <c r="L669" s="5">
        <f>IF($N669="","",IF(INDEX('Per Invoice'!$L$2:$L$801,$N669)="","",INDEX('Per Invoice'!$L$2:$L$801,$N669)))</f>
        <v/>
      </c>
      <c r="M669" s="5">
        <f>IF($N669="","",IF(INDEX('Per Invoice'!$M$2:$M$801,$N669)="","",INDEX('Per Invoice'!$M$2:$M$801,$N669)))</f>
        <v/>
      </c>
      <c r="N669">
        <f>IF(ROWS($N$2:$N669)&lt;=COUNT('Per Invoice'!$P$2:$P$801),MATCH(ROWS($N$2:$N669),'Per Invoice'!$P$2:$P$801,0),"")</f>
        <v/>
      </c>
    </row>
    <row r="670">
      <c r="A670">
        <f>IF($N670="","",IF(INDEX('Per Invoice'!$A$2:$A$801,$N670)="","",INDEX('Per Invoice'!$A$2:$A$801,$N670)))</f>
        <v/>
      </c>
      <c r="B670">
        <f>IF($N670="","",IF(INDEX('Per Invoice'!$B$2:$B$801,$N670)="","",INDEX('Per Invoice'!$B$2:$B$801,$N670)))</f>
        <v/>
      </c>
      <c r="C670">
        <f>IF($N670="","",IF(INDEX('Per Invoice'!$C$2:$C$801,$N670)="","",INDEX('Per Invoice'!$C$2:$C$801,$N670)))</f>
        <v/>
      </c>
      <c r="D670">
        <f>IF($N670="","",IF(INDEX('Per Invoice'!$D$2:$D$801,$N670)="","",INDEX('Per Invoice'!$D$2:$D$801,$N670)))</f>
        <v/>
      </c>
      <c r="E670">
        <f>IF($N670="","",IF(INDEX('Per Invoice'!$E$2:$E$801,$N670)="","",INDEX('Per Invoice'!$E$2:$E$801,$N670)))</f>
        <v/>
      </c>
      <c r="F670">
        <f>IF($N670="","",IF(INDEX('Per Invoice'!$F$2:$F$801,$N670)="","",INDEX('Per Invoice'!$F$2:$F$801,$N670)))</f>
        <v/>
      </c>
      <c r="G670">
        <f>IF($N670="","",IF(INDEX('Per Invoice'!$G$2:$G$801,$N670)="","",INDEX('Per Invoice'!$G$2:$G$801,$N670)))</f>
        <v/>
      </c>
      <c r="H670">
        <f>IF($N670="","",IF(INDEX('Per Invoice'!$H$2:$H$801,$N670)="","",INDEX('Per Invoice'!$H$2:$H$801,$N670)))</f>
        <v/>
      </c>
      <c r="I670" s="5">
        <f>IF($N670="","",IF(INDEX('Per Invoice'!$I$2:$I$801,$N670)="","",INDEX('Per Invoice'!$I$2:$I$801,$N670)))</f>
        <v/>
      </c>
      <c r="J670" s="5">
        <f>IF($N670="","",IF(INDEX('Per Invoice'!$J$2:$J$801,$N670)="","",INDEX('Per Invoice'!$J$2:$J$801,$N670)))</f>
        <v/>
      </c>
      <c r="K670" s="5">
        <f>IF($N670="","",IF(INDEX('Per Invoice'!$K$2:$K$801,$N670)="","",INDEX('Per Invoice'!$K$2:$K$801,$N670)))</f>
        <v/>
      </c>
      <c r="L670" s="5">
        <f>IF($N670="","",IF(INDEX('Per Invoice'!$L$2:$L$801,$N670)="","",INDEX('Per Invoice'!$L$2:$L$801,$N670)))</f>
        <v/>
      </c>
      <c r="M670" s="5">
        <f>IF($N670="","",IF(INDEX('Per Invoice'!$M$2:$M$801,$N670)="","",INDEX('Per Invoice'!$M$2:$M$801,$N670)))</f>
        <v/>
      </c>
      <c r="N670">
        <f>IF(ROWS($N$2:$N670)&lt;=COUNT('Per Invoice'!$P$2:$P$801),MATCH(ROWS($N$2:$N670),'Per Invoice'!$P$2:$P$801,0),"")</f>
        <v/>
      </c>
    </row>
    <row r="671">
      <c r="A671">
        <f>IF($N671="","",IF(INDEX('Per Invoice'!$A$2:$A$801,$N671)="","",INDEX('Per Invoice'!$A$2:$A$801,$N671)))</f>
        <v/>
      </c>
      <c r="B671">
        <f>IF($N671="","",IF(INDEX('Per Invoice'!$B$2:$B$801,$N671)="","",INDEX('Per Invoice'!$B$2:$B$801,$N671)))</f>
        <v/>
      </c>
      <c r="C671">
        <f>IF($N671="","",IF(INDEX('Per Invoice'!$C$2:$C$801,$N671)="","",INDEX('Per Invoice'!$C$2:$C$801,$N671)))</f>
        <v/>
      </c>
      <c r="D671">
        <f>IF($N671="","",IF(INDEX('Per Invoice'!$D$2:$D$801,$N671)="","",INDEX('Per Invoice'!$D$2:$D$801,$N671)))</f>
        <v/>
      </c>
      <c r="E671">
        <f>IF($N671="","",IF(INDEX('Per Invoice'!$E$2:$E$801,$N671)="","",INDEX('Per Invoice'!$E$2:$E$801,$N671)))</f>
        <v/>
      </c>
      <c r="F671">
        <f>IF($N671="","",IF(INDEX('Per Invoice'!$F$2:$F$801,$N671)="","",INDEX('Per Invoice'!$F$2:$F$801,$N671)))</f>
        <v/>
      </c>
      <c r="G671">
        <f>IF($N671="","",IF(INDEX('Per Invoice'!$G$2:$G$801,$N671)="","",INDEX('Per Invoice'!$G$2:$G$801,$N671)))</f>
        <v/>
      </c>
      <c r="H671">
        <f>IF($N671="","",IF(INDEX('Per Invoice'!$H$2:$H$801,$N671)="","",INDEX('Per Invoice'!$H$2:$H$801,$N671)))</f>
        <v/>
      </c>
      <c r="I671" s="5">
        <f>IF($N671="","",IF(INDEX('Per Invoice'!$I$2:$I$801,$N671)="","",INDEX('Per Invoice'!$I$2:$I$801,$N671)))</f>
        <v/>
      </c>
      <c r="J671" s="5">
        <f>IF($N671="","",IF(INDEX('Per Invoice'!$J$2:$J$801,$N671)="","",INDEX('Per Invoice'!$J$2:$J$801,$N671)))</f>
        <v/>
      </c>
      <c r="K671" s="5">
        <f>IF($N671="","",IF(INDEX('Per Invoice'!$K$2:$K$801,$N671)="","",INDEX('Per Invoice'!$K$2:$K$801,$N671)))</f>
        <v/>
      </c>
      <c r="L671" s="5">
        <f>IF($N671="","",IF(INDEX('Per Invoice'!$L$2:$L$801,$N671)="","",INDEX('Per Invoice'!$L$2:$L$801,$N671)))</f>
        <v/>
      </c>
      <c r="M671" s="5">
        <f>IF($N671="","",IF(INDEX('Per Invoice'!$M$2:$M$801,$N671)="","",INDEX('Per Invoice'!$M$2:$M$801,$N671)))</f>
        <v/>
      </c>
      <c r="N671">
        <f>IF(ROWS($N$2:$N671)&lt;=COUNT('Per Invoice'!$P$2:$P$801),MATCH(ROWS($N$2:$N671),'Per Invoice'!$P$2:$P$801,0),"")</f>
        <v/>
      </c>
    </row>
    <row r="672">
      <c r="A672">
        <f>IF($N672="","",IF(INDEX('Per Invoice'!$A$2:$A$801,$N672)="","",INDEX('Per Invoice'!$A$2:$A$801,$N672)))</f>
        <v/>
      </c>
      <c r="B672">
        <f>IF($N672="","",IF(INDEX('Per Invoice'!$B$2:$B$801,$N672)="","",INDEX('Per Invoice'!$B$2:$B$801,$N672)))</f>
        <v/>
      </c>
      <c r="C672">
        <f>IF($N672="","",IF(INDEX('Per Invoice'!$C$2:$C$801,$N672)="","",INDEX('Per Invoice'!$C$2:$C$801,$N672)))</f>
        <v/>
      </c>
      <c r="D672">
        <f>IF($N672="","",IF(INDEX('Per Invoice'!$D$2:$D$801,$N672)="","",INDEX('Per Invoice'!$D$2:$D$801,$N672)))</f>
        <v/>
      </c>
      <c r="E672">
        <f>IF($N672="","",IF(INDEX('Per Invoice'!$E$2:$E$801,$N672)="","",INDEX('Per Invoice'!$E$2:$E$801,$N672)))</f>
        <v/>
      </c>
      <c r="F672">
        <f>IF($N672="","",IF(INDEX('Per Invoice'!$F$2:$F$801,$N672)="","",INDEX('Per Invoice'!$F$2:$F$801,$N672)))</f>
        <v/>
      </c>
      <c r="G672">
        <f>IF($N672="","",IF(INDEX('Per Invoice'!$G$2:$G$801,$N672)="","",INDEX('Per Invoice'!$G$2:$G$801,$N672)))</f>
        <v/>
      </c>
      <c r="H672">
        <f>IF($N672="","",IF(INDEX('Per Invoice'!$H$2:$H$801,$N672)="","",INDEX('Per Invoice'!$H$2:$H$801,$N672)))</f>
        <v/>
      </c>
      <c r="I672" s="5">
        <f>IF($N672="","",IF(INDEX('Per Invoice'!$I$2:$I$801,$N672)="","",INDEX('Per Invoice'!$I$2:$I$801,$N672)))</f>
        <v/>
      </c>
      <c r="J672" s="5">
        <f>IF($N672="","",IF(INDEX('Per Invoice'!$J$2:$J$801,$N672)="","",INDEX('Per Invoice'!$J$2:$J$801,$N672)))</f>
        <v/>
      </c>
      <c r="K672" s="5">
        <f>IF($N672="","",IF(INDEX('Per Invoice'!$K$2:$K$801,$N672)="","",INDEX('Per Invoice'!$K$2:$K$801,$N672)))</f>
        <v/>
      </c>
      <c r="L672" s="5">
        <f>IF($N672="","",IF(INDEX('Per Invoice'!$L$2:$L$801,$N672)="","",INDEX('Per Invoice'!$L$2:$L$801,$N672)))</f>
        <v/>
      </c>
      <c r="M672" s="5">
        <f>IF($N672="","",IF(INDEX('Per Invoice'!$M$2:$M$801,$N672)="","",INDEX('Per Invoice'!$M$2:$M$801,$N672)))</f>
        <v/>
      </c>
      <c r="N672">
        <f>IF(ROWS($N$2:$N672)&lt;=COUNT('Per Invoice'!$P$2:$P$801),MATCH(ROWS($N$2:$N672),'Per Invoice'!$P$2:$P$801,0),"")</f>
        <v/>
      </c>
    </row>
    <row r="673">
      <c r="A673">
        <f>IF($N673="","",IF(INDEX('Per Invoice'!$A$2:$A$801,$N673)="","",INDEX('Per Invoice'!$A$2:$A$801,$N673)))</f>
        <v/>
      </c>
      <c r="B673">
        <f>IF($N673="","",IF(INDEX('Per Invoice'!$B$2:$B$801,$N673)="","",INDEX('Per Invoice'!$B$2:$B$801,$N673)))</f>
        <v/>
      </c>
      <c r="C673">
        <f>IF($N673="","",IF(INDEX('Per Invoice'!$C$2:$C$801,$N673)="","",INDEX('Per Invoice'!$C$2:$C$801,$N673)))</f>
        <v/>
      </c>
      <c r="D673">
        <f>IF($N673="","",IF(INDEX('Per Invoice'!$D$2:$D$801,$N673)="","",INDEX('Per Invoice'!$D$2:$D$801,$N673)))</f>
        <v/>
      </c>
      <c r="E673">
        <f>IF($N673="","",IF(INDEX('Per Invoice'!$E$2:$E$801,$N673)="","",INDEX('Per Invoice'!$E$2:$E$801,$N673)))</f>
        <v/>
      </c>
      <c r="F673">
        <f>IF($N673="","",IF(INDEX('Per Invoice'!$F$2:$F$801,$N673)="","",INDEX('Per Invoice'!$F$2:$F$801,$N673)))</f>
        <v/>
      </c>
      <c r="G673">
        <f>IF($N673="","",IF(INDEX('Per Invoice'!$G$2:$G$801,$N673)="","",INDEX('Per Invoice'!$G$2:$G$801,$N673)))</f>
        <v/>
      </c>
      <c r="H673">
        <f>IF($N673="","",IF(INDEX('Per Invoice'!$H$2:$H$801,$N673)="","",INDEX('Per Invoice'!$H$2:$H$801,$N673)))</f>
        <v/>
      </c>
      <c r="I673" s="5">
        <f>IF($N673="","",IF(INDEX('Per Invoice'!$I$2:$I$801,$N673)="","",INDEX('Per Invoice'!$I$2:$I$801,$N673)))</f>
        <v/>
      </c>
      <c r="J673" s="5">
        <f>IF($N673="","",IF(INDEX('Per Invoice'!$J$2:$J$801,$N673)="","",INDEX('Per Invoice'!$J$2:$J$801,$N673)))</f>
        <v/>
      </c>
      <c r="K673" s="5">
        <f>IF($N673="","",IF(INDEX('Per Invoice'!$K$2:$K$801,$N673)="","",INDEX('Per Invoice'!$K$2:$K$801,$N673)))</f>
        <v/>
      </c>
      <c r="L673" s="5">
        <f>IF($N673="","",IF(INDEX('Per Invoice'!$L$2:$L$801,$N673)="","",INDEX('Per Invoice'!$L$2:$L$801,$N673)))</f>
        <v/>
      </c>
      <c r="M673" s="5">
        <f>IF($N673="","",IF(INDEX('Per Invoice'!$M$2:$M$801,$N673)="","",INDEX('Per Invoice'!$M$2:$M$801,$N673)))</f>
        <v/>
      </c>
      <c r="N673">
        <f>IF(ROWS($N$2:$N673)&lt;=COUNT('Per Invoice'!$P$2:$P$801),MATCH(ROWS($N$2:$N673),'Per Invoice'!$P$2:$P$801,0),"")</f>
        <v/>
      </c>
    </row>
    <row r="674">
      <c r="A674">
        <f>IF($N674="","",IF(INDEX('Per Invoice'!$A$2:$A$801,$N674)="","",INDEX('Per Invoice'!$A$2:$A$801,$N674)))</f>
        <v/>
      </c>
      <c r="B674">
        <f>IF($N674="","",IF(INDEX('Per Invoice'!$B$2:$B$801,$N674)="","",INDEX('Per Invoice'!$B$2:$B$801,$N674)))</f>
        <v/>
      </c>
      <c r="C674">
        <f>IF($N674="","",IF(INDEX('Per Invoice'!$C$2:$C$801,$N674)="","",INDEX('Per Invoice'!$C$2:$C$801,$N674)))</f>
        <v/>
      </c>
      <c r="D674">
        <f>IF($N674="","",IF(INDEX('Per Invoice'!$D$2:$D$801,$N674)="","",INDEX('Per Invoice'!$D$2:$D$801,$N674)))</f>
        <v/>
      </c>
      <c r="E674">
        <f>IF($N674="","",IF(INDEX('Per Invoice'!$E$2:$E$801,$N674)="","",INDEX('Per Invoice'!$E$2:$E$801,$N674)))</f>
        <v/>
      </c>
      <c r="F674">
        <f>IF($N674="","",IF(INDEX('Per Invoice'!$F$2:$F$801,$N674)="","",INDEX('Per Invoice'!$F$2:$F$801,$N674)))</f>
        <v/>
      </c>
      <c r="G674">
        <f>IF($N674="","",IF(INDEX('Per Invoice'!$G$2:$G$801,$N674)="","",INDEX('Per Invoice'!$G$2:$G$801,$N674)))</f>
        <v/>
      </c>
      <c r="H674">
        <f>IF($N674="","",IF(INDEX('Per Invoice'!$H$2:$H$801,$N674)="","",INDEX('Per Invoice'!$H$2:$H$801,$N674)))</f>
        <v/>
      </c>
      <c r="I674" s="5">
        <f>IF($N674="","",IF(INDEX('Per Invoice'!$I$2:$I$801,$N674)="","",INDEX('Per Invoice'!$I$2:$I$801,$N674)))</f>
        <v/>
      </c>
      <c r="J674" s="5">
        <f>IF($N674="","",IF(INDEX('Per Invoice'!$J$2:$J$801,$N674)="","",INDEX('Per Invoice'!$J$2:$J$801,$N674)))</f>
        <v/>
      </c>
      <c r="K674" s="5">
        <f>IF($N674="","",IF(INDEX('Per Invoice'!$K$2:$K$801,$N674)="","",INDEX('Per Invoice'!$K$2:$K$801,$N674)))</f>
        <v/>
      </c>
      <c r="L674" s="5">
        <f>IF($N674="","",IF(INDEX('Per Invoice'!$L$2:$L$801,$N674)="","",INDEX('Per Invoice'!$L$2:$L$801,$N674)))</f>
        <v/>
      </c>
      <c r="M674" s="5">
        <f>IF($N674="","",IF(INDEX('Per Invoice'!$M$2:$M$801,$N674)="","",INDEX('Per Invoice'!$M$2:$M$801,$N674)))</f>
        <v/>
      </c>
      <c r="N674">
        <f>IF(ROWS($N$2:$N674)&lt;=COUNT('Per Invoice'!$P$2:$P$801),MATCH(ROWS($N$2:$N674),'Per Invoice'!$P$2:$P$801,0),"")</f>
        <v/>
      </c>
    </row>
    <row r="675">
      <c r="A675">
        <f>IF($N675="","",IF(INDEX('Per Invoice'!$A$2:$A$801,$N675)="","",INDEX('Per Invoice'!$A$2:$A$801,$N675)))</f>
        <v/>
      </c>
      <c r="B675">
        <f>IF($N675="","",IF(INDEX('Per Invoice'!$B$2:$B$801,$N675)="","",INDEX('Per Invoice'!$B$2:$B$801,$N675)))</f>
        <v/>
      </c>
      <c r="C675">
        <f>IF($N675="","",IF(INDEX('Per Invoice'!$C$2:$C$801,$N675)="","",INDEX('Per Invoice'!$C$2:$C$801,$N675)))</f>
        <v/>
      </c>
      <c r="D675">
        <f>IF($N675="","",IF(INDEX('Per Invoice'!$D$2:$D$801,$N675)="","",INDEX('Per Invoice'!$D$2:$D$801,$N675)))</f>
        <v/>
      </c>
      <c r="E675">
        <f>IF($N675="","",IF(INDEX('Per Invoice'!$E$2:$E$801,$N675)="","",INDEX('Per Invoice'!$E$2:$E$801,$N675)))</f>
        <v/>
      </c>
      <c r="F675">
        <f>IF($N675="","",IF(INDEX('Per Invoice'!$F$2:$F$801,$N675)="","",INDEX('Per Invoice'!$F$2:$F$801,$N675)))</f>
        <v/>
      </c>
      <c r="G675">
        <f>IF($N675="","",IF(INDEX('Per Invoice'!$G$2:$G$801,$N675)="","",INDEX('Per Invoice'!$G$2:$G$801,$N675)))</f>
        <v/>
      </c>
      <c r="H675">
        <f>IF($N675="","",IF(INDEX('Per Invoice'!$H$2:$H$801,$N675)="","",INDEX('Per Invoice'!$H$2:$H$801,$N675)))</f>
        <v/>
      </c>
      <c r="I675" s="5">
        <f>IF($N675="","",IF(INDEX('Per Invoice'!$I$2:$I$801,$N675)="","",INDEX('Per Invoice'!$I$2:$I$801,$N675)))</f>
        <v/>
      </c>
      <c r="J675" s="5">
        <f>IF($N675="","",IF(INDEX('Per Invoice'!$J$2:$J$801,$N675)="","",INDEX('Per Invoice'!$J$2:$J$801,$N675)))</f>
        <v/>
      </c>
      <c r="K675" s="5">
        <f>IF($N675="","",IF(INDEX('Per Invoice'!$K$2:$K$801,$N675)="","",INDEX('Per Invoice'!$K$2:$K$801,$N675)))</f>
        <v/>
      </c>
      <c r="L675" s="5">
        <f>IF($N675="","",IF(INDEX('Per Invoice'!$L$2:$L$801,$N675)="","",INDEX('Per Invoice'!$L$2:$L$801,$N675)))</f>
        <v/>
      </c>
      <c r="M675" s="5">
        <f>IF($N675="","",IF(INDEX('Per Invoice'!$M$2:$M$801,$N675)="","",INDEX('Per Invoice'!$M$2:$M$801,$N675)))</f>
        <v/>
      </c>
      <c r="N675">
        <f>IF(ROWS($N$2:$N675)&lt;=COUNT('Per Invoice'!$P$2:$P$801),MATCH(ROWS($N$2:$N675),'Per Invoice'!$P$2:$P$801,0),"")</f>
        <v/>
      </c>
    </row>
    <row r="676">
      <c r="A676">
        <f>IF($N676="","",IF(INDEX('Per Invoice'!$A$2:$A$801,$N676)="","",INDEX('Per Invoice'!$A$2:$A$801,$N676)))</f>
        <v/>
      </c>
      <c r="B676">
        <f>IF($N676="","",IF(INDEX('Per Invoice'!$B$2:$B$801,$N676)="","",INDEX('Per Invoice'!$B$2:$B$801,$N676)))</f>
        <v/>
      </c>
      <c r="C676">
        <f>IF($N676="","",IF(INDEX('Per Invoice'!$C$2:$C$801,$N676)="","",INDEX('Per Invoice'!$C$2:$C$801,$N676)))</f>
        <v/>
      </c>
      <c r="D676">
        <f>IF($N676="","",IF(INDEX('Per Invoice'!$D$2:$D$801,$N676)="","",INDEX('Per Invoice'!$D$2:$D$801,$N676)))</f>
        <v/>
      </c>
      <c r="E676">
        <f>IF($N676="","",IF(INDEX('Per Invoice'!$E$2:$E$801,$N676)="","",INDEX('Per Invoice'!$E$2:$E$801,$N676)))</f>
        <v/>
      </c>
      <c r="F676">
        <f>IF($N676="","",IF(INDEX('Per Invoice'!$F$2:$F$801,$N676)="","",INDEX('Per Invoice'!$F$2:$F$801,$N676)))</f>
        <v/>
      </c>
      <c r="G676">
        <f>IF($N676="","",IF(INDEX('Per Invoice'!$G$2:$G$801,$N676)="","",INDEX('Per Invoice'!$G$2:$G$801,$N676)))</f>
        <v/>
      </c>
      <c r="H676">
        <f>IF($N676="","",IF(INDEX('Per Invoice'!$H$2:$H$801,$N676)="","",INDEX('Per Invoice'!$H$2:$H$801,$N676)))</f>
        <v/>
      </c>
      <c r="I676" s="5">
        <f>IF($N676="","",IF(INDEX('Per Invoice'!$I$2:$I$801,$N676)="","",INDEX('Per Invoice'!$I$2:$I$801,$N676)))</f>
        <v/>
      </c>
      <c r="J676" s="5">
        <f>IF($N676="","",IF(INDEX('Per Invoice'!$J$2:$J$801,$N676)="","",INDEX('Per Invoice'!$J$2:$J$801,$N676)))</f>
        <v/>
      </c>
      <c r="K676" s="5">
        <f>IF($N676="","",IF(INDEX('Per Invoice'!$K$2:$K$801,$N676)="","",INDEX('Per Invoice'!$K$2:$K$801,$N676)))</f>
        <v/>
      </c>
      <c r="L676" s="5">
        <f>IF($N676="","",IF(INDEX('Per Invoice'!$L$2:$L$801,$N676)="","",INDEX('Per Invoice'!$L$2:$L$801,$N676)))</f>
        <v/>
      </c>
      <c r="M676" s="5">
        <f>IF($N676="","",IF(INDEX('Per Invoice'!$M$2:$M$801,$N676)="","",INDEX('Per Invoice'!$M$2:$M$801,$N676)))</f>
        <v/>
      </c>
      <c r="N676">
        <f>IF(ROWS($N$2:$N676)&lt;=COUNT('Per Invoice'!$P$2:$P$801),MATCH(ROWS($N$2:$N676),'Per Invoice'!$P$2:$P$801,0),"")</f>
        <v/>
      </c>
    </row>
    <row r="677">
      <c r="A677">
        <f>IF($N677="","",IF(INDEX('Per Invoice'!$A$2:$A$801,$N677)="","",INDEX('Per Invoice'!$A$2:$A$801,$N677)))</f>
        <v/>
      </c>
      <c r="B677">
        <f>IF($N677="","",IF(INDEX('Per Invoice'!$B$2:$B$801,$N677)="","",INDEX('Per Invoice'!$B$2:$B$801,$N677)))</f>
        <v/>
      </c>
      <c r="C677">
        <f>IF($N677="","",IF(INDEX('Per Invoice'!$C$2:$C$801,$N677)="","",INDEX('Per Invoice'!$C$2:$C$801,$N677)))</f>
        <v/>
      </c>
      <c r="D677">
        <f>IF($N677="","",IF(INDEX('Per Invoice'!$D$2:$D$801,$N677)="","",INDEX('Per Invoice'!$D$2:$D$801,$N677)))</f>
        <v/>
      </c>
      <c r="E677">
        <f>IF($N677="","",IF(INDEX('Per Invoice'!$E$2:$E$801,$N677)="","",INDEX('Per Invoice'!$E$2:$E$801,$N677)))</f>
        <v/>
      </c>
      <c r="F677">
        <f>IF($N677="","",IF(INDEX('Per Invoice'!$F$2:$F$801,$N677)="","",INDEX('Per Invoice'!$F$2:$F$801,$N677)))</f>
        <v/>
      </c>
      <c r="G677">
        <f>IF($N677="","",IF(INDEX('Per Invoice'!$G$2:$G$801,$N677)="","",INDEX('Per Invoice'!$G$2:$G$801,$N677)))</f>
        <v/>
      </c>
      <c r="H677">
        <f>IF($N677="","",IF(INDEX('Per Invoice'!$H$2:$H$801,$N677)="","",INDEX('Per Invoice'!$H$2:$H$801,$N677)))</f>
        <v/>
      </c>
      <c r="I677" s="5">
        <f>IF($N677="","",IF(INDEX('Per Invoice'!$I$2:$I$801,$N677)="","",INDEX('Per Invoice'!$I$2:$I$801,$N677)))</f>
        <v/>
      </c>
      <c r="J677" s="5">
        <f>IF($N677="","",IF(INDEX('Per Invoice'!$J$2:$J$801,$N677)="","",INDEX('Per Invoice'!$J$2:$J$801,$N677)))</f>
        <v/>
      </c>
      <c r="K677" s="5">
        <f>IF($N677="","",IF(INDEX('Per Invoice'!$K$2:$K$801,$N677)="","",INDEX('Per Invoice'!$K$2:$K$801,$N677)))</f>
        <v/>
      </c>
      <c r="L677" s="5">
        <f>IF($N677="","",IF(INDEX('Per Invoice'!$L$2:$L$801,$N677)="","",INDEX('Per Invoice'!$L$2:$L$801,$N677)))</f>
        <v/>
      </c>
      <c r="M677" s="5">
        <f>IF($N677="","",IF(INDEX('Per Invoice'!$M$2:$M$801,$N677)="","",INDEX('Per Invoice'!$M$2:$M$801,$N677)))</f>
        <v/>
      </c>
      <c r="N677">
        <f>IF(ROWS($N$2:$N677)&lt;=COUNT('Per Invoice'!$P$2:$P$801),MATCH(ROWS($N$2:$N677),'Per Invoice'!$P$2:$P$801,0),"")</f>
        <v/>
      </c>
    </row>
    <row r="678">
      <c r="A678">
        <f>IF($N678="","",IF(INDEX('Per Invoice'!$A$2:$A$801,$N678)="","",INDEX('Per Invoice'!$A$2:$A$801,$N678)))</f>
        <v/>
      </c>
      <c r="B678">
        <f>IF($N678="","",IF(INDEX('Per Invoice'!$B$2:$B$801,$N678)="","",INDEX('Per Invoice'!$B$2:$B$801,$N678)))</f>
        <v/>
      </c>
      <c r="C678">
        <f>IF($N678="","",IF(INDEX('Per Invoice'!$C$2:$C$801,$N678)="","",INDEX('Per Invoice'!$C$2:$C$801,$N678)))</f>
        <v/>
      </c>
      <c r="D678">
        <f>IF($N678="","",IF(INDEX('Per Invoice'!$D$2:$D$801,$N678)="","",INDEX('Per Invoice'!$D$2:$D$801,$N678)))</f>
        <v/>
      </c>
      <c r="E678">
        <f>IF($N678="","",IF(INDEX('Per Invoice'!$E$2:$E$801,$N678)="","",INDEX('Per Invoice'!$E$2:$E$801,$N678)))</f>
        <v/>
      </c>
      <c r="F678">
        <f>IF($N678="","",IF(INDEX('Per Invoice'!$F$2:$F$801,$N678)="","",INDEX('Per Invoice'!$F$2:$F$801,$N678)))</f>
        <v/>
      </c>
      <c r="G678">
        <f>IF($N678="","",IF(INDEX('Per Invoice'!$G$2:$G$801,$N678)="","",INDEX('Per Invoice'!$G$2:$G$801,$N678)))</f>
        <v/>
      </c>
      <c r="H678">
        <f>IF($N678="","",IF(INDEX('Per Invoice'!$H$2:$H$801,$N678)="","",INDEX('Per Invoice'!$H$2:$H$801,$N678)))</f>
        <v/>
      </c>
      <c r="I678" s="5">
        <f>IF($N678="","",IF(INDEX('Per Invoice'!$I$2:$I$801,$N678)="","",INDEX('Per Invoice'!$I$2:$I$801,$N678)))</f>
        <v/>
      </c>
      <c r="J678" s="5">
        <f>IF($N678="","",IF(INDEX('Per Invoice'!$J$2:$J$801,$N678)="","",INDEX('Per Invoice'!$J$2:$J$801,$N678)))</f>
        <v/>
      </c>
      <c r="K678" s="5">
        <f>IF($N678="","",IF(INDEX('Per Invoice'!$K$2:$K$801,$N678)="","",INDEX('Per Invoice'!$K$2:$K$801,$N678)))</f>
        <v/>
      </c>
      <c r="L678" s="5">
        <f>IF($N678="","",IF(INDEX('Per Invoice'!$L$2:$L$801,$N678)="","",INDEX('Per Invoice'!$L$2:$L$801,$N678)))</f>
        <v/>
      </c>
      <c r="M678" s="5">
        <f>IF($N678="","",IF(INDEX('Per Invoice'!$M$2:$M$801,$N678)="","",INDEX('Per Invoice'!$M$2:$M$801,$N678)))</f>
        <v/>
      </c>
      <c r="N678">
        <f>IF(ROWS($N$2:$N678)&lt;=COUNT('Per Invoice'!$P$2:$P$801),MATCH(ROWS($N$2:$N678),'Per Invoice'!$P$2:$P$801,0),"")</f>
        <v/>
      </c>
    </row>
    <row r="679">
      <c r="A679">
        <f>IF($N679="","",IF(INDEX('Per Invoice'!$A$2:$A$801,$N679)="","",INDEX('Per Invoice'!$A$2:$A$801,$N679)))</f>
        <v/>
      </c>
      <c r="B679">
        <f>IF($N679="","",IF(INDEX('Per Invoice'!$B$2:$B$801,$N679)="","",INDEX('Per Invoice'!$B$2:$B$801,$N679)))</f>
        <v/>
      </c>
      <c r="C679">
        <f>IF($N679="","",IF(INDEX('Per Invoice'!$C$2:$C$801,$N679)="","",INDEX('Per Invoice'!$C$2:$C$801,$N679)))</f>
        <v/>
      </c>
      <c r="D679">
        <f>IF($N679="","",IF(INDEX('Per Invoice'!$D$2:$D$801,$N679)="","",INDEX('Per Invoice'!$D$2:$D$801,$N679)))</f>
        <v/>
      </c>
      <c r="E679">
        <f>IF($N679="","",IF(INDEX('Per Invoice'!$E$2:$E$801,$N679)="","",INDEX('Per Invoice'!$E$2:$E$801,$N679)))</f>
        <v/>
      </c>
      <c r="F679">
        <f>IF($N679="","",IF(INDEX('Per Invoice'!$F$2:$F$801,$N679)="","",INDEX('Per Invoice'!$F$2:$F$801,$N679)))</f>
        <v/>
      </c>
      <c r="G679">
        <f>IF($N679="","",IF(INDEX('Per Invoice'!$G$2:$G$801,$N679)="","",INDEX('Per Invoice'!$G$2:$G$801,$N679)))</f>
        <v/>
      </c>
      <c r="H679">
        <f>IF($N679="","",IF(INDEX('Per Invoice'!$H$2:$H$801,$N679)="","",INDEX('Per Invoice'!$H$2:$H$801,$N679)))</f>
        <v/>
      </c>
      <c r="I679" s="5">
        <f>IF($N679="","",IF(INDEX('Per Invoice'!$I$2:$I$801,$N679)="","",INDEX('Per Invoice'!$I$2:$I$801,$N679)))</f>
        <v/>
      </c>
      <c r="J679" s="5">
        <f>IF($N679="","",IF(INDEX('Per Invoice'!$J$2:$J$801,$N679)="","",INDEX('Per Invoice'!$J$2:$J$801,$N679)))</f>
        <v/>
      </c>
      <c r="K679" s="5">
        <f>IF($N679="","",IF(INDEX('Per Invoice'!$K$2:$K$801,$N679)="","",INDEX('Per Invoice'!$K$2:$K$801,$N679)))</f>
        <v/>
      </c>
      <c r="L679" s="5">
        <f>IF($N679="","",IF(INDEX('Per Invoice'!$L$2:$L$801,$N679)="","",INDEX('Per Invoice'!$L$2:$L$801,$N679)))</f>
        <v/>
      </c>
      <c r="M679" s="5">
        <f>IF($N679="","",IF(INDEX('Per Invoice'!$M$2:$M$801,$N679)="","",INDEX('Per Invoice'!$M$2:$M$801,$N679)))</f>
        <v/>
      </c>
      <c r="N679">
        <f>IF(ROWS($N$2:$N679)&lt;=COUNT('Per Invoice'!$P$2:$P$801),MATCH(ROWS($N$2:$N679),'Per Invoice'!$P$2:$P$801,0),"")</f>
        <v/>
      </c>
    </row>
    <row r="680">
      <c r="A680">
        <f>IF($N680="","",IF(INDEX('Per Invoice'!$A$2:$A$801,$N680)="","",INDEX('Per Invoice'!$A$2:$A$801,$N680)))</f>
        <v/>
      </c>
      <c r="B680">
        <f>IF($N680="","",IF(INDEX('Per Invoice'!$B$2:$B$801,$N680)="","",INDEX('Per Invoice'!$B$2:$B$801,$N680)))</f>
        <v/>
      </c>
      <c r="C680">
        <f>IF($N680="","",IF(INDEX('Per Invoice'!$C$2:$C$801,$N680)="","",INDEX('Per Invoice'!$C$2:$C$801,$N680)))</f>
        <v/>
      </c>
      <c r="D680">
        <f>IF($N680="","",IF(INDEX('Per Invoice'!$D$2:$D$801,$N680)="","",INDEX('Per Invoice'!$D$2:$D$801,$N680)))</f>
        <v/>
      </c>
      <c r="E680">
        <f>IF($N680="","",IF(INDEX('Per Invoice'!$E$2:$E$801,$N680)="","",INDEX('Per Invoice'!$E$2:$E$801,$N680)))</f>
        <v/>
      </c>
      <c r="F680">
        <f>IF($N680="","",IF(INDEX('Per Invoice'!$F$2:$F$801,$N680)="","",INDEX('Per Invoice'!$F$2:$F$801,$N680)))</f>
        <v/>
      </c>
      <c r="G680">
        <f>IF($N680="","",IF(INDEX('Per Invoice'!$G$2:$G$801,$N680)="","",INDEX('Per Invoice'!$G$2:$G$801,$N680)))</f>
        <v/>
      </c>
      <c r="H680">
        <f>IF($N680="","",IF(INDEX('Per Invoice'!$H$2:$H$801,$N680)="","",INDEX('Per Invoice'!$H$2:$H$801,$N680)))</f>
        <v/>
      </c>
      <c r="I680" s="5">
        <f>IF($N680="","",IF(INDEX('Per Invoice'!$I$2:$I$801,$N680)="","",INDEX('Per Invoice'!$I$2:$I$801,$N680)))</f>
        <v/>
      </c>
      <c r="J680" s="5">
        <f>IF($N680="","",IF(INDEX('Per Invoice'!$J$2:$J$801,$N680)="","",INDEX('Per Invoice'!$J$2:$J$801,$N680)))</f>
        <v/>
      </c>
      <c r="K680" s="5">
        <f>IF($N680="","",IF(INDEX('Per Invoice'!$K$2:$K$801,$N680)="","",INDEX('Per Invoice'!$K$2:$K$801,$N680)))</f>
        <v/>
      </c>
      <c r="L680" s="5">
        <f>IF($N680="","",IF(INDEX('Per Invoice'!$L$2:$L$801,$N680)="","",INDEX('Per Invoice'!$L$2:$L$801,$N680)))</f>
        <v/>
      </c>
      <c r="M680" s="5">
        <f>IF($N680="","",IF(INDEX('Per Invoice'!$M$2:$M$801,$N680)="","",INDEX('Per Invoice'!$M$2:$M$801,$N680)))</f>
        <v/>
      </c>
      <c r="N680">
        <f>IF(ROWS($N$2:$N680)&lt;=COUNT('Per Invoice'!$P$2:$P$801),MATCH(ROWS($N$2:$N680),'Per Invoice'!$P$2:$P$801,0),"")</f>
        <v/>
      </c>
    </row>
    <row r="681">
      <c r="A681">
        <f>IF($N681="","",IF(INDEX('Per Invoice'!$A$2:$A$801,$N681)="","",INDEX('Per Invoice'!$A$2:$A$801,$N681)))</f>
        <v/>
      </c>
      <c r="B681">
        <f>IF($N681="","",IF(INDEX('Per Invoice'!$B$2:$B$801,$N681)="","",INDEX('Per Invoice'!$B$2:$B$801,$N681)))</f>
        <v/>
      </c>
      <c r="C681">
        <f>IF($N681="","",IF(INDEX('Per Invoice'!$C$2:$C$801,$N681)="","",INDEX('Per Invoice'!$C$2:$C$801,$N681)))</f>
        <v/>
      </c>
      <c r="D681">
        <f>IF($N681="","",IF(INDEX('Per Invoice'!$D$2:$D$801,$N681)="","",INDEX('Per Invoice'!$D$2:$D$801,$N681)))</f>
        <v/>
      </c>
      <c r="E681">
        <f>IF($N681="","",IF(INDEX('Per Invoice'!$E$2:$E$801,$N681)="","",INDEX('Per Invoice'!$E$2:$E$801,$N681)))</f>
        <v/>
      </c>
      <c r="F681">
        <f>IF($N681="","",IF(INDEX('Per Invoice'!$F$2:$F$801,$N681)="","",INDEX('Per Invoice'!$F$2:$F$801,$N681)))</f>
        <v/>
      </c>
      <c r="G681">
        <f>IF($N681="","",IF(INDEX('Per Invoice'!$G$2:$G$801,$N681)="","",INDEX('Per Invoice'!$G$2:$G$801,$N681)))</f>
        <v/>
      </c>
      <c r="H681">
        <f>IF($N681="","",IF(INDEX('Per Invoice'!$H$2:$H$801,$N681)="","",INDEX('Per Invoice'!$H$2:$H$801,$N681)))</f>
        <v/>
      </c>
      <c r="I681" s="5">
        <f>IF($N681="","",IF(INDEX('Per Invoice'!$I$2:$I$801,$N681)="","",INDEX('Per Invoice'!$I$2:$I$801,$N681)))</f>
        <v/>
      </c>
      <c r="J681" s="5">
        <f>IF($N681="","",IF(INDEX('Per Invoice'!$J$2:$J$801,$N681)="","",INDEX('Per Invoice'!$J$2:$J$801,$N681)))</f>
        <v/>
      </c>
      <c r="K681" s="5">
        <f>IF($N681="","",IF(INDEX('Per Invoice'!$K$2:$K$801,$N681)="","",INDEX('Per Invoice'!$K$2:$K$801,$N681)))</f>
        <v/>
      </c>
      <c r="L681" s="5">
        <f>IF($N681="","",IF(INDEX('Per Invoice'!$L$2:$L$801,$N681)="","",INDEX('Per Invoice'!$L$2:$L$801,$N681)))</f>
        <v/>
      </c>
      <c r="M681" s="5">
        <f>IF($N681="","",IF(INDEX('Per Invoice'!$M$2:$M$801,$N681)="","",INDEX('Per Invoice'!$M$2:$M$801,$N681)))</f>
        <v/>
      </c>
      <c r="N681">
        <f>IF(ROWS($N$2:$N681)&lt;=COUNT('Per Invoice'!$P$2:$P$801),MATCH(ROWS($N$2:$N681),'Per Invoice'!$P$2:$P$801,0),"")</f>
        <v/>
      </c>
    </row>
    <row r="682">
      <c r="A682">
        <f>IF($N682="","",IF(INDEX('Per Invoice'!$A$2:$A$801,$N682)="","",INDEX('Per Invoice'!$A$2:$A$801,$N682)))</f>
        <v/>
      </c>
      <c r="B682">
        <f>IF($N682="","",IF(INDEX('Per Invoice'!$B$2:$B$801,$N682)="","",INDEX('Per Invoice'!$B$2:$B$801,$N682)))</f>
        <v/>
      </c>
      <c r="C682">
        <f>IF($N682="","",IF(INDEX('Per Invoice'!$C$2:$C$801,$N682)="","",INDEX('Per Invoice'!$C$2:$C$801,$N682)))</f>
        <v/>
      </c>
      <c r="D682">
        <f>IF($N682="","",IF(INDEX('Per Invoice'!$D$2:$D$801,$N682)="","",INDEX('Per Invoice'!$D$2:$D$801,$N682)))</f>
        <v/>
      </c>
      <c r="E682">
        <f>IF($N682="","",IF(INDEX('Per Invoice'!$E$2:$E$801,$N682)="","",INDEX('Per Invoice'!$E$2:$E$801,$N682)))</f>
        <v/>
      </c>
      <c r="F682">
        <f>IF($N682="","",IF(INDEX('Per Invoice'!$F$2:$F$801,$N682)="","",INDEX('Per Invoice'!$F$2:$F$801,$N682)))</f>
        <v/>
      </c>
      <c r="G682">
        <f>IF($N682="","",IF(INDEX('Per Invoice'!$G$2:$G$801,$N682)="","",INDEX('Per Invoice'!$G$2:$G$801,$N682)))</f>
        <v/>
      </c>
      <c r="H682">
        <f>IF($N682="","",IF(INDEX('Per Invoice'!$H$2:$H$801,$N682)="","",INDEX('Per Invoice'!$H$2:$H$801,$N682)))</f>
        <v/>
      </c>
      <c r="I682" s="5">
        <f>IF($N682="","",IF(INDEX('Per Invoice'!$I$2:$I$801,$N682)="","",INDEX('Per Invoice'!$I$2:$I$801,$N682)))</f>
        <v/>
      </c>
      <c r="J682" s="5">
        <f>IF($N682="","",IF(INDEX('Per Invoice'!$J$2:$J$801,$N682)="","",INDEX('Per Invoice'!$J$2:$J$801,$N682)))</f>
        <v/>
      </c>
      <c r="K682" s="5">
        <f>IF($N682="","",IF(INDEX('Per Invoice'!$K$2:$K$801,$N682)="","",INDEX('Per Invoice'!$K$2:$K$801,$N682)))</f>
        <v/>
      </c>
      <c r="L682" s="5">
        <f>IF($N682="","",IF(INDEX('Per Invoice'!$L$2:$L$801,$N682)="","",INDEX('Per Invoice'!$L$2:$L$801,$N682)))</f>
        <v/>
      </c>
      <c r="M682" s="5">
        <f>IF($N682="","",IF(INDEX('Per Invoice'!$M$2:$M$801,$N682)="","",INDEX('Per Invoice'!$M$2:$M$801,$N682)))</f>
        <v/>
      </c>
      <c r="N682">
        <f>IF(ROWS($N$2:$N682)&lt;=COUNT('Per Invoice'!$P$2:$P$801),MATCH(ROWS($N$2:$N682),'Per Invoice'!$P$2:$P$801,0),"")</f>
        <v/>
      </c>
    </row>
    <row r="683">
      <c r="A683">
        <f>IF($N683="","",IF(INDEX('Per Invoice'!$A$2:$A$801,$N683)="","",INDEX('Per Invoice'!$A$2:$A$801,$N683)))</f>
        <v/>
      </c>
      <c r="B683">
        <f>IF($N683="","",IF(INDEX('Per Invoice'!$B$2:$B$801,$N683)="","",INDEX('Per Invoice'!$B$2:$B$801,$N683)))</f>
        <v/>
      </c>
      <c r="C683">
        <f>IF($N683="","",IF(INDEX('Per Invoice'!$C$2:$C$801,$N683)="","",INDEX('Per Invoice'!$C$2:$C$801,$N683)))</f>
        <v/>
      </c>
      <c r="D683">
        <f>IF($N683="","",IF(INDEX('Per Invoice'!$D$2:$D$801,$N683)="","",INDEX('Per Invoice'!$D$2:$D$801,$N683)))</f>
        <v/>
      </c>
      <c r="E683">
        <f>IF($N683="","",IF(INDEX('Per Invoice'!$E$2:$E$801,$N683)="","",INDEX('Per Invoice'!$E$2:$E$801,$N683)))</f>
        <v/>
      </c>
      <c r="F683">
        <f>IF($N683="","",IF(INDEX('Per Invoice'!$F$2:$F$801,$N683)="","",INDEX('Per Invoice'!$F$2:$F$801,$N683)))</f>
        <v/>
      </c>
      <c r="G683">
        <f>IF($N683="","",IF(INDEX('Per Invoice'!$G$2:$G$801,$N683)="","",INDEX('Per Invoice'!$G$2:$G$801,$N683)))</f>
        <v/>
      </c>
      <c r="H683">
        <f>IF($N683="","",IF(INDEX('Per Invoice'!$H$2:$H$801,$N683)="","",INDEX('Per Invoice'!$H$2:$H$801,$N683)))</f>
        <v/>
      </c>
      <c r="I683" s="5">
        <f>IF($N683="","",IF(INDEX('Per Invoice'!$I$2:$I$801,$N683)="","",INDEX('Per Invoice'!$I$2:$I$801,$N683)))</f>
        <v/>
      </c>
      <c r="J683" s="5">
        <f>IF($N683="","",IF(INDEX('Per Invoice'!$J$2:$J$801,$N683)="","",INDEX('Per Invoice'!$J$2:$J$801,$N683)))</f>
        <v/>
      </c>
      <c r="K683" s="5">
        <f>IF($N683="","",IF(INDEX('Per Invoice'!$K$2:$K$801,$N683)="","",INDEX('Per Invoice'!$K$2:$K$801,$N683)))</f>
        <v/>
      </c>
      <c r="L683" s="5">
        <f>IF($N683="","",IF(INDEX('Per Invoice'!$L$2:$L$801,$N683)="","",INDEX('Per Invoice'!$L$2:$L$801,$N683)))</f>
        <v/>
      </c>
      <c r="M683" s="5">
        <f>IF($N683="","",IF(INDEX('Per Invoice'!$M$2:$M$801,$N683)="","",INDEX('Per Invoice'!$M$2:$M$801,$N683)))</f>
        <v/>
      </c>
      <c r="N683">
        <f>IF(ROWS($N$2:$N683)&lt;=COUNT('Per Invoice'!$P$2:$P$801),MATCH(ROWS($N$2:$N683),'Per Invoice'!$P$2:$P$801,0),"")</f>
        <v/>
      </c>
    </row>
    <row r="684">
      <c r="A684">
        <f>IF($N684="","",IF(INDEX('Per Invoice'!$A$2:$A$801,$N684)="","",INDEX('Per Invoice'!$A$2:$A$801,$N684)))</f>
        <v/>
      </c>
      <c r="B684">
        <f>IF($N684="","",IF(INDEX('Per Invoice'!$B$2:$B$801,$N684)="","",INDEX('Per Invoice'!$B$2:$B$801,$N684)))</f>
        <v/>
      </c>
      <c r="C684">
        <f>IF($N684="","",IF(INDEX('Per Invoice'!$C$2:$C$801,$N684)="","",INDEX('Per Invoice'!$C$2:$C$801,$N684)))</f>
        <v/>
      </c>
      <c r="D684">
        <f>IF($N684="","",IF(INDEX('Per Invoice'!$D$2:$D$801,$N684)="","",INDEX('Per Invoice'!$D$2:$D$801,$N684)))</f>
        <v/>
      </c>
      <c r="E684">
        <f>IF($N684="","",IF(INDEX('Per Invoice'!$E$2:$E$801,$N684)="","",INDEX('Per Invoice'!$E$2:$E$801,$N684)))</f>
        <v/>
      </c>
      <c r="F684">
        <f>IF($N684="","",IF(INDEX('Per Invoice'!$F$2:$F$801,$N684)="","",INDEX('Per Invoice'!$F$2:$F$801,$N684)))</f>
        <v/>
      </c>
      <c r="G684">
        <f>IF($N684="","",IF(INDEX('Per Invoice'!$G$2:$G$801,$N684)="","",INDEX('Per Invoice'!$G$2:$G$801,$N684)))</f>
        <v/>
      </c>
      <c r="H684">
        <f>IF($N684="","",IF(INDEX('Per Invoice'!$H$2:$H$801,$N684)="","",INDEX('Per Invoice'!$H$2:$H$801,$N684)))</f>
        <v/>
      </c>
      <c r="I684" s="5">
        <f>IF($N684="","",IF(INDEX('Per Invoice'!$I$2:$I$801,$N684)="","",INDEX('Per Invoice'!$I$2:$I$801,$N684)))</f>
        <v/>
      </c>
      <c r="J684" s="5">
        <f>IF($N684="","",IF(INDEX('Per Invoice'!$J$2:$J$801,$N684)="","",INDEX('Per Invoice'!$J$2:$J$801,$N684)))</f>
        <v/>
      </c>
      <c r="K684" s="5">
        <f>IF($N684="","",IF(INDEX('Per Invoice'!$K$2:$K$801,$N684)="","",INDEX('Per Invoice'!$K$2:$K$801,$N684)))</f>
        <v/>
      </c>
      <c r="L684" s="5">
        <f>IF($N684="","",IF(INDEX('Per Invoice'!$L$2:$L$801,$N684)="","",INDEX('Per Invoice'!$L$2:$L$801,$N684)))</f>
        <v/>
      </c>
      <c r="M684" s="5">
        <f>IF($N684="","",IF(INDEX('Per Invoice'!$M$2:$M$801,$N684)="","",INDEX('Per Invoice'!$M$2:$M$801,$N684)))</f>
        <v/>
      </c>
      <c r="N684">
        <f>IF(ROWS($N$2:$N684)&lt;=COUNT('Per Invoice'!$P$2:$P$801),MATCH(ROWS($N$2:$N684),'Per Invoice'!$P$2:$P$801,0),"")</f>
        <v/>
      </c>
    </row>
    <row r="685">
      <c r="A685">
        <f>IF($N685="","",IF(INDEX('Per Invoice'!$A$2:$A$801,$N685)="","",INDEX('Per Invoice'!$A$2:$A$801,$N685)))</f>
        <v/>
      </c>
      <c r="B685">
        <f>IF($N685="","",IF(INDEX('Per Invoice'!$B$2:$B$801,$N685)="","",INDEX('Per Invoice'!$B$2:$B$801,$N685)))</f>
        <v/>
      </c>
      <c r="C685">
        <f>IF($N685="","",IF(INDEX('Per Invoice'!$C$2:$C$801,$N685)="","",INDEX('Per Invoice'!$C$2:$C$801,$N685)))</f>
        <v/>
      </c>
      <c r="D685">
        <f>IF($N685="","",IF(INDEX('Per Invoice'!$D$2:$D$801,$N685)="","",INDEX('Per Invoice'!$D$2:$D$801,$N685)))</f>
        <v/>
      </c>
      <c r="E685">
        <f>IF($N685="","",IF(INDEX('Per Invoice'!$E$2:$E$801,$N685)="","",INDEX('Per Invoice'!$E$2:$E$801,$N685)))</f>
        <v/>
      </c>
      <c r="F685">
        <f>IF($N685="","",IF(INDEX('Per Invoice'!$F$2:$F$801,$N685)="","",INDEX('Per Invoice'!$F$2:$F$801,$N685)))</f>
        <v/>
      </c>
      <c r="G685">
        <f>IF($N685="","",IF(INDEX('Per Invoice'!$G$2:$G$801,$N685)="","",INDEX('Per Invoice'!$G$2:$G$801,$N685)))</f>
        <v/>
      </c>
      <c r="H685">
        <f>IF($N685="","",IF(INDEX('Per Invoice'!$H$2:$H$801,$N685)="","",INDEX('Per Invoice'!$H$2:$H$801,$N685)))</f>
        <v/>
      </c>
      <c r="I685" s="5">
        <f>IF($N685="","",IF(INDEX('Per Invoice'!$I$2:$I$801,$N685)="","",INDEX('Per Invoice'!$I$2:$I$801,$N685)))</f>
        <v/>
      </c>
      <c r="J685" s="5">
        <f>IF($N685="","",IF(INDEX('Per Invoice'!$J$2:$J$801,$N685)="","",INDEX('Per Invoice'!$J$2:$J$801,$N685)))</f>
        <v/>
      </c>
      <c r="K685" s="5">
        <f>IF($N685="","",IF(INDEX('Per Invoice'!$K$2:$K$801,$N685)="","",INDEX('Per Invoice'!$K$2:$K$801,$N685)))</f>
        <v/>
      </c>
      <c r="L685" s="5">
        <f>IF($N685="","",IF(INDEX('Per Invoice'!$L$2:$L$801,$N685)="","",INDEX('Per Invoice'!$L$2:$L$801,$N685)))</f>
        <v/>
      </c>
      <c r="M685" s="5">
        <f>IF($N685="","",IF(INDEX('Per Invoice'!$M$2:$M$801,$N685)="","",INDEX('Per Invoice'!$M$2:$M$801,$N685)))</f>
        <v/>
      </c>
      <c r="N685">
        <f>IF(ROWS($N$2:$N685)&lt;=COUNT('Per Invoice'!$P$2:$P$801),MATCH(ROWS($N$2:$N685),'Per Invoice'!$P$2:$P$801,0),"")</f>
        <v/>
      </c>
    </row>
    <row r="686">
      <c r="A686">
        <f>IF($N686="","",IF(INDEX('Per Invoice'!$A$2:$A$801,$N686)="","",INDEX('Per Invoice'!$A$2:$A$801,$N686)))</f>
        <v/>
      </c>
      <c r="B686">
        <f>IF($N686="","",IF(INDEX('Per Invoice'!$B$2:$B$801,$N686)="","",INDEX('Per Invoice'!$B$2:$B$801,$N686)))</f>
        <v/>
      </c>
      <c r="C686">
        <f>IF($N686="","",IF(INDEX('Per Invoice'!$C$2:$C$801,$N686)="","",INDEX('Per Invoice'!$C$2:$C$801,$N686)))</f>
        <v/>
      </c>
      <c r="D686">
        <f>IF($N686="","",IF(INDEX('Per Invoice'!$D$2:$D$801,$N686)="","",INDEX('Per Invoice'!$D$2:$D$801,$N686)))</f>
        <v/>
      </c>
      <c r="E686">
        <f>IF($N686="","",IF(INDEX('Per Invoice'!$E$2:$E$801,$N686)="","",INDEX('Per Invoice'!$E$2:$E$801,$N686)))</f>
        <v/>
      </c>
      <c r="F686">
        <f>IF($N686="","",IF(INDEX('Per Invoice'!$F$2:$F$801,$N686)="","",INDEX('Per Invoice'!$F$2:$F$801,$N686)))</f>
        <v/>
      </c>
      <c r="G686">
        <f>IF($N686="","",IF(INDEX('Per Invoice'!$G$2:$G$801,$N686)="","",INDEX('Per Invoice'!$G$2:$G$801,$N686)))</f>
        <v/>
      </c>
      <c r="H686">
        <f>IF($N686="","",IF(INDEX('Per Invoice'!$H$2:$H$801,$N686)="","",INDEX('Per Invoice'!$H$2:$H$801,$N686)))</f>
        <v/>
      </c>
      <c r="I686" s="5">
        <f>IF($N686="","",IF(INDEX('Per Invoice'!$I$2:$I$801,$N686)="","",INDEX('Per Invoice'!$I$2:$I$801,$N686)))</f>
        <v/>
      </c>
      <c r="J686" s="5">
        <f>IF($N686="","",IF(INDEX('Per Invoice'!$J$2:$J$801,$N686)="","",INDEX('Per Invoice'!$J$2:$J$801,$N686)))</f>
        <v/>
      </c>
      <c r="K686" s="5">
        <f>IF($N686="","",IF(INDEX('Per Invoice'!$K$2:$K$801,$N686)="","",INDEX('Per Invoice'!$K$2:$K$801,$N686)))</f>
        <v/>
      </c>
      <c r="L686" s="5">
        <f>IF($N686="","",IF(INDEX('Per Invoice'!$L$2:$L$801,$N686)="","",INDEX('Per Invoice'!$L$2:$L$801,$N686)))</f>
        <v/>
      </c>
      <c r="M686" s="5">
        <f>IF($N686="","",IF(INDEX('Per Invoice'!$M$2:$M$801,$N686)="","",INDEX('Per Invoice'!$M$2:$M$801,$N686)))</f>
        <v/>
      </c>
      <c r="N686">
        <f>IF(ROWS($N$2:$N686)&lt;=COUNT('Per Invoice'!$P$2:$P$801),MATCH(ROWS($N$2:$N686),'Per Invoice'!$P$2:$P$801,0),"")</f>
        <v/>
      </c>
    </row>
    <row r="687">
      <c r="A687">
        <f>IF($N687="","",IF(INDEX('Per Invoice'!$A$2:$A$801,$N687)="","",INDEX('Per Invoice'!$A$2:$A$801,$N687)))</f>
        <v/>
      </c>
      <c r="B687">
        <f>IF($N687="","",IF(INDEX('Per Invoice'!$B$2:$B$801,$N687)="","",INDEX('Per Invoice'!$B$2:$B$801,$N687)))</f>
        <v/>
      </c>
      <c r="C687">
        <f>IF($N687="","",IF(INDEX('Per Invoice'!$C$2:$C$801,$N687)="","",INDEX('Per Invoice'!$C$2:$C$801,$N687)))</f>
        <v/>
      </c>
      <c r="D687">
        <f>IF($N687="","",IF(INDEX('Per Invoice'!$D$2:$D$801,$N687)="","",INDEX('Per Invoice'!$D$2:$D$801,$N687)))</f>
        <v/>
      </c>
      <c r="E687">
        <f>IF($N687="","",IF(INDEX('Per Invoice'!$E$2:$E$801,$N687)="","",INDEX('Per Invoice'!$E$2:$E$801,$N687)))</f>
        <v/>
      </c>
      <c r="F687">
        <f>IF($N687="","",IF(INDEX('Per Invoice'!$F$2:$F$801,$N687)="","",INDEX('Per Invoice'!$F$2:$F$801,$N687)))</f>
        <v/>
      </c>
      <c r="G687">
        <f>IF($N687="","",IF(INDEX('Per Invoice'!$G$2:$G$801,$N687)="","",INDEX('Per Invoice'!$G$2:$G$801,$N687)))</f>
        <v/>
      </c>
      <c r="H687">
        <f>IF($N687="","",IF(INDEX('Per Invoice'!$H$2:$H$801,$N687)="","",INDEX('Per Invoice'!$H$2:$H$801,$N687)))</f>
        <v/>
      </c>
      <c r="I687" s="5">
        <f>IF($N687="","",IF(INDEX('Per Invoice'!$I$2:$I$801,$N687)="","",INDEX('Per Invoice'!$I$2:$I$801,$N687)))</f>
        <v/>
      </c>
      <c r="J687" s="5">
        <f>IF($N687="","",IF(INDEX('Per Invoice'!$J$2:$J$801,$N687)="","",INDEX('Per Invoice'!$J$2:$J$801,$N687)))</f>
        <v/>
      </c>
      <c r="K687" s="5">
        <f>IF($N687="","",IF(INDEX('Per Invoice'!$K$2:$K$801,$N687)="","",INDEX('Per Invoice'!$K$2:$K$801,$N687)))</f>
        <v/>
      </c>
      <c r="L687" s="5">
        <f>IF($N687="","",IF(INDEX('Per Invoice'!$L$2:$L$801,$N687)="","",INDEX('Per Invoice'!$L$2:$L$801,$N687)))</f>
        <v/>
      </c>
      <c r="M687" s="5">
        <f>IF($N687="","",IF(INDEX('Per Invoice'!$M$2:$M$801,$N687)="","",INDEX('Per Invoice'!$M$2:$M$801,$N687)))</f>
        <v/>
      </c>
      <c r="N687">
        <f>IF(ROWS($N$2:$N687)&lt;=COUNT('Per Invoice'!$P$2:$P$801),MATCH(ROWS($N$2:$N687),'Per Invoice'!$P$2:$P$801,0),"")</f>
        <v/>
      </c>
    </row>
    <row r="688">
      <c r="A688">
        <f>IF($N688="","",IF(INDEX('Per Invoice'!$A$2:$A$801,$N688)="","",INDEX('Per Invoice'!$A$2:$A$801,$N688)))</f>
        <v/>
      </c>
      <c r="B688">
        <f>IF($N688="","",IF(INDEX('Per Invoice'!$B$2:$B$801,$N688)="","",INDEX('Per Invoice'!$B$2:$B$801,$N688)))</f>
        <v/>
      </c>
      <c r="C688">
        <f>IF($N688="","",IF(INDEX('Per Invoice'!$C$2:$C$801,$N688)="","",INDEX('Per Invoice'!$C$2:$C$801,$N688)))</f>
        <v/>
      </c>
      <c r="D688">
        <f>IF($N688="","",IF(INDEX('Per Invoice'!$D$2:$D$801,$N688)="","",INDEX('Per Invoice'!$D$2:$D$801,$N688)))</f>
        <v/>
      </c>
      <c r="E688">
        <f>IF($N688="","",IF(INDEX('Per Invoice'!$E$2:$E$801,$N688)="","",INDEX('Per Invoice'!$E$2:$E$801,$N688)))</f>
        <v/>
      </c>
      <c r="F688">
        <f>IF($N688="","",IF(INDEX('Per Invoice'!$F$2:$F$801,$N688)="","",INDEX('Per Invoice'!$F$2:$F$801,$N688)))</f>
        <v/>
      </c>
      <c r="G688">
        <f>IF($N688="","",IF(INDEX('Per Invoice'!$G$2:$G$801,$N688)="","",INDEX('Per Invoice'!$G$2:$G$801,$N688)))</f>
        <v/>
      </c>
      <c r="H688">
        <f>IF($N688="","",IF(INDEX('Per Invoice'!$H$2:$H$801,$N688)="","",INDEX('Per Invoice'!$H$2:$H$801,$N688)))</f>
        <v/>
      </c>
      <c r="I688" s="5">
        <f>IF($N688="","",IF(INDEX('Per Invoice'!$I$2:$I$801,$N688)="","",INDEX('Per Invoice'!$I$2:$I$801,$N688)))</f>
        <v/>
      </c>
      <c r="J688" s="5">
        <f>IF($N688="","",IF(INDEX('Per Invoice'!$J$2:$J$801,$N688)="","",INDEX('Per Invoice'!$J$2:$J$801,$N688)))</f>
        <v/>
      </c>
      <c r="K688" s="5">
        <f>IF($N688="","",IF(INDEX('Per Invoice'!$K$2:$K$801,$N688)="","",INDEX('Per Invoice'!$K$2:$K$801,$N688)))</f>
        <v/>
      </c>
      <c r="L688" s="5">
        <f>IF($N688="","",IF(INDEX('Per Invoice'!$L$2:$L$801,$N688)="","",INDEX('Per Invoice'!$L$2:$L$801,$N688)))</f>
        <v/>
      </c>
      <c r="M688" s="5">
        <f>IF($N688="","",IF(INDEX('Per Invoice'!$M$2:$M$801,$N688)="","",INDEX('Per Invoice'!$M$2:$M$801,$N688)))</f>
        <v/>
      </c>
      <c r="N688">
        <f>IF(ROWS($N$2:$N688)&lt;=COUNT('Per Invoice'!$P$2:$P$801),MATCH(ROWS($N$2:$N688),'Per Invoice'!$P$2:$P$801,0),"")</f>
        <v/>
      </c>
    </row>
    <row r="689">
      <c r="A689">
        <f>IF($N689="","",IF(INDEX('Per Invoice'!$A$2:$A$801,$N689)="","",INDEX('Per Invoice'!$A$2:$A$801,$N689)))</f>
        <v/>
      </c>
      <c r="B689">
        <f>IF($N689="","",IF(INDEX('Per Invoice'!$B$2:$B$801,$N689)="","",INDEX('Per Invoice'!$B$2:$B$801,$N689)))</f>
        <v/>
      </c>
      <c r="C689">
        <f>IF($N689="","",IF(INDEX('Per Invoice'!$C$2:$C$801,$N689)="","",INDEX('Per Invoice'!$C$2:$C$801,$N689)))</f>
        <v/>
      </c>
      <c r="D689">
        <f>IF($N689="","",IF(INDEX('Per Invoice'!$D$2:$D$801,$N689)="","",INDEX('Per Invoice'!$D$2:$D$801,$N689)))</f>
        <v/>
      </c>
      <c r="E689">
        <f>IF($N689="","",IF(INDEX('Per Invoice'!$E$2:$E$801,$N689)="","",INDEX('Per Invoice'!$E$2:$E$801,$N689)))</f>
        <v/>
      </c>
      <c r="F689">
        <f>IF($N689="","",IF(INDEX('Per Invoice'!$F$2:$F$801,$N689)="","",INDEX('Per Invoice'!$F$2:$F$801,$N689)))</f>
        <v/>
      </c>
      <c r="G689">
        <f>IF($N689="","",IF(INDEX('Per Invoice'!$G$2:$G$801,$N689)="","",INDEX('Per Invoice'!$G$2:$G$801,$N689)))</f>
        <v/>
      </c>
      <c r="H689">
        <f>IF($N689="","",IF(INDEX('Per Invoice'!$H$2:$H$801,$N689)="","",INDEX('Per Invoice'!$H$2:$H$801,$N689)))</f>
        <v/>
      </c>
      <c r="I689" s="5">
        <f>IF($N689="","",IF(INDEX('Per Invoice'!$I$2:$I$801,$N689)="","",INDEX('Per Invoice'!$I$2:$I$801,$N689)))</f>
        <v/>
      </c>
      <c r="J689" s="5">
        <f>IF($N689="","",IF(INDEX('Per Invoice'!$J$2:$J$801,$N689)="","",INDEX('Per Invoice'!$J$2:$J$801,$N689)))</f>
        <v/>
      </c>
      <c r="K689" s="5">
        <f>IF($N689="","",IF(INDEX('Per Invoice'!$K$2:$K$801,$N689)="","",INDEX('Per Invoice'!$K$2:$K$801,$N689)))</f>
        <v/>
      </c>
      <c r="L689" s="5">
        <f>IF($N689="","",IF(INDEX('Per Invoice'!$L$2:$L$801,$N689)="","",INDEX('Per Invoice'!$L$2:$L$801,$N689)))</f>
        <v/>
      </c>
      <c r="M689" s="5">
        <f>IF($N689="","",IF(INDEX('Per Invoice'!$M$2:$M$801,$N689)="","",INDEX('Per Invoice'!$M$2:$M$801,$N689)))</f>
        <v/>
      </c>
      <c r="N689">
        <f>IF(ROWS($N$2:$N689)&lt;=COUNT('Per Invoice'!$P$2:$P$801),MATCH(ROWS($N$2:$N689),'Per Invoice'!$P$2:$P$801,0),"")</f>
        <v/>
      </c>
    </row>
    <row r="690">
      <c r="A690">
        <f>IF($N690="","",IF(INDEX('Per Invoice'!$A$2:$A$801,$N690)="","",INDEX('Per Invoice'!$A$2:$A$801,$N690)))</f>
        <v/>
      </c>
      <c r="B690">
        <f>IF($N690="","",IF(INDEX('Per Invoice'!$B$2:$B$801,$N690)="","",INDEX('Per Invoice'!$B$2:$B$801,$N690)))</f>
        <v/>
      </c>
      <c r="C690">
        <f>IF($N690="","",IF(INDEX('Per Invoice'!$C$2:$C$801,$N690)="","",INDEX('Per Invoice'!$C$2:$C$801,$N690)))</f>
        <v/>
      </c>
      <c r="D690">
        <f>IF($N690="","",IF(INDEX('Per Invoice'!$D$2:$D$801,$N690)="","",INDEX('Per Invoice'!$D$2:$D$801,$N690)))</f>
        <v/>
      </c>
      <c r="E690">
        <f>IF($N690="","",IF(INDEX('Per Invoice'!$E$2:$E$801,$N690)="","",INDEX('Per Invoice'!$E$2:$E$801,$N690)))</f>
        <v/>
      </c>
      <c r="F690">
        <f>IF($N690="","",IF(INDEX('Per Invoice'!$F$2:$F$801,$N690)="","",INDEX('Per Invoice'!$F$2:$F$801,$N690)))</f>
        <v/>
      </c>
      <c r="G690">
        <f>IF($N690="","",IF(INDEX('Per Invoice'!$G$2:$G$801,$N690)="","",INDEX('Per Invoice'!$G$2:$G$801,$N690)))</f>
        <v/>
      </c>
      <c r="H690">
        <f>IF($N690="","",IF(INDEX('Per Invoice'!$H$2:$H$801,$N690)="","",INDEX('Per Invoice'!$H$2:$H$801,$N690)))</f>
        <v/>
      </c>
      <c r="I690" s="5">
        <f>IF($N690="","",IF(INDEX('Per Invoice'!$I$2:$I$801,$N690)="","",INDEX('Per Invoice'!$I$2:$I$801,$N690)))</f>
        <v/>
      </c>
      <c r="J690" s="5">
        <f>IF($N690="","",IF(INDEX('Per Invoice'!$J$2:$J$801,$N690)="","",INDEX('Per Invoice'!$J$2:$J$801,$N690)))</f>
        <v/>
      </c>
      <c r="K690" s="5">
        <f>IF($N690="","",IF(INDEX('Per Invoice'!$K$2:$K$801,$N690)="","",INDEX('Per Invoice'!$K$2:$K$801,$N690)))</f>
        <v/>
      </c>
      <c r="L690" s="5">
        <f>IF($N690="","",IF(INDEX('Per Invoice'!$L$2:$L$801,$N690)="","",INDEX('Per Invoice'!$L$2:$L$801,$N690)))</f>
        <v/>
      </c>
      <c r="M690" s="5">
        <f>IF($N690="","",IF(INDEX('Per Invoice'!$M$2:$M$801,$N690)="","",INDEX('Per Invoice'!$M$2:$M$801,$N690)))</f>
        <v/>
      </c>
      <c r="N690">
        <f>IF(ROWS($N$2:$N690)&lt;=COUNT('Per Invoice'!$P$2:$P$801),MATCH(ROWS($N$2:$N690),'Per Invoice'!$P$2:$P$801,0),"")</f>
        <v/>
      </c>
    </row>
    <row r="691">
      <c r="A691">
        <f>IF($N691="","",IF(INDEX('Per Invoice'!$A$2:$A$801,$N691)="","",INDEX('Per Invoice'!$A$2:$A$801,$N691)))</f>
        <v/>
      </c>
      <c r="B691">
        <f>IF($N691="","",IF(INDEX('Per Invoice'!$B$2:$B$801,$N691)="","",INDEX('Per Invoice'!$B$2:$B$801,$N691)))</f>
        <v/>
      </c>
      <c r="C691">
        <f>IF($N691="","",IF(INDEX('Per Invoice'!$C$2:$C$801,$N691)="","",INDEX('Per Invoice'!$C$2:$C$801,$N691)))</f>
        <v/>
      </c>
      <c r="D691">
        <f>IF($N691="","",IF(INDEX('Per Invoice'!$D$2:$D$801,$N691)="","",INDEX('Per Invoice'!$D$2:$D$801,$N691)))</f>
        <v/>
      </c>
      <c r="E691">
        <f>IF($N691="","",IF(INDEX('Per Invoice'!$E$2:$E$801,$N691)="","",INDEX('Per Invoice'!$E$2:$E$801,$N691)))</f>
        <v/>
      </c>
      <c r="F691">
        <f>IF($N691="","",IF(INDEX('Per Invoice'!$F$2:$F$801,$N691)="","",INDEX('Per Invoice'!$F$2:$F$801,$N691)))</f>
        <v/>
      </c>
      <c r="G691">
        <f>IF($N691="","",IF(INDEX('Per Invoice'!$G$2:$G$801,$N691)="","",INDEX('Per Invoice'!$G$2:$G$801,$N691)))</f>
        <v/>
      </c>
      <c r="H691">
        <f>IF($N691="","",IF(INDEX('Per Invoice'!$H$2:$H$801,$N691)="","",INDEX('Per Invoice'!$H$2:$H$801,$N691)))</f>
        <v/>
      </c>
      <c r="I691" s="5">
        <f>IF($N691="","",IF(INDEX('Per Invoice'!$I$2:$I$801,$N691)="","",INDEX('Per Invoice'!$I$2:$I$801,$N691)))</f>
        <v/>
      </c>
      <c r="J691" s="5">
        <f>IF($N691="","",IF(INDEX('Per Invoice'!$J$2:$J$801,$N691)="","",INDEX('Per Invoice'!$J$2:$J$801,$N691)))</f>
        <v/>
      </c>
      <c r="K691" s="5">
        <f>IF($N691="","",IF(INDEX('Per Invoice'!$K$2:$K$801,$N691)="","",INDEX('Per Invoice'!$K$2:$K$801,$N691)))</f>
        <v/>
      </c>
      <c r="L691" s="5">
        <f>IF($N691="","",IF(INDEX('Per Invoice'!$L$2:$L$801,$N691)="","",INDEX('Per Invoice'!$L$2:$L$801,$N691)))</f>
        <v/>
      </c>
      <c r="M691" s="5">
        <f>IF($N691="","",IF(INDEX('Per Invoice'!$M$2:$M$801,$N691)="","",INDEX('Per Invoice'!$M$2:$M$801,$N691)))</f>
        <v/>
      </c>
      <c r="N691">
        <f>IF(ROWS($N$2:$N691)&lt;=COUNT('Per Invoice'!$P$2:$P$801),MATCH(ROWS($N$2:$N691),'Per Invoice'!$P$2:$P$801,0),"")</f>
        <v/>
      </c>
    </row>
    <row r="692">
      <c r="A692">
        <f>IF($N692="","",IF(INDEX('Per Invoice'!$A$2:$A$801,$N692)="","",INDEX('Per Invoice'!$A$2:$A$801,$N692)))</f>
        <v/>
      </c>
      <c r="B692">
        <f>IF($N692="","",IF(INDEX('Per Invoice'!$B$2:$B$801,$N692)="","",INDEX('Per Invoice'!$B$2:$B$801,$N692)))</f>
        <v/>
      </c>
      <c r="C692">
        <f>IF($N692="","",IF(INDEX('Per Invoice'!$C$2:$C$801,$N692)="","",INDEX('Per Invoice'!$C$2:$C$801,$N692)))</f>
        <v/>
      </c>
      <c r="D692">
        <f>IF($N692="","",IF(INDEX('Per Invoice'!$D$2:$D$801,$N692)="","",INDEX('Per Invoice'!$D$2:$D$801,$N692)))</f>
        <v/>
      </c>
      <c r="E692">
        <f>IF($N692="","",IF(INDEX('Per Invoice'!$E$2:$E$801,$N692)="","",INDEX('Per Invoice'!$E$2:$E$801,$N692)))</f>
        <v/>
      </c>
      <c r="F692">
        <f>IF($N692="","",IF(INDEX('Per Invoice'!$F$2:$F$801,$N692)="","",INDEX('Per Invoice'!$F$2:$F$801,$N692)))</f>
        <v/>
      </c>
      <c r="G692">
        <f>IF($N692="","",IF(INDEX('Per Invoice'!$G$2:$G$801,$N692)="","",INDEX('Per Invoice'!$G$2:$G$801,$N692)))</f>
        <v/>
      </c>
      <c r="H692">
        <f>IF($N692="","",IF(INDEX('Per Invoice'!$H$2:$H$801,$N692)="","",INDEX('Per Invoice'!$H$2:$H$801,$N692)))</f>
        <v/>
      </c>
      <c r="I692" s="5">
        <f>IF($N692="","",IF(INDEX('Per Invoice'!$I$2:$I$801,$N692)="","",INDEX('Per Invoice'!$I$2:$I$801,$N692)))</f>
        <v/>
      </c>
      <c r="J692" s="5">
        <f>IF($N692="","",IF(INDEX('Per Invoice'!$J$2:$J$801,$N692)="","",INDEX('Per Invoice'!$J$2:$J$801,$N692)))</f>
        <v/>
      </c>
      <c r="K692" s="5">
        <f>IF($N692="","",IF(INDEX('Per Invoice'!$K$2:$K$801,$N692)="","",INDEX('Per Invoice'!$K$2:$K$801,$N692)))</f>
        <v/>
      </c>
      <c r="L692" s="5">
        <f>IF($N692="","",IF(INDEX('Per Invoice'!$L$2:$L$801,$N692)="","",INDEX('Per Invoice'!$L$2:$L$801,$N692)))</f>
        <v/>
      </c>
      <c r="M692" s="5">
        <f>IF($N692="","",IF(INDEX('Per Invoice'!$M$2:$M$801,$N692)="","",INDEX('Per Invoice'!$M$2:$M$801,$N692)))</f>
        <v/>
      </c>
      <c r="N692">
        <f>IF(ROWS($N$2:$N692)&lt;=COUNT('Per Invoice'!$P$2:$P$801),MATCH(ROWS($N$2:$N692),'Per Invoice'!$P$2:$P$801,0),"")</f>
        <v/>
      </c>
    </row>
    <row r="693">
      <c r="A693">
        <f>IF($N693="","",IF(INDEX('Per Invoice'!$A$2:$A$801,$N693)="","",INDEX('Per Invoice'!$A$2:$A$801,$N693)))</f>
        <v/>
      </c>
      <c r="B693">
        <f>IF($N693="","",IF(INDEX('Per Invoice'!$B$2:$B$801,$N693)="","",INDEX('Per Invoice'!$B$2:$B$801,$N693)))</f>
        <v/>
      </c>
      <c r="C693">
        <f>IF($N693="","",IF(INDEX('Per Invoice'!$C$2:$C$801,$N693)="","",INDEX('Per Invoice'!$C$2:$C$801,$N693)))</f>
        <v/>
      </c>
      <c r="D693">
        <f>IF($N693="","",IF(INDEX('Per Invoice'!$D$2:$D$801,$N693)="","",INDEX('Per Invoice'!$D$2:$D$801,$N693)))</f>
        <v/>
      </c>
      <c r="E693">
        <f>IF($N693="","",IF(INDEX('Per Invoice'!$E$2:$E$801,$N693)="","",INDEX('Per Invoice'!$E$2:$E$801,$N693)))</f>
        <v/>
      </c>
      <c r="F693">
        <f>IF($N693="","",IF(INDEX('Per Invoice'!$F$2:$F$801,$N693)="","",INDEX('Per Invoice'!$F$2:$F$801,$N693)))</f>
        <v/>
      </c>
      <c r="G693">
        <f>IF($N693="","",IF(INDEX('Per Invoice'!$G$2:$G$801,$N693)="","",INDEX('Per Invoice'!$G$2:$G$801,$N693)))</f>
        <v/>
      </c>
      <c r="H693">
        <f>IF($N693="","",IF(INDEX('Per Invoice'!$H$2:$H$801,$N693)="","",INDEX('Per Invoice'!$H$2:$H$801,$N693)))</f>
        <v/>
      </c>
      <c r="I693" s="5">
        <f>IF($N693="","",IF(INDEX('Per Invoice'!$I$2:$I$801,$N693)="","",INDEX('Per Invoice'!$I$2:$I$801,$N693)))</f>
        <v/>
      </c>
      <c r="J693" s="5">
        <f>IF($N693="","",IF(INDEX('Per Invoice'!$J$2:$J$801,$N693)="","",INDEX('Per Invoice'!$J$2:$J$801,$N693)))</f>
        <v/>
      </c>
      <c r="K693" s="5">
        <f>IF($N693="","",IF(INDEX('Per Invoice'!$K$2:$K$801,$N693)="","",INDEX('Per Invoice'!$K$2:$K$801,$N693)))</f>
        <v/>
      </c>
      <c r="L693" s="5">
        <f>IF($N693="","",IF(INDEX('Per Invoice'!$L$2:$L$801,$N693)="","",INDEX('Per Invoice'!$L$2:$L$801,$N693)))</f>
        <v/>
      </c>
      <c r="M693" s="5">
        <f>IF($N693="","",IF(INDEX('Per Invoice'!$M$2:$M$801,$N693)="","",INDEX('Per Invoice'!$M$2:$M$801,$N693)))</f>
        <v/>
      </c>
      <c r="N693">
        <f>IF(ROWS($N$2:$N693)&lt;=COUNT('Per Invoice'!$P$2:$P$801),MATCH(ROWS($N$2:$N693),'Per Invoice'!$P$2:$P$801,0),"")</f>
        <v/>
      </c>
    </row>
    <row r="694">
      <c r="A694">
        <f>IF($N694="","",IF(INDEX('Per Invoice'!$A$2:$A$801,$N694)="","",INDEX('Per Invoice'!$A$2:$A$801,$N694)))</f>
        <v/>
      </c>
      <c r="B694">
        <f>IF($N694="","",IF(INDEX('Per Invoice'!$B$2:$B$801,$N694)="","",INDEX('Per Invoice'!$B$2:$B$801,$N694)))</f>
        <v/>
      </c>
      <c r="C694">
        <f>IF($N694="","",IF(INDEX('Per Invoice'!$C$2:$C$801,$N694)="","",INDEX('Per Invoice'!$C$2:$C$801,$N694)))</f>
        <v/>
      </c>
      <c r="D694">
        <f>IF($N694="","",IF(INDEX('Per Invoice'!$D$2:$D$801,$N694)="","",INDEX('Per Invoice'!$D$2:$D$801,$N694)))</f>
        <v/>
      </c>
      <c r="E694">
        <f>IF($N694="","",IF(INDEX('Per Invoice'!$E$2:$E$801,$N694)="","",INDEX('Per Invoice'!$E$2:$E$801,$N694)))</f>
        <v/>
      </c>
      <c r="F694">
        <f>IF($N694="","",IF(INDEX('Per Invoice'!$F$2:$F$801,$N694)="","",INDEX('Per Invoice'!$F$2:$F$801,$N694)))</f>
        <v/>
      </c>
      <c r="G694">
        <f>IF($N694="","",IF(INDEX('Per Invoice'!$G$2:$G$801,$N694)="","",INDEX('Per Invoice'!$G$2:$G$801,$N694)))</f>
        <v/>
      </c>
      <c r="H694">
        <f>IF($N694="","",IF(INDEX('Per Invoice'!$H$2:$H$801,$N694)="","",INDEX('Per Invoice'!$H$2:$H$801,$N694)))</f>
        <v/>
      </c>
      <c r="I694" s="5">
        <f>IF($N694="","",IF(INDEX('Per Invoice'!$I$2:$I$801,$N694)="","",INDEX('Per Invoice'!$I$2:$I$801,$N694)))</f>
        <v/>
      </c>
      <c r="J694" s="5">
        <f>IF($N694="","",IF(INDEX('Per Invoice'!$J$2:$J$801,$N694)="","",INDEX('Per Invoice'!$J$2:$J$801,$N694)))</f>
        <v/>
      </c>
      <c r="K694" s="5">
        <f>IF($N694="","",IF(INDEX('Per Invoice'!$K$2:$K$801,$N694)="","",INDEX('Per Invoice'!$K$2:$K$801,$N694)))</f>
        <v/>
      </c>
      <c r="L694" s="5">
        <f>IF($N694="","",IF(INDEX('Per Invoice'!$L$2:$L$801,$N694)="","",INDEX('Per Invoice'!$L$2:$L$801,$N694)))</f>
        <v/>
      </c>
      <c r="M694" s="5">
        <f>IF($N694="","",IF(INDEX('Per Invoice'!$M$2:$M$801,$N694)="","",INDEX('Per Invoice'!$M$2:$M$801,$N694)))</f>
        <v/>
      </c>
      <c r="N694">
        <f>IF(ROWS($N$2:$N694)&lt;=COUNT('Per Invoice'!$P$2:$P$801),MATCH(ROWS($N$2:$N694),'Per Invoice'!$P$2:$P$801,0),"")</f>
        <v/>
      </c>
    </row>
    <row r="695">
      <c r="A695">
        <f>IF($N695="","",IF(INDEX('Per Invoice'!$A$2:$A$801,$N695)="","",INDEX('Per Invoice'!$A$2:$A$801,$N695)))</f>
        <v/>
      </c>
      <c r="B695">
        <f>IF($N695="","",IF(INDEX('Per Invoice'!$B$2:$B$801,$N695)="","",INDEX('Per Invoice'!$B$2:$B$801,$N695)))</f>
        <v/>
      </c>
      <c r="C695">
        <f>IF($N695="","",IF(INDEX('Per Invoice'!$C$2:$C$801,$N695)="","",INDEX('Per Invoice'!$C$2:$C$801,$N695)))</f>
        <v/>
      </c>
      <c r="D695">
        <f>IF($N695="","",IF(INDEX('Per Invoice'!$D$2:$D$801,$N695)="","",INDEX('Per Invoice'!$D$2:$D$801,$N695)))</f>
        <v/>
      </c>
      <c r="E695">
        <f>IF($N695="","",IF(INDEX('Per Invoice'!$E$2:$E$801,$N695)="","",INDEX('Per Invoice'!$E$2:$E$801,$N695)))</f>
        <v/>
      </c>
      <c r="F695">
        <f>IF($N695="","",IF(INDEX('Per Invoice'!$F$2:$F$801,$N695)="","",INDEX('Per Invoice'!$F$2:$F$801,$N695)))</f>
        <v/>
      </c>
      <c r="G695">
        <f>IF($N695="","",IF(INDEX('Per Invoice'!$G$2:$G$801,$N695)="","",INDEX('Per Invoice'!$G$2:$G$801,$N695)))</f>
        <v/>
      </c>
      <c r="H695">
        <f>IF($N695="","",IF(INDEX('Per Invoice'!$H$2:$H$801,$N695)="","",INDEX('Per Invoice'!$H$2:$H$801,$N695)))</f>
        <v/>
      </c>
      <c r="I695" s="5">
        <f>IF($N695="","",IF(INDEX('Per Invoice'!$I$2:$I$801,$N695)="","",INDEX('Per Invoice'!$I$2:$I$801,$N695)))</f>
        <v/>
      </c>
      <c r="J695" s="5">
        <f>IF($N695="","",IF(INDEX('Per Invoice'!$J$2:$J$801,$N695)="","",INDEX('Per Invoice'!$J$2:$J$801,$N695)))</f>
        <v/>
      </c>
      <c r="K695" s="5">
        <f>IF($N695="","",IF(INDEX('Per Invoice'!$K$2:$K$801,$N695)="","",INDEX('Per Invoice'!$K$2:$K$801,$N695)))</f>
        <v/>
      </c>
      <c r="L695" s="5">
        <f>IF($N695="","",IF(INDEX('Per Invoice'!$L$2:$L$801,$N695)="","",INDEX('Per Invoice'!$L$2:$L$801,$N695)))</f>
        <v/>
      </c>
      <c r="M695" s="5">
        <f>IF($N695="","",IF(INDEX('Per Invoice'!$M$2:$M$801,$N695)="","",INDEX('Per Invoice'!$M$2:$M$801,$N695)))</f>
        <v/>
      </c>
      <c r="N695">
        <f>IF(ROWS($N$2:$N695)&lt;=COUNT('Per Invoice'!$P$2:$P$801),MATCH(ROWS($N$2:$N695),'Per Invoice'!$P$2:$P$801,0),"")</f>
        <v/>
      </c>
    </row>
    <row r="696">
      <c r="A696">
        <f>IF($N696="","",IF(INDEX('Per Invoice'!$A$2:$A$801,$N696)="","",INDEX('Per Invoice'!$A$2:$A$801,$N696)))</f>
        <v/>
      </c>
      <c r="B696">
        <f>IF($N696="","",IF(INDEX('Per Invoice'!$B$2:$B$801,$N696)="","",INDEX('Per Invoice'!$B$2:$B$801,$N696)))</f>
        <v/>
      </c>
      <c r="C696">
        <f>IF($N696="","",IF(INDEX('Per Invoice'!$C$2:$C$801,$N696)="","",INDEX('Per Invoice'!$C$2:$C$801,$N696)))</f>
        <v/>
      </c>
      <c r="D696">
        <f>IF($N696="","",IF(INDEX('Per Invoice'!$D$2:$D$801,$N696)="","",INDEX('Per Invoice'!$D$2:$D$801,$N696)))</f>
        <v/>
      </c>
      <c r="E696">
        <f>IF($N696="","",IF(INDEX('Per Invoice'!$E$2:$E$801,$N696)="","",INDEX('Per Invoice'!$E$2:$E$801,$N696)))</f>
        <v/>
      </c>
      <c r="F696">
        <f>IF($N696="","",IF(INDEX('Per Invoice'!$F$2:$F$801,$N696)="","",INDEX('Per Invoice'!$F$2:$F$801,$N696)))</f>
        <v/>
      </c>
      <c r="G696">
        <f>IF($N696="","",IF(INDEX('Per Invoice'!$G$2:$G$801,$N696)="","",INDEX('Per Invoice'!$G$2:$G$801,$N696)))</f>
        <v/>
      </c>
      <c r="H696">
        <f>IF($N696="","",IF(INDEX('Per Invoice'!$H$2:$H$801,$N696)="","",INDEX('Per Invoice'!$H$2:$H$801,$N696)))</f>
        <v/>
      </c>
      <c r="I696" s="5">
        <f>IF($N696="","",IF(INDEX('Per Invoice'!$I$2:$I$801,$N696)="","",INDEX('Per Invoice'!$I$2:$I$801,$N696)))</f>
        <v/>
      </c>
      <c r="J696" s="5">
        <f>IF($N696="","",IF(INDEX('Per Invoice'!$J$2:$J$801,$N696)="","",INDEX('Per Invoice'!$J$2:$J$801,$N696)))</f>
        <v/>
      </c>
      <c r="K696" s="5">
        <f>IF($N696="","",IF(INDEX('Per Invoice'!$K$2:$K$801,$N696)="","",INDEX('Per Invoice'!$K$2:$K$801,$N696)))</f>
        <v/>
      </c>
      <c r="L696" s="5">
        <f>IF($N696="","",IF(INDEX('Per Invoice'!$L$2:$L$801,$N696)="","",INDEX('Per Invoice'!$L$2:$L$801,$N696)))</f>
        <v/>
      </c>
      <c r="M696" s="5">
        <f>IF($N696="","",IF(INDEX('Per Invoice'!$M$2:$M$801,$N696)="","",INDEX('Per Invoice'!$M$2:$M$801,$N696)))</f>
        <v/>
      </c>
      <c r="N696">
        <f>IF(ROWS($N$2:$N696)&lt;=COUNT('Per Invoice'!$P$2:$P$801),MATCH(ROWS($N$2:$N696),'Per Invoice'!$P$2:$P$801,0),"")</f>
        <v/>
      </c>
    </row>
    <row r="697">
      <c r="A697">
        <f>IF($N697="","",IF(INDEX('Per Invoice'!$A$2:$A$801,$N697)="","",INDEX('Per Invoice'!$A$2:$A$801,$N697)))</f>
        <v/>
      </c>
      <c r="B697">
        <f>IF($N697="","",IF(INDEX('Per Invoice'!$B$2:$B$801,$N697)="","",INDEX('Per Invoice'!$B$2:$B$801,$N697)))</f>
        <v/>
      </c>
      <c r="C697">
        <f>IF($N697="","",IF(INDEX('Per Invoice'!$C$2:$C$801,$N697)="","",INDEX('Per Invoice'!$C$2:$C$801,$N697)))</f>
        <v/>
      </c>
      <c r="D697">
        <f>IF($N697="","",IF(INDEX('Per Invoice'!$D$2:$D$801,$N697)="","",INDEX('Per Invoice'!$D$2:$D$801,$N697)))</f>
        <v/>
      </c>
      <c r="E697">
        <f>IF($N697="","",IF(INDEX('Per Invoice'!$E$2:$E$801,$N697)="","",INDEX('Per Invoice'!$E$2:$E$801,$N697)))</f>
        <v/>
      </c>
      <c r="F697">
        <f>IF($N697="","",IF(INDEX('Per Invoice'!$F$2:$F$801,$N697)="","",INDEX('Per Invoice'!$F$2:$F$801,$N697)))</f>
        <v/>
      </c>
      <c r="G697">
        <f>IF($N697="","",IF(INDEX('Per Invoice'!$G$2:$G$801,$N697)="","",INDEX('Per Invoice'!$G$2:$G$801,$N697)))</f>
        <v/>
      </c>
      <c r="H697">
        <f>IF($N697="","",IF(INDEX('Per Invoice'!$H$2:$H$801,$N697)="","",INDEX('Per Invoice'!$H$2:$H$801,$N697)))</f>
        <v/>
      </c>
      <c r="I697" s="5">
        <f>IF($N697="","",IF(INDEX('Per Invoice'!$I$2:$I$801,$N697)="","",INDEX('Per Invoice'!$I$2:$I$801,$N697)))</f>
        <v/>
      </c>
      <c r="J697" s="5">
        <f>IF($N697="","",IF(INDEX('Per Invoice'!$J$2:$J$801,$N697)="","",INDEX('Per Invoice'!$J$2:$J$801,$N697)))</f>
        <v/>
      </c>
      <c r="K697" s="5">
        <f>IF($N697="","",IF(INDEX('Per Invoice'!$K$2:$K$801,$N697)="","",INDEX('Per Invoice'!$K$2:$K$801,$N697)))</f>
        <v/>
      </c>
      <c r="L697" s="5">
        <f>IF($N697="","",IF(INDEX('Per Invoice'!$L$2:$L$801,$N697)="","",INDEX('Per Invoice'!$L$2:$L$801,$N697)))</f>
        <v/>
      </c>
      <c r="M697" s="5">
        <f>IF($N697="","",IF(INDEX('Per Invoice'!$M$2:$M$801,$N697)="","",INDEX('Per Invoice'!$M$2:$M$801,$N697)))</f>
        <v/>
      </c>
      <c r="N697">
        <f>IF(ROWS($N$2:$N697)&lt;=COUNT('Per Invoice'!$P$2:$P$801),MATCH(ROWS($N$2:$N697),'Per Invoice'!$P$2:$P$801,0),"")</f>
        <v/>
      </c>
    </row>
    <row r="698">
      <c r="A698">
        <f>IF($N698="","",IF(INDEX('Per Invoice'!$A$2:$A$801,$N698)="","",INDEX('Per Invoice'!$A$2:$A$801,$N698)))</f>
        <v/>
      </c>
      <c r="B698">
        <f>IF($N698="","",IF(INDEX('Per Invoice'!$B$2:$B$801,$N698)="","",INDEX('Per Invoice'!$B$2:$B$801,$N698)))</f>
        <v/>
      </c>
      <c r="C698">
        <f>IF($N698="","",IF(INDEX('Per Invoice'!$C$2:$C$801,$N698)="","",INDEX('Per Invoice'!$C$2:$C$801,$N698)))</f>
        <v/>
      </c>
      <c r="D698">
        <f>IF($N698="","",IF(INDEX('Per Invoice'!$D$2:$D$801,$N698)="","",INDEX('Per Invoice'!$D$2:$D$801,$N698)))</f>
        <v/>
      </c>
      <c r="E698">
        <f>IF($N698="","",IF(INDEX('Per Invoice'!$E$2:$E$801,$N698)="","",INDEX('Per Invoice'!$E$2:$E$801,$N698)))</f>
        <v/>
      </c>
      <c r="F698">
        <f>IF($N698="","",IF(INDEX('Per Invoice'!$F$2:$F$801,$N698)="","",INDEX('Per Invoice'!$F$2:$F$801,$N698)))</f>
        <v/>
      </c>
      <c r="G698">
        <f>IF($N698="","",IF(INDEX('Per Invoice'!$G$2:$G$801,$N698)="","",INDEX('Per Invoice'!$G$2:$G$801,$N698)))</f>
        <v/>
      </c>
      <c r="H698">
        <f>IF($N698="","",IF(INDEX('Per Invoice'!$H$2:$H$801,$N698)="","",INDEX('Per Invoice'!$H$2:$H$801,$N698)))</f>
        <v/>
      </c>
      <c r="I698" s="5">
        <f>IF($N698="","",IF(INDEX('Per Invoice'!$I$2:$I$801,$N698)="","",INDEX('Per Invoice'!$I$2:$I$801,$N698)))</f>
        <v/>
      </c>
      <c r="J698" s="5">
        <f>IF($N698="","",IF(INDEX('Per Invoice'!$J$2:$J$801,$N698)="","",INDEX('Per Invoice'!$J$2:$J$801,$N698)))</f>
        <v/>
      </c>
      <c r="K698" s="5">
        <f>IF($N698="","",IF(INDEX('Per Invoice'!$K$2:$K$801,$N698)="","",INDEX('Per Invoice'!$K$2:$K$801,$N698)))</f>
        <v/>
      </c>
      <c r="L698" s="5">
        <f>IF($N698="","",IF(INDEX('Per Invoice'!$L$2:$L$801,$N698)="","",INDEX('Per Invoice'!$L$2:$L$801,$N698)))</f>
        <v/>
      </c>
      <c r="M698" s="5">
        <f>IF($N698="","",IF(INDEX('Per Invoice'!$M$2:$M$801,$N698)="","",INDEX('Per Invoice'!$M$2:$M$801,$N698)))</f>
        <v/>
      </c>
      <c r="N698">
        <f>IF(ROWS($N$2:$N698)&lt;=COUNT('Per Invoice'!$P$2:$P$801),MATCH(ROWS($N$2:$N698),'Per Invoice'!$P$2:$P$801,0),"")</f>
        <v/>
      </c>
    </row>
    <row r="699">
      <c r="A699">
        <f>IF($N699="","",IF(INDEX('Per Invoice'!$A$2:$A$801,$N699)="","",INDEX('Per Invoice'!$A$2:$A$801,$N699)))</f>
        <v/>
      </c>
      <c r="B699">
        <f>IF($N699="","",IF(INDEX('Per Invoice'!$B$2:$B$801,$N699)="","",INDEX('Per Invoice'!$B$2:$B$801,$N699)))</f>
        <v/>
      </c>
      <c r="C699">
        <f>IF($N699="","",IF(INDEX('Per Invoice'!$C$2:$C$801,$N699)="","",INDEX('Per Invoice'!$C$2:$C$801,$N699)))</f>
        <v/>
      </c>
      <c r="D699">
        <f>IF($N699="","",IF(INDEX('Per Invoice'!$D$2:$D$801,$N699)="","",INDEX('Per Invoice'!$D$2:$D$801,$N699)))</f>
        <v/>
      </c>
      <c r="E699">
        <f>IF($N699="","",IF(INDEX('Per Invoice'!$E$2:$E$801,$N699)="","",INDEX('Per Invoice'!$E$2:$E$801,$N699)))</f>
        <v/>
      </c>
      <c r="F699">
        <f>IF($N699="","",IF(INDEX('Per Invoice'!$F$2:$F$801,$N699)="","",INDEX('Per Invoice'!$F$2:$F$801,$N699)))</f>
        <v/>
      </c>
      <c r="G699">
        <f>IF($N699="","",IF(INDEX('Per Invoice'!$G$2:$G$801,$N699)="","",INDEX('Per Invoice'!$G$2:$G$801,$N699)))</f>
        <v/>
      </c>
      <c r="H699">
        <f>IF($N699="","",IF(INDEX('Per Invoice'!$H$2:$H$801,$N699)="","",INDEX('Per Invoice'!$H$2:$H$801,$N699)))</f>
        <v/>
      </c>
      <c r="I699" s="5">
        <f>IF($N699="","",IF(INDEX('Per Invoice'!$I$2:$I$801,$N699)="","",INDEX('Per Invoice'!$I$2:$I$801,$N699)))</f>
        <v/>
      </c>
      <c r="J699" s="5">
        <f>IF($N699="","",IF(INDEX('Per Invoice'!$J$2:$J$801,$N699)="","",INDEX('Per Invoice'!$J$2:$J$801,$N699)))</f>
        <v/>
      </c>
      <c r="K699" s="5">
        <f>IF($N699="","",IF(INDEX('Per Invoice'!$K$2:$K$801,$N699)="","",INDEX('Per Invoice'!$K$2:$K$801,$N699)))</f>
        <v/>
      </c>
      <c r="L699" s="5">
        <f>IF($N699="","",IF(INDEX('Per Invoice'!$L$2:$L$801,$N699)="","",INDEX('Per Invoice'!$L$2:$L$801,$N699)))</f>
        <v/>
      </c>
      <c r="M699" s="5">
        <f>IF($N699="","",IF(INDEX('Per Invoice'!$M$2:$M$801,$N699)="","",INDEX('Per Invoice'!$M$2:$M$801,$N699)))</f>
        <v/>
      </c>
      <c r="N699">
        <f>IF(ROWS($N$2:$N699)&lt;=COUNT('Per Invoice'!$P$2:$P$801),MATCH(ROWS($N$2:$N699),'Per Invoice'!$P$2:$P$801,0),"")</f>
        <v/>
      </c>
    </row>
    <row r="700">
      <c r="A700">
        <f>IF($N700="","",IF(INDEX('Per Invoice'!$A$2:$A$801,$N700)="","",INDEX('Per Invoice'!$A$2:$A$801,$N700)))</f>
        <v/>
      </c>
      <c r="B700">
        <f>IF($N700="","",IF(INDEX('Per Invoice'!$B$2:$B$801,$N700)="","",INDEX('Per Invoice'!$B$2:$B$801,$N700)))</f>
        <v/>
      </c>
      <c r="C700">
        <f>IF($N700="","",IF(INDEX('Per Invoice'!$C$2:$C$801,$N700)="","",INDEX('Per Invoice'!$C$2:$C$801,$N700)))</f>
        <v/>
      </c>
      <c r="D700">
        <f>IF($N700="","",IF(INDEX('Per Invoice'!$D$2:$D$801,$N700)="","",INDEX('Per Invoice'!$D$2:$D$801,$N700)))</f>
        <v/>
      </c>
      <c r="E700">
        <f>IF($N700="","",IF(INDEX('Per Invoice'!$E$2:$E$801,$N700)="","",INDEX('Per Invoice'!$E$2:$E$801,$N700)))</f>
        <v/>
      </c>
      <c r="F700">
        <f>IF($N700="","",IF(INDEX('Per Invoice'!$F$2:$F$801,$N700)="","",INDEX('Per Invoice'!$F$2:$F$801,$N700)))</f>
        <v/>
      </c>
      <c r="G700">
        <f>IF($N700="","",IF(INDEX('Per Invoice'!$G$2:$G$801,$N700)="","",INDEX('Per Invoice'!$G$2:$G$801,$N700)))</f>
        <v/>
      </c>
      <c r="H700">
        <f>IF($N700="","",IF(INDEX('Per Invoice'!$H$2:$H$801,$N700)="","",INDEX('Per Invoice'!$H$2:$H$801,$N700)))</f>
        <v/>
      </c>
      <c r="I700" s="5">
        <f>IF($N700="","",IF(INDEX('Per Invoice'!$I$2:$I$801,$N700)="","",INDEX('Per Invoice'!$I$2:$I$801,$N700)))</f>
        <v/>
      </c>
      <c r="J700" s="5">
        <f>IF($N700="","",IF(INDEX('Per Invoice'!$J$2:$J$801,$N700)="","",INDEX('Per Invoice'!$J$2:$J$801,$N700)))</f>
        <v/>
      </c>
      <c r="K700" s="5">
        <f>IF($N700="","",IF(INDEX('Per Invoice'!$K$2:$K$801,$N700)="","",INDEX('Per Invoice'!$K$2:$K$801,$N700)))</f>
        <v/>
      </c>
      <c r="L700" s="5">
        <f>IF($N700="","",IF(INDEX('Per Invoice'!$L$2:$L$801,$N700)="","",INDEX('Per Invoice'!$L$2:$L$801,$N700)))</f>
        <v/>
      </c>
      <c r="M700" s="5">
        <f>IF($N700="","",IF(INDEX('Per Invoice'!$M$2:$M$801,$N700)="","",INDEX('Per Invoice'!$M$2:$M$801,$N700)))</f>
        <v/>
      </c>
      <c r="N700">
        <f>IF(ROWS($N$2:$N700)&lt;=COUNT('Per Invoice'!$P$2:$P$801),MATCH(ROWS($N$2:$N700),'Per Invoice'!$P$2:$P$801,0),"")</f>
        <v/>
      </c>
    </row>
    <row r="701">
      <c r="A701">
        <f>IF($N701="","",IF(INDEX('Per Invoice'!$A$2:$A$801,$N701)="","",INDEX('Per Invoice'!$A$2:$A$801,$N701)))</f>
        <v/>
      </c>
      <c r="B701">
        <f>IF($N701="","",IF(INDEX('Per Invoice'!$B$2:$B$801,$N701)="","",INDEX('Per Invoice'!$B$2:$B$801,$N701)))</f>
        <v/>
      </c>
      <c r="C701">
        <f>IF($N701="","",IF(INDEX('Per Invoice'!$C$2:$C$801,$N701)="","",INDEX('Per Invoice'!$C$2:$C$801,$N701)))</f>
        <v/>
      </c>
      <c r="D701">
        <f>IF($N701="","",IF(INDEX('Per Invoice'!$D$2:$D$801,$N701)="","",INDEX('Per Invoice'!$D$2:$D$801,$N701)))</f>
        <v/>
      </c>
      <c r="E701">
        <f>IF($N701="","",IF(INDEX('Per Invoice'!$E$2:$E$801,$N701)="","",INDEX('Per Invoice'!$E$2:$E$801,$N701)))</f>
        <v/>
      </c>
      <c r="F701">
        <f>IF($N701="","",IF(INDEX('Per Invoice'!$F$2:$F$801,$N701)="","",INDEX('Per Invoice'!$F$2:$F$801,$N701)))</f>
        <v/>
      </c>
      <c r="G701">
        <f>IF($N701="","",IF(INDEX('Per Invoice'!$G$2:$G$801,$N701)="","",INDEX('Per Invoice'!$G$2:$G$801,$N701)))</f>
        <v/>
      </c>
      <c r="H701">
        <f>IF($N701="","",IF(INDEX('Per Invoice'!$H$2:$H$801,$N701)="","",INDEX('Per Invoice'!$H$2:$H$801,$N701)))</f>
        <v/>
      </c>
      <c r="I701" s="5">
        <f>IF($N701="","",IF(INDEX('Per Invoice'!$I$2:$I$801,$N701)="","",INDEX('Per Invoice'!$I$2:$I$801,$N701)))</f>
        <v/>
      </c>
      <c r="J701" s="5">
        <f>IF($N701="","",IF(INDEX('Per Invoice'!$J$2:$J$801,$N701)="","",INDEX('Per Invoice'!$J$2:$J$801,$N701)))</f>
        <v/>
      </c>
      <c r="K701" s="5">
        <f>IF($N701="","",IF(INDEX('Per Invoice'!$K$2:$K$801,$N701)="","",INDEX('Per Invoice'!$K$2:$K$801,$N701)))</f>
        <v/>
      </c>
      <c r="L701" s="5">
        <f>IF($N701="","",IF(INDEX('Per Invoice'!$L$2:$L$801,$N701)="","",INDEX('Per Invoice'!$L$2:$L$801,$N701)))</f>
        <v/>
      </c>
      <c r="M701" s="5">
        <f>IF($N701="","",IF(INDEX('Per Invoice'!$M$2:$M$801,$N701)="","",INDEX('Per Invoice'!$M$2:$M$801,$N701)))</f>
        <v/>
      </c>
      <c r="N701">
        <f>IF(ROWS($N$2:$N701)&lt;=COUNT('Per Invoice'!$P$2:$P$801),MATCH(ROWS($N$2:$N701),'Per Invoice'!$P$2:$P$801,0),"")</f>
        <v/>
      </c>
    </row>
    <row r="702">
      <c r="A702">
        <f>IF($N702="","",IF(INDEX('Per Invoice'!$A$2:$A$801,$N702)="","",INDEX('Per Invoice'!$A$2:$A$801,$N702)))</f>
        <v/>
      </c>
      <c r="B702">
        <f>IF($N702="","",IF(INDEX('Per Invoice'!$B$2:$B$801,$N702)="","",INDEX('Per Invoice'!$B$2:$B$801,$N702)))</f>
        <v/>
      </c>
      <c r="C702">
        <f>IF($N702="","",IF(INDEX('Per Invoice'!$C$2:$C$801,$N702)="","",INDEX('Per Invoice'!$C$2:$C$801,$N702)))</f>
        <v/>
      </c>
      <c r="D702">
        <f>IF($N702="","",IF(INDEX('Per Invoice'!$D$2:$D$801,$N702)="","",INDEX('Per Invoice'!$D$2:$D$801,$N702)))</f>
        <v/>
      </c>
      <c r="E702">
        <f>IF($N702="","",IF(INDEX('Per Invoice'!$E$2:$E$801,$N702)="","",INDEX('Per Invoice'!$E$2:$E$801,$N702)))</f>
        <v/>
      </c>
      <c r="F702">
        <f>IF($N702="","",IF(INDEX('Per Invoice'!$F$2:$F$801,$N702)="","",INDEX('Per Invoice'!$F$2:$F$801,$N702)))</f>
        <v/>
      </c>
      <c r="G702">
        <f>IF($N702="","",IF(INDEX('Per Invoice'!$G$2:$G$801,$N702)="","",INDEX('Per Invoice'!$G$2:$G$801,$N702)))</f>
        <v/>
      </c>
      <c r="H702">
        <f>IF($N702="","",IF(INDEX('Per Invoice'!$H$2:$H$801,$N702)="","",INDEX('Per Invoice'!$H$2:$H$801,$N702)))</f>
        <v/>
      </c>
      <c r="I702" s="5">
        <f>IF($N702="","",IF(INDEX('Per Invoice'!$I$2:$I$801,$N702)="","",INDEX('Per Invoice'!$I$2:$I$801,$N702)))</f>
        <v/>
      </c>
      <c r="J702" s="5">
        <f>IF($N702="","",IF(INDEX('Per Invoice'!$J$2:$J$801,$N702)="","",INDEX('Per Invoice'!$J$2:$J$801,$N702)))</f>
        <v/>
      </c>
      <c r="K702" s="5">
        <f>IF($N702="","",IF(INDEX('Per Invoice'!$K$2:$K$801,$N702)="","",INDEX('Per Invoice'!$K$2:$K$801,$N702)))</f>
        <v/>
      </c>
      <c r="L702" s="5">
        <f>IF($N702="","",IF(INDEX('Per Invoice'!$L$2:$L$801,$N702)="","",INDEX('Per Invoice'!$L$2:$L$801,$N702)))</f>
        <v/>
      </c>
      <c r="M702" s="5">
        <f>IF($N702="","",IF(INDEX('Per Invoice'!$M$2:$M$801,$N702)="","",INDEX('Per Invoice'!$M$2:$M$801,$N702)))</f>
        <v/>
      </c>
      <c r="N702">
        <f>IF(ROWS($N$2:$N702)&lt;=COUNT('Per Invoice'!$P$2:$P$801),MATCH(ROWS($N$2:$N702),'Per Invoice'!$P$2:$P$801,0),"")</f>
        <v/>
      </c>
    </row>
    <row r="703">
      <c r="A703">
        <f>IF($N703="","",IF(INDEX('Per Invoice'!$A$2:$A$801,$N703)="","",INDEX('Per Invoice'!$A$2:$A$801,$N703)))</f>
        <v/>
      </c>
      <c r="B703">
        <f>IF($N703="","",IF(INDEX('Per Invoice'!$B$2:$B$801,$N703)="","",INDEX('Per Invoice'!$B$2:$B$801,$N703)))</f>
        <v/>
      </c>
      <c r="C703">
        <f>IF($N703="","",IF(INDEX('Per Invoice'!$C$2:$C$801,$N703)="","",INDEX('Per Invoice'!$C$2:$C$801,$N703)))</f>
        <v/>
      </c>
      <c r="D703">
        <f>IF($N703="","",IF(INDEX('Per Invoice'!$D$2:$D$801,$N703)="","",INDEX('Per Invoice'!$D$2:$D$801,$N703)))</f>
        <v/>
      </c>
      <c r="E703">
        <f>IF($N703="","",IF(INDEX('Per Invoice'!$E$2:$E$801,$N703)="","",INDEX('Per Invoice'!$E$2:$E$801,$N703)))</f>
        <v/>
      </c>
      <c r="F703">
        <f>IF($N703="","",IF(INDEX('Per Invoice'!$F$2:$F$801,$N703)="","",INDEX('Per Invoice'!$F$2:$F$801,$N703)))</f>
        <v/>
      </c>
      <c r="G703">
        <f>IF($N703="","",IF(INDEX('Per Invoice'!$G$2:$G$801,$N703)="","",INDEX('Per Invoice'!$G$2:$G$801,$N703)))</f>
        <v/>
      </c>
      <c r="H703">
        <f>IF($N703="","",IF(INDEX('Per Invoice'!$H$2:$H$801,$N703)="","",INDEX('Per Invoice'!$H$2:$H$801,$N703)))</f>
        <v/>
      </c>
      <c r="I703" s="5">
        <f>IF($N703="","",IF(INDEX('Per Invoice'!$I$2:$I$801,$N703)="","",INDEX('Per Invoice'!$I$2:$I$801,$N703)))</f>
        <v/>
      </c>
      <c r="J703" s="5">
        <f>IF($N703="","",IF(INDEX('Per Invoice'!$J$2:$J$801,$N703)="","",INDEX('Per Invoice'!$J$2:$J$801,$N703)))</f>
        <v/>
      </c>
      <c r="K703" s="5">
        <f>IF($N703="","",IF(INDEX('Per Invoice'!$K$2:$K$801,$N703)="","",INDEX('Per Invoice'!$K$2:$K$801,$N703)))</f>
        <v/>
      </c>
      <c r="L703" s="5">
        <f>IF($N703="","",IF(INDEX('Per Invoice'!$L$2:$L$801,$N703)="","",INDEX('Per Invoice'!$L$2:$L$801,$N703)))</f>
        <v/>
      </c>
      <c r="M703" s="5">
        <f>IF($N703="","",IF(INDEX('Per Invoice'!$M$2:$M$801,$N703)="","",INDEX('Per Invoice'!$M$2:$M$801,$N703)))</f>
        <v/>
      </c>
      <c r="N703">
        <f>IF(ROWS($N$2:$N703)&lt;=COUNT('Per Invoice'!$P$2:$P$801),MATCH(ROWS($N$2:$N703),'Per Invoice'!$P$2:$P$801,0),"")</f>
        <v/>
      </c>
    </row>
    <row r="704">
      <c r="A704">
        <f>IF($N704="","",IF(INDEX('Per Invoice'!$A$2:$A$801,$N704)="","",INDEX('Per Invoice'!$A$2:$A$801,$N704)))</f>
        <v/>
      </c>
      <c r="B704">
        <f>IF($N704="","",IF(INDEX('Per Invoice'!$B$2:$B$801,$N704)="","",INDEX('Per Invoice'!$B$2:$B$801,$N704)))</f>
        <v/>
      </c>
      <c r="C704">
        <f>IF($N704="","",IF(INDEX('Per Invoice'!$C$2:$C$801,$N704)="","",INDEX('Per Invoice'!$C$2:$C$801,$N704)))</f>
        <v/>
      </c>
      <c r="D704">
        <f>IF($N704="","",IF(INDEX('Per Invoice'!$D$2:$D$801,$N704)="","",INDEX('Per Invoice'!$D$2:$D$801,$N704)))</f>
        <v/>
      </c>
      <c r="E704">
        <f>IF($N704="","",IF(INDEX('Per Invoice'!$E$2:$E$801,$N704)="","",INDEX('Per Invoice'!$E$2:$E$801,$N704)))</f>
        <v/>
      </c>
      <c r="F704">
        <f>IF($N704="","",IF(INDEX('Per Invoice'!$F$2:$F$801,$N704)="","",INDEX('Per Invoice'!$F$2:$F$801,$N704)))</f>
        <v/>
      </c>
      <c r="G704">
        <f>IF($N704="","",IF(INDEX('Per Invoice'!$G$2:$G$801,$N704)="","",INDEX('Per Invoice'!$G$2:$G$801,$N704)))</f>
        <v/>
      </c>
      <c r="H704">
        <f>IF($N704="","",IF(INDEX('Per Invoice'!$H$2:$H$801,$N704)="","",INDEX('Per Invoice'!$H$2:$H$801,$N704)))</f>
        <v/>
      </c>
      <c r="I704" s="5">
        <f>IF($N704="","",IF(INDEX('Per Invoice'!$I$2:$I$801,$N704)="","",INDEX('Per Invoice'!$I$2:$I$801,$N704)))</f>
        <v/>
      </c>
      <c r="J704" s="5">
        <f>IF($N704="","",IF(INDEX('Per Invoice'!$J$2:$J$801,$N704)="","",INDEX('Per Invoice'!$J$2:$J$801,$N704)))</f>
        <v/>
      </c>
      <c r="K704" s="5">
        <f>IF($N704="","",IF(INDEX('Per Invoice'!$K$2:$K$801,$N704)="","",INDEX('Per Invoice'!$K$2:$K$801,$N704)))</f>
        <v/>
      </c>
      <c r="L704" s="5">
        <f>IF($N704="","",IF(INDEX('Per Invoice'!$L$2:$L$801,$N704)="","",INDEX('Per Invoice'!$L$2:$L$801,$N704)))</f>
        <v/>
      </c>
      <c r="M704" s="5">
        <f>IF($N704="","",IF(INDEX('Per Invoice'!$M$2:$M$801,$N704)="","",INDEX('Per Invoice'!$M$2:$M$801,$N704)))</f>
        <v/>
      </c>
      <c r="N704">
        <f>IF(ROWS($N$2:$N704)&lt;=COUNT('Per Invoice'!$P$2:$P$801),MATCH(ROWS($N$2:$N704),'Per Invoice'!$P$2:$P$801,0),"")</f>
        <v/>
      </c>
    </row>
    <row r="705">
      <c r="A705">
        <f>IF($N705="","",IF(INDEX('Per Invoice'!$A$2:$A$801,$N705)="","",INDEX('Per Invoice'!$A$2:$A$801,$N705)))</f>
        <v/>
      </c>
      <c r="B705">
        <f>IF($N705="","",IF(INDEX('Per Invoice'!$B$2:$B$801,$N705)="","",INDEX('Per Invoice'!$B$2:$B$801,$N705)))</f>
        <v/>
      </c>
      <c r="C705">
        <f>IF($N705="","",IF(INDEX('Per Invoice'!$C$2:$C$801,$N705)="","",INDEX('Per Invoice'!$C$2:$C$801,$N705)))</f>
        <v/>
      </c>
      <c r="D705">
        <f>IF($N705="","",IF(INDEX('Per Invoice'!$D$2:$D$801,$N705)="","",INDEX('Per Invoice'!$D$2:$D$801,$N705)))</f>
        <v/>
      </c>
      <c r="E705">
        <f>IF($N705="","",IF(INDEX('Per Invoice'!$E$2:$E$801,$N705)="","",INDEX('Per Invoice'!$E$2:$E$801,$N705)))</f>
        <v/>
      </c>
      <c r="F705">
        <f>IF($N705="","",IF(INDEX('Per Invoice'!$F$2:$F$801,$N705)="","",INDEX('Per Invoice'!$F$2:$F$801,$N705)))</f>
        <v/>
      </c>
      <c r="G705">
        <f>IF($N705="","",IF(INDEX('Per Invoice'!$G$2:$G$801,$N705)="","",INDEX('Per Invoice'!$G$2:$G$801,$N705)))</f>
        <v/>
      </c>
      <c r="H705">
        <f>IF($N705="","",IF(INDEX('Per Invoice'!$H$2:$H$801,$N705)="","",INDEX('Per Invoice'!$H$2:$H$801,$N705)))</f>
        <v/>
      </c>
      <c r="I705" s="5">
        <f>IF($N705="","",IF(INDEX('Per Invoice'!$I$2:$I$801,$N705)="","",INDEX('Per Invoice'!$I$2:$I$801,$N705)))</f>
        <v/>
      </c>
      <c r="J705" s="5">
        <f>IF($N705="","",IF(INDEX('Per Invoice'!$J$2:$J$801,$N705)="","",INDEX('Per Invoice'!$J$2:$J$801,$N705)))</f>
        <v/>
      </c>
      <c r="K705" s="5">
        <f>IF($N705="","",IF(INDEX('Per Invoice'!$K$2:$K$801,$N705)="","",INDEX('Per Invoice'!$K$2:$K$801,$N705)))</f>
        <v/>
      </c>
      <c r="L705" s="5">
        <f>IF($N705="","",IF(INDEX('Per Invoice'!$L$2:$L$801,$N705)="","",INDEX('Per Invoice'!$L$2:$L$801,$N705)))</f>
        <v/>
      </c>
      <c r="M705" s="5">
        <f>IF($N705="","",IF(INDEX('Per Invoice'!$M$2:$M$801,$N705)="","",INDEX('Per Invoice'!$M$2:$M$801,$N705)))</f>
        <v/>
      </c>
      <c r="N705">
        <f>IF(ROWS($N$2:$N705)&lt;=COUNT('Per Invoice'!$P$2:$P$801),MATCH(ROWS($N$2:$N705),'Per Invoice'!$P$2:$P$801,0),"")</f>
        <v/>
      </c>
    </row>
    <row r="706">
      <c r="A706">
        <f>IF($N706="","",IF(INDEX('Per Invoice'!$A$2:$A$801,$N706)="","",INDEX('Per Invoice'!$A$2:$A$801,$N706)))</f>
        <v/>
      </c>
      <c r="B706">
        <f>IF($N706="","",IF(INDEX('Per Invoice'!$B$2:$B$801,$N706)="","",INDEX('Per Invoice'!$B$2:$B$801,$N706)))</f>
        <v/>
      </c>
      <c r="C706">
        <f>IF($N706="","",IF(INDEX('Per Invoice'!$C$2:$C$801,$N706)="","",INDEX('Per Invoice'!$C$2:$C$801,$N706)))</f>
        <v/>
      </c>
      <c r="D706">
        <f>IF($N706="","",IF(INDEX('Per Invoice'!$D$2:$D$801,$N706)="","",INDEX('Per Invoice'!$D$2:$D$801,$N706)))</f>
        <v/>
      </c>
      <c r="E706">
        <f>IF($N706="","",IF(INDEX('Per Invoice'!$E$2:$E$801,$N706)="","",INDEX('Per Invoice'!$E$2:$E$801,$N706)))</f>
        <v/>
      </c>
      <c r="F706">
        <f>IF($N706="","",IF(INDEX('Per Invoice'!$F$2:$F$801,$N706)="","",INDEX('Per Invoice'!$F$2:$F$801,$N706)))</f>
        <v/>
      </c>
      <c r="G706">
        <f>IF($N706="","",IF(INDEX('Per Invoice'!$G$2:$G$801,$N706)="","",INDEX('Per Invoice'!$G$2:$G$801,$N706)))</f>
        <v/>
      </c>
      <c r="H706">
        <f>IF($N706="","",IF(INDEX('Per Invoice'!$H$2:$H$801,$N706)="","",INDEX('Per Invoice'!$H$2:$H$801,$N706)))</f>
        <v/>
      </c>
      <c r="I706" s="5">
        <f>IF($N706="","",IF(INDEX('Per Invoice'!$I$2:$I$801,$N706)="","",INDEX('Per Invoice'!$I$2:$I$801,$N706)))</f>
        <v/>
      </c>
      <c r="J706" s="5">
        <f>IF($N706="","",IF(INDEX('Per Invoice'!$J$2:$J$801,$N706)="","",INDEX('Per Invoice'!$J$2:$J$801,$N706)))</f>
        <v/>
      </c>
      <c r="K706" s="5">
        <f>IF($N706="","",IF(INDEX('Per Invoice'!$K$2:$K$801,$N706)="","",INDEX('Per Invoice'!$K$2:$K$801,$N706)))</f>
        <v/>
      </c>
      <c r="L706" s="5">
        <f>IF($N706="","",IF(INDEX('Per Invoice'!$L$2:$L$801,$N706)="","",INDEX('Per Invoice'!$L$2:$L$801,$N706)))</f>
        <v/>
      </c>
      <c r="M706" s="5">
        <f>IF($N706="","",IF(INDEX('Per Invoice'!$M$2:$M$801,$N706)="","",INDEX('Per Invoice'!$M$2:$M$801,$N706)))</f>
        <v/>
      </c>
      <c r="N706">
        <f>IF(ROWS($N$2:$N706)&lt;=COUNT('Per Invoice'!$P$2:$P$801),MATCH(ROWS($N$2:$N706),'Per Invoice'!$P$2:$P$801,0),"")</f>
        <v/>
      </c>
    </row>
    <row r="707">
      <c r="A707">
        <f>IF($N707="","",IF(INDEX('Per Invoice'!$A$2:$A$801,$N707)="","",INDEX('Per Invoice'!$A$2:$A$801,$N707)))</f>
        <v/>
      </c>
      <c r="B707">
        <f>IF($N707="","",IF(INDEX('Per Invoice'!$B$2:$B$801,$N707)="","",INDEX('Per Invoice'!$B$2:$B$801,$N707)))</f>
        <v/>
      </c>
      <c r="C707">
        <f>IF($N707="","",IF(INDEX('Per Invoice'!$C$2:$C$801,$N707)="","",INDEX('Per Invoice'!$C$2:$C$801,$N707)))</f>
        <v/>
      </c>
      <c r="D707">
        <f>IF($N707="","",IF(INDEX('Per Invoice'!$D$2:$D$801,$N707)="","",INDEX('Per Invoice'!$D$2:$D$801,$N707)))</f>
        <v/>
      </c>
      <c r="E707">
        <f>IF($N707="","",IF(INDEX('Per Invoice'!$E$2:$E$801,$N707)="","",INDEX('Per Invoice'!$E$2:$E$801,$N707)))</f>
        <v/>
      </c>
      <c r="F707">
        <f>IF($N707="","",IF(INDEX('Per Invoice'!$F$2:$F$801,$N707)="","",INDEX('Per Invoice'!$F$2:$F$801,$N707)))</f>
        <v/>
      </c>
      <c r="G707">
        <f>IF($N707="","",IF(INDEX('Per Invoice'!$G$2:$G$801,$N707)="","",INDEX('Per Invoice'!$G$2:$G$801,$N707)))</f>
        <v/>
      </c>
      <c r="H707">
        <f>IF($N707="","",IF(INDEX('Per Invoice'!$H$2:$H$801,$N707)="","",INDEX('Per Invoice'!$H$2:$H$801,$N707)))</f>
        <v/>
      </c>
      <c r="I707" s="5">
        <f>IF($N707="","",IF(INDEX('Per Invoice'!$I$2:$I$801,$N707)="","",INDEX('Per Invoice'!$I$2:$I$801,$N707)))</f>
        <v/>
      </c>
      <c r="J707" s="5">
        <f>IF($N707="","",IF(INDEX('Per Invoice'!$J$2:$J$801,$N707)="","",INDEX('Per Invoice'!$J$2:$J$801,$N707)))</f>
        <v/>
      </c>
      <c r="K707" s="5">
        <f>IF($N707="","",IF(INDEX('Per Invoice'!$K$2:$K$801,$N707)="","",INDEX('Per Invoice'!$K$2:$K$801,$N707)))</f>
        <v/>
      </c>
      <c r="L707" s="5">
        <f>IF($N707="","",IF(INDEX('Per Invoice'!$L$2:$L$801,$N707)="","",INDEX('Per Invoice'!$L$2:$L$801,$N707)))</f>
        <v/>
      </c>
      <c r="M707" s="5">
        <f>IF($N707="","",IF(INDEX('Per Invoice'!$M$2:$M$801,$N707)="","",INDEX('Per Invoice'!$M$2:$M$801,$N707)))</f>
        <v/>
      </c>
      <c r="N707">
        <f>IF(ROWS($N$2:$N707)&lt;=COUNT('Per Invoice'!$P$2:$P$801),MATCH(ROWS($N$2:$N707),'Per Invoice'!$P$2:$P$801,0),"")</f>
        <v/>
      </c>
    </row>
    <row r="708">
      <c r="A708">
        <f>IF($N708="","",IF(INDEX('Per Invoice'!$A$2:$A$801,$N708)="","",INDEX('Per Invoice'!$A$2:$A$801,$N708)))</f>
        <v/>
      </c>
      <c r="B708">
        <f>IF($N708="","",IF(INDEX('Per Invoice'!$B$2:$B$801,$N708)="","",INDEX('Per Invoice'!$B$2:$B$801,$N708)))</f>
        <v/>
      </c>
      <c r="C708">
        <f>IF($N708="","",IF(INDEX('Per Invoice'!$C$2:$C$801,$N708)="","",INDEX('Per Invoice'!$C$2:$C$801,$N708)))</f>
        <v/>
      </c>
      <c r="D708">
        <f>IF($N708="","",IF(INDEX('Per Invoice'!$D$2:$D$801,$N708)="","",INDEX('Per Invoice'!$D$2:$D$801,$N708)))</f>
        <v/>
      </c>
      <c r="E708">
        <f>IF($N708="","",IF(INDEX('Per Invoice'!$E$2:$E$801,$N708)="","",INDEX('Per Invoice'!$E$2:$E$801,$N708)))</f>
        <v/>
      </c>
      <c r="F708">
        <f>IF($N708="","",IF(INDEX('Per Invoice'!$F$2:$F$801,$N708)="","",INDEX('Per Invoice'!$F$2:$F$801,$N708)))</f>
        <v/>
      </c>
      <c r="G708">
        <f>IF($N708="","",IF(INDEX('Per Invoice'!$G$2:$G$801,$N708)="","",INDEX('Per Invoice'!$G$2:$G$801,$N708)))</f>
        <v/>
      </c>
      <c r="H708">
        <f>IF($N708="","",IF(INDEX('Per Invoice'!$H$2:$H$801,$N708)="","",INDEX('Per Invoice'!$H$2:$H$801,$N708)))</f>
        <v/>
      </c>
      <c r="I708" s="5">
        <f>IF($N708="","",IF(INDEX('Per Invoice'!$I$2:$I$801,$N708)="","",INDEX('Per Invoice'!$I$2:$I$801,$N708)))</f>
        <v/>
      </c>
      <c r="J708" s="5">
        <f>IF($N708="","",IF(INDEX('Per Invoice'!$J$2:$J$801,$N708)="","",INDEX('Per Invoice'!$J$2:$J$801,$N708)))</f>
        <v/>
      </c>
      <c r="K708" s="5">
        <f>IF($N708="","",IF(INDEX('Per Invoice'!$K$2:$K$801,$N708)="","",INDEX('Per Invoice'!$K$2:$K$801,$N708)))</f>
        <v/>
      </c>
      <c r="L708" s="5">
        <f>IF($N708="","",IF(INDEX('Per Invoice'!$L$2:$L$801,$N708)="","",INDEX('Per Invoice'!$L$2:$L$801,$N708)))</f>
        <v/>
      </c>
      <c r="M708" s="5">
        <f>IF($N708="","",IF(INDEX('Per Invoice'!$M$2:$M$801,$N708)="","",INDEX('Per Invoice'!$M$2:$M$801,$N708)))</f>
        <v/>
      </c>
      <c r="N708">
        <f>IF(ROWS($N$2:$N708)&lt;=COUNT('Per Invoice'!$P$2:$P$801),MATCH(ROWS($N$2:$N708),'Per Invoice'!$P$2:$P$801,0),"")</f>
        <v/>
      </c>
    </row>
    <row r="709">
      <c r="A709">
        <f>IF($N709="","",IF(INDEX('Per Invoice'!$A$2:$A$801,$N709)="","",INDEX('Per Invoice'!$A$2:$A$801,$N709)))</f>
        <v/>
      </c>
      <c r="B709">
        <f>IF($N709="","",IF(INDEX('Per Invoice'!$B$2:$B$801,$N709)="","",INDEX('Per Invoice'!$B$2:$B$801,$N709)))</f>
        <v/>
      </c>
      <c r="C709">
        <f>IF($N709="","",IF(INDEX('Per Invoice'!$C$2:$C$801,$N709)="","",INDEX('Per Invoice'!$C$2:$C$801,$N709)))</f>
        <v/>
      </c>
      <c r="D709">
        <f>IF($N709="","",IF(INDEX('Per Invoice'!$D$2:$D$801,$N709)="","",INDEX('Per Invoice'!$D$2:$D$801,$N709)))</f>
        <v/>
      </c>
      <c r="E709">
        <f>IF($N709="","",IF(INDEX('Per Invoice'!$E$2:$E$801,$N709)="","",INDEX('Per Invoice'!$E$2:$E$801,$N709)))</f>
        <v/>
      </c>
      <c r="F709">
        <f>IF($N709="","",IF(INDEX('Per Invoice'!$F$2:$F$801,$N709)="","",INDEX('Per Invoice'!$F$2:$F$801,$N709)))</f>
        <v/>
      </c>
      <c r="G709">
        <f>IF($N709="","",IF(INDEX('Per Invoice'!$G$2:$G$801,$N709)="","",INDEX('Per Invoice'!$G$2:$G$801,$N709)))</f>
        <v/>
      </c>
      <c r="H709">
        <f>IF($N709="","",IF(INDEX('Per Invoice'!$H$2:$H$801,$N709)="","",INDEX('Per Invoice'!$H$2:$H$801,$N709)))</f>
        <v/>
      </c>
      <c r="I709" s="5">
        <f>IF($N709="","",IF(INDEX('Per Invoice'!$I$2:$I$801,$N709)="","",INDEX('Per Invoice'!$I$2:$I$801,$N709)))</f>
        <v/>
      </c>
      <c r="J709" s="5">
        <f>IF($N709="","",IF(INDEX('Per Invoice'!$J$2:$J$801,$N709)="","",INDEX('Per Invoice'!$J$2:$J$801,$N709)))</f>
        <v/>
      </c>
      <c r="K709" s="5">
        <f>IF($N709="","",IF(INDEX('Per Invoice'!$K$2:$K$801,$N709)="","",INDEX('Per Invoice'!$K$2:$K$801,$N709)))</f>
        <v/>
      </c>
      <c r="L709" s="5">
        <f>IF($N709="","",IF(INDEX('Per Invoice'!$L$2:$L$801,$N709)="","",INDEX('Per Invoice'!$L$2:$L$801,$N709)))</f>
        <v/>
      </c>
      <c r="M709" s="5">
        <f>IF($N709="","",IF(INDEX('Per Invoice'!$M$2:$M$801,$N709)="","",INDEX('Per Invoice'!$M$2:$M$801,$N709)))</f>
        <v/>
      </c>
      <c r="N709">
        <f>IF(ROWS($N$2:$N709)&lt;=COUNT('Per Invoice'!$P$2:$P$801),MATCH(ROWS($N$2:$N709),'Per Invoice'!$P$2:$P$801,0),"")</f>
        <v/>
      </c>
    </row>
    <row r="710">
      <c r="A710">
        <f>IF($N710="","",IF(INDEX('Per Invoice'!$A$2:$A$801,$N710)="","",INDEX('Per Invoice'!$A$2:$A$801,$N710)))</f>
        <v/>
      </c>
      <c r="B710">
        <f>IF($N710="","",IF(INDEX('Per Invoice'!$B$2:$B$801,$N710)="","",INDEX('Per Invoice'!$B$2:$B$801,$N710)))</f>
        <v/>
      </c>
      <c r="C710">
        <f>IF($N710="","",IF(INDEX('Per Invoice'!$C$2:$C$801,$N710)="","",INDEX('Per Invoice'!$C$2:$C$801,$N710)))</f>
        <v/>
      </c>
      <c r="D710">
        <f>IF($N710="","",IF(INDEX('Per Invoice'!$D$2:$D$801,$N710)="","",INDEX('Per Invoice'!$D$2:$D$801,$N710)))</f>
        <v/>
      </c>
      <c r="E710">
        <f>IF($N710="","",IF(INDEX('Per Invoice'!$E$2:$E$801,$N710)="","",INDEX('Per Invoice'!$E$2:$E$801,$N710)))</f>
        <v/>
      </c>
      <c r="F710">
        <f>IF($N710="","",IF(INDEX('Per Invoice'!$F$2:$F$801,$N710)="","",INDEX('Per Invoice'!$F$2:$F$801,$N710)))</f>
        <v/>
      </c>
      <c r="G710">
        <f>IF($N710="","",IF(INDEX('Per Invoice'!$G$2:$G$801,$N710)="","",INDEX('Per Invoice'!$G$2:$G$801,$N710)))</f>
        <v/>
      </c>
      <c r="H710">
        <f>IF($N710="","",IF(INDEX('Per Invoice'!$H$2:$H$801,$N710)="","",INDEX('Per Invoice'!$H$2:$H$801,$N710)))</f>
        <v/>
      </c>
      <c r="I710" s="5">
        <f>IF($N710="","",IF(INDEX('Per Invoice'!$I$2:$I$801,$N710)="","",INDEX('Per Invoice'!$I$2:$I$801,$N710)))</f>
        <v/>
      </c>
      <c r="J710" s="5">
        <f>IF($N710="","",IF(INDEX('Per Invoice'!$J$2:$J$801,$N710)="","",INDEX('Per Invoice'!$J$2:$J$801,$N710)))</f>
        <v/>
      </c>
      <c r="K710" s="5">
        <f>IF($N710="","",IF(INDEX('Per Invoice'!$K$2:$K$801,$N710)="","",INDEX('Per Invoice'!$K$2:$K$801,$N710)))</f>
        <v/>
      </c>
      <c r="L710" s="5">
        <f>IF($N710="","",IF(INDEX('Per Invoice'!$L$2:$L$801,$N710)="","",INDEX('Per Invoice'!$L$2:$L$801,$N710)))</f>
        <v/>
      </c>
      <c r="M710" s="5">
        <f>IF($N710="","",IF(INDEX('Per Invoice'!$M$2:$M$801,$N710)="","",INDEX('Per Invoice'!$M$2:$M$801,$N710)))</f>
        <v/>
      </c>
      <c r="N710">
        <f>IF(ROWS($N$2:$N710)&lt;=COUNT('Per Invoice'!$P$2:$P$801),MATCH(ROWS($N$2:$N710),'Per Invoice'!$P$2:$P$801,0),"")</f>
        <v/>
      </c>
    </row>
    <row r="711">
      <c r="A711">
        <f>IF($N711="","",IF(INDEX('Per Invoice'!$A$2:$A$801,$N711)="","",INDEX('Per Invoice'!$A$2:$A$801,$N711)))</f>
        <v/>
      </c>
      <c r="B711">
        <f>IF($N711="","",IF(INDEX('Per Invoice'!$B$2:$B$801,$N711)="","",INDEX('Per Invoice'!$B$2:$B$801,$N711)))</f>
        <v/>
      </c>
      <c r="C711">
        <f>IF($N711="","",IF(INDEX('Per Invoice'!$C$2:$C$801,$N711)="","",INDEX('Per Invoice'!$C$2:$C$801,$N711)))</f>
        <v/>
      </c>
      <c r="D711">
        <f>IF($N711="","",IF(INDEX('Per Invoice'!$D$2:$D$801,$N711)="","",INDEX('Per Invoice'!$D$2:$D$801,$N711)))</f>
        <v/>
      </c>
      <c r="E711">
        <f>IF($N711="","",IF(INDEX('Per Invoice'!$E$2:$E$801,$N711)="","",INDEX('Per Invoice'!$E$2:$E$801,$N711)))</f>
        <v/>
      </c>
      <c r="F711">
        <f>IF($N711="","",IF(INDEX('Per Invoice'!$F$2:$F$801,$N711)="","",INDEX('Per Invoice'!$F$2:$F$801,$N711)))</f>
        <v/>
      </c>
      <c r="G711">
        <f>IF($N711="","",IF(INDEX('Per Invoice'!$G$2:$G$801,$N711)="","",INDEX('Per Invoice'!$G$2:$G$801,$N711)))</f>
        <v/>
      </c>
      <c r="H711">
        <f>IF($N711="","",IF(INDEX('Per Invoice'!$H$2:$H$801,$N711)="","",INDEX('Per Invoice'!$H$2:$H$801,$N711)))</f>
        <v/>
      </c>
      <c r="I711" s="5">
        <f>IF($N711="","",IF(INDEX('Per Invoice'!$I$2:$I$801,$N711)="","",INDEX('Per Invoice'!$I$2:$I$801,$N711)))</f>
        <v/>
      </c>
      <c r="J711" s="5">
        <f>IF($N711="","",IF(INDEX('Per Invoice'!$J$2:$J$801,$N711)="","",INDEX('Per Invoice'!$J$2:$J$801,$N711)))</f>
        <v/>
      </c>
      <c r="K711" s="5">
        <f>IF($N711="","",IF(INDEX('Per Invoice'!$K$2:$K$801,$N711)="","",INDEX('Per Invoice'!$K$2:$K$801,$N711)))</f>
        <v/>
      </c>
      <c r="L711" s="5">
        <f>IF($N711="","",IF(INDEX('Per Invoice'!$L$2:$L$801,$N711)="","",INDEX('Per Invoice'!$L$2:$L$801,$N711)))</f>
        <v/>
      </c>
      <c r="M711" s="5">
        <f>IF($N711="","",IF(INDEX('Per Invoice'!$M$2:$M$801,$N711)="","",INDEX('Per Invoice'!$M$2:$M$801,$N711)))</f>
        <v/>
      </c>
      <c r="N711">
        <f>IF(ROWS($N$2:$N711)&lt;=COUNT('Per Invoice'!$P$2:$P$801),MATCH(ROWS($N$2:$N711),'Per Invoice'!$P$2:$P$801,0),"")</f>
        <v/>
      </c>
    </row>
    <row r="712">
      <c r="A712">
        <f>IF($N712="","",IF(INDEX('Per Invoice'!$A$2:$A$801,$N712)="","",INDEX('Per Invoice'!$A$2:$A$801,$N712)))</f>
        <v/>
      </c>
      <c r="B712">
        <f>IF($N712="","",IF(INDEX('Per Invoice'!$B$2:$B$801,$N712)="","",INDEX('Per Invoice'!$B$2:$B$801,$N712)))</f>
        <v/>
      </c>
      <c r="C712">
        <f>IF($N712="","",IF(INDEX('Per Invoice'!$C$2:$C$801,$N712)="","",INDEX('Per Invoice'!$C$2:$C$801,$N712)))</f>
        <v/>
      </c>
      <c r="D712">
        <f>IF($N712="","",IF(INDEX('Per Invoice'!$D$2:$D$801,$N712)="","",INDEX('Per Invoice'!$D$2:$D$801,$N712)))</f>
        <v/>
      </c>
      <c r="E712">
        <f>IF($N712="","",IF(INDEX('Per Invoice'!$E$2:$E$801,$N712)="","",INDEX('Per Invoice'!$E$2:$E$801,$N712)))</f>
        <v/>
      </c>
      <c r="F712">
        <f>IF($N712="","",IF(INDEX('Per Invoice'!$F$2:$F$801,$N712)="","",INDEX('Per Invoice'!$F$2:$F$801,$N712)))</f>
        <v/>
      </c>
      <c r="G712">
        <f>IF($N712="","",IF(INDEX('Per Invoice'!$G$2:$G$801,$N712)="","",INDEX('Per Invoice'!$G$2:$G$801,$N712)))</f>
        <v/>
      </c>
      <c r="H712">
        <f>IF($N712="","",IF(INDEX('Per Invoice'!$H$2:$H$801,$N712)="","",INDEX('Per Invoice'!$H$2:$H$801,$N712)))</f>
        <v/>
      </c>
      <c r="I712" s="5">
        <f>IF($N712="","",IF(INDEX('Per Invoice'!$I$2:$I$801,$N712)="","",INDEX('Per Invoice'!$I$2:$I$801,$N712)))</f>
        <v/>
      </c>
      <c r="J712" s="5">
        <f>IF($N712="","",IF(INDEX('Per Invoice'!$J$2:$J$801,$N712)="","",INDEX('Per Invoice'!$J$2:$J$801,$N712)))</f>
        <v/>
      </c>
      <c r="K712" s="5">
        <f>IF($N712="","",IF(INDEX('Per Invoice'!$K$2:$K$801,$N712)="","",INDEX('Per Invoice'!$K$2:$K$801,$N712)))</f>
        <v/>
      </c>
      <c r="L712" s="5">
        <f>IF($N712="","",IF(INDEX('Per Invoice'!$L$2:$L$801,$N712)="","",INDEX('Per Invoice'!$L$2:$L$801,$N712)))</f>
        <v/>
      </c>
      <c r="M712" s="5">
        <f>IF($N712="","",IF(INDEX('Per Invoice'!$M$2:$M$801,$N712)="","",INDEX('Per Invoice'!$M$2:$M$801,$N712)))</f>
        <v/>
      </c>
      <c r="N712">
        <f>IF(ROWS($N$2:$N712)&lt;=COUNT('Per Invoice'!$P$2:$P$801),MATCH(ROWS($N$2:$N712),'Per Invoice'!$P$2:$P$801,0),"")</f>
        <v/>
      </c>
    </row>
    <row r="713">
      <c r="A713">
        <f>IF($N713="","",IF(INDEX('Per Invoice'!$A$2:$A$801,$N713)="","",INDEX('Per Invoice'!$A$2:$A$801,$N713)))</f>
        <v/>
      </c>
      <c r="B713">
        <f>IF($N713="","",IF(INDEX('Per Invoice'!$B$2:$B$801,$N713)="","",INDEX('Per Invoice'!$B$2:$B$801,$N713)))</f>
        <v/>
      </c>
      <c r="C713">
        <f>IF($N713="","",IF(INDEX('Per Invoice'!$C$2:$C$801,$N713)="","",INDEX('Per Invoice'!$C$2:$C$801,$N713)))</f>
        <v/>
      </c>
      <c r="D713">
        <f>IF($N713="","",IF(INDEX('Per Invoice'!$D$2:$D$801,$N713)="","",INDEX('Per Invoice'!$D$2:$D$801,$N713)))</f>
        <v/>
      </c>
      <c r="E713">
        <f>IF($N713="","",IF(INDEX('Per Invoice'!$E$2:$E$801,$N713)="","",INDEX('Per Invoice'!$E$2:$E$801,$N713)))</f>
        <v/>
      </c>
      <c r="F713">
        <f>IF($N713="","",IF(INDEX('Per Invoice'!$F$2:$F$801,$N713)="","",INDEX('Per Invoice'!$F$2:$F$801,$N713)))</f>
        <v/>
      </c>
      <c r="G713">
        <f>IF($N713="","",IF(INDEX('Per Invoice'!$G$2:$G$801,$N713)="","",INDEX('Per Invoice'!$G$2:$G$801,$N713)))</f>
        <v/>
      </c>
      <c r="H713">
        <f>IF($N713="","",IF(INDEX('Per Invoice'!$H$2:$H$801,$N713)="","",INDEX('Per Invoice'!$H$2:$H$801,$N713)))</f>
        <v/>
      </c>
      <c r="I713" s="5">
        <f>IF($N713="","",IF(INDEX('Per Invoice'!$I$2:$I$801,$N713)="","",INDEX('Per Invoice'!$I$2:$I$801,$N713)))</f>
        <v/>
      </c>
      <c r="J713" s="5">
        <f>IF($N713="","",IF(INDEX('Per Invoice'!$J$2:$J$801,$N713)="","",INDEX('Per Invoice'!$J$2:$J$801,$N713)))</f>
        <v/>
      </c>
      <c r="K713" s="5">
        <f>IF($N713="","",IF(INDEX('Per Invoice'!$K$2:$K$801,$N713)="","",INDEX('Per Invoice'!$K$2:$K$801,$N713)))</f>
        <v/>
      </c>
      <c r="L713" s="5">
        <f>IF($N713="","",IF(INDEX('Per Invoice'!$L$2:$L$801,$N713)="","",INDEX('Per Invoice'!$L$2:$L$801,$N713)))</f>
        <v/>
      </c>
      <c r="M713" s="5">
        <f>IF($N713="","",IF(INDEX('Per Invoice'!$M$2:$M$801,$N713)="","",INDEX('Per Invoice'!$M$2:$M$801,$N713)))</f>
        <v/>
      </c>
      <c r="N713">
        <f>IF(ROWS($N$2:$N713)&lt;=COUNT('Per Invoice'!$P$2:$P$801),MATCH(ROWS($N$2:$N713),'Per Invoice'!$P$2:$P$801,0),"")</f>
        <v/>
      </c>
    </row>
    <row r="714">
      <c r="A714">
        <f>IF($N714="","",IF(INDEX('Per Invoice'!$A$2:$A$801,$N714)="","",INDEX('Per Invoice'!$A$2:$A$801,$N714)))</f>
        <v/>
      </c>
      <c r="B714">
        <f>IF($N714="","",IF(INDEX('Per Invoice'!$B$2:$B$801,$N714)="","",INDEX('Per Invoice'!$B$2:$B$801,$N714)))</f>
        <v/>
      </c>
      <c r="C714">
        <f>IF($N714="","",IF(INDEX('Per Invoice'!$C$2:$C$801,$N714)="","",INDEX('Per Invoice'!$C$2:$C$801,$N714)))</f>
        <v/>
      </c>
      <c r="D714">
        <f>IF($N714="","",IF(INDEX('Per Invoice'!$D$2:$D$801,$N714)="","",INDEX('Per Invoice'!$D$2:$D$801,$N714)))</f>
        <v/>
      </c>
      <c r="E714">
        <f>IF($N714="","",IF(INDEX('Per Invoice'!$E$2:$E$801,$N714)="","",INDEX('Per Invoice'!$E$2:$E$801,$N714)))</f>
        <v/>
      </c>
      <c r="F714">
        <f>IF($N714="","",IF(INDEX('Per Invoice'!$F$2:$F$801,$N714)="","",INDEX('Per Invoice'!$F$2:$F$801,$N714)))</f>
        <v/>
      </c>
      <c r="G714">
        <f>IF($N714="","",IF(INDEX('Per Invoice'!$G$2:$G$801,$N714)="","",INDEX('Per Invoice'!$G$2:$G$801,$N714)))</f>
        <v/>
      </c>
      <c r="H714">
        <f>IF($N714="","",IF(INDEX('Per Invoice'!$H$2:$H$801,$N714)="","",INDEX('Per Invoice'!$H$2:$H$801,$N714)))</f>
        <v/>
      </c>
      <c r="I714" s="5">
        <f>IF($N714="","",IF(INDEX('Per Invoice'!$I$2:$I$801,$N714)="","",INDEX('Per Invoice'!$I$2:$I$801,$N714)))</f>
        <v/>
      </c>
      <c r="J714" s="5">
        <f>IF($N714="","",IF(INDEX('Per Invoice'!$J$2:$J$801,$N714)="","",INDEX('Per Invoice'!$J$2:$J$801,$N714)))</f>
        <v/>
      </c>
      <c r="K714" s="5">
        <f>IF($N714="","",IF(INDEX('Per Invoice'!$K$2:$K$801,$N714)="","",INDEX('Per Invoice'!$K$2:$K$801,$N714)))</f>
        <v/>
      </c>
      <c r="L714" s="5">
        <f>IF($N714="","",IF(INDEX('Per Invoice'!$L$2:$L$801,$N714)="","",INDEX('Per Invoice'!$L$2:$L$801,$N714)))</f>
        <v/>
      </c>
      <c r="M714" s="5">
        <f>IF($N714="","",IF(INDEX('Per Invoice'!$M$2:$M$801,$N714)="","",INDEX('Per Invoice'!$M$2:$M$801,$N714)))</f>
        <v/>
      </c>
      <c r="N714">
        <f>IF(ROWS($N$2:$N714)&lt;=COUNT('Per Invoice'!$P$2:$P$801),MATCH(ROWS($N$2:$N714),'Per Invoice'!$P$2:$P$801,0),"")</f>
        <v/>
      </c>
    </row>
    <row r="715">
      <c r="A715">
        <f>IF($N715="","",IF(INDEX('Per Invoice'!$A$2:$A$801,$N715)="","",INDEX('Per Invoice'!$A$2:$A$801,$N715)))</f>
        <v/>
      </c>
      <c r="B715">
        <f>IF($N715="","",IF(INDEX('Per Invoice'!$B$2:$B$801,$N715)="","",INDEX('Per Invoice'!$B$2:$B$801,$N715)))</f>
        <v/>
      </c>
      <c r="C715">
        <f>IF($N715="","",IF(INDEX('Per Invoice'!$C$2:$C$801,$N715)="","",INDEX('Per Invoice'!$C$2:$C$801,$N715)))</f>
        <v/>
      </c>
      <c r="D715">
        <f>IF($N715="","",IF(INDEX('Per Invoice'!$D$2:$D$801,$N715)="","",INDEX('Per Invoice'!$D$2:$D$801,$N715)))</f>
        <v/>
      </c>
      <c r="E715">
        <f>IF($N715="","",IF(INDEX('Per Invoice'!$E$2:$E$801,$N715)="","",INDEX('Per Invoice'!$E$2:$E$801,$N715)))</f>
        <v/>
      </c>
      <c r="F715">
        <f>IF($N715="","",IF(INDEX('Per Invoice'!$F$2:$F$801,$N715)="","",INDEX('Per Invoice'!$F$2:$F$801,$N715)))</f>
        <v/>
      </c>
      <c r="G715">
        <f>IF($N715="","",IF(INDEX('Per Invoice'!$G$2:$G$801,$N715)="","",INDEX('Per Invoice'!$G$2:$G$801,$N715)))</f>
        <v/>
      </c>
      <c r="H715">
        <f>IF($N715="","",IF(INDEX('Per Invoice'!$H$2:$H$801,$N715)="","",INDEX('Per Invoice'!$H$2:$H$801,$N715)))</f>
        <v/>
      </c>
      <c r="I715" s="5">
        <f>IF($N715="","",IF(INDEX('Per Invoice'!$I$2:$I$801,$N715)="","",INDEX('Per Invoice'!$I$2:$I$801,$N715)))</f>
        <v/>
      </c>
      <c r="J715" s="5">
        <f>IF($N715="","",IF(INDEX('Per Invoice'!$J$2:$J$801,$N715)="","",INDEX('Per Invoice'!$J$2:$J$801,$N715)))</f>
        <v/>
      </c>
      <c r="K715" s="5">
        <f>IF($N715="","",IF(INDEX('Per Invoice'!$K$2:$K$801,$N715)="","",INDEX('Per Invoice'!$K$2:$K$801,$N715)))</f>
        <v/>
      </c>
      <c r="L715" s="5">
        <f>IF($N715="","",IF(INDEX('Per Invoice'!$L$2:$L$801,$N715)="","",INDEX('Per Invoice'!$L$2:$L$801,$N715)))</f>
        <v/>
      </c>
      <c r="M715" s="5">
        <f>IF($N715="","",IF(INDEX('Per Invoice'!$M$2:$M$801,$N715)="","",INDEX('Per Invoice'!$M$2:$M$801,$N715)))</f>
        <v/>
      </c>
      <c r="N715">
        <f>IF(ROWS($N$2:$N715)&lt;=COUNT('Per Invoice'!$P$2:$P$801),MATCH(ROWS($N$2:$N715),'Per Invoice'!$P$2:$P$801,0),"")</f>
        <v/>
      </c>
    </row>
    <row r="716">
      <c r="A716">
        <f>IF($N716="","",IF(INDEX('Per Invoice'!$A$2:$A$801,$N716)="","",INDEX('Per Invoice'!$A$2:$A$801,$N716)))</f>
        <v/>
      </c>
      <c r="B716">
        <f>IF($N716="","",IF(INDEX('Per Invoice'!$B$2:$B$801,$N716)="","",INDEX('Per Invoice'!$B$2:$B$801,$N716)))</f>
        <v/>
      </c>
      <c r="C716">
        <f>IF($N716="","",IF(INDEX('Per Invoice'!$C$2:$C$801,$N716)="","",INDEX('Per Invoice'!$C$2:$C$801,$N716)))</f>
        <v/>
      </c>
      <c r="D716">
        <f>IF($N716="","",IF(INDEX('Per Invoice'!$D$2:$D$801,$N716)="","",INDEX('Per Invoice'!$D$2:$D$801,$N716)))</f>
        <v/>
      </c>
      <c r="E716">
        <f>IF($N716="","",IF(INDEX('Per Invoice'!$E$2:$E$801,$N716)="","",INDEX('Per Invoice'!$E$2:$E$801,$N716)))</f>
        <v/>
      </c>
      <c r="F716">
        <f>IF($N716="","",IF(INDEX('Per Invoice'!$F$2:$F$801,$N716)="","",INDEX('Per Invoice'!$F$2:$F$801,$N716)))</f>
        <v/>
      </c>
      <c r="G716">
        <f>IF($N716="","",IF(INDEX('Per Invoice'!$G$2:$G$801,$N716)="","",INDEX('Per Invoice'!$G$2:$G$801,$N716)))</f>
        <v/>
      </c>
      <c r="H716">
        <f>IF($N716="","",IF(INDEX('Per Invoice'!$H$2:$H$801,$N716)="","",INDEX('Per Invoice'!$H$2:$H$801,$N716)))</f>
        <v/>
      </c>
      <c r="I716" s="5">
        <f>IF($N716="","",IF(INDEX('Per Invoice'!$I$2:$I$801,$N716)="","",INDEX('Per Invoice'!$I$2:$I$801,$N716)))</f>
        <v/>
      </c>
      <c r="J716" s="5">
        <f>IF($N716="","",IF(INDEX('Per Invoice'!$J$2:$J$801,$N716)="","",INDEX('Per Invoice'!$J$2:$J$801,$N716)))</f>
        <v/>
      </c>
      <c r="K716" s="5">
        <f>IF($N716="","",IF(INDEX('Per Invoice'!$K$2:$K$801,$N716)="","",INDEX('Per Invoice'!$K$2:$K$801,$N716)))</f>
        <v/>
      </c>
      <c r="L716" s="5">
        <f>IF($N716="","",IF(INDEX('Per Invoice'!$L$2:$L$801,$N716)="","",INDEX('Per Invoice'!$L$2:$L$801,$N716)))</f>
        <v/>
      </c>
      <c r="M716" s="5">
        <f>IF($N716="","",IF(INDEX('Per Invoice'!$M$2:$M$801,$N716)="","",INDEX('Per Invoice'!$M$2:$M$801,$N716)))</f>
        <v/>
      </c>
      <c r="N716">
        <f>IF(ROWS($N$2:$N716)&lt;=COUNT('Per Invoice'!$P$2:$P$801),MATCH(ROWS($N$2:$N716),'Per Invoice'!$P$2:$P$801,0),"")</f>
        <v/>
      </c>
    </row>
    <row r="717">
      <c r="A717">
        <f>IF($N717="","",IF(INDEX('Per Invoice'!$A$2:$A$801,$N717)="","",INDEX('Per Invoice'!$A$2:$A$801,$N717)))</f>
        <v/>
      </c>
      <c r="B717">
        <f>IF($N717="","",IF(INDEX('Per Invoice'!$B$2:$B$801,$N717)="","",INDEX('Per Invoice'!$B$2:$B$801,$N717)))</f>
        <v/>
      </c>
      <c r="C717">
        <f>IF($N717="","",IF(INDEX('Per Invoice'!$C$2:$C$801,$N717)="","",INDEX('Per Invoice'!$C$2:$C$801,$N717)))</f>
        <v/>
      </c>
      <c r="D717">
        <f>IF($N717="","",IF(INDEX('Per Invoice'!$D$2:$D$801,$N717)="","",INDEX('Per Invoice'!$D$2:$D$801,$N717)))</f>
        <v/>
      </c>
      <c r="E717">
        <f>IF($N717="","",IF(INDEX('Per Invoice'!$E$2:$E$801,$N717)="","",INDEX('Per Invoice'!$E$2:$E$801,$N717)))</f>
        <v/>
      </c>
      <c r="F717">
        <f>IF($N717="","",IF(INDEX('Per Invoice'!$F$2:$F$801,$N717)="","",INDEX('Per Invoice'!$F$2:$F$801,$N717)))</f>
        <v/>
      </c>
      <c r="G717">
        <f>IF($N717="","",IF(INDEX('Per Invoice'!$G$2:$G$801,$N717)="","",INDEX('Per Invoice'!$G$2:$G$801,$N717)))</f>
        <v/>
      </c>
      <c r="H717">
        <f>IF($N717="","",IF(INDEX('Per Invoice'!$H$2:$H$801,$N717)="","",INDEX('Per Invoice'!$H$2:$H$801,$N717)))</f>
        <v/>
      </c>
      <c r="I717" s="5">
        <f>IF($N717="","",IF(INDEX('Per Invoice'!$I$2:$I$801,$N717)="","",INDEX('Per Invoice'!$I$2:$I$801,$N717)))</f>
        <v/>
      </c>
      <c r="J717" s="5">
        <f>IF($N717="","",IF(INDEX('Per Invoice'!$J$2:$J$801,$N717)="","",INDEX('Per Invoice'!$J$2:$J$801,$N717)))</f>
        <v/>
      </c>
      <c r="K717" s="5">
        <f>IF($N717="","",IF(INDEX('Per Invoice'!$K$2:$K$801,$N717)="","",INDEX('Per Invoice'!$K$2:$K$801,$N717)))</f>
        <v/>
      </c>
      <c r="L717" s="5">
        <f>IF($N717="","",IF(INDEX('Per Invoice'!$L$2:$L$801,$N717)="","",INDEX('Per Invoice'!$L$2:$L$801,$N717)))</f>
        <v/>
      </c>
      <c r="M717" s="5">
        <f>IF($N717="","",IF(INDEX('Per Invoice'!$M$2:$M$801,$N717)="","",INDEX('Per Invoice'!$M$2:$M$801,$N717)))</f>
        <v/>
      </c>
      <c r="N717">
        <f>IF(ROWS($N$2:$N717)&lt;=COUNT('Per Invoice'!$P$2:$P$801),MATCH(ROWS($N$2:$N717),'Per Invoice'!$P$2:$P$801,0),"")</f>
        <v/>
      </c>
    </row>
    <row r="718">
      <c r="A718">
        <f>IF($N718="","",IF(INDEX('Per Invoice'!$A$2:$A$801,$N718)="","",INDEX('Per Invoice'!$A$2:$A$801,$N718)))</f>
        <v/>
      </c>
      <c r="B718">
        <f>IF($N718="","",IF(INDEX('Per Invoice'!$B$2:$B$801,$N718)="","",INDEX('Per Invoice'!$B$2:$B$801,$N718)))</f>
        <v/>
      </c>
      <c r="C718">
        <f>IF($N718="","",IF(INDEX('Per Invoice'!$C$2:$C$801,$N718)="","",INDEX('Per Invoice'!$C$2:$C$801,$N718)))</f>
        <v/>
      </c>
      <c r="D718">
        <f>IF($N718="","",IF(INDEX('Per Invoice'!$D$2:$D$801,$N718)="","",INDEX('Per Invoice'!$D$2:$D$801,$N718)))</f>
        <v/>
      </c>
      <c r="E718">
        <f>IF($N718="","",IF(INDEX('Per Invoice'!$E$2:$E$801,$N718)="","",INDEX('Per Invoice'!$E$2:$E$801,$N718)))</f>
        <v/>
      </c>
      <c r="F718">
        <f>IF($N718="","",IF(INDEX('Per Invoice'!$F$2:$F$801,$N718)="","",INDEX('Per Invoice'!$F$2:$F$801,$N718)))</f>
        <v/>
      </c>
      <c r="G718">
        <f>IF($N718="","",IF(INDEX('Per Invoice'!$G$2:$G$801,$N718)="","",INDEX('Per Invoice'!$G$2:$G$801,$N718)))</f>
        <v/>
      </c>
      <c r="H718">
        <f>IF($N718="","",IF(INDEX('Per Invoice'!$H$2:$H$801,$N718)="","",INDEX('Per Invoice'!$H$2:$H$801,$N718)))</f>
        <v/>
      </c>
      <c r="I718" s="5">
        <f>IF($N718="","",IF(INDEX('Per Invoice'!$I$2:$I$801,$N718)="","",INDEX('Per Invoice'!$I$2:$I$801,$N718)))</f>
        <v/>
      </c>
      <c r="J718" s="5">
        <f>IF($N718="","",IF(INDEX('Per Invoice'!$J$2:$J$801,$N718)="","",INDEX('Per Invoice'!$J$2:$J$801,$N718)))</f>
        <v/>
      </c>
      <c r="K718" s="5">
        <f>IF($N718="","",IF(INDEX('Per Invoice'!$K$2:$K$801,$N718)="","",INDEX('Per Invoice'!$K$2:$K$801,$N718)))</f>
        <v/>
      </c>
      <c r="L718" s="5">
        <f>IF($N718="","",IF(INDEX('Per Invoice'!$L$2:$L$801,$N718)="","",INDEX('Per Invoice'!$L$2:$L$801,$N718)))</f>
        <v/>
      </c>
      <c r="M718" s="5">
        <f>IF($N718="","",IF(INDEX('Per Invoice'!$M$2:$M$801,$N718)="","",INDEX('Per Invoice'!$M$2:$M$801,$N718)))</f>
        <v/>
      </c>
      <c r="N718">
        <f>IF(ROWS($N$2:$N718)&lt;=COUNT('Per Invoice'!$P$2:$P$801),MATCH(ROWS($N$2:$N718),'Per Invoice'!$P$2:$P$801,0),"")</f>
        <v/>
      </c>
    </row>
    <row r="719">
      <c r="A719">
        <f>IF($N719="","",IF(INDEX('Per Invoice'!$A$2:$A$801,$N719)="","",INDEX('Per Invoice'!$A$2:$A$801,$N719)))</f>
        <v/>
      </c>
      <c r="B719">
        <f>IF($N719="","",IF(INDEX('Per Invoice'!$B$2:$B$801,$N719)="","",INDEX('Per Invoice'!$B$2:$B$801,$N719)))</f>
        <v/>
      </c>
      <c r="C719">
        <f>IF($N719="","",IF(INDEX('Per Invoice'!$C$2:$C$801,$N719)="","",INDEX('Per Invoice'!$C$2:$C$801,$N719)))</f>
        <v/>
      </c>
      <c r="D719">
        <f>IF($N719="","",IF(INDEX('Per Invoice'!$D$2:$D$801,$N719)="","",INDEX('Per Invoice'!$D$2:$D$801,$N719)))</f>
        <v/>
      </c>
      <c r="E719">
        <f>IF($N719="","",IF(INDEX('Per Invoice'!$E$2:$E$801,$N719)="","",INDEX('Per Invoice'!$E$2:$E$801,$N719)))</f>
        <v/>
      </c>
      <c r="F719">
        <f>IF($N719="","",IF(INDEX('Per Invoice'!$F$2:$F$801,$N719)="","",INDEX('Per Invoice'!$F$2:$F$801,$N719)))</f>
        <v/>
      </c>
      <c r="G719">
        <f>IF($N719="","",IF(INDEX('Per Invoice'!$G$2:$G$801,$N719)="","",INDEX('Per Invoice'!$G$2:$G$801,$N719)))</f>
        <v/>
      </c>
      <c r="H719">
        <f>IF($N719="","",IF(INDEX('Per Invoice'!$H$2:$H$801,$N719)="","",INDEX('Per Invoice'!$H$2:$H$801,$N719)))</f>
        <v/>
      </c>
      <c r="I719" s="5">
        <f>IF($N719="","",IF(INDEX('Per Invoice'!$I$2:$I$801,$N719)="","",INDEX('Per Invoice'!$I$2:$I$801,$N719)))</f>
        <v/>
      </c>
      <c r="J719" s="5">
        <f>IF($N719="","",IF(INDEX('Per Invoice'!$J$2:$J$801,$N719)="","",INDEX('Per Invoice'!$J$2:$J$801,$N719)))</f>
        <v/>
      </c>
      <c r="K719" s="5">
        <f>IF($N719="","",IF(INDEX('Per Invoice'!$K$2:$K$801,$N719)="","",INDEX('Per Invoice'!$K$2:$K$801,$N719)))</f>
        <v/>
      </c>
      <c r="L719" s="5">
        <f>IF($N719="","",IF(INDEX('Per Invoice'!$L$2:$L$801,$N719)="","",INDEX('Per Invoice'!$L$2:$L$801,$N719)))</f>
        <v/>
      </c>
      <c r="M719" s="5">
        <f>IF($N719="","",IF(INDEX('Per Invoice'!$M$2:$M$801,$N719)="","",INDEX('Per Invoice'!$M$2:$M$801,$N719)))</f>
        <v/>
      </c>
      <c r="N719">
        <f>IF(ROWS($N$2:$N719)&lt;=COUNT('Per Invoice'!$P$2:$P$801),MATCH(ROWS($N$2:$N719),'Per Invoice'!$P$2:$P$801,0),"")</f>
        <v/>
      </c>
    </row>
    <row r="720">
      <c r="A720">
        <f>IF($N720="","",IF(INDEX('Per Invoice'!$A$2:$A$801,$N720)="","",INDEX('Per Invoice'!$A$2:$A$801,$N720)))</f>
        <v/>
      </c>
      <c r="B720">
        <f>IF($N720="","",IF(INDEX('Per Invoice'!$B$2:$B$801,$N720)="","",INDEX('Per Invoice'!$B$2:$B$801,$N720)))</f>
        <v/>
      </c>
      <c r="C720">
        <f>IF($N720="","",IF(INDEX('Per Invoice'!$C$2:$C$801,$N720)="","",INDEX('Per Invoice'!$C$2:$C$801,$N720)))</f>
        <v/>
      </c>
      <c r="D720">
        <f>IF($N720="","",IF(INDEX('Per Invoice'!$D$2:$D$801,$N720)="","",INDEX('Per Invoice'!$D$2:$D$801,$N720)))</f>
        <v/>
      </c>
      <c r="E720">
        <f>IF($N720="","",IF(INDEX('Per Invoice'!$E$2:$E$801,$N720)="","",INDEX('Per Invoice'!$E$2:$E$801,$N720)))</f>
        <v/>
      </c>
      <c r="F720">
        <f>IF($N720="","",IF(INDEX('Per Invoice'!$F$2:$F$801,$N720)="","",INDEX('Per Invoice'!$F$2:$F$801,$N720)))</f>
        <v/>
      </c>
      <c r="G720">
        <f>IF($N720="","",IF(INDEX('Per Invoice'!$G$2:$G$801,$N720)="","",INDEX('Per Invoice'!$G$2:$G$801,$N720)))</f>
        <v/>
      </c>
      <c r="H720">
        <f>IF($N720="","",IF(INDEX('Per Invoice'!$H$2:$H$801,$N720)="","",INDEX('Per Invoice'!$H$2:$H$801,$N720)))</f>
        <v/>
      </c>
      <c r="I720" s="5">
        <f>IF($N720="","",IF(INDEX('Per Invoice'!$I$2:$I$801,$N720)="","",INDEX('Per Invoice'!$I$2:$I$801,$N720)))</f>
        <v/>
      </c>
      <c r="J720" s="5">
        <f>IF($N720="","",IF(INDEX('Per Invoice'!$J$2:$J$801,$N720)="","",INDEX('Per Invoice'!$J$2:$J$801,$N720)))</f>
        <v/>
      </c>
      <c r="K720" s="5">
        <f>IF($N720="","",IF(INDEX('Per Invoice'!$K$2:$K$801,$N720)="","",INDEX('Per Invoice'!$K$2:$K$801,$N720)))</f>
        <v/>
      </c>
      <c r="L720" s="5">
        <f>IF($N720="","",IF(INDEX('Per Invoice'!$L$2:$L$801,$N720)="","",INDEX('Per Invoice'!$L$2:$L$801,$N720)))</f>
        <v/>
      </c>
      <c r="M720" s="5">
        <f>IF($N720="","",IF(INDEX('Per Invoice'!$M$2:$M$801,$N720)="","",INDEX('Per Invoice'!$M$2:$M$801,$N720)))</f>
        <v/>
      </c>
      <c r="N720">
        <f>IF(ROWS($N$2:$N720)&lt;=COUNT('Per Invoice'!$P$2:$P$801),MATCH(ROWS($N$2:$N720),'Per Invoice'!$P$2:$P$801,0),"")</f>
        <v/>
      </c>
    </row>
    <row r="721">
      <c r="A721">
        <f>IF($N721="","",IF(INDEX('Per Invoice'!$A$2:$A$801,$N721)="","",INDEX('Per Invoice'!$A$2:$A$801,$N721)))</f>
        <v/>
      </c>
      <c r="B721">
        <f>IF($N721="","",IF(INDEX('Per Invoice'!$B$2:$B$801,$N721)="","",INDEX('Per Invoice'!$B$2:$B$801,$N721)))</f>
        <v/>
      </c>
      <c r="C721">
        <f>IF($N721="","",IF(INDEX('Per Invoice'!$C$2:$C$801,$N721)="","",INDEX('Per Invoice'!$C$2:$C$801,$N721)))</f>
        <v/>
      </c>
      <c r="D721">
        <f>IF($N721="","",IF(INDEX('Per Invoice'!$D$2:$D$801,$N721)="","",INDEX('Per Invoice'!$D$2:$D$801,$N721)))</f>
        <v/>
      </c>
      <c r="E721">
        <f>IF($N721="","",IF(INDEX('Per Invoice'!$E$2:$E$801,$N721)="","",INDEX('Per Invoice'!$E$2:$E$801,$N721)))</f>
        <v/>
      </c>
      <c r="F721">
        <f>IF($N721="","",IF(INDEX('Per Invoice'!$F$2:$F$801,$N721)="","",INDEX('Per Invoice'!$F$2:$F$801,$N721)))</f>
        <v/>
      </c>
      <c r="G721">
        <f>IF($N721="","",IF(INDEX('Per Invoice'!$G$2:$G$801,$N721)="","",INDEX('Per Invoice'!$G$2:$G$801,$N721)))</f>
        <v/>
      </c>
      <c r="H721">
        <f>IF($N721="","",IF(INDEX('Per Invoice'!$H$2:$H$801,$N721)="","",INDEX('Per Invoice'!$H$2:$H$801,$N721)))</f>
        <v/>
      </c>
      <c r="I721" s="5">
        <f>IF($N721="","",IF(INDEX('Per Invoice'!$I$2:$I$801,$N721)="","",INDEX('Per Invoice'!$I$2:$I$801,$N721)))</f>
        <v/>
      </c>
      <c r="J721" s="5">
        <f>IF($N721="","",IF(INDEX('Per Invoice'!$J$2:$J$801,$N721)="","",INDEX('Per Invoice'!$J$2:$J$801,$N721)))</f>
        <v/>
      </c>
      <c r="K721" s="5">
        <f>IF($N721="","",IF(INDEX('Per Invoice'!$K$2:$K$801,$N721)="","",INDEX('Per Invoice'!$K$2:$K$801,$N721)))</f>
        <v/>
      </c>
      <c r="L721" s="5">
        <f>IF($N721="","",IF(INDEX('Per Invoice'!$L$2:$L$801,$N721)="","",INDEX('Per Invoice'!$L$2:$L$801,$N721)))</f>
        <v/>
      </c>
      <c r="M721" s="5">
        <f>IF($N721="","",IF(INDEX('Per Invoice'!$M$2:$M$801,$N721)="","",INDEX('Per Invoice'!$M$2:$M$801,$N721)))</f>
        <v/>
      </c>
      <c r="N721">
        <f>IF(ROWS($N$2:$N721)&lt;=COUNT('Per Invoice'!$P$2:$P$801),MATCH(ROWS($N$2:$N721),'Per Invoice'!$P$2:$P$801,0),"")</f>
        <v/>
      </c>
    </row>
    <row r="722">
      <c r="A722">
        <f>IF($N722="","",IF(INDEX('Per Invoice'!$A$2:$A$801,$N722)="","",INDEX('Per Invoice'!$A$2:$A$801,$N722)))</f>
        <v/>
      </c>
      <c r="B722">
        <f>IF($N722="","",IF(INDEX('Per Invoice'!$B$2:$B$801,$N722)="","",INDEX('Per Invoice'!$B$2:$B$801,$N722)))</f>
        <v/>
      </c>
      <c r="C722">
        <f>IF($N722="","",IF(INDEX('Per Invoice'!$C$2:$C$801,$N722)="","",INDEX('Per Invoice'!$C$2:$C$801,$N722)))</f>
        <v/>
      </c>
      <c r="D722">
        <f>IF($N722="","",IF(INDEX('Per Invoice'!$D$2:$D$801,$N722)="","",INDEX('Per Invoice'!$D$2:$D$801,$N722)))</f>
        <v/>
      </c>
      <c r="E722">
        <f>IF($N722="","",IF(INDEX('Per Invoice'!$E$2:$E$801,$N722)="","",INDEX('Per Invoice'!$E$2:$E$801,$N722)))</f>
        <v/>
      </c>
      <c r="F722">
        <f>IF($N722="","",IF(INDEX('Per Invoice'!$F$2:$F$801,$N722)="","",INDEX('Per Invoice'!$F$2:$F$801,$N722)))</f>
        <v/>
      </c>
      <c r="G722">
        <f>IF($N722="","",IF(INDEX('Per Invoice'!$G$2:$G$801,$N722)="","",INDEX('Per Invoice'!$G$2:$G$801,$N722)))</f>
        <v/>
      </c>
      <c r="H722">
        <f>IF($N722="","",IF(INDEX('Per Invoice'!$H$2:$H$801,$N722)="","",INDEX('Per Invoice'!$H$2:$H$801,$N722)))</f>
        <v/>
      </c>
      <c r="I722" s="5">
        <f>IF($N722="","",IF(INDEX('Per Invoice'!$I$2:$I$801,$N722)="","",INDEX('Per Invoice'!$I$2:$I$801,$N722)))</f>
        <v/>
      </c>
      <c r="J722" s="5">
        <f>IF($N722="","",IF(INDEX('Per Invoice'!$J$2:$J$801,$N722)="","",INDEX('Per Invoice'!$J$2:$J$801,$N722)))</f>
        <v/>
      </c>
      <c r="K722" s="5">
        <f>IF($N722="","",IF(INDEX('Per Invoice'!$K$2:$K$801,$N722)="","",INDEX('Per Invoice'!$K$2:$K$801,$N722)))</f>
        <v/>
      </c>
      <c r="L722" s="5">
        <f>IF($N722="","",IF(INDEX('Per Invoice'!$L$2:$L$801,$N722)="","",INDEX('Per Invoice'!$L$2:$L$801,$N722)))</f>
        <v/>
      </c>
      <c r="M722" s="5">
        <f>IF($N722="","",IF(INDEX('Per Invoice'!$M$2:$M$801,$N722)="","",INDEX('Per Invoice'!$M$2:$M$801,$N722)))</f>
        <v/>
      </c>
      <c r="N722">
        <f>IF(ROWS($N$2:$N722)&lt;=COUNT('Per Invoice'!$P$2:$P$801),MATCH(ROWS($N$2:$N722),'Per Invoice'!$P$2:$P$801,0),"")</f>
        <v/>
      </c>
    </row>
    <row r="723">
      <c r="A723">
        <f>IF($N723="","",IF(INDEX('Per Invoice'!$A$2:$A$801,$N723)="","",INDEX('Per Invoice'!$A$2:$A$801,$N723)))</f>
        <v/>
      </c>
      <c r="B723">
        <f>IF($N723="","",IF(INDEX('Per Invoice'!$B$2:$B$801,$N723)="","",INDEX('Per Invoice'!$B$2:$B$801,$N723)))</f>
        <v/>
      </c>
      <c r="C723">
        <f>IF($N723="","",IF(INDEX('Per Invoice'!$C$2:$C$801,$N723)="","",INDEX('Per Invoice'!$C$2:$C$801,$N723)))</f>
        <v/>
      </c>
      <c r="D723">
        <f>IF($N723="","",IF(INDEX('Per Invoice'!$D$2:$D$801,$N723)="","",INDEX('Per Invoice'!$D$2:$D$801,$N723)))</f>
        <v/>
      </c>
      <c r="E723">
        <f>IF($N723="","",IF(INDEX('Per Invoice'!$E$2:$E$801,$N723)="","",INDEX('Per Invoice'!$E$2:$E$801,$N723)))</f>
        <v/>
      </c>
      <c r="F723">
        <f>IF($N723="","",IF(INDEX('Per Invoice'!$F$2:$F$801,$N723)="","",INDEX('Per Invoice'!$F$2:$F$801,$N723)))</f>
        <v/>
      </c>
      <c r="G723">
        <f>IF($N723="","",IF(INDEX('Per Invoice'!$G$2:$G$801,$N723)="","",INDEX('Per Invoice'!$G$2:$G$801,$N723)))</f>
        <v/>
      </c>
      <c r="H723">
        <f>IF($N723="","",IF(INDEX('Per Invoice'!$H$2:$H$801,$N723)="","",INDEX('Per Invoice'!$H$2:$H$801,$N723)))</f>
        <v/>
      </c>
      <c r="I723" s="5">
        <f>IF($N723="","",IF(INDEX('Per Invoice'!$I$2:$I$801,$N723)="","",INDEX('Per Invoice'!$I$2:$I$801,$N723)))</f>
        <v/>
      </c>
      <c r="J723" s="5">
        <f>IF($N723="","",IF(INDEX('Per Invoice'!$J$2:$J$801,$N723)="","",INDEX('Per Invoice'!$J$2:$J$801,$N723)))</f>
        <v/>
      </c>
      <c r="K723" s="5">
        <f>IF($N723="","",IF(INDEX('Per Invoice'!$K$2:$K$801,$N723)="","",INDEX('Per Invoice'!$K$2:$K$801,$N723)))</f>
        <v/>
      </c>
      <c r="L723" s="5">
        <f>IF($N723="","",IF(INDEX('Per Invoice'!$L$2:$L$801,$N723)="","",INDEX('Per Invoice'!$L$2:$L$801,$N723)))</f>
        <v/>
      </c>
      <c r="M723" s="5">
        <f>IF($N723="","",IF(INDEX('Per Invoice'!$M$2:$M$801,$N723)="","",INDEX('Per Invoice'!$M$2:$M$801,$N723)))</f>
        <v/>
      </c>
      <c r="N723">
        <f>IF(ROWS($N$2:$N723)&lt;=COUNT('Per Invoice'!$P$2:$P$801),MATCH(ROWS($N$2:$N723),'Per Invoice'!$P$2:$P$801,0),"")</f>
        <v/>
      </c>
    </row>
    <row r="724">
      <c r="A724">
        <f>IF($N724="","",IF(INDEX('Per Invoice'!$A$2:$A$801,$N724)="","",INDEX('Per Invoice'!$A$2:$A$801,$N724)))</f>
        <v/>
      </c>
      <c r="B724">
        <f>IF($N724="","",IF(INDEX('Per Invoice'!$B$2:$B$801,$N724)="","",INDEX('Per Invoice'!$B$2:$B$801,$N724)))</f>
        <v/>
      </c>
      <c r="C724">
        <f>IF($N724="","",IF(INDEX('Per Invoice'!$C$2:$C$801,$N724)="","",INDEX('Per Invoice'!$C$2:$C$801,$N724)))</f>
        <v/>
      </c>
      <c r="D724">
        <f>IF($N724="","",IF(INDEX('Per Invoice'!$D$2:$D$801,$N724)="","",INDEX('Per Invoice'!$D$2:$D$801,$N724)))</f>
        <v/>
      </c>
      <c r="E724">
        <f>IF($N724="","",IF(INDEX('Per Invoice'!$E$2:$E$801,$N724)="","",INDEX('Per Invoice'!$E$2:$E$801,$N724)))</f>
        <v/>
      </c>
      <c r="F724">
        <f>IF($N724="","",IF(INDEX('Per Invoice'!$F$2:$F$801,$N724)="","",INDEX('Per Invoice'!$F$2:$F$801,$N724)))</f>
        <v/>
      </c>
      <c r="G724">
        <f>IF($N724="","",IF(INDEX('Per Invoice'!$G$2:$G$801,$N724)="","",INDEX('Per Invoice'!$G$2:$G$801,$N724)))</f>
        <v/>
      </c>
      <c r="H724">
        <f>IF($N724="","",IF(INDEX('Per Invoice'!$H$2:$H$801,$N724)="","",INDEX('Per Invoice'!$H$2:$H$801,$N724)))</f>
        <v/>
      </c>
      <c r="I724" s="5">
        <f>IF($N724="","",IF(INDEX('Per Invoice'!$I$2:$I$801,$N724)="","",INDEX('Per Invoice'!$I$2:$I$801,$N724)))</f>
        <v/>
      </c>
      <c r="J724" s="5">
        <f>IF($N724="","",IF(INDEX('Per Invoice'!$J$2:$J$801,$N724)="","",INDEX('Per Invoice'!$J$2:$J$801,$N724)))</f>
        <v/>
      </c>
      <c r="K724" s="5">
        <f>IF($N724="","",IF(INDEX('Per Invoice'!$K$2:$K$801,$N724)="","",INDEX('Per Invoice'!$K$2:$K$801,$N724)))</f>
        <v/>
      </c>
      <c r="L724" s="5">
        <f>IF($N724="","",IF(INDEX('Per Invoice'!$L$2:$L$801,$N724)="","",INDEX('Per Invoice'!$L$2:$L$801,$N724)))</f>
        <v/>
      </c>
      <c r="M724" s="5">
        <f>IF($N724="","",IF(INDEX('Per Invoice'!$M$2:$M$801,$N724)="","",INDEX('Per Invoice'!$M$2:$M$801,$N724)))</f>
        <v/>
      </c>
      <c r="N724">
        <f>IF(ROWS($N$2:$N724)&lt;=COUNT('Per Invoice'!$P$2:$P$801),MATCH(ROWS($N$2:$N724),'Per Invoice'!$P$2:$P$801,0),"")</f>
        <v/>
      </c>
    </row>
    <row r="725">
      <c r="A725">
        <f>IF($N725="","",IF(INDEX('Per Invoice'!$A$2:$A$801,$N725)="","",INDEX('Per Invoice'!$A$2:$A$801,$N725)))</f>
        <v/>
      </c>
      <c r="B725">
        <f>IF($N725="","",IF(INDEX('Per Invoice'!$B$2:$B$801,$N725)="","",INDEX('Per Invoice'!$B$2:$B$801,$N725)))</f>
        <v/>
      </c>
      <c r="C725">
        <f>IF($N725="","",IF(INDEX('Per Invoice'!$C$2:$C$801,$N725)="","",INDEX('Per Invoice'!$C$2:$C$801,$N725)))</f>
        <v/>
      </c>
      <c r="D725">
        <f>IF($N725="","",IF(INDEX('Per Invoice'!$D$2:$D$801,$N725)="","",INDEX('Per Invoice'!$D$2:$D$801,$N725)))</f>
        <v/>
      </c>
      <c r="E725">
        <f>IF($N725="","",IF(INDEX('Per Invoice'!$E$2:$E$801,$N725)="","",INDEX('Per Invoice'!$E$2:$E$801,$N725)))</f>
        <v/>
      </c>
      <c r="F725">
        <f>IF($N725="","",IF(INDEX('Per Invoice'!$F$2:$F$801,$N725)="","",INDEX('Per Invoice'!$F$2:$F$801,$N725)))</f>
        <v/>
      </c>
      <c r="G725">
        <f>IF($N725="","",IF(INDEX('Per Invoice'!$G$2:$G$801,$N725)="","",INDEX('Per Invoice'!$G$2:$G$801,$N725)))</f>
        <v/>
      </c>
      <c r="H725">
        <f>IF($N725="","",IF(INDEX('Per Invoice'!$H$2:$H$801,$N725)="","",INDEX('Per Invoice'!$H$2:$H$801,$N725)))</f>
        <v/>
      </c>
      <c r="I725" s="5">
        <f>IF($N725="","",IF(INDEX('Per Invoice'!$I$2:$I$801,$N725)="","",INDEX('Per Invoice'!$I$2:$I$801,$N725)))</f>
        <v/>
      </c>
      <c r="J725" s="5">
        <f>IF($N725="","",IF(INDEX('Per Invoice'!$J$2:$J$801,$N725)="","",INDEX('Per Invoice'!$J$2:$J$801,$N725)))</f>
        <v/>
      </c>
      <c r="K725" s="5">
        <f>IF($N725="","",IF(INDEX('Per Invoice'!$K$2:$K$801,$N725)="","",INDEX('Per Invoice'!$K$2:$K$801,$N725)))</f>
        <v/>
      </c>
      <c r="L725" s="5">
        <f>IF($N725="","",IF(INDEX('Per Invoice'!$L$2:$L$801,$N725)="","",INDEX('Per Invoice'!$L$2:$L$801,$N725)))</f>
        <v/>
      </c>
      <c r="M725" s="5">
        <f>IF($N725="","",IF(INDEX('Per Invoice'!$M$2:$M$801,$N725)="","",INDEX('Per Invoice'!$M$2:$M$801,$N725)))</f>
        <v/>
      </c>
      <c r="N725">
        <f>IF(ROWS($N$2:$N725)&lt;=COUNT('Per Invoice'!$P$2:$P$801),MATCH(ROWS($N$2:$N725),'Per Invoice'!$P$2:$P$801,0),"")</f>
        <v/>
      </c>
    </row>
    <row r="726">
      <c r="A726">
        <f>IF($N726="","",IF(INDEX('Per Invoice'!$A$2:$A$801,$N726)="","",INDEX('Per Invoice'!$A$2:$A$801,$N726)))</f>
        <v/>
      </c>
      <c r="B726">
        <f>IF($N726="","",IF(INDEX('Per Invoice'!$B$2:$B$801,$N726)="","",INDEX('Per Invoice'!$B$2:$B$801,$N726)))</f>
        <v/>
      </c>
      <c r="C726">
        <f>IF($N726="","",IF(INDEX('Per Invoice'!$C$2:$C$801,$N726)="","",INDEX('Per Invoice'!$C$2:$C$801,$N726)))</f>
        <v/>
      </c>
      <c r="D726">
        <f>IF($N726="","",IF(INDEX('Per Invoice'!$D$2:$D$801,$N726)="","",INDEX('Per Invoice'!$D$2:$D$801,$N726)))</f>
        <v/>
      </c>
      <c r="E726">
        <f>IF($N726="","",IF(INDEX('Per Invoice'!$E$2:$E$801,$N726)="","",INDEX('Per Invoice'!$E$2:$E$801,$N726)))</f>
        <v/>
      </c>
      <c r="F726">
        <f>IF($N726="","",IF(INDEX('Per Invoice'!$F$2:$F$801,$N726)="","",INDEX('Per Invoice'!$F$2:$F$801,$N726)))</f>
        <v/>
      </c>
      <c r="G726">
        <f>IF($N726="","",IF(INDEX('Per Invoice'!$G$2:$G$801,$N726)="","",INDEX('Per Invoice'!$G$2:$G$801,$N726)))</f>
        <v/>
      </c>
      <c r="H726">
        <f>IF($N726="","",IF(INDEX('Per Invoice'!$H$2:$H$801,$N726)="","",INDEX('Per Invoice'!$H$2:$H$801,$N726)))</f>
        <v/>
      </c>
      <c r="I726" s="5">
        <f>IF($N726="","",IF(INDEX('Per Invoice'!$I$2:$I$801,$N726)="","",INDEX('Per Invoice'!$I$2:$I$801,$N726)))</f>
        <v/>
      </c>
      <c r="J726" s="5">
        <f>IF($N726="","",IF(INDEX('Per Invoice'!$J$2:$J$801,$N726)="","",INDEX('Per Invoice'!$J$2:$J$801,$N726)))</f>
        <v/>
      </c>
      <c r="K726" s="5">
        <f>IF($N726="","",IF(INDEX('Per Invoice'!$K$2:$K$801,$N726)="","",INDEX('Per Invoice'!$K$2:$K$801,$N726)))</f>
        <v/>
      </c>
      <c r="L726" s="5">
        <f>IF($N726="","",IF(INDEX('Per Invoice'!$L$2:$L$801,$N726)="","",INDEX('Per Invoice'!$L$2:$L$801,$N726)))</f>
        <v/>
      </c>
      <c r="M726" s="5">
        <f>IF($N726="","",IF(INDEX('Per Invoice'!$M$2:$M$801,$N726)="","",INDEX('Per Invoice'!$M$2:$M$801,$N726)))</f>
        <v/>
      </c>
      <c r="N726">
        <f>IF(ROWS($N$2:$N726)&lt;=COUNT('Per Invoice'!$P$2:$P$801),MATCH(ROWS($N$2:$N726),'Per Invoice'!$P$2:$P$801,0),"")</f>
        <v/>
      </c>
    </row>
    <row r="727">
      <c r="A727">
        <f>IF($N727="","",IF(INDEX('Per Invoice'!$A$2:$A$801,$N727)="","",INDEX('Per Invoice'!$A$2:$A$801,$N727)))</f>
        <v/>
      </c>
      <c r="B727">
        <f>IF($N727="","",IF(INDEX('Per Invoice'!$B$2:$B$801,$N727)="","",INDEX('Per Invoice'!$B$2:$B$801,$N727)))</f>
        <v/>
      </c>
      <c r="C727">
        <f>IF($N727="","",IF(INDEX('Per Invoice'!$C$2:$C$801,$N727)="","",INDEX('Per Invoice'!$C$2:$C$801,$N727)))</f>
        <v/>
      </c>
      <c r="D727">
        <f>IF($N727="","",IF(INDEX('Per Invoice'!$D$2:$D$801,$N727)="","",INDEX('Per Invoice'!$D$2:$D$801,$N727)))</f>
        <v/>
      </c>
      <c r="E727">
        <f>IF($N727="","",IF(INDEX('Per Invoice'!$E$2:$E$801,$N727)="","",INDEX('Per Invoice'!$E$2:$E$801,$N727)))</f>
        <v/>
      </c>
      <c r="F727">
        <f>IF($N727="","",IF(INDEX('Per Invoice'!$F$2:$F$801,$N727)="","",INDEX('Per Invoice'!$F$2:$F$801,$N727)))</f>
        <v/>
      </c>
      <c r="G727">
        <f>IF($N727="","",IF(INDEX('Per Invoice'!$G$2:$G$801,$N727)="","",INDEX('Per Invoice'!$G$2:$G$801,$N727)))</f>
        <v/>
      </c>
      <c r="H727">
        <f>IF($N727="","",IF(INDEX('Per Invoice'!$H$2:$H$801,$N727)="","",INDEX('Per Invoice'!$H$2:$H$801,$N727)))</f>
        <v/>
      </c>
      <c r="I727" s="5">
        <f>IF($N727="","",IF(INDEX('Per Invoice'!$I$2:$I$801,$N727)="","",INDEX('Per Invoice'!$I$2:$I$801,$N727)))</f>
        <v/>
      </c>
      <c r="J727" s="5">
        <f>IF($N727="","",IF(INDEX('Per Invoice'!$J$2:$J$801,$N727)="","",INDEX('Per Invoice'!$J$2:$J$801,$N727)))</f>
        <v/>
      </c>
      <c r="K727" s="5">
        <f>IF($N727="","",IF(INDEX('Per Invoice'!$K$2:$K$801,$N727)="","",INDEX('Per Invoice'!$K$2:$K$801,$N727)))</f>
        <v/>
      </c>
      <c r="L727" s="5">
        <f>IF($N727="","",IF(INDEX('Per Invoice'!$L$2:$L$801,$N727)="","",INDEX('Per Invoice'!$L$2:$L$801,$N727)))</f>
        <v/>
      </c>
      <c r="M727" s="5">
        <f>IF($N727="","",IF(INDEX('Per Invoice'!$M$2:$M$801,$N727)="","",INDEX('Per Invoice'!$M$2:$M$801,$N727)))</f>
        <v/>
      </c>
      <c r="N727">
        <f>IF(ROWS($N$2:$N727)&lt;=COUNT('Per Invoice'!$P$2:$P$801),MATCH(ROWS($N$2:$N727),'Per Invoice'!$P$2:$P$801,0),"")</f>
        <v/>
      </c>
    </row>
    <row r="728">
      <c r="A728">
        <f>IF($N728="","",IF(INDEX('Per Invoice'!$A$2:$A$801,$N728)="","",INDEX('Per Invoice'!$A$2:$A$801,$N728)))</f>
        <v/>
      </c>
      <c r="B728">
        <f>IF($N728="","",IF(INDEX('Per Invoice'!$B$2:$B$801,$N728)="","",INDEX('Per Invoice'!$B$2:$B$801,$N728)))</f>
        <v/>
      </c>
      <c r="C728">
        <f>IF($N728="","",IF(INDEX('Per Invoice'!$C$2:$C$801,$N728)="","",INDEX('Per Invoice'!$C$2:$C$801,$N728)))</f>
        <v/>
      </c>
      <c r="D728">
        <f>IF($N728="","",IF(INDEX('Per Invoice'!$D$2:$D$801,$N728)="","",INDEX('Per Invoice'!$D$2:$D$801,$N728)))</f>
        <v/>
      </c>
      <c r="E728">
        <f>IF($N728="","",IF(INDEX('Per Invoice'!$E$2:$E$801,$N728)="","",INDEX('Per Invoice'!$E$2:$E$801,$N728)))</f>
        <v/>
      </c>
      <c r="F728">
        <f>IF($N728="","",IF(INDEX('Per Invoice'!$F$2:$F$801,$N728)="","",INDEX('Per Invoice'!$F$2:$F$801,$N728)))</f>
        <v/>
      </c>
      <c r="G728">
        <f>IF($N728="","",IF(INDEX('Per Invoice'!$G$2:$G$801,$N728)="","",INDEX('Per Invoice'!$G$2:$G$801,$N728)))</f>
        <v/>
      </c>
      <c r="H728">
        <f>IF($N728="","",IF(INDEX('Per Invoice'!$H$2:$H$801,$N728)="","",INDEX('Per Invoice'!$H$2:$H$801,$N728)))</f>
        <v/>
      </c>
      <c r="I728" s="5">
        <f>IF($N728="","",IF(INDEX('Per Invoice'!$I$2:$I$801,$N728)="","",INDEX('Per Invoice'!$I$2:$I$801,$N728)))</f>
        <v/>
      </c>
      <c r="J728" s="5">
        <f>IF($N728="","",IF(INDEX('Per Invoice'!$J$2:$J$801,$N728)="","",INDEX('Per Invoice'!$J$2:$J$801,$N728)))</f>
        <v/>
      </c>
      <c r="K728" s="5">
        <f>IF($N728="","",IF(INDEX('Per Invoice'!$K$2:$K$801,$N728)="","",INDEX('Per Invoice'!$K$2:$K$801,$N728)))</f>
        <v/>
      </c>
      <c r="L728" s="5">
        <f>IF($N728="","",IF(INDEX('Per Invoice'!$L$2:$L$801,$N728)="","",INDEX('Per Invoice'!$L$2:$L$801,$N728)))</f>
        <v/>
      </c>
      <c r="M728" s="5">
        <f>IF($N728="","",IF(INDEX('Per Invoice'!$M$2:$M$801,$N728)="","",INDEX('Per Invoice'!$M$2:$M$801,$N728)))</f>
        <v/>
      </c>
      <c r="N728">
        <f>IF(ROWS($N$2:$N728)&lt;=COUNT('Per Invoice'!$P$2:$P$801),MATCH(ROWS($N$2:$N728),'Per Invoice'!$P$2:$P$801,0),"")</f>
        <v/>
      </c>
    </row>
    <row r="729">
      <c r="A729">
        <f>IF($N729="","",IF(INDEX('Per Invoice'!$A$2:$A$801,$N729)="","",INDEX('Per Invoice'!$A$2:$A$801,$N729)))</f>
        <v/>
      </c>
      <c r="B729">
        <f>IF($N729="","",IF(INDEX('Per Invoice'!$B$2:$B$801,$N729)="","",INDEX('Per Invoice'!$B$2:$B$801,$N729)))</f>
        <v/>
      </c>
      <c r="C729">
        <f>IF($N729="","",IF(INDEX('Per Invoice'!$C$2:$C$801,$N729)="","",INDEX('Per Invoice'!$C$2:$C$801,$N729)))</f>
        <v/>
      </c>
      <c r="D729">
        <f>IF($N729="","",IF(INDEX('Per Invoice'!$D$2:$D$801,$N729)="","",INDEX('Per Invoice'!$D$2:$D$801,$N729)))</f>
        <v/>
      </c>
      <c r="E729">
        <f>IF($N729="","",IF(INDEX('Per Invoice'!$E$2:$E$801,$N729)="","",INDEX('Per Invoice'!$E$2:$E$801,$N729)))</f>
        <v/>
      </c>
      <c r="F729">
        <f>IF($N729="","",IF(INDEX('Per Invoice'!$F$2:$F$801,$N729)="","",INDEX('Per Invoice'!$F$2:$F$801,$N729)))</f>
        <v/>
      </c>
      <c r="G729">
        <f>IF($N729="","",IF(INDEX('Per Invoice'!$G$2:$G$801,$N729)="","",INDEX('Per Invoice'!$G$2:$G$801,$N729)))</f>
        <v/>
      </c>
      <c r="H729">
        <f>IF($N729="","",IF(INDEX('Per Invoice'!$H$2:$H$801,$N729)="","",INDEX('Per Invoice'!$H$2:$H$801,$N729)))</f>
        <v/>
      </c>
      <c r="I729" s="5">
        <f>IF($N729="","",IF(INDEX('Per Invoice'!$I$2:$I$801,$N729)="","",INDEX('Per Invoice'!$I$2:$I$801,$N729)))</f>
        <v/>
      </c>
      <c r="J729" s="5">
        <f>IF($N729="","",IF(INDEX('Per Invoice'!$J$2:$J$801,$N729)="","",INDEX('Per Invoice'!$J$2:$J$801,$N729)))</f>
        <v/>
      </c>
      <c r="K729" s="5">
        <f>IF($N729="","",IF(INDEX('Per Invoice'!$K$2:$K$801,$N729)="","",INDEX('Per Invoice'!$K$2:$K$801,$N729)))</f>
        <v/>
      </c>
      <c r="L729" s="5">
        <f>IF($N729="","",IF(INDEX('Per Invoice'!$L$2:$L$801,$N729)="","",INDEX('Per Invoice'!$L$2:$L$801,$N729)))</f>
        <v/>
      </c>
      <c r="M729" s="5">
        <f>IF($N729="","",IF(INDEX('Per Invoice'!$M$2:$M$801,$N729)="","",INDEX('Per Invoice'!$M$2:$M$801,$N729)))</f>
        <v/>
      </c>
      <c r="N729">
        <f>IF(ROWS($N$2:$N729)&lt;=COUNT('Per Invoice'!$P$2:$P$801),MATCH(ROWS($N$2:$N729),'Per Invoice'!$P$2:$P$801,0),"")</f>
        <v/>
      </c>
    </row>
    <row r="730">
      <c r="A730">
        <f>IF($N730="","",IF(INDEX('Per Invoice'!$A$2:$A$801,$N730)="","",INDEX('Per Invoice'!$A$2:$A$801,$N730)))</f>
        <v/>
      </c>
      <c r="B730">
        <f>IF($N730="","",IF(INDEX('Per Invoice'!$B$2:$B$801,$N730)="","",INDEX('Per Invoice'!$B$2:$B$801,$N730)))</f>
        <v/>
      </c>
      <c r="C730">
        <f>IF($N730="","",IF(INDEX('Per Invoice'!$C$2:$C$801,$N730)="","",INDEX('Per Invoice'!$C$2:$C$801,$N730)))</f>
        <v/>
      </c>
      <c r="D730">
        <f>IF($N730="","",IF(INDEX('Per Invoice'!$D$2:$D$801,$N730)="","",INDEX('Per Invoice'!$D$2:$D$801,$N730)))</f>
        <v/>
      </c>
      <c r="E730">
        <f>IF($N730="","",IF(INDEX('Per Invoice'!$E$2:$E$801,$N730)="","",INDEX('Per Invoice'!$E$2:$E$801,$N730)))</f>
        <v/>
      </c>
      <c r="F730">
        <f>IF($N730="","",IF(INDEX('Per Invoice'!$F$2:$F$801,$N730)="","",INDEX('Per Invoice'!$F$2:$F$801,$N730)))</f>
        <v/>
      </c>
      <c r="G730">
        <f>IF($N730="","",IF(INDEX('Per Invoice'!$G$2:$G$801,$N730)="","",INDEX('Per Invoice'!$G$2:$G$801,$N730)))</f>
        <v/>
      </c>
      <c r="H730">
        <f>IF($N730="","",IF(INDEX('Per Invoice'!$H$2:$H$801,$N730)="","",INDEX('Per Invoice'!$H$2:$H$801,$N730)))</f>
        <v/>
      </c>
      <c r="I730" s="5">
        <f>IF($N730="","",IF(INDEX('Per Invoice'!$I$2:$I$801,$N730)="","",INDEX('Per Invoice'!$I$2:$I$801,$N730)))</f>
        <v/>
      </c>
      <c r="J730" s="5">
        <f>IF($N730="","",IF(INDEX('Per Invoice'!$J$2:$J$801,$N730)="","",INDEX('Per Invoice'!$J$2:$J$801,$N730)))</f>
        <v/>
      </c>
      <c r="K730" s="5">
        <f>IF($N730="","",IF(INDEX('Per Invoice'!$K$2:$K$801,$N730)="","",INDEX('Per Invoice'!$K$2:$K$801,$N730)))</f>
        <v/>
      </c>
      <c r="L730" s="5">
        <f>IF($N730="","",IF(INDEX('Per Invoice'!$L$2:$L$801,$N730)="","",INDEX('Per Invoice'!$L$2:$L$801,$N730)))</f>
        <v/>
      </c>
      <c r="M730" s="5">
        <f>IF($N730="","",IF(INDEX('Per Invoice'!$M$2:$M$801,$N730)="","",INDEX('Per Invoice'!$M$2:$M$801,$N730)))</f>
        <v/>
      </c>
      <c r="N730">
        <f>IF(ROWS($N$2:$N730)&lt;=COUNT('Per Invoice'!$P$2:$P$801),MATCH(ROWS($N$2:$N730),'Per Invoice'!$P$2:$P$801,0),"")</f>
        <v/>
      </c>
    </row>
    <row r="731">
      <c r="A731">
        <f>IF($N731="","",IF(INDEX('Per Invoice'!$A$2:$A$801,$N731)="","",INDEX('Per Invoice'!$A$2:$A$801,$N731)))</f>
        <v/>
      </c>
      <c r="B731">
        <f>IF($N731="","",IF(INDEX('Per Invoice'!$B$2:$B$801,$N731)="","",INDEX('Per Invoice'!$B$2:$B$801,$N731)))</f>
        <v/>
      </c>
      <c r="C731">
        <f>IF($N731="","",IF(INDEX('Per Invoice'!$C$2:$C$801,$N731)="","",INDEX('Per Invoice'!$C$2:$C$801,$N731)))</f>
        <v/>
      </c>
      <c r="D731">
        <f>IF($N731="","",IF(INDEX('Per Invoice'!$D$2:$D$801,$N731)="","",INDEX('Per Invoice'!$D$2:$D$801,$N731)))</f>
        <v/>
      </c>
      <c r="E731">
        <f>IF($N731="","",IF(INDEX('Per Invoice'!$E$2:$E$801,$N731)="","",INDEX('Per Invoice'!$E$2:$E$801,$N731)))</f>
        <v/>
      </c>
      <c r="F731">
        <f>IF($N731="","",IF(INDEX('Per Invoice'!$F$2:$F$801,$N731)="","",INDEX('Per Invoice'!$F$2:$F$801,$N731)))</f>
        <v/>
      </c>
      <c r="G731">
        <f>IF($N731="","",IF(INDEX('Per Invoice'!$G$2:$G$801,$N731)="","",INDEX('Per Invoice'!$G$2:$G$801,$N731)))</f>
        <v/>
      </c>
      <c r="H731">
        <f>IF($N731="","",IF(INDEX('Per Invoice'!$H$2:$H$801,$N731)="","",INDEX('Per Invoice'!$H$2:$H$801,$N731)))</f>
        <v/>
      </c>
      <c r="I731" s="5">
        <f>IF($N731="","",IF(INDEX('Per Invoice'!$I$2:$I$801,$N731)="","",INDEX('Per Invoice'!$I$2:$I$801,$N731)))</f>
        <v/>
      </c>
      <c r="J731" s="5">
        <f>IF($N731="","",IF(INDEX('Per Invoice'!$J$2:$J$801,$N731)="","",INDEX('Per Invoice'!$J$2:$J$801,$N731)))</f>
        <v/>
      </c>
      <c r="K731" s="5">
        <f>IF($N731="","",IF(INDEX('Per Invoice'!$K$2:$K$801,$N731)="","",INDEX('Per Invoice'!$K$2:$K$801,$N731)))</f>
        <v/>
      </c>
      <c r="L731" s="5">
        <f>IF($N731="","",IF(INDEX('Per Invoice'!$L$2:$L$801,$N731)="","",INDEX('Per Invoice'!$L$2:$L$801,$N731)))</f>
        <v/>
      </c>
      <c r="M731" s="5">
        <f>IF($N731="","",IF(INDEX('Per Invoice'!$M$2:$M$801,$N731)="","",INDEX('Per Invoice'!$M$2:$M$801,$N731)))</f>
        <v/>
      </c>
      <c r="N731">
        <f>IF(ROWS($N$2:$N731)&lt;=COUNT('Per Invoice'!$P$2:$P$801),MATCH(ROWS($N$2:$N731),'Per Invoice'!$P$2:$P$801,0),"")</f>
        <v/>
      </c>
    </row>
    <row r="732">
      <c r="A732">
        <f>IF($N732="","",IF(INDEX('Per Invoice'!$A$2:$A$801,$N732)="","",INDEX('Per Invoice'!$A$2:$A$801,$N732)))</f>
        <v/>
      </c>
      <c r="B732">
        <f>IF($N732="","",IF(INDEX('Per Invoice'!$B$2:$B$801,$N732)="","",INDEX('Per Invoice'!$B$2:$B$801,$N732)))</f>
        <v/>
      </c>
      <c r="C732">
        <f>IF($N732="","",IF(INDEX('Per Invoice'!$C$2:$C$801,$N732)="","",INDEX('Per Invoice'!$C$2:$C$801,$N732)))</f>
        <v/>
      </c>
      <c r="D732">
        <f>IF($N732="","",IF(INDEX('Per Invoice'!$D$2:$D$801,$N732)="","",INDEX('Per Invoice'!$D$2:$D$801,$N732)))</f>
        <v/>
      </c>
      <c r="E732">
        <f>IF($N732="","",IF(INDEX('Per Invoice'!$E$2:$E$801,$N732)="","",INDEX('Per Invoice'!$E$2:$E$801,$N732)))</f>
        <v/>
      </c>
      <c r="F732">
        <f>IF($N732="","",IF(INDEX('Per Invoice'!$F$2:$F$801,$N732)="","",INDEX('Per Invoice'!$F$2:$F$801,$N732)))</f>
        <v/>
      </c>
      <c r="G732">
        <f>IF($N732="","",IF(INDEX('Per Invoice'!$G$2:$G$801,$N732)="","",INDEX('Per Invoice'!$G$2:$G$801,$N732)))</f>
        <v/>
      </c>
      <c r="H732">
        <f>IF($N732="","",IF(INDEX('Per Invoice'!$H$2:$H$801,$N732)="","",INDEX('Per Invoice'!$H$2:$H$801,$N732)))</f>
        <v/>
      </c>
      <c r="I732" s="5">
        <f>IF($N732="","",IF(INDEX('Per Invoice'!$I$2:$I$801,$N732)="","",INDEX('Per Invoice'!$I$2:$I$801,$N732)))</f>
        <v/>
      </c>
      <c r="J732" s="5">
        <f>IF($N732="","",IF(INDEX('Per Invoice'!$J$2:$J$801,$N732)="","",INDEX('Per Invoice'!$J$2:$J$801,$N732)))</f>
        <v/>
      </c>
      <c r="K732" s="5">
        <f>IF($N732="","",IF(INDEX('Per Invoice'!$K$2:$K$801,$N732)="","",INDEX('Per Invoice'!$K$2:$K$801,$N732)))</f>
        <v/>
      </c>
      <c r="L732" s="5">
        <f>IF($N732="","",IF(INDEX('Per Invoice'!$L$2:$L$801,$N732)="","",INDEX('Per Invoice'!$L$2:$L$801,$N732)))</f>
        <v/>
      </c>
      <c r="M732" s="5">
        <f>IF($N732="","",IF(INDEX('Per Invoice'!$M$2:$M$801,$N732)="","",INDEX('Per Invoice'!$M$2:$M$801,$N732)))</f>
        <v/>
      </c>
      <c r="N732">
        <f>IF(ROWS($N$2:$N732)&lt;=COUNT('Per Invoice'!$P$2:$P$801),MATCH(ROWS($N$2:$N732),'Per Invoice'!$P$2:$P$801,0),"")</f>
        <v/>
      </c>
    </row>
    <row r="733">
      <c r="A733">
        <f>IF($N733="","",IF(INDEX('Per Invoice'!$A$2:$A$801,$N733)="","",INDEX('Per Invoice'!$A$2:$A$801,$N733)))</f>
        <v/>
      </c>
      <c r="B733">
        <f>IF($N733="","",IF(INDEX('Per Invoice'!$B$2:$B$801,$N733)="","",INDEX('Per Invoice'!$B$2:$B$801,$N733)))</f>
        <v/>
      </c>
      <c r="C733">
        <f>IF($N733="","",IF(INDEX('Per Invoice'!$C$2:$C$801,$N733)="","",INDEX('Per Invoice'!$C$2:$C$801,$N733)))</f>
        <v/>
      </c>
      <c r="D733">
        <f>IF($N733="","",IF(INDEX('Per Invoice'!$D$2:$D$801,$N733)="","",INDEX('Per Invoice'!$D$2:$D$801,$N733)))</f>
        <v/>
      </c>
      <c r="E733">
        <f>IF($N733="","",IF(INDEX('Per Invoice'!$E$2:$E$801,$N733)="","",INDEX('Per Invoice'!$E$2:$E$801,$N733)))</f>
        <v/>
      </c>
      <c r="F733">
        <f>IF($N733="","",IF(INDEX('Per Invoice'!$F$2:$F$801,$N733)="","",INDEX('Per Invoice'!$F$2:$F$801,$N733)))</f>
        <v/>
      </c>
      <c r="G733">
        <f>IF($N733="","",IF(INDEX('Per Invoice'!$G$2:$G$801,$N733)="","",INDEX('Per Invoice'!$G$2:$G$801,$N733)))</f>
        <v/>
      </c>
      <c r="H733">
        <f>IF($N733="","",IF(INDEX('Per Invoice'!$H$2:$H$801,$N733)="","",INDEX('Per Invoice'!$H$2:$H$801,$N733)))</f>
        <v/>
      </c>
      <c r="I733" s="5">
        <f>IF($N733="","",IF(INDEX('Per Invoice'!$I$2:$I$801,$N733)="","",INDEX('Per Invoice'!$I$2:$I$801,$N733)))</f>
        <v/>
      </c>
      <c r="J733" s="5">
        <f>IF($N733="","",IF(INDEX('Per Invoice'!$J$2:$J$801,$N733)="","",INDEX('Per Invoice'!$J$2:$J$801,$N733)))</f>
        <v/>
      </c>
      <c r="K733" s="5">
        <f>IF($N733="","",IF(INDEX('Per Invoice'!$K$2:$K$801,$N733)="","",INDEX('Per Invoice'!$K$2:$K$801,$N733)))</f>
        <v/>
      </c>
      <c r="L733" s="5">
        <f>IF($N733="","",IF(INDEX('Per Invoice'!$L$2:$L$801,$N733)="","",INDEX('Per Invoice'!$L$2:$L$801,$N733)))</f>
        <v/>
      </c>
      <c r="M733" s="5">
        <f>IF($N733="","",IF(INDEX('Per Invoice'!$M$2:$M$801,$N733)="","",INDEX('Per Invoice'!$M$2:$M$801,$N733)))</f>
        <v/>
      </c>
      <c r="N733">
        <f>IF(ROWS($N$2:$N733)&lt;=COUNT('Per Invoice'!$P$2:$P$801),MATCH(ROWS($N$2:$N733),'Per Invoice'!$P$2:$P$801,0),"")</f>
        <v/>
      </c>
    </row>
    <row r="734">
      <c r="A734">
        <f>IF($N734="","",IF(INDEX('Per Invoice'!$A$2:$A$801,$N734)="","",INDEX('Per Invoice'!$A$2:$A$801,$N734)))</f>
        <v/>
      </c>
      <c r="B734">
        <f>IF($N734="","",IF(INDEX('Per Invoice'!$B$2:$B$801,$N734)="","",INDEX('Per Invoice'!$B$2:$B$801,$N734)))</f>
        <v/>
      </c>
      <c r="C734">
        <f>IF($N734="","",IF(INDEX('Per Invoice'!$C$2:$C$801,$N734)="","",INDEX('Per Invoice'!$C$2:$C$801,$N734)))</f>
        <v/>
      </c>
      <c r="D734">
        <f>IF($N734="","",IF(INDEX('Per Invoice'!$D$2:$D$801,$N734)="","",INDEX('Per Invoice'!$D$2:$D$801,$N734)))</f>
        <v/>
      </c>
      <c r="E734">
        <f>IF($N734="","",IF(INDEX('Per Invoice'!$E$2:$E$801,$N734)="","",INDEX('Per Invoice'!$E$2:$E$801,$N734)))</f>
        <v/>
      </c>
      <c r="F734">
        <f>IF($N734="","",IF(INDEX('Per Invoice'!$F$2:$F$801,$N734)="","",INDEX('Per Invoice'!$F$2:$F$801,$N734)))</f>
        <v/>
      </c>
      <c r="G734">
        <f>IF($N734="","",IF(INDEX('Per Invoice'!$G$2:$G$801,$N734)="","",INDEX('Per Invoice'!$G$2:$G$801,$N734)))</f>
        <v/>
      </c>
      <c r="H734">
        <f>IF($N734="","",IF(INDEX('Per Invoice'!$H$2:$H$801,$N734)="","",INDEX('Per Invoice'!$H$2:$H$801,$N734)))</f>
        <v/>
      </c>
      <c r="I734" s="5">
        <f>IF($N734="","",IF(INDEX('Per Invoice'!$I$2:$I$801,$N734)="","",INDEX('Per Invoice'!$I$2:$I$801,$N734)))</f>
        <v/>
      </c>
      <c r="J734" s="5">
        <f>IF($N734="","",IF(INDEX('Per Invoice'!$J$2:$J$801,$N734)="","",INDEX('Per Invoice'!$J$2:$J$801,$N734)))</f>
        <v/>
      </c>
      <c r="K734" s="5">
        <f>IF($N734="","",IF(INDEX('Per Invoice'!$K$2:$K$801,$N734)="","",INDEX('Per Invoice'!$K$2:$K$801,$N734)))</f>
        <v/>
      </c>
      <c r="L734" s="5">
        <f>IF($N734="","",IF(INDEX('Per Invoice'!$L$2:$L$801,$N734)="","",INDEX('Per Invoice'!$L$2:$L$801,$N734)))</f>
        <v/>
      </c>
      <c r="M734" s="5">
        <f>IF($N734="","",IF(INDEX('Per Invoice'!$M$2:$M$801,$N734)="","",INDEX('Per Invoice'!$M$2:$M$801,$N734)))</f>
        <v/>
      </c>
      <c r="N734">
        <f>IF(ROWS($N$2:$N734)&lt;=COUNT('Per Invoice'!$P$2:$P$801),MATCH(ROWS($N$2:$N734),'Per Invoice'!$P$2:$P$801,0),"")</f>
        <v/>
      </c>
    </row>
    <row r="735">
      <c r="A735">
        <f>IF($N735="","",IF(INDEX('Per Invoice'!$A$2:$A$801,$N735)="","",INDEX('Per Invoice'!$A$2:$A$801,$N735)))</f>
        <v/>
      </c>
      <c r="B735">
        <f>IF($N735="","",IF(INDEX('Per Invoice'!$B$2:$B$801,$N735)="","",INDEX('Per Invoice'!$B$2:$B$801,$N735)))</f>
        <v/>
      </c>
      <c r="C735">
        <f>IF($N735="","",IF(INDEX('Per Invoice'!$C$2:$C$801,$N735)="","",INDEX('Per Invoice'!$C$2:$C$801,$N735)))</f>
        <v/>
      </c>
      <c r="D735">
        <f>IF($N735="","",IF(INDEX('Per Invoice'!$D$2:$D$801,$N735)="","",INDEX('Per Invoice'!$D$2:$D$801,$N735)))</f>
        <v/>
      </c>
      <c r="E735">
        <f>IF($N735="","",IF(INDEX('Per Invoice'!$E$2:$E$801,$N735)="","",INDEX('Per Invoice'!$E$2:$E$801,$N735)))</f>
        <v/>
      </c>
      <c r="F735">
        <f>IF($N735="","",IF(INDEX('Per Invoice'!$F$2:$F$801,$N735)="","",INDEX('Per Invoice'!$F$2:$F$801,$N735)))</f>
        <v/>
      </c>
      <c r="G735">
        <f>IF($N735="","",IF(INDEX('Per Invoice'!$G$2:$G$801,$N735)="","",INDEX('Per Invoice'!$G$2:$G$801,$N735)))</f>
        <v/>
      </c>
      <c r="H735">
        <f>IF($N735="","",IF(INDEX('Per Invoice'!$H$2:$H$801,$N735)="","",INDEX('Per Invoice'!$H$2:$H$801,$N735)))</f>
        <v/>
      </c>
      <c r="I735" s="5">
        <f>IF($N735="","",IF(INDEX('Per Invoice'!$I$2:$I$801,$N735)="","",INDEX('Per Invoice'!$I$2:$I$801,$N735)))</f>
        <v/>
      </c>
      <c r="J735" s="5">
        <f>IF($N735="","",IF(INDEX('Per Invoice'!$J$2:$J$801,$N735)="","",INDEX('Per Invoice'!$J$2:$J$801,$N735)))</f>
        <v/>
      </c>
      <c r="K735" s="5">
        <f>IF($N735="","",IF(INDEX('Per Invoice'!$K$2:$K$801,$N735)="","",INDEX('Per Invoice'!$K$2:$K$801,$N735)))</f>
        <v/>
      </c>
      <c r="L735" s="5">
        <f>IF($N735="","",IF(INDEX('Per Invoice'!$L$2:$L$801,$N735)="","",INDEX('Per Invoice'!$L$2:$L$801,$N735)))</f>
        <v/>
      </c>
      <c r="M735" s="5">
        <f>IF($N735="","",IF(INDEX('Per Invoice'!$M$2:$M$801,$N735)="","",INDEX('Per Invoice'!$M$2:$M$801,$N735)))</f>
        <v/>
      </c>
      <c r="N735">
        <f>IF(ROWS($N$2:$N735)&lt;=COUNT('Per Invoice'!$P$2:$P$801),MATCH(ROWS($N$2:$N735),'Per Invoice'!$P$2:$P$801,0),"")</f>
        <v/>
      </c>
    </row>
    <row r="736">
      <c r="A736">
        <f>IF($N736="","",IF(INDEX('Per Invoice'!$A$2:$A$801,$N736)="","",INDEX('Per Invoice'!$A$2:$A$801,$N736)))</f>
        <v/>
      </c>
      <c r="B736">
        <f>IF($N736="","",IF(INDEX('Per Invoice'!$B$2:$B$801,$N736)="","",INDEX('Per Invoice'!$B$2:$B$801,$N736)))</f>
        <v/>
      </c>
      <c r="C736">
        <f>IF($N736="","",IF(INDEX('Per Invoice'!$C$2:$C$801,$N736)="","",INDEX('Per Invoice'!$C$2:$C$801,$N736)))</f>
        <v/>
      </c>
      <c r="D736">
        <f>IF($N736="","",IF(INDEX('Per Invoice'!$D$2:$D$801,$N736)="","",INDEX('Per Invoice'!$D$2:$D$801,$N736)))</f>
        <v/>
      </c>
      <c r="E736">
        <f>IF($N736="","",IF(INDEX('Per Invoice'!$E$2:$E$801,$N736)="","",INDEX('Per Invoice'!$E$2:$E$801,$N736)))</f>
        <v/>
      </c>
      <c r="F736">
        <f>IF($N736="","",IF(INDEX('Per Invoice'!$F$2:$F$801,$N736)="","",INDEX('Per Invoice'!$F$2:$F$801,$N736)))</f>
        <v/>
      </c>
      <c r="G736">
        <f>IF($N736="","",IF(INDEX('Per Invoice'!$G$2:$G$801,$N736)="","",INDEX('Per Invoice'!$G$2:$G$801,$N736)))</f>
        <v/>
      </c>
      <c r="H736">
        <f>IF($N736="","",IF(INDEX('Per Invoice'!$H$2:$H$801,$N736)="","",INDEX('Per Invoice'!$H$2:$H$801,$N736)))</f>
        <v/>
      </c>
      <c r="I736" s="5">
        <f>IF($N736="","",IF(INDEX('Per Invoice'!$I$2:$I$801,$N736)="","",INDEX('Per Invoice'!$I$2:$I$801,$N736)))</f>
        <v/>
      </c>
      <c r="J736" s="5">
        <f>IF($N736="","",IF(INDEX('Per Invoice'!$J$2:$J$801,$N736)="","",INDEX('Per Invoice'!$J$2:$J$801,$N736)))</f>
        <v/>
      </c>
      <c r="K736" s="5">
        <f>IF($N736="","",IF(INDEX('Per Invoice'!$K$2:$K$801,$N736)="","",INDEX('Per Invoice'!$K$2:$K$801,$N736)))</f>
        <v/>
      </c>
      <c r="L736" s="5">
        <f>IF($N736="","",IF(INDEX('Per Invoice'!$L$2:$L$801,$N736)="","",INDEX('Per Invoice'!$L$2:$L$801,$N736)))</f>
        <v/>
      </c>
      <c r="M736" s="5">
        <f>IF($N736="","",IF(INDEX('Per Invoice'!$M$2:$M$801,$N736)="","",INDEX('Per Invoice'!$M$2:$M$801,$N736)))</f>
        <v/>
      </c>
      <c r="N736">
        <f>IF(ROWS($N$2:$N736)&lt;=COUNT('Per Invoice'!$P$2:$P$801),MATCH(ROWS($N$2:$N736),'Per Invoice'!$P$2:$P$801,0),"")</f>
        <v/>
      </c>
    </row>
    <row r="737">
      <c r="A737">
        <f>IF($N737="","",IF(INDEX('Per Invoice'!$A$2:$A$801,$N737)="","",INDEX('Per Invoice'!$A$2:$A$801,$N737)))</f>
        <v/>
      </c>
      <c r="B737">
        <f>IF($N737="","",IF(INDEX('Per Invoice'!$B$2:$B$801,$N737)="","",INDEX('Per Invoice'!$B$2:$B$801,$N737)))</f>
        <v/>
      </c>
      <c r="C737">
        <f>IF($N737="","",IF(INDEX('Per Invoice'!$C$2:$C$801,$N737)="","",INDEX('Per Invoice'!$C$2:$C$801,$N737)))</f>
        <v/>
      </c>
      <c r="D737">
        <f>IF($N737="","",IF(INDEX('Per Invoice'!$D$2:$D$801,$N737)="","",INDEX('Per Invoice'!$D$2:$D$801,$N737)))</f>
        <v/>
      </c>
      <c r="E737">
        <f>IF($N737="","",IF(INDEX('Per Invoice'!$E$2:$E$801,$N737)="","",INDEX('Per Invoice'!$E$2:$E$801,$N737)))</f>
        <v/>
      </c>
      <c r="F737">
        <f>IF($N737="","",IF(INDEX('Per Invoice'!$F$2:$F$801,$N737)="","",INDEX('Per Invoice'!$F$2:$F$801,$N737)))</f>
        <v/>
      </c>
      <c r="G737">
        <f>IF($N737="","",IF(INDEX('Per Invoice'!$G$2:$G$801,$N737)="","",INDEX('Per Invoice'!$G$2:$G$801,$N737)))</f>
        <v/>
      </c>
      <c r="H737">
        <f>IF($N737="","",IF(INDEX('Per Invoice'!$H$2:$H$801,$N737)="","",INDEX('Per Invoice'!$H$2:$H$801,$N737)))</f>
        <v/>
      </c>
      <c r="I737" s="5">
        <f>IF($N737="","",IF(INDEX('Per Invoice'!$I$2:$I$801,$N737)="","",INDEX('Per Invoice'!$I$2:$I$801,$N737)))</f>
        <v/>
      </c>
      <c r="J737" s="5">
        <f>IF($N737="","",IF(INDEX('Per Invoice'!$J$2:$J$801,$N737)="","",INDEX('Per Invoice'!$J$2:$J$801,$N737)))</f>
        <v/>
      </c>
      <c r="K737" s="5">
        <f>IF($N737="","",IF(INDEX('Per Invoice'!$K$2:$K$801,$N737)="","",INDEX('Per Invoice'!$K$2:$K$801,$N737)))</f>
        <v/>
      </c>
      <c r="L737" s="5">
        <f>IF($N737="","",IF(INDEX('Per Invoice'!$L$2:$L$801,$N737)="","",INDEX('Per Invoice'!$L$2:$L$801,$N737)))</f>
        <v/>
      </c>
      <c r="M737" s="5">
        <f>IF($N737="","",IF(INDEX('Per Invoice'!$M$2:$M$801,$N737)="","",INDEX('Per Invoice'!$M$2:$M$801,$N737)))</f>
        <v/>
      </c>
      <c r="N737">
        <f>IF(ROWS($N$2:$N737)&lt;=COUNT('Per Invoice'!$P$2:$P$801),MATCH(ROWS($N$2:$N737),'Per Invoice'!$P$2:$P$801,0),"")</f>
        <v/>
      </c>
    </row>
    <row r="738">
      <c r="A738">
        <f>IF($N738="","",IF(INDEX('Per Invoice'!$A$2:$A$801,$N738)="","",INDEX('Per Invoice'!$A$2:$A$801,$N738)))</f>
        <v/>
      </c>
      <c r="B738">
        <f>IF($N738="","",IF(INDEX('Per Invoice'!$B$2:$B$801,$N738)="","",INDEX('Per Invoice'!$B$2:$B$801,$N738)))</f>
        <v/>
      </c>
      <c r="C738">
        <f>IF($N738="","",IF(INDEX('Per Invoice'!$C$2:$C$801,$N738)="","",INDEX('Per Invoice'!$C$2:$C$801,$N738)))</f>
        <v/>
      </c>
      <c r="D738">
        <f>IF($N738="","",IF(INDEX('Per Invoice'!$D$2:$D$801,$N738)="","",INDEX('Per Invoice'!$D$2:$D$801,$N738)))</f>
        <v/>
      </c>
      <c r="E738">
        <f>IF($N738="","",IF(INDEX('Per Invoice'!$E$2:$E$801,$N738)="","",INDEX('Per Invoice'!$E$2:$E$801,$N738)))</f>
        <v/>
      </c>
      <c r="F738">
        <f>IF($N738="","",IF(INDEX('Per Invoice'!$F$2:$F$801,$N738)="","",INDEX('Per Invoice'!$F$2:$F$801,$N738)))</f>
        <v/>
      </c>
      <c r="G738">
        <f>IF($N738="","",IF(INDEX('Per Invoice'!$G$2:$G$801,$N738)="","",INDEX('Per Invoice'!$G$2:$G$801,$N738)))</f>
        <v/>
      </c>
      <c r="H738">
        <f>IF($N738="","",IF(INDEX('Per Invoice'!$H$2:$H$801,$N738)="","",INDEX('Per Invoice'!$H$2:$H$801,$N738)))</f>
        <v/>
      </c>
      <c r="I738" s="5">
        <f>IF($N738="","",IF(INDEX('Per Invoice'!$I$2:$I$801,$N738)="","",INDEX('Per Invoice'!$I$2:$I$801,$N738)))</f>
        <v/>
      </c>
      <c r="J738" s="5">
        <f>IF($N738="","",IF(INDEX('Per Invoice'!$J$2:$J$801,$N738)="","",INDEX('Per Invoice'!$J$2:$J$801,$N738)))</f>
        <v/>
      </c>
      <c r="K738" s="5">
        <f>IF($N738="","",IF(INDEX('Per Invoice'!$K$2:$K$801,$N738)="","",INDEX('Per Invoice'!$K$2:$K$801,$N738)))</f>
        <v/>
      </c>
      <c r="L738" s="5">
        <f>IF($N738="","",IF(INDEX('Per Invoice'!$L$2:$L$801,$N738)="","",INDEX('Per Invoice'!$L$2:$L$801,$N738)))</f>
        <v/>
      </c>
      <c r="M738" s="5">
        <f>IF($N738="","",IF(INDEX('Per Invoice'!$M$2:$M$801,$N738)="","",INDEX('Per Invoice'!$M$2:$M$801,$N738)))</f>
        <v/>
      </c>
      <c r="N738">
        <f>IF(ROWS($N$2:$N738)&lt;=COUNT('Per Invoice'!$P$2:$P$801),MATCH(ROWS($N$2:$N738),'Per Invoice'!$P$2:$P$801,0),"")</f>
        <v/>
      </c>
    </row>
    <row r="739">
      <c r="A739">
        <f>IF($N739="","",IF(INDEX('Per Invoice'!$A$2:$A$801,$N739)="","",INDEX('Per Invoice'!$A$2:$A$801,$N739)))</f>
        <v/>
      </c>
      <c r="B739">
        <f>IF($N739="","",IF(INDEX('Per Invoice'!$B$2:$B$801,$N739)="","",INDEX('Per Invoice'!$B$2:$B$801,$N739)))</f>
        <v/>
      </c>
      <c r="C739">
        <f>IF($N739="","",IF(INDEX('Per Invoice'!$C$2:$C$801,$N739)="","",INDEX('Per Invoice'!$C$2:$C$801,$N739)))</f>
        <v/>
      </c>
      <c r="D739">
        <f>IF($N739="","",IF(INDEX('Per Invoice'!$D$2:$D$801,$N739)="","",INDEX('Per Invoice'!$D$2:$D$801,$N739)))</f>
        <v/>
      </c>
      <c r="E739">
        <f>IF($N739="","",IF(INDEX('Per Invoice'!$E$2:$E$801,$N739)="","",INDEX('Per Invoice'!$E$2:$E$801,$N739)))</f>
        <v/>
      </c>
      <c r="F739">
        <f>IF($N739="","",IF(INDEX('Per Invoice'!$F$2:$F$801,$N739)="","",INDEX('Per Invoice'!$F$2:$F$801,$N739)))</f>
        <v/>
      </c>
      <c r="G739">
        <f>IF($N739="","",IF(INDEX('Per Invoice'!$G$2:$G$801,$N739)="","",INDEX('Per Invoice'!$G$2:$G$801,$N739)))</f>
        <v/>
      </c>
      <c r="H739">
        <f>IF($N739="","",IF(INDEX('Per Invoice'!$H$2:$H$801,$N739)="","",INDEX('Per Invoice'!$H$2:$H$801,$N739)))</f>
        <v/>
      </c>
      <c r="I739" s="5">
        <f>IF($N739="","",IF(INDEX('Per Invoice'!$I$2:$I$801,$N739)="","",INDEX('Per Invoice'!$I$2:$I$801,$N739)))</f>
        <v/>
      </c>
      <c r="J739" s="5">
        <f>IF($N739="","",IF(INDEX('Per Invoice'!$J$2:$J$801,$N739)="","",INDEX('Per Invoice'!$J$2:$J$801,$N739)))</f>
        <v/>
      </c>
      <c r="K739" s="5">
        <f>IF($N739="","",IF(INDEX('Per Invoice'!$K$2:$K$801,$N739)="","",INDEX('Per Invoice'!$K$2:$K$801,$N739)))</f>
        <v/>
      </c>
      <c r="L739" s="5">
        <f>IF($N739="","",IF(INDEX('Per Invoice'!$L$2:$L$801,$N739)="","",INDEX('Per Invoice'!$L$2:$L$801,$N739)))</f>
        <v/>
      </c>
      <c r="M739" s="5">
        <f>IF($N739="","",IF(INDEX('Per Invoice'!$M$2:$M$801,$N739)="","",INDEX('Per Invoice'!$M$2:$M$801,$N739)))</f>
        <v/>
      </c>
      <c r="N739">
        <f>IF(ROWS($N$2:$N739)&lt;=COUNT('Per Invoice'!$P$2:$P$801),MATCH(ROWS($N$2:$N739),'Per Invoice'!$P$2:$P$801,0),"")</f>
        <v/>
      </c>
    </row>
    <row r="740">
      <c r="A740">
        <f>IF($N740="","",IF(INDEX('Per Invoice'!$A$2:$A$801,$N740)="","",INDEX('Per Invoice'!$A$2:$A$801,$N740)))</f>
        <v/>
      </c>
      <c r="B740">
        <f>IF($N740="","",IF(INDEX('Per Invoice'!$B$2:$B$801,$N740)="","",INDEX('Per Invoice'!$B$2:$B$801,$N740)))</f>
        <v/>
      </c>
      <c r="C740">
        <f>IF($N740="","",IF(INDEX('Per Invoice'!$C$2:$C$801,$N740)="","",INDEX('Per Invoice'!$C$2:$C$801,$N740)))</f>
        <v/>
      </c>
      <c r="D740">
        <f>IF($N740="","",IF(INDEX('Per Invoice'!$D$2:$D$801,$N740)="","",INDEX('Per Invoice'!$D$2:$D$801,$N740)))</f>
        <v/>
      </c>
      <c r="E740">
        <f>IF($N740="","",IF(INDEX('Per Invoice'!$E$2:$E$801,$N740)="","",INDEX('Per Invoice'!$E$2:$E$801,$N740)))</f>
        <v/>
      </c>
      <c r="F740">
        <f>IF($N740="","",IF(INDEX('Per Invoice'!$F$2:$F$801,$N740)="","",INDEX('Per Invoice'!$F$2:$F$801,$N740)))</f>
        <v/>
      </c>
      <c r="G740">
        <f>IF($N740="","",IF(INDEX('Per Invoice'!$G$2:$G$801,$N740)="","",INDEX('Per Invoice'!$G$2:$G$801,$N740)))</f>
        <v/>
      </c>
      <c r="H740">
        <f>IF($N740="","",IF(INDEX('Per Invoice'!$H$2:$H$801,$N740)="","",INDEX('Per Invoice'!$H$2:$H$801,$N740)))</f>
        <v/>
      </c>
      <c r="I740" s="5">
        <f>IF($N740="","",IF(INDEX('Per Invoice'!$I$2:$I$801,$N740)="","",INDEX('Per Invoice'!$I$2:$I$801,$N740)))</f>
        <v/>
      </c>
      <c r="J740" s="5">
        <f>IF($N740="","",IF(INDEX('Per Invoice'!$J$2:$J$801,$N740)="","",INDEX('Per Invoice'!$J$2:$J$801,$N740)))</f>
        <v/>
      </c>
      <c r="K740" s="5">
        <f>IF($N740="","",IF(INDEX('Per Invoice'!$K$2:$K$801,$N740)="","",INDEX('Per Invoice'!$K$2:$K$801,$N740)))</f>
        <v/>
      </c>
      <c r="L740" s="5">
        <f>IF($N740="","",IF(INDEX('Per Invoice'!$L$2:$L$801,$N740)="","",INDEX('Per Invoice'!$L$2:$L$801,$N740)))</f>
        <v/>
      </c>
      <c r="M740" s="5">
        <f>IF($N740="","",IF(INDEX('Per Invoice'!$M$2:$M$801,$N740)="","",INDEX('Per Invoice'!$M$2:$M$801,$N740)))</f>
        <v/>
      </c>
      <c r="N740">
        <f>IF(ROWS($N$2:$N740)&lt;=COUNT('Per Invoice'!$P$2:$P$801),MATCH(ROWS($N$2:$N740),'Per Invoice'!$P$2:$P$801,0),"")</f>
        <v/>
      </c>
    </row>
    <row r="741">
      <c r="A741">
        <f>IF($N741="","",IF(INDEX('Per Invoice'!$A$2:$A$801,$N741)="","",INDEX('Per Invoice'!$A$2:$A$801,$N741)))</f>
        <v/>
      </c>
      <c r="B741">
        <f>IF($N741="","",IF(INDEX('Per Invoice'!$B$2:$B$801,$N741)="","",INDEX('Per Invoice'!$B$2:$B$801,$N741)))</f>
        <v/>
      </c>
      <c r="C741">
        <f>IF($N741="","",IF(INDEX('Per Invoice'!$C$2:$C$801,$N741)="","",INDEX('Per Invoice'!$C$2:$C$801,$N741)))</f>
        <v/>
      </c>
      <c r="D741">
        <f>IF($N741="","",IF(INDEX('Per Invoice'!$D$2:$D$801,$N741)="","",INDEX('Per Invoice'!$D$2:$D$801,$N741)))</f>
        <v/>
      </c>
      <c r="E741">
        <f>IF($N741="","",IF(INDEX('Per Invoice'!$E$2:$E$801,$N741)="","",INDEX('Per Invoice'!$E$2:$E$801,$N741)))</f>
        <v/>
      </c>
      <c r="F741">
        <f>IF($N741="","",IF(INDEX('Per Invoice'!$F$2:$F$801,$N741)="","",INDEX('Per Invoice'!$F$2:$F$801,$N741)))</f>
        <v/>
      </c>
      <c r="G741">
        <f>IF($N741="","",IF(INDEX('Per Invoice'!$G$2:$G$801,$N741)="","",INDEX('Per Invoice'!$G$2:$G$801,$N741)))</f>
        <v/>
      </c>
      <c r="H741">
        <f>IF($N741="","",IF(INDEX('Per Invoice'!$H$2:$H$801,$N741)="","",INDEX('Per Invoice'!$H$2:$H$801,$N741)))</f>
        <v/>
      </c>
      <c r="I741" s="5">
        <f>IF($N741="","",IF(INDEX('Per Invoice'!$I$2:$I$801,$N741)="","",INDEX('Per Invoice'!$I$2:$I$801,$N741)))</f>
        <v/>
      </c>
      <c r="J741" s="5">
        <f>IF($N741="","",IF(INDEX('Per Invoice'!$J$2:$J$801,$N741)="","",INDEX('Per Invoice'!$J$2:$J$801,$N741)))</f>
        <v/>
      </c>
      <c r="K741" s="5">
        <f>IF($N741="","",IF(INDEX('Per Invoice'!$K$2:$K$801,$N741)="","",INDEX('Per Invoice'!$K$2:$K$801,$N741)))</f>
        <v/>
      </c>
      <c r="L741" s="5">
        <f>IF($N741="","",IF(INDEX('Per Invoice'!$L$2:$L$801,$N741)="","",INDEX('Per Invoice'!$L$2:$L$801,$N741)))</f>
        <v/>
      </c>
      <c r="M741" s="5">
        <f>IF($N741="","",IF(INDEX('Per Invoice'!$M$2:$M$801,$N741)="","",INDEX('Per Invoice'!$M$2:$M$801,$N741)))</f>
        <v/>
      </c>
      <c r="N741">
        <f>IF(ROWS($N$2:$N741)&lt;=COUNT('Per Invoice'!$P$2:$P$801),MATCH(ROWS($N$2:$N741),'Per Invoice'!$P$2:$P$801,0),"")</f>
        <v/>
      </c>
    </row>
    <row r="742">
      <c r="A742">
        <f>IF($N742="","",IF(INDEX('Per Invoice'!$A$2:$A$801,$N742)="","",INDEX('Per Invoice'!$A$2:$A$801,$N742)))</f>
        <v/>
      </c>
      <c r="B742">
        <f>IF($N742="","",IF(INDEX('Per Invoice'!$B$2:$B$801,$N742)="","",INDEX('Per Invoice'!$B$2:$B$801,$N742)))</f>
        <v/>
      </c>
      <c r="C742">
        <f>IF($N742="","",IF(INDEX('Per Invoice'!$C$2:$C$801,$N742)="","",INDEX('Per Invoice'!$C$2:$C$801,$N742)))</f>
        <v/>
      </c>
      <c r="D742">
        <f>IF($N742="","",IF(INDEX('Per Invoice'!$D$2:$D$801,$N742)="","",INDEX('Per Invoice'!$D$2:$D$801,$N742)))</f>
        <v/>
      </c>
      <c r="E742">
        <f>IF($N742="","",IF(INDEX('Per Invoice'!$E$2:$E$801,$N742)="","",INDEX('Per Invoice'!$E$2:$E$801,$N742)))</f>
        <v/>
      </c>
      <c r="F742">
        <f>IF($N742="","",IF(INDEX('Per Invoice'!$F$2:$F$801,$N742)="","",INDEX('Per Invoice'!$F$2:$F$801,$N742)))</f>
        <v/>
      </c>
      <c r="G742">
        <f>IF($N742="","",IF(INDEX('Per Invoice'!$G$2:$G$801,$N742)="","",INDEX('Per Invoice'!$G$2:$G$801,$N742)))</f>
        <v/>
      </c>
      <c r="H742">
        <f>IF($N742="","",IF(INDEX('Per Invoice'!$H$2:$H$801,$N742)="","",INDEX('Per Invoice'!$H$2:$H$801,$N742)))</f>
        <v/>
      </c>
      <c r="I742" s="5">
        <f>IF($N742="","",IF(INDEX('Per Invoice'!$I$2:$I$801,$N742)="","",INDEX('Per Invoice'!$I$2:$I$801,$N742)))</f>
        <v/>
      </c>
      <c r="J742" s="5">
        <f>IF($N742="","",IF(INDEX('Per Invoice'!$J$2:$J$801,$N742)="","",INDEX('Per Invoice'!$J$2:$J$801,$N742)))</f>
        <v/>
      </c>
      <c r="K742" s="5">
        <f>IF($N742="","",IF(INDEX('Per Invoice'!$K$2:$K$801,$N742)="","",INDEX('Per Invoice'!$K$2:$K$801,$N742)))</f>
        <v/>
      </c>
      <c r="L742" s="5">
        <f>IF($N742="","",IF(INDEX('Per Invoice'!$L$2:$L$801,$N742)="","",INDEX('Per Invoice'!$L$2:$L$801,$N742)))</f>
        <v/>
      </c>
      <c r="M742" s="5">
        <f>IF($N742="","",IF(INDEX('Per Invoice'!$M$2:$M$801,$N742)="","",INDEX('Per Invoice'!$M$2:$M$801,$N742)))</f>
        <v/>
      </c>
      <c r="N742">
        <f>IF(ROWS($N$2:$N742)&lt;=COUNT('Per Invoice'!$P$2:$P$801),MATCH(ROWS($N$2:$N742),'Per Invoice'!$P$2:$P$801,0),"")</f>
        <v/>
      </c>
    </row>
    <row r="743">
      <c r="A743">
        <f>IF($N743="","",IF(INDEX('Per Invoice'!$A$2:$A$801,$N743)="","",INDEX('Per Invoice'!$A$2:$A$801,$N743)))</f>
        <v/>
      </c>
      <c r="B743">
        <f>IF($N743="","",IF(INDEX('Per Invoice'!$B$2:$B$801,$N743)="","",INDEX('Per Invoice'!$B$2:$B$801,$N743)))</f>
        <v/>
      </c>
      <c r="C743">
        <f>IF($N743="","",IF(INDEX('Per Invoice'!$C$2:$C$801,$N743)="","",INDEX('Per Invoice'!$C$2:$C$801,$N743)))</f>
        <v/>
      </c>
      <c r="D743">
        <f>IF($N743="","",IF(INDEX('Per Invoice'!$D$2:$D$801,$N743)="","",INDEX('Per Invoice'!$D$2:$D$801,$N743)))</f>
        <v/>
      </c>
      <c r="E743">
        <f>IF($N743="","",IF(INDEX('Per Invoice'!$E$2:$E$801,$N743)="","",INDEX('Per Invoice'!$E$2:$E$801,$N743)))</f>
        <v/>
      </c>
      <c r="F743">
        <f>IF($N743="","",IF(INDEX('Per Invoice'!$F$2:$F$801,$N743)="","",INDEX('Per Invoice'!$F$2:$F$801,$N743)))</f>
        <v/>
      </c>
      <c r="G743">
        <f>IF($N743="","",IF(INDEX('Per Invoice'!$G$2:$G$801,$N743)="","",INDEX('Per Invoice'!$G$2:$G$801,$N743)))</f>
        <v/>
      </c>
      <c r="H743">
        <f>IF($N743="","",IF(INDEX('Per Invoice'!$H$2:$H$801,$N743)="","",INDEX('Per Invoice'!$H$2:$H$801,$N743)))</f>
        <v/>
      </c>
      <c r="I743" s="5">
        <f>IF($N743="","",IF(INDEX('Per Invoice'!$I$2:$I$801,$N743)="","",INDEX('Per Invoice'!$I$2:$I$801,$N743)))</f>
        <v/>
      </c>
      <c r="J743" s="5">
        <f>IF($N743="","",IF(INDEX('Per Invoice'!$J$2:$J$801,$N743)="","",INDEX('Per Invoice'!$J$2:$J$801,$N743)))</f>
        <v/>
      </c>
      <c r="K743" s="5">
        <f>IF($N743="","",IF(INDEX('Per Invoice'!$K$2:$K$801,$N743)="","",INDEX('Per Invoice'!$K$2:$K$801,$N743)))</f>
        <v/>
      </c>
      <c r="L743" s="5">
        <f>IF($N743="","",IF(INDEX('Per Invoice'!$L$2:$L$801,$N743)="","",INDEX('Per Invoice'!$L$2:$L$801,$N743)))</f>
        <v/>
      </c>
      <c r="M743" s="5">
        <f>IF($N743="","",IF(INDEX('Per Invoice'!$M$2:$M$801,$N743)="","",INDEX('Per Invoice'!$M$2:$M$801,$N743)))</f>
        <v/>
      </c>
      <c r="N743">
        <f>IF(ROWS($N$2:$N743)&lt;=COUNT('Per Invoice'!$P$2:$P$801),MATCH(ROWS($N$2:$N743),'Per Invoice'!$P$2:$P$801,0),"")</f>
        <v/>
      </c>
    </row>
    <row r="744">
      <c r="A744">
        <f>IF($N744="","",IF(INDEX('Per Invoice'!$A$2:$A$801,$N744)="","",INDEX('Per Invoice'!$A$2:$A$801,$N744)))</f>
        <v/>
      </c>
      <c r="B744">
        <f>IF($N744="","",IF(INDEX('Per Invoice'!$B$2:$B$801,$N744)="","",INDEX('Per Invoice'!$B$2:$B$801,$N744)))</f>
        <v/>
      </c>
      <c r="C744">
        <f>IF($N744="","",IF(INDEX('Per Invoice'!$C$2:$C$801,$N744)="","",INDEX('Per Invoice'!$C$2:$C$801,$N744)))</f>
        <v/>
      </c>
      <c r="D744">
        <f>IF($N744="","",IF(INDEX('Per Invoice'!$D$2:$D$801,$N744)="","",INDEX('Per Invoice'!$D$2:$D$801,$N744)))</f>
        <v/>
      </c>
      <c r="E744">
        <f>IF($N744="","",IF(INDEX('Per Invoice'!$E$2:$E$801,$N744)="","",INDEX('Per Invoice'!$E$2:$E$801,$N744)))</f>
        <v/>
      </c>
      <c r="F744">
        <f>IF($N744="","",IF(INDEX('Per Invoice'!$F$2:$F$801,$N744)="","",INDEX('Per Invoice'!$F$2:$F$801,$N744)))</f>
        <v/>
      </c>
      <c r="G744">
        <f>IF($N744="","",IF(INDEX('Per Invoice'!$G$2:$G$801,$N744)="","",INDEX('Per Invoice'!$G$2:$G$801,$N744)))</f>
        <v/>
      </c>
      <c r="H744">
        <f>IF($N744="","",IF(INDEX('Per Invoice'!$H$2:$H$801,$N744)="","",INDEX('Per Invoice'!$H$2:$H$801,$N744)))</f>
        <v/>
      </c>
      <c r="I744" s="5">
        <f>IF($N744="","",IF(INDEX('Per Invoice'!$I$2:$I$801,$N744)="","",INDEX('Per Invoice'!$I$2:$I$801,$N744)))</f>
        <v/>
      </c>
      <c r="J744" s="5">
        <f>IF($N744="","",IF(INDEX('Per Invoice'!$J$2:$J$801,$N744)="","",INDEX('Per Invoice'!$J$2:$J$801,$N744)))</f>
        <v/>
      </c>
      <c r="K744" s="5">
        <f>IF($N744="","",IF(INDEX('Per Invoice'!$K$2:$K$801,$N744)="","",INDEX('Per Invoice'!$K$2:$K$801,$N744)))</f>
        <v/>
      </c>
      <c r="L744" s="5">
        <f>IF($N744="","",IF(INDEX('Per Invoice'!$L$2:$L$801,$N744)="","",INDEX('Per Invoice'!$L$2:$L$801,$N744)))</f>
        <v/>
      </c>
      <c r="M744" s="5">
        <f>IF($N744="","",IF(INDEX('Per Invoice'!$M$2:$M$801,$N744)="","",INDEX('Per Invoice'!$M$2:$M$801,$N744)))</f>
        <v/>
      </c>
      <c r="N744">
        <f>IF(ROWS($N$2:$N744)&lt;=COUNT('Per Invoice'!$P$2:$P$801),MATCH(ROWS($N$2:$N744),'Per Invoice'!$P$2:$P$801,0),"")</f>
        <v/>
      </c>
    </row>
    <row r="745">
      <c r="A745">
        <f>IF($N745="","",IF(INDEX('Per Invoice'!$A$2:$A$801,$N745)="","",INDEX('Per Invoice'!$A$2:$A$801,$N745)))</f>
        <v/>
      </c>
      <c r="B745">
        <f>IF($N745="","",IF(INDEX('Per Invoice'!$B$2:$B$801,$N745)="","",INDEX('Per Invoice'!$B$2:$B$801,$N745)))</f>
        <v/>
      </c>
      <c r="C745">
        <f>IF($N745="","",IF(INDEX('Per Invoice'!$C$2:$C$801,$N745)="","",INDEX('Per Invoice'!$C$2:$C$801,$N745)))</f>
        <v/>
      </c>
      <c r="D745">
        <f>IF($N745="","",IF(INDEX('Per Invoice'!$D$2:$D$801,$N745)="","",INDEX('Per Invoice'!$D$2:$D$801,$N745)))</f>
        <v/>
      </c>
      <c r="E745">
        <f>IF($N745="","",IF(INDEX('Per Invoice'!$E$2:$E$801,$N745)="","",INDEX('Per Invoice'!$E$2:$E$801,$N745)))</f>
        <v/>
      </c>
      <c r="F745">
        <f>IF($N745="","",IF(INDEX('Per Invoice'!$F$2:$F$801,$N745)="","",INDEX('Per Invoice'!$F$2:$F$801,$N745)))</f>
        <v/>
      </c>
      <c r="G745">
        <f>IF($N745="","",IF(INDEX('Per Invoice'!$G$2:$G$801,$N745)="","",INDEX('Per Invoice'!$G$2:$G$801,$N745)))</f>
        <v/>
      </c>
      <c r="H745">
        <f>IF($N745="","",IF(INDEX('Per Invoice'!$H$2:$H$801,$N745)="","",INDEX('Per Invoice'!$H$2:$H$801,$N745)))</f>
        <v/>
      </c>
      <c r="I745" s="5">
        <f>IF($N745="","",IF(INDEX('Per Invoice'!$I$2:$I$801,$N745)="","",INDEX('Per Invoice'!$I$2:$I$801,$N745)))</f>
        <v/>
      </c>
      <c r="J745" s="5">
        <f>IF($N745="","",IF(INDEX('Per Invoice'!$J$2:$J$801,$N745)="","",INDEX('Per Invoice'!$J$2:$J$801,$N745)))</f>
        <v/>
      </c>
      <c r="K745" s="5">
        <f>IF($N745="","",IF(INDEX('Per Invoice'!$K$2:$K$801,$N745)="","",INDEX('Per Invoice'!$K$2:$K$801,$N745)))</f>
        <v/>
      </c>
      <c r="L745" s="5">
        <f>IF($N745="","",IF(INDEX('Per Invoice'!$L$2:$L$801,$N745)="","",INDEX('Per Invoice'!$L$2:$L$801,$N745)))</f>
        <v/>
      </c>
      <c r="M745" s="5">
        <f>IF($N745="","",IF(INDEX('Per Invoice'!$M$2:$M$801,$N745)="","",INDEX('Per Invoice'!$M$2:$M$801,$N745)))</f>
        <v/>
      </c>
      <c r="N745">
        <f>IF(ROWS($N$2:$N745)&lt;=COUNT('Per Invoice'!$P$2:$P$801),MATCH(ROWS($N$2:$N745),'Per Invoice'!$P$2:$P$801,0),"")</f>
        <v/>
      </c>
    </row>
    <row r="746">
      <c r="A746">
        <f>IF($N746="","",IF(INDEX('Per Invoice'!$A$2:$A$801,$N746)="","",INDEX('Per Invoice'!$A$2:$A$801,$N746)))</f>
        <v/>
      </c>
      <c r="B746">
        <f>IF($N746="","",IF(INDEX('Per Invoice'!$B$2:$B$801,$N746)="","",INDEX('Per Invoice'!$B$2:$B$801,$N746)))</f>
        <v/>
      </c>
      <c r="C746">
        <f>IF($N746="","",IF(INDEX('Per Invoice'!$C$2:$C$801,$N746)="","",INDEX('Per Invoice'!$C$2:$C$801,$N746)))</f>
        <v/>
      </c>
      <c r="D746">
        <f>IF($N746="","",IF(INDEX('Per Invoice'!$D$2:$D$801,$N746)="","",INDEX('Per Invoice'!$D$2:$D$801,$N746)))</f>
        <v/>
      </c>
      <c r="E746">
        <f>IF($N746="","",IF(INDEX('Per Invoice'!$E$2:$E$801,$N746)="","",INDEX('Per Invoice'!$E$2:$E$801,$N746)))</f>
        <v/>
      </c>
      <c r="F746">
        <f>IF($N746="","",IF(INDEX('Per Invoice'!$F$2:$F$801,$N746)="","",INDEX('Per Invoice'!$F$2:$F$801,$N746)))</f>
        <v/>
      </c>
      <c r="G746">
        <f>IF($N746="","",IF(INDEX('Per Invoice'!$G$2:$G$801,$N746)="","",INDEX('Per Invoice'!$G$2:$G$801,$N746)))</f>
        <v/>
      </c>
      <c r="H746">
        <f>IF($N746="","",IF(INDEX('Per Invoice'!$H$2:$H$801,$N746)="","",INDEX('Per Invoice'!$H$2:$H$801,$N746)))</f>
        <v/>
      </c>
      <c r="I746" s="5">
        <f>IF($N746="","",IF(INDEX('Per Invoice'!$I$2:$I$801,$N746)="","",INDEX('Per Invoice'!$I$2:$I$801,$N746)))</f>
        <v/>
      </c>
      <c r="J746" s="5">
        <f>IF($N746="","",IF(INDEX('Per Invoice'!$J$2:$J$801,$N746)="","",INDEX('Per Invoice'!$J$2:$J$801,$N746)))</f>
        <v/>
      </c>
      <c r="K746" s="5">
        <f>IF($N746="","",IF(INDEX('Per Invoice'!$K$2:$K$801,$N746)="","",INDEX('Per Invoice'!$K$2:$K$801,$N746)))</f>
        <v/>
      </c>
      <c r="L746" s="5">
        <f>IF($N746="","",IF(INDEX('Per Invoice'!$L$2:$L$801,$N746)="","",INDEX('Per Invoice'!$L$2:$L$801,$N746)))</f>
        <v/>
      </c>
      <c r="M746" s="5">
        <f>IF($N746="","",IF(INDEX('Per Invoice'!$M$2:$M$801,$N746)="","",INDEX('Per Invoice'!$M$2:$M$801,$N746)))</f>
        <v/>
      </c>
      <c r="N746">
        <f>IF(ROWS($N$2:$N746)&lt;=COUNT('Per Invoice'!$P$2:$P$801),MATCH(ROWS($N$2:$N746),'Per Invoice'!$P$2:$P$801,0),"")</f>
        <v/>
      </c>
    </row>
    <row r="747">
      <c r="A747">
        <f>IF($N747="","",IF(INDEX('Per Invoice'!$A$2:$A$801,$N747)="","",INDEX('Per Invoice'!$A$2:$A$801,$N747)))</f>
        <v/>
      </c>
      <c r="B747">
        <f>IF($N747="","",IF(INDEX('Per Invoice'!$B$2:$B$801,$N747)="","",INDEX('Per Invoice'!$B$2:$B$801,$N747)))</f>
        <v/>
      </c>
      <c r="C747">
        <f>IF($N747="","",IF(INDEX('Per Invoice'!$C$2:$C$801,$N747)="","",INDEX('Per Invoice'!$C$2:$C$801,$N747)))</f>
        <v/>
      </c>
      <c r="D747">
        <f>IF($N747="","",IF(INDEX('Per Invoice'!$D$2:$D$801,$N747)="","",INDEX('Per Invoice'!$D$2:$D$801,$N747)))</f>
        <v/>
      </c>
      <c r="E747">
        <f>IF($N747="","",IF(INDEX('Per Invoice'!$E$2:$E$801,$N747)="","",INDEX('Per Invoice'!$E$2:$E$801,$N747)))</f>
        <v/>
      </c>
      <c r="F747">
        <f>IF($N747="","",IF(INDEX('Per Invoice'!$F$2:$F$801,$N747)="","",INDEX('Per Invoice'!$F$2:$F$801,$N747)))</f>
        <v/>
      </c>
      <c r="G747">
        <f>IF($N747="","",IF(INDEX('Per Invoice'!$G$2:$G$801,$N747)="","",INDEX('Per Invoice'!$G$2:$G$801,$N747)))</f>
        <v/>
      </c>
      <c r="H747">
        <f>IF($N747="","",IF(INDEX('Per Invoice'!$H$2:$H$801,$N747)="","",INDEX('Per Invoice'!$H$2:$H$801,$N747)))</f>
        <v/>
      </c>
      <c r="I747" s="5">
        <f>IF($N747="","",IF(INDEX('Per Invoice'!$I$2:$I$801,$N747)="","",INDEX('Per Invoice'!$I$2:$I$801,$N747)))</f>
        <v/>
      </c>
      <c r="J747" s="5">
        <f>IF($N747="","",IF(INDEX('Per Invoice'!$J$2:$J$801,$N747)="","",INDEX('Per Invoice'!$J$2:$J$801,$N747)))</f>
        <v/>
      </c>
      <c r="K747" s="5">
        <f>IF($N747="","",IF(INDEX('Per Invoice'!$K$2:$K$801,$N747)="","",INDEX('Per Invoice'!$K$2:$K$801,$N747)))</f>
        <v/>
      </c>
      <c r="L747" s="5">
        <f>IF($N747="","",IF(INDEX('Per Invoice'!$L$2:$L$801,$N747)="","",INDEX('Per Invoice'!$L$2:$L$801,$N747)))</f>
        <v/>
      </c>
      <c r="M747" s="5">
        <f>IF($N747="","",IF(INDEX('Per Invoice'!$M$2:$M$801,$N747)="","",INDEX('Per Invoice'!$M$2:$M$801,$N747)))</f>
        <v/>
      </c>
      <c r="N747">
        <f>IF(ROWS($N$2:$N747)&lt;=COUNT('Per Invoice'!$P$2:$P$801),MATCH(ROWS($N$2:$N747),'Per Invoice'!$P$2:$P$801,0),"")</f>
        <v/>
      </c>
    </row>
    <row r="748">
      <c r="A748">
        <f>IF($N748="","",IF(INDEX('Per Invoice'!$A$2:$A$801,$N748)="","",INDEX('Per Invoice'!$A$2:$A$801,$N748)))</f>
        <v/>
      </c>
      <c r="B748">
        <f>IF($N748="","",IF(INDEX('Per Invoice'!$B$2:$B$801,$N748)="","",INDEX('Per Invoice'!$B$2:$B$801,$N748)))</f>
        <v/>
      </c>
      <c r="C748">
        <f>IF($N748="","",IF(INDEX('Per Invoice'!$C$2:$C$801,$N748)="","",INDEX('Per Invoice'!$C$2:$C$801,$N748)))</f>
        <v/>
      </c>
      <c r="D748">
        <f>IF($N748="","",IF(INDEX('Per Invoice'!$D$2:$D$801,$N748)="","",INDEX('Per Invoice'!$D$2:$D$801,$N748)))</f>
        <v/>
      </c>
      <c r="E748">
        <f>IF($N748="","",IF(INDEX('Per Invoice'!$E$2:$E$801,$N748)="","",INDEX('Per Invoice'!$E$2:$E$801,$N748)))</f>
        <v/>
      </c>
      <c r="F748">
        <f>IF($N748="","",IF(INDEX('Per Invoice'!$F$2:$F$801,$N748)="","",INDEX('Per Invoice'!$F$2:$F$801,$N748)))</f>
        <v/>
      </c>
      <c r="G748">
        <f>IF($N748="","",IF(INDEX('Per Invoice'!$G$2:$G$801,$N748)="","",INDEX('Per Invoice'!$G$2:$G$801,$N748)))</f>
        <v/>
      </c>
      <c r="H748">
        <f>IF($N748="","",IF(INDEX('Per Invoice'!$H$2:$H$801,$N748)="","",INDEX('Per Invoice'!$H$2:$H$801,$N748)))</f>
        <v/>
      </c>
      <c r="I748" s="5">
        <f>IF($N748="","",IF(INDEX('Per Invoice'!$I$2:$I$801,$N748)="","",INDEX('Per Invoice'!$I$2:$I$801,$N748)))</f>
        <v/>
      </c>
      <c r="J748" s="5">
        <f>IF($N748="","",IF(INDEX('Per Invoice'!$J$2:$J$801,$N748)="","",INDEX('Per Invoice'!$J$2:$J$801,$N748)))</f>
        <v/>
      </c>
      <c r="K748" s="5">
        <f>IF($N748="","",IF(INDEX('Per Invoice'!$K$2:$K$801,$N748)="","",INDEX('Per Invoice'!$K$2:$K$801,$N748)))</f>
        <v/>
      </c>
      <c r="L748" s="5">
        <f>IF($N748="","",IF(INDEX('Per Invoice'!$L$2:$L$801,$N748)="","",INDEX('Per Invoice'!$L$2:$L$801,$N748)))</f>
        <v/>
      </c>
      <c r="M748" s="5">
        <f>IF($N748="","",IF(INDEX('Per Invoice'!$M$2:$M$801,$N748)="","",INDEX('Per Invoice'!$M$2:$M$801,$N748)))</f>
        <v/>
      </c>
      <c r="N748">
        <f>IF(ROWS($N$2:$N748)&lt;=COUNT('Per Invoice'!$P$2:$P$801),MATCH(ROWS($N$2:$N748),'Per Invoice'!$P$2:$P$801,0),"")</f>
        <v/>
      </c>
    </row>
    <row r="749">
      <c r="A749">
        <f>IF($N749="","",IF(INDEX('Per Invoice'!$A$2:$A$801,$N749)="","",INDEX('Per Invoice'!$A$2:$A$801,$N749)))</f>
        <v/>
      </c>
      <c r="B749">
        <f>IF($N749="","",IF(INDEX('Per Invoice'!$B$2:$B$801,$N749)="","",INDEX('Per Invoice'!$B$2:$B$801,$N749)))</f>
        <v/>
      </c>
      <c r="C749">
        <f>IF($N749="","",IF(INDEX('Per Invoice'!$C$2:$C$801,$N749)="","",INDEX('Per Invoice'!$C$2:$C$801,$N749)))</f>
        <v/>
      </c>
      <c r="D749">
        <f>IF($N749="","",IF(INDEX('Per Invoice'!$D$2:$D$801,$N749)="","",INDEX('Per Invoice'!$D$2:$D$801,$N749)))</f>
        <v/>
      </c>
      <c r="E749">
        <f>IF($N749="","",IF(INDEX('Per Invoice'!$E$2:$E$801,$N749)="","",INDEX('Per Invoice'!$E$2:$E$801,$N749)))</f>
        <v/>
      </c>
      <c r="F749">
        <f>IF($N749="","",IF(INDEX('Per Invoice'!$F$2:$F$801,$N749)="","",INDEX('Per Invoice'!$F$2:$F$801,$N749)))</f>
        <v/>
      </c>
      <c r="G749">
        <f>IF($N749="","",IF(INDEX('Per Invoice'!$G$2:$G$801,$N749)="","",INDEX('Per Invoice'!$G$2:$G$801,$N749)))</f>
        <v/>
      </c>
      <c r="H749">
        <f>IF($N749="","",IF(INDEX('Per Invoice'!$H$2:$H$801,$N749)="","",INDEX('Per Invoice'!$H$2:$H$801,$N749)))</f>
        <v/>
      </c>
      <c r="I749" s="5">
        <f>IF($N749="","",IF(INDEX('Per Invoice'!$I$2:$I$801,$N749)="","",INDEX('Per Invoice'!$I$2:$I$801,$N749)))</f>
        <v/>
      </c>
      <c r="J749" s="5">
        <f>IF($N749="","",IF(INDEX('Per Invoice'!$J$2:$J$801,$N749)="","",INDEX('Per Invoice'!$J$2:$J$801,$N749)))</f>
        <v/>
      </c>
      <c r="K749" s="5">
        <f>IF($N749="","",IF(INDEX('Per Invoice'!$K$2:$K$801,$N749)="","",INDEX('Per Invoice'!$K$2:$K$801,$N749)))</f>
        <v/>
      </c>
      <c r="L749" s="5">
        <f>IF($N749="","",IF(INDEX('Per Invoice'!$L$2:$L$801,$N749)="","",INDEX('Per Invoice'!$L$2:$L$801,$N749)))</f>
        <v/>
      </c>
      <c r="M749" s="5">
        <f>IF($N749="","",IF(INDEX('Per Invoice'!$M$2:$M$801,$N749)="","",INDEX('Per Invoice'!$M$2:$M$801,$N749)))</f>
        <v/>
      </c>
      <c r="N749">
        <f>IF(ROWS($N$2:$N749)&lt;=COUNT('Per Invoice'!$P$2:$P$801),MATCH(ROWS($N$2:$N749),'Per Invoice'!$P$2:$P$801,0),"")</f>
        <v/>
      </c>
    </row>
    <row r="750">
      <c r="A750">
        <f>IF($N750="","",IF(INDEX('Per Invoice'!$A$2:$A$801,$N750)="","",INDEX('Per Invoice'!$A$2:$A$801,$N750)))</f>
        <v/>
      </c>
      <c r="B750">
        <f>IF($N750="","",IF(INDEX('Per Invoice'!$B$2:$B$801,$N750)="","",INDEX('Per Invoice'!$B$2:$B$801,$N750)))</f>
        <v/>
      </c>
      <c r="C750">
        <f>IF($N750="","",IF(INDEX('Per Invoice'!$C$2:$C$801,$N750)="","",INDEX('Per Invoice'!$C$2:$C$801,$N750)))</f>
        <v/>
      </c>
      <c r="D750">
        <f>IF($N750="","",IF(INDEX('Per Invoice'!$D$2:$D$801,$N750)="","",INDEX('Per Invoice'!$D$2:$D$801,$N750)))</f>
        <v/>
      </c>
      <c r="E750">
        <f>IF($N750="","",IF(INDEX('Per Invoice'!$E$2:$E$801,$N750)="","",INDEX('Per Invoice'!$E$2:$E$801,$N750)))</f>
        <v/>
      </c>
      <c r="F750">
        <f>IF($N750="","",IF(INDEX('Per Invoice'!$F$2:$F$801,$N750)="","",INDEX('Per Invoice'!$F$2:$F$801,$N750)))</f>
        <v/>
      </c>
      <c r="G750">
        <f>IF($N750="","",IF(INDEX('Per Invoice'!$G$2:$G$801,$N750)="","",INDEX('Per Invoice'!$G$2:$G$801,$N750)))</f>
        <v/>
      </c>
      <c r="H750">
        <f>IF($N750="","",IF(INDEX('Per Invoice'!$H$2:$H$801,$N750)="","",INDEX('Per Invoice'!$H$2:$H$801,$N750)))</f>
        <v/>
      </c>
      <c r="I750" s="5">
        <f>IF($N750="","",IF(INDEX('Per Invoice'!$I$2:$I$801,$N750)="","",INDEX('Per Invoice'!$I$2:$I$801,$N750)))</f>
        <v/>
      </c>
      <c r="J750" s="5">
        <f>IF($N750="","",IF(INDEX('Per Invoice'!$J$2:$J$801,$N750)="","",INDEX('Per Invoice'!$J$2:$J$801,$N750)))</f>
        <v/>
      </c>
      <c r="K750" s="5">
        <f>IF($N750="","",IF(INDEX('Per Invoice'!$K$2:$K$801,$N750)="","",INDEX('Per Invoice'!$K$2:$K$801,$N750)))</f>
        <v/>
      </c>
      <c r="L750" s="5">
        <f>IF($N750="","",IF(INDEX('Per Invoice'!$L$2:$L$801,$N750)="","",INDEX('Per Invoice'!$L$2:$L$801,$N750)))</f>
        <v/>
      </c>
      <c r="M750" s="5">
        <f>IF($N750="","",IF(INDEX('Per Invoice'!$M$2:$M$801,$N750)="","",INDEX('Per Invoice'!$M$2:$M$801,$N750)))</f>
        <v/>
      </c>
      <c r="N750">
        <f>IF(ROWS($N$2:$N750)&lt;=COUNT('Per Invoice'!$P$2:$P$801),MATCH(ROWS($N$2:$N750),'Per Invoice'!$P$2:$P$801,0),"")</f>
        <v/>
      </c>
    </row>
    <row r="751">
      <c r="A751">
        <f>IF($N751="","",IF(INDEX('Per Invoice'!$A$2:$A$801,$N751)="","",INDEX('Per Invoice'!$A$2:$A$801,$N751)))</f>
        <v/>
      </c>
      <c r="B751">
        <f>IF($N751="","",IF(INDEX('Per Invoice'!$B$2:$B$801,$N751)="","",INDEX('Per Invoice'!$B$2:$B$801,$N751)))</f>
        <v/>
      </c>
      <c r="C751">
        <f>IF($N751="","",IF(INDEX('Per Invoice'!$C$2:$C$801,$N751)="","",INDEX('Per Invoice'!$C$2:$C$801,$N751)))</f>
        <v/>
      </c>
      <c r="D751">
        <f>IF($N751="","",IF(INDEX('Per Invoice'!$D$2:$D$801,$N751)="","",INDEX('Per Invoice'!$D$2:$D$801,$N751)))</f>
        <v/>
      </c>
      <c r="E751">
        <f>IF($N751="","",IF(INDEX('Per Invoice'!$E$2:$E$801,$N751)="","",INDEX('Per Invoice'!$E$2:$E$801,$N751)))</f>
        <v/>
      </c>
      <c r="F751">
        <f>IF($N751="","",IF(INDEX('Per Invoice'!$F$2:$F$801,$N751)="","",INDEX('Per Invoice'!$F$2:$F$801,$N751)))</f>
        <v/>
      </c>
      <c r="G751">
        <f>IF($N751="","",IF(INDEX('Per Invoice'!$G$2:$G$801,$N751)="","",INDEX('Per Invoice'!$G$2:$G$801,$N751)))</f>
        <v/>
      </c>
      <c r="H751">
        <f>IF($N751="","",IF(INDEX('Per Invoice'!$H$2:$H$801,$N751)="","",INDEX('Per Invoice'!$H$2:$H$801,$N751)))</f>
        <v/>
      </c>
      <c r="I751" s="5">
        <f>IF($N751="","",IF(INDEX('Per Invoice'!$I$2:$I$801,$N751)="","",INDEX('Per Invoice'!$I$2:$I$801,$N751)))</f>
        <v/>
      </c>
      <c r="J751" s="5">
        <f>IF($N751="","",IF(INDEX('Per Invoice'!$J$2:$J$801,$N751)="","",INDEX('Per Invoice'!$J$2:$J$801,$N751)))</f>
        <v/>
      </c>
      <c r="K751" s="5">
        <f>IF($N751="","",IF(INDEX('Per Invoice'!$K$2:$K$801,$N751)="","",INDEX('Per Invoice'!$K$2:$K$801,$N751)))</f>
        <v/>
      </c>
      <c r="L751" s="5">
        <f>IF($N751="","",IF(INDEX('Per Invoice'!$L$2:$L$801,$N751)="","",INDEX('Per Invoice'!$L$2:$L$801,$N751)))</f>
        <v/>
      </c>
      <c r="M751" s="5">
        <f>IF($N751="","",IF(INDEX('Per Invoice'!$M$2:$M$801,$N751)="","",INDEX('Per Invoice'!$M$2:$M$801,$N751)))</f>
        <v/>
      </c>
      <c r="N751">
        <f>IF(ROWS($N$2:$N751)&lt;=COUNT('Per Invoice'!$P$2:$P$801),MATCH(ROWS($N$2:$N751),'Per Invoice'!$P$2:$P$801,0),"")</f>
        <v/>
      </c>
    </row>
    <row r="752">
      <c r="A752">
        <f>IF($N752="","",IF(INDEX('Per Invoice'!$A$2:$A$801,$N752)="","",INDEX('Per Invoice'!$A$2:$A$801,$N752)))</f>
        <v/>
      </c>
      <c r="B752">
        <f>IF($N752="","",IF(INDEX('Per Invoice'!$B$2:$B$801,$N752)="","",INDEX('Per Invoice'!$B$2:$B$801,$N752)))</f>
        <v/>
      </c>
      <c r="C752">
        <f>IF($N752="","",IF(INDEX('Per Invoice'!$C$2:$C$801,$N752)="","",INDEX('Per Invoice'!$C$2:$C$801,$N752)))</f>
        <v/>
      </c>
      <c r="D752">
        <f>IF($N752="","",IF(INDEX('Per Invoice'!$D$2:$D$801,$N752)="","",INDEX('Per Invoice'!$D$2:$D$801,$N752)))</f>
        <v/>
      </c>
      <c r="E752">
        <f>IF($N752="","",IF(INDEX('Per Invoice'!$E$2:$E$801,$N752)="","",INDEX('Per Invoice'!$E$2:$E$801,$N752)))</f>
        <v/>
      </c>
      <c r="F752">
        <f>IF($N752="","",IF(INDEX('Per Invoice'!$F$2:$F$801,$N752)="","",INDEX('Per Invoice'!$F$2:$F$801,$N752)))</f>
        <v/>
      </c>
      <c r="G752">
        <f>IF($N752="","",IF(INDEX('Per Invoice'!$G$2:$G$801,$N752)="","",INDEX('Per Invoice'!$G$2:$G$801,$N752)))</f>
        <v/>
      </c>
      <c r="H752">
        <f>IF($N752="","",IF(INDEX('Per Invoice'!$H$2:$H$801,$N752)="","",INDEX('Per Invoice'!$H$2:$H$801,$N752)))</f>
        <v/>
      </c>
      <c r="I752" s="5">
        <f>IF($N752="","",IF(INDEX('Per Invoice'!$I$2:$I$801,$N752)="","",INDEX('Per Invoice'!$I$2:$I$801,$N752)))</f>
        <v/>
      </c>
      <c r="J752" s="5">
        <f>IF($N752="","",IF(INDEX('Per Invoice'!$J$2:$J$801,$N752)="","",INDEX('Per Invoice'!$J$2:$J$801,$N752)))</f>
        <v/>
      </c>
      <c r="K752" s="5">
        <f>IF($N752="","",IF(INDEX('Per Invoice'!$K$2:$K$801,$N752)="","",INDEX('Per Invoice'!$K$2:$K$801,$N752)))</f>
        <v/>
      </c>
      <c r="L752" s="5">
        <f>IF($N752="","",IF(INDEX('Per Invoice'!$L$2:$L$801,$N752)="","",INDEX('Per Invoice'!$L$2:$L$801,$N752)))</f>
        <v/>
      </c>
      <c r="M752" s="5">
        <f>IF($N752="","",IF(INDEX('Per Invoice'!$M$2:$M$801,$N752)="","",INDEX('Per Invoice'!$M$2:$M$801,$N752)))</f>
        <v/>
      </c>
      <c r="N752">
        <f>IF(ROWS($N$2:$N752)&lt;=COUNT('Per Invoice'!$P$2:$P$801),MATCH(ROWS($N$2:$N752),'Per Invoice'!$P$2:$P$801,0),"")</f>
        <v/>
      </c>
    </row>
    <row r="753">
      <c r="A753">
        <f>IF($N753="","",IF(INDEX('Per Invoice'!$A$2:$A$801,$N753)="","",INDEX('Per Invoice'!$A$2:$A$801,$N753)))</f>
        <v/>
      </c>
      <c r="B753">
        <f>IF($N753="","",IF(INDEX('Per Invoice'!$B$2:$B$801,$N753)="","",INDEX('Per Invoice'!$B$2:$B$801,$N753)))</f>
        <v/>
      </c>
      <c r="C753">
        <f>IF($N753="","",IF(INDEX('Per Invoice'!$C$2:$C$801,$N753)="","",INDEX('Per Invoice'!$C$2:$C$801,$N753)))</f>
        <v/>
      </c>
      <c r="D753">
        <f>IF($N753="","",IF(INDEX('Per Invoice'!$D$2:$D$801,$N753)="","",INDEX('Per Invoice'!$D$2:$D$801,$N753)))</f>
        <v/>
      </c>
      <c r="E753">
        <f>IF($N753="","",IF(INDEX('Per Invoice'!$E$2:$E$801,$N753)="","",INDEX('Per Invoice'!$E$2:$E$801,$N753)))</f>
        <v/>
      </c>
      <c r="F753">
        <f>IF($N753="","",IF(INDEX('Per Invoice'!$F$2:$F$801,$N753)="","",INDEX('Per Invoice'!$F$2:$F$801,$N753)))</f>
        <v/>
      </c>
      <c r="G753">
        <f>IF($N753="","",IF(INDEX('Per Invoice'!$G$2:$G$801,$N753)="","",INDEX('Per Invoice'!$G$2:$G$801,$N753)))</f>
        <v/>
      </c>
      <c r="H753">
        <f>IF($N753="","",IF(INDEX('Per Invoice'!$H$2:$H$801,$N753)="","",INDEX('Per Invoice'!$H$2:$H$801,$N753)))</f>
        <v/>
      </c>
      <c r="I753" s="5">
        <f>IF($N753="","",IF(INDEX('Per Invoice'!$I$2:$I$801,$N753)="","",INDEX('Per Invoice'!$I$2:$I$801,$N753)))</f>
        <v/>
      </c>
      <c r="J753" s="5">
        <f>IF($N753="","",IF(INDEX('Per Invoice'!$J$2:$J$801,$N753)="","",INDEX('Per Invoice'!$J$2:$J$801,$N753)))</f>
        <v/>
      </c>
      <c r="K753" s="5">
        <f>IF($N753="","",IF(INDEX('Per Invoice'!$K$2:$K$801,$N753)="","",INDEX('Per Invoice'!$K$2:$K$801,$N753)))</f>
        <v/>
      </c>
      <c r="L753" s="5">
        <f>IF($N753="","",IF(INDEX('Per Invoice'!$L$2:$L$801,$N753)="","",INDEX('Per Invoice'!$L$2:$L$801,$N753)))</f>
        <v/>
      </c>
      <c r="M753" s="5">
        <f>IF($N753="","",IF(INDEX('Per Invoice'!$M$2:$M$801,$N753)="","",INDEX('Per Invoice'!$M$2:$M$801,$N753)))</f>
        <v/>
      </c>
      <c r="N753">
        <f>IF(ROWS($N$2:$N753)&lt;=COUNT('Per Invoice'!$P$2:$P$801),MATCH(ROWS($N$2:$N753),'Per Invoice'!$P$2:$P$801,0),"")</f>
        <v/>
      </c>
    </row>
    <row r="754">
      <c r="A754">
        <f>IF($N754="","",IF(INDEX('Per Invoice'!$A$2:$A$801,$N754)="","",INDEX('Per Invoice'!$A$2:$A$801,$N754)))</f>
        <v/>
      </c>
      <c r="B754">
        <f>IF($N754="","",IF(INDEX('Per Invoice'!$B$2:$B$801,$N754)="","",INDEX('Per Invoice'!$B$2:$B$801,$N754)))</f>
        <v/>
      </c>
      <c r="C754">
        <f>IF($N754="","",IF(INDEX('Per Invoice'!$C$2:$C$801,$N754)="","",INDEX('Per Invoice'!$C$2:$C$801,$N754)))</f>
        <v/>
      </c>
      <c r="D754">
        <f>IF($N754="","",IF(INDEX('Per Invoice'!$D$2:$D$801,$N754)="","",INDEX('Per Invoice'!$D$2:$D$801,$N754)))</f>
        <v/>
      </c>
      <c r="E754">
        <f>IF($N754="","",IF(INDEX('Per Invoice'!$E$2:$E$801,$N754)="","",INDEX('Per Invoice'!$E$2:$E$801,$N754)))</f>
        <v/>
      </c>
      <c r="F754">
        <f>IF($N754="","",IF(INDEX('Per Invoice'!$F$2:$F$801,$N754)="","",INDEX('Per Invoice'!$F$2:$F$801,$N754)))</f>
        <v/>
      </c>
      <c r="G754">
        <f>IF($N754="","",IF(INDEX('Per Invoice'!$G$2:$G$801,$N754)="","",INDEX('Per Invoice'!$G$2:$G$801,$N754)))</f>
        <v/>
      </c>
      <c r="H754">
        <f>IF($N754="","",IF(INDEX('Per Invoice'!$H$2:$H$801,$N754)="","",INDEX('Per Invoice'!$H$2:$H$801,$N754)))</f>
        <v/>
      </c>
      <c r="I754" s="5">
        <f>IF($N754="","",IF(INDEX('Per Invoice'!$I$2:$I$801,$N754)="","",INDEX('Per Invoice'!$I$2:$I$801,$N754)))</f>
        <v/>
      </c>
      <c r="J754" s="5">
        <f>IF($N754="","",IF(INDEX('Per Invoice'!$J$2:$J$801,$N754)="","",INDEX('Per Invoice'!$J$2:$J$801,$N754)))</f>
        <v/>
      </c>
      <c r="K754" s="5">
        <f>IF($N754="","",IF(INDEX('Per Invoice'!$K$2:$K$801,$N754)="","",INDEX('Per Invoice'!$K$2:$K$801,$N754)))</f>
        <v/>
      </c>
      <c r="L754" s="5">
        <f>IF($N754="","",IF(INDEX('Per Invoice'!$L$2:$L$801,$N754)="","",INDEX('Per Invoice'!$L$2:$L$801,$N754)))</f>
        <v/>
      </c>
      <c r="M754" s="5">
        <f>IF($N754="","",IF(INDEX('Per Invoice'!$M$2:$M$801,$N754)="","",INDEX('Per Invoice'!$M$2:$M$801,$N754)))</f>
        <v/>
      </c>
      <c r="N754">
        <f>IF(ROWS($N$2:$N754)&lt;=COUNT('Per Invoice'!$P$2:$P$801),MATCH(ROWS($N$2:$N754),'Per Invoice'!$P$2:$P$801,0),"")</f>
        <v/>
      </c>
    </row>
    <row r="755">
      <c r="A755">
        <f>IF($N755="","",IF(INDEX('Per Invoice'!$A$2:$A$801,$N755)="","",INDEX('Per Invoice'!$A$2:$A$801,$N755)))</f>
        <v/>
      </c>
      <c r="B755">
        <f>IF($N755="","",IF(INDEX('Per Invoice'!$B$2:$B$801,$N755)="","",INDEX('Per Invoice'!$B$2:$B$801,$N755)))</f>
        <v/>
      </c>
      <c r="C755">
        <f>IF($N755="","",IF(INDEX('Per Invoice'!$C$2:$C$801,$N755)="","",INDEX('Per Invoice'!$C$2:$C$801,$N755)))</f>
        <v/>
      </c>
      <c r="D755">
        <f>IF($N755="","",IF(INDEX('Per Invoice'!$D$2:$D$801,$N755)="","",INDEX('Per Invoice'!$D$2:$D$801,$N755)))</f>
        <v/>
      </c>
      <c r="E755">
        <f>IF($N755="","",IF(INDEX('Per Invoice'!$E$2:$E$801,$N755)="","",INDEX('Per Invoice'!$E$2:$E$801,$N755)))</f>
        <v/>
      </c>
      <c r="F755">
        <f>IF($N755="","",IF(INDEX('Per Invoice'!$F$2:$F$801,$N755)="","",INDEX('Per Invoice'!$F$2:$F$801,$N755)))</f>
        <v/>
      </c>
      <c r="G755">
        <f>IF($N755="","",IF(INDEX('Per Invoice'!$G$2:$G$801,$N755)="","",INDEX('Per Invoice'!$G$2:$G$801,$N755)))</f>
        <v/>
      </c>
      <c r="H755">
        <f>IF($N755="","",IF(INDEX('Per Invoice'!$H$2:$H$801,$N755)="","",INDEX('Per Invoice'!$H$2:$H$801,$N755)))</f>
        <v/>
      </c>
      <c r="I755" s="5">
        <f>IF($N755="","",IF(INDEX('Per Invoice'!$I$2:$I$801,$N755)="","",INDEX('Per Invoice'!$I$2:$I$801,$N755)))</f>
        <v/>
      </c>
      <c r="J755" s="5">
        <f>IF($N755="","",IF(INDEX('Per Invoice'!$J$2:$J$801,$N755)="","",INDEX('Per Invoice'!$J$2:$J$801,$N755)))</f>
        <v/>
      </c>
      <c r="K755" s="5">
        <f>IF($N755="","",IF(INDEX('Per Invoice'!$K$2:$K$801,$N755)="","",INDEX('Per Invoice'!$K$2:$K$801,$N755)))</f>
        <v/>
      </c>
      <c r="L755" s="5">
        <f>IF($N755="","",IF(INDEX('Per Invoice'!$L$2:$L$801,$N755)="","",INDEX('Per Invoice'!$L$2:$L$801,$N755)))</f>
        <v/>
      </c>
      <c r="M755" s="5">
        <f>IF($N755="","",IF(INDEX('Per Invoice'!$M$2:$M$801,$N755)="","",INDEX('Per Invoice'!$M$2:$M$801,$N755)))</f>
        <v/>
      </c>
      <c r="N755">
        <f>IF(ROWS($N$2:$N755)&lt;=COUNT('Per Invoice'!$P$2:$P$801),MATCH(ROWS($N$2:$N755),'Per Invoice'!$P$2:$P$801,0),"")</f>
        <v/>
      </c>
    </row>
    <row r="756">
      <c r="A756">
        <f>IF($N756="","",IF(INDEX('Per Invoice'!$A$2:$A$801,$N756)="","",INDEX('Per Invoice'!$A$2:$A$801,$N756)))</f>
        <v/>
      </c>
      <c r="B756">
        <f>IF($N756="","",IF(INDEX('Per Invoice'!$B$2:$B$801,$N756)="","",INDEX('Per Invoice'!$B$2:$B$801,$N756)))</f>
        <v/>
      </c>
      <c r="C756">
        <f>IF($N756="","",IF(INDEX('Per Invoice'!$C$2:$C$801,$N756)="","",INDEX('Per Invoice'!$C$2:$C$801,$N756)))</f>
        <v/>
      </c>
      <c r="D756">
        <f>IF($N756="","",IF(INDEX('Per Invoice'!$D$2:$D$801,$N756)="","",INDEX('Per Invoice'!$D$2:$D$801,$N756)))</f>
        <v/>
      </c>
      <c r="E756">
        <f>IF($N756="","",IF(INDEX('Per Invoice'!$E$2:$E$801,$N756)="","",INDEX('Per Invoice'!$E$2:$E$801,$N756)))</f>
        <v/>
      </c>
      <c r="F756">
        <f>IF($N756="","",IF(INDEX('Per Invoice'!$F$2:$F$801,$N756)="","",INDEX('Per Invoice'!$F$2:$F$801,$N756)))</f>
        <v/>
      </c>
      <c r="G756">
        <f>IF($N756="","",IF(INDEX('Per Invoice'!$G$2:$G$801,$N756)="","",INDEX('Per Invoice'!$G$2:$G$801,$N756)))</f>
        <v/>
      </c>
      <c r="H756">
        <f>IF($N756="","",IF(INDEX('Per Invoice'!$H$2:$H$801,$N756)="","",INDEX('Per Invoice'!$H$2:$H$801,$N756)))</f>
        <v/>
      </c>
      <c r="I756" s="5">
        <f>IF($N756="","",IF(INDEX('Per Invoice'!$I$2:$I$801,$N756)="","",INDEX('Per Invoice'!$I$2:$I$801,$N756)))</f>
        <v/>
      </c>
      <c r="J756" s="5">
        <f>IF($N756="","",IF(INDEX('Per Invoice'!$J$2:$J$801,$N756)="","",INDEX('Per Invoice'!$J$2:$J$801,$N756)))</f>
        <v/>
      </c>
      <c r="K756" s="5">
        <f>IF($N756="","",IF(INDEX('Per Invoice'!$K$2:$K$801,$N756)="","",INDEX('Per Invoice'!$K$2:$K$801,$N756)))</f>
        <v/>
      </c>
      <c r="L756" s="5">
        <f>IF($N756="","",IF(INDEX('Per Invoice'!$L$2:$L$801,$N756)="","",INDEX('Per Invoice'!$L$2:$L$801,$N756)))</f>
        <v/>
      </c>
      <c r="M756" s="5">
        <f>IF($N756="","",IF(INDEX('Per Invoice'!$M$2:$M$801,$N756)="","",INDEX('Per Invoice'!$M$2:$M$801,$N756)))</f>
        <v/>
      </c>
      <c r="N756">
        <f>IF(ROWS($N$2:$N756)&lt;=COUNT('Per Invoice'!$P$2:$P$801),MATCH(ROWS($N$2:$N756),'Per Invoice'!$P$2:$P$801,0),"")</f>
        <v/>
      </c>
    </row>
    <row r="757">
      <c r="A757">
        <f>IF($N757="","",IF(INDEX('Per Invoice'!$A$2:$A$801,$N757)="","",INDEX('Per Invoice'!$A$2:$A$801,$N757)))</f>
        <v/>
      </c>
      <c r="B757">
        <f>IF($N757="","",IF(INDEX('Per Invoice'!$B$2:$B$801,$N757)="","",INDEX('Per Invoice'!$B$2:$B$801,$N757)))</f>
        <v/>
      </c>
      <c r="C757">
        <f>IF($N757="","",IF(INDEX('Per Invoice'!$C$2:$C$801,$N757)="","",INDEX('Per Invoice'!$C$2:$C$801,$N757)))</f>
        <v/>
      </c>
      <c r="D757">
        <f>IF($N757="","",IF(INDEX('Per Invoice'!$D$2:$D$801,$N757)="","",INDEX('Per Invoice'!$D$2:$D$801,$N757)))</f>
        <v/>
      </c>
      <c r="E757">
        <f>IF($N757="","",IF(INDEX('Per Invoice'!$E$2:$E$801,$N757)="","",INDEX('Per Invoice'!$E$2:$E$801,$N757)))</f>
        <v/>
      </c>
      <c r="F757">
        <f>IF($N757="","",IF(INDEX('Per Invoice'!$F$2:$F$801,$N757)="","",INDEX('Per Invoice'!$F$2:$F$801,$N757)))</f>
        <v/>
      </c>
      <c r="G757">
        <f>IF($N757="","",IF(INDEX('Per Invoice'!$G$2:$G$801,$N757)="","",INDEX('Per Invoice'!$G$2:$G$801,$N757)))</f>
        <v/>
      </c>
      <c r="H757">
        <f>IF($N757="","",IF(INDEX('Per Invoice'!$H$2:$H$801,$N757)="","",INDEX('Per Invoice'!$H$2:$H$801,$N757)))</f>
        <v/>
      </c>
      <c r="I757" s="5">
        <f>IF($N757="","",IF(INDEX('Per Invoice'!$I$2:$I$801,$N757)="","",INDEX('Per Invoice'!$I$2:$I$801,$N757)))</f>
        <v/>
      </c>
      <c r="J757" s="5">
        <f>IF($N757="","",IF(INDEX('Per Invoice'!$J$2:$J$801,$N757)="","",INDEX('Per Invoice'!$J$2:$J$801,$N757)))</f>
        <v/>
      </c>
      <c r="K757" s="5">
        <f>IF($N757="","",IF(INDEX('Per Invoice'!$K$2:$K$801,$N757)="","",INDEX('Per Invoice'!$K$2:$K$801,$N757)))</f>
        <v/>
      </c>
      <c r="L757" s="5">
        <f>IF($N757="","",IF(INDEX('Per Invoice'!$L$2:$L$801,$N757)="","",INDEX('Per Invoice'!$L$2:$L$801,$N757)))</f>
        <v/>
      </c>
      <c r="M757" s="5">
        <f>IF($N757="","",IF(INDEX('Per Invoice'!$M$2:$M$801,$N757)="","",INDEX('Per Invoice'!$M$2:$M$801,$N757)))</f>
        <v/>
      </c>
      <c r="N757">
        <f>IF(ROWS($N$2:$N757)&lt;=COUNT('Per Invoice'!$P$2:$P$801),MATCH(ROWS($N$2:$N757),'Per Invoice'!$P$2:$P$801,0),"")</f>
        <v/>
      </c>
    </row>
    <row r="758">
      <c r="A758">
        <f>IF($N758="","",IF(INDEX('Per Invoice'!$A$2:$A$801,$N758)="","",INDEX('Per Invoice'!$A$2:$A$801,$N758)))</f>
        <v/>
      </c>
      <c r="B758">
        <f>IF($N758="","",IF(INDEX('Per Invoice'!$B$2:$B$801,$N758)="","",INDEX('Per Invoice'!$B$2:$B$801,$N758)))</f>
        <v/>
      </c>
      <c r="C758">
        <f>IF($N758="","",IF(INDEX('Per Invoice'!$C$2:$C$801,$N758)="","",INDEX('Per Invoice'!$C$2:$C$801,$N758)))</f>
        <v/>
      </c>
      <c r="D758">
        <f>IF($N758="","",IF(INDEX('Per Invoice'!$D$2:$D$801,$N758)="","",INDEX('Per Invoice'!$D$2:$D$801,$N758)))</f>
        <v/>
      </c>
      <c r="E758">
        <f>IF($N758="","",IF(INDEX('Per Invoice'!$E$2:$E$801,$N758)="","",INDEX('Per Invoice'!$E$2:$E$801,$N758)))</f>
        <v/>
      </c>
      <c r="F758">
        <f>IF($N758="","",IF(INDEX('Per Invoice'!$F$2:$F$801,$N758)="","",INDEX('Per Invoice'!$F$2:$F$801,$N758)))</f>
        <v/>
      </c>
      <c r="G758">
        <f>IF($N758="","",IF(INDEX('Per Invoice'!$G$2:$G$801,$N758)="","",INDEX('Per Invoice'!$G$2:$G$801,$N758)))</f>
        <v/>
      </c>
      <c r="H758">
        <f>IF($N758="","",IF(INDEX('Per Invoice'!$H$2:$H$801,$N758)="","",INDEX('Per Invoice'!$H$2:$H$801,$N758)))</f>
        <v/>
      </c>
      <c r="I758" s="5">
        <f>IF($N758="","",IF(INDEX('Per Invoice'!$I$2:$I$801,$N758)="","",INDEX('Per Invoice'!$I$2:$I$801,$N758)))</f>
        <v/>
      </c>
      <c r="J758" s="5">
        <f>IF($N758="","",IF(INDEX('Per Invoice'!$J$2:$J$801,$N758)="","",INDEX('Per Invoice'!$J$2:$J$801,$N758)))</f>
        <v/>
      </c>
      <c r="K758" s="5">
        <f>IF($N758="","",IF(INDEX('Per Invoice'!$K$2:$K$801,$N758)="","",INDEX('Per Invoice'!$K$2:$K$801,$N758)))</f>
        <v/>
      </c>
      <c r="L758" s="5">
        <f>IF($N758="","",IF(INDEX('Per Invoice'!$L$2:$L$801,$N758)="","",INDEX('Per Invoice'!$L$2:$L$801,$N758)))</f>
        <v/>
      </c>
      <c r="M758" s="5">
        <f>IF($N758="","",IF(INDEX('Per Invoice'!$M$2:$M$801,$N758)="","",INDEX('Per Invoice'!$M$2:$M$801,$N758)))</f>
        <v/>
      </c>
      <c r="N758">
        <f>IF(ROWS($N$2:$N758)&lt;=COUNT('Per Invoice'!$P$2:$P$801),MATCH(ROWS($N$2:$N758),'Per Invoice'!$P$2:$P$801,0),"")</f>
        <v/>
      </c>
    </row>
    <row r="759">
      <c r="A759">
        <f>IF($N759="","",IF(INDEX('Per Invoice'!$A$2:$A$801,$N759)="","",INDEX('Per Invoice'!$A$2:$A$801,$N759)))</f>
        <v/>
      </c>
      <c r="B759">
        <f>IF($N759="","",IF(INDEX('Per Invoice'!$B$2:$B$801,$N759)="","",INDEX('Per Invoice'!$B$2:$B$801,$N759)))</f>
        <v/>
      </c>
      <c r="C759">
        <f>IF($N759="","",IF(INDEX('Per Invoice'!$C$2:$C$801,$N759)="","",INDEX('Per Invoice'!$C$2:$C$801,$N759)))</f>
        <v/>
      </c>
      <c r="D759">
        <f>IF($N759="","",IF(INDEX('Per Invoice'!$D$2:$D$801,$N759)="","",INDEX('Per Invoice'!$D$2:$D$801,$N759)))</f>
        <v/>
      </c>
      <c r="E759">
        <f>IF($N759="","",IF(INDEX('Per Invoice'!$E$2:$E$801,$N759)="","",INDEX('Per Invoice'!$E$2:$E$801,$N759)))</f>
        <v/>
      </c>
      <c r="F759">
        <f>IF($N759="","",IF(INDEX('Per Invoice'!$F$2:$F$801,$N759)="","",INDEX('Per Invoice'!$F$2:$F$801,$N759)))</f>
        <v/>
      </c>
      <c r="G759">
        <f>IF($N759="","",IF(INDEX('Per Invoice'!$G$2:$G$801,$N759)="","",INDEX('Per Invoice'!$G$2:$G$801,$N759)))</f>
        <v/>
      </c>
      <c r="H759">
        <f>IF($N759="","",IF(INDEX('Per Invoice'!$H$2:$H$801,$N759)="","",INDEX('Per Invoice'!$H$2:$H$801,$N759)))</f>
        <v/>
      </c>
      <c r="I759" s="5">
        <f>IF($N759="","",IF(INDEX('Per Invoice'!$I$2:$I$801,$N759)="","",INDEX('Per Invoice'!$I$2:$I$801,$N759)))</f>
        <v/>
      </c>
      <c r="J759" s="5">
        <f>IF($N759="","",IF(INDEX('Per Invoice'!$J$2:$J$801,$N759)="","",INDEX('Per Invoice'!$J$2:$J$801,$N759)))</f>
        <v/>
      </c>
      <c r="K759" s="5">
        <f>IF($N759="","",IF(INDEX('Per Invoice'!$K$2:$K$801,$N759)="","",INDEX('Per Invoice'!$K$2:$K$801,$N759)))</f>
        <v/>
      </c>
      <c r="L759" s="5">
        <f>IF($N759="","",IF(INDEX('Per Invoice'!$L$2:$L$801,$N759)="","",INDEX('Per Invoice'!$L$2:$L$801,$N759)))</f>
        <v/>
      </c>
      <c r="M759" s="5">
        <f>IF($N759="","",IF(INDEX('Per Invoice'!$M$2:$M$801,$N759)="","",INDEX('Per Invoice'!$M$2:$M$801,$N759)))</f>
        <v/>
      </c>
      <c r="N759">
        <f>IF(ROWS($N$2:$N759)&lt;=COUNT('Per Invoice'!$P$2:$P$801),MATCH(ROWS($N$2:$N759),'Per Invoice'!$P$2:$P$801,0),"")</f>
        <v/>
      </c>
    </row>
    <row r="760">
      <c r="A760">
        <f>IF($N760="","",IF(INDEX('Per Invoice'!$A$2:$A$801,$N760)="","",INDEX('Per Invoice'!$A$2:$A$801,$N760)))</f>
        <v/>
      </c>
      <c r="B760">
        <f>IF($N760="","",IF(INDEX('Per Invoice'!$B$2:$B$801,$N760)="","",INDEX('Per Invoice'!$B$2:$B$801,$N760)))</f>
        <v/>
      </c>
      <c r="C760">
        <f>IF($N760="","",IF(INDEX('Per Invoice'!$C$2:$C$801,$N760)="","",INDEX('Per Invoice'!$C$2:$C$801,$N760)))</f>
        <v/>
      </c>
      <c r="D760">
        <f>IF($N760="","",IF(INDEX('Per Invoice'!$D$2:$D$801,$N760)="","",INDEX('Per Invoice'!$D$2:$D$801,$N760)))</f>
        <v/>
      </c>
      <c r="E760">
        <f>IF($N760="","",IF(INDEX('Per Invoice'!$E$2:$E$801,$N760)="","",INDEX('Per Invoice'!$E$2:$E$801,$N760)))</f>
        <v/>
      </c>
      <c r="F760">
        <f>IF($N760="","",IF(INDEX('Per Invoice'!$F$2:$F$801,$N760)="","",INDEX('Per Invoice'!$F$2:$F$801,$N760)))</f>
        <v/>
      </c>
      <c r="G760">
        <f>IF($N760="","",IF(INDEX('Per Invoice'!$G$2:$G$801,$N760)="","",INDEX('Per Invoice'!$G$2:$G$801,$N760)))</f>
        <v/>
      </c>
      <c r="H760">
        <f>IF($N760="","",IF(INDEX('Per Invoice'!$H$2:$H$801,$N760)="","",INDEX('Per Invoice'!$H$2:$H$801,$N760)))</f>
        <v/>
      </c>
      <c r="I760" s="5">
        <f>IF($N760="","",IF(INDEX('Per Invoice'!$I$2:$I$801,$N760)="","",INDEX('Per Invoice'!$I$2:$I$801,$N760)))</f>
        <v/>
      </c>
      <c r="J760" s="5">
        <f>IF($N760="","",IF(INDEX('Per Invoice'!$J$2:$J$801,$N760)="","",INDEX('Per Invoice'!$J$2:$J$801,$N760)))</f>
        <v/>
      </c>
      <c r="K760" s="5">
        <f>IF($N760="","",IF(INDEX('Per Invoice'!$K$2:$K$801,$N760)="","",INDEX('Per Invoice'!$K$2:$K$801,$N760)))</f>
        <v/>
      </c>
      <c r="L760" s="5">
        <f>IF($N760="","",IF(INDEX('Per Invoice'!$L$2:$L$801,$N760)="","",INDEX('Per Invoice'!$L$2:$L$801,$N760)))</f>
        <v/>
      </c>
      <c r="M760" s="5">
        <f>IF($N760="","",IF(INDEX('Per Invoice'!$M$2:$M$801,$N760)="","",INDEX('Per Invoice'!$M$2:$M$801,$N760)))</f>
        <v/>
      </c>
      <c r="N760">
        <f>IF(ROWS($N$2:$N760)&lt;=COUNT('Per Invoice'!$P$2:$P$801),MATCH(ROWS($N$2:$N760),'Per Invoice'!$P$2:$P$801,0),"")</f>
        <v/>
      </c>
    </row>
    <row r="761">
      <c r="A761">
        <f>IF($N761="","",IF(INDEX('Per Invoice'!$A$2:$A$801,$N761)="","",INDEX('Per Invoice'!$A$2:$A$801,$N761)))</f>
        <v/>
      </c>
      <c r="B761">
        <f>IF($N761="","",IF(INDEX('Per Invoice'!$B$2:$B$801,$N761)="","",INDEX('Per Invoice'!$B$2:$B$801,$N761)))</f>
        <v/>
      </c>
      <c r="C761">
        <f>IF($N761="","",IF(INDEX('Per Invoice'!$C$2:$C$801,$N761)="","",INDEX('Per Invoice'!$C$2:$C$801,$N761)))</f>
        <v/>
      </c>
      <c r="D761">
        <f>IF($N761="","",IF(INDEX('Per Invoice'!$D$2:$D$801,$N761)="","",INDEX('Per Invoice'!$D$2:$D$801,$N761)))</f>
        <v/>
      </c>
      <c r="E761">
        <f>IF($N761="","",IF(INDEX('Per Invoice'!$E$2:$E$801,$N761)="","",INDEX('Per Invoice'!$E$2:$E$801,$N761)))</f>
        <v/>
      </c>
      <c r="F761">
        <f>IF($N761="","",IF(INDEX('Per Invoice'!$F$2:$F$801,$N761)="","",INDEX('Per Invoice'!$F$2:$F$801,$N761)))</f>
        <v/>
      </c>
      <c r="G761">
        <f>IF($N761="","",IF(INDEX('Per Invoice'!$G$2:$G$801,$N761)="","",INDEX('Per Invoice'!$G$2:$G$801,$N761)))</f>
        <v/>
      </c>
      <c r="H761">
        <f>IF($N761="","",IF(INDEX('Per Invoice'!$H$2:$H$801,$N761)="","",INDEX('Per Invoice'!$H$2:$H$801,$N761)))</f>
        <v/>
      </c>
      <c r="I761" s="5">
        <f>IF($N761="","",IF(INDEX('Per Invoice'!$I$2:$I$801,$N761)="","",INDEX('Per Invoice'!$I$2:$I$801,$N761)))</f>
        <v/>
      </c>
      <c r="J761" s="5">
        <f>IF($N761="","",IF(INDEX('Per Invoice'!$J$2:$J$801,$N761)="","",INDEX('Per Invoice'!$J$2:$J$801,$N761)))</f>
        <v/>
      </c>
      <c r="K761" s="5">
        <f>IF($N761="","",IF(INDEX('Per Invoice'!$K$2:$K$801,$N761)="","",INDEX('Per Invoice'!$K$2:$K$801,$N761)))</f>
        <v/>
      </c>
      <c r="L761" s="5">
        <f>IF($N761="","",IF(INDEX('Per Invoice'!$L$2:$L$801,$N761)="","",INDEX('Per Invoice'!$L$2:$L$801,$N761)))</f>
        <v/>
      </c>
      <c r="M761" s="5">
        <f>IF($N761="","",IF(INDEX('Per Invoice'!$M$2:$M$801,$N761)="","",INDEX('Per Invoice'!$M$2:$M$801,$N761)))</f>
        <v/>
      </c>
      <c r="N761">
        <f>IF(ROWS($N$2:$N761)&lt;=COUNT('Per Invoice'!$P$2:$P$801),MATCH(ROWS($N$2:$N761),'Per Invoice'!$P$2:$P$801,0),"")</f>
        <v/>
      </c>
    </row>
    <row r="762">
      <c r="A762">
        <f>IF($N762="","",IF(INDEX('Per Invoice'!$A$2:$A$801,$N762)="","",INDEX('Per Invoice'!$A$2:$A$801,$N762)))</f>
        <v/>
      </c>
      <c r="B762">
        <f>IF($N762="","",IF(INDEX('Per Invoice'!$B$2:$B$801,$N762)="","",INDEX('Per Invoice'!$B$2:$B$801,$N762)))</f>
        <v/>
      </c>
      <c r="C762">
        <f>IF($N762="","",IF(INDEX('Per Invoice'!$C$2:$C$801,$N762)="","",INDEX('Per Invoice'!$C$2:$C$801,$N762)))</f>
        <v/>
      </c>
      <c r="D762">
        <f>IF($N762="","",IF(INDEX('Per Invoice'!$D$2:$D$801,$N762)="","",INDEX('Per Invoice'!$D$2:$D$801,$N762)))</f>
        <v/>
      </c>
      <c r="E762">
        <f>IF($N762="","",IF(INDEX('Per Invoice'!$E$2:$E$801,$N762)="","",INDEX('Per Invoice'!$E$2:$E$801,$N762)))</f>
        <v/>
      </c>
      <c r="F762">
        <f>IF($N762="","",IF(INDEX('Per Invoice'!$F$2:$F$801,$N762)="","",INDEX('Per Invoice'!$F$2:$F$801,$N762)))</f>
        <v/>
      </c>
      <c r="G762">
        <f>IF($N762="","",IF(INDEX('Per Invoice'!$G$2:$G$801,$N762)="","",INDEX('Per Invoice'!$G$2:$G$801,$N762)))</f>
        <v/>
      </c>
      <c r="H762">
        <f>IF($N762="","",IF(INDEX('Per Invoice'!$H$2:$H$801,$N762)="","",INDEX('Per Invoice'!$H$2:$H$801,$N762)))</f>
        <v/>
      </c>
      <c r="I762" s="5">
        <f>IF($N762="","",IF(INDEX('Per Invoice'!$I$2:$I$801,$N762)="","",INDEX('Per Invoice'!$I$2:$I$801,$N762)))</f>
        <v/>
      </c>
      <c r="J762" s="5">
        <f>IF($N762="","",IF(INDEX('Per Invoice'!$J$2:$J$801,$N762)="","",INDEX('Per Invoice'!$J$2:$J$801,$N762)))</f>
        <v/>
      </c>
      <c r="K762" s="5">
        <f>IF($N762="","",IF(INDEX('Per Invoice'!$K$2:$K$801,$N762)="","",INDEX('Per Invoice'!$K$2:$K$801,$N762)))</f>
        <v/>
      </c>
      <c r="L762" s="5">
        <f>IF($N762="","",IF(INDEX('Per Invoice'!$L$2:$L$801,$N762)="","",INDEX('Per Invoice'!$L$2:$L$801,$N762)))</f>
        <v/>
      </c>
      <c r="M762" s="5">
        <f>IF($N762="","",IF(INDEX('Per Invoice'!$M$2:$M$801,$N762)="","",INDEX('Per Invoice'!$M$2:$M$801,$N762)))</f>
        <v/>
      </c>
      <c r="N762">
        <f>IF(ROWS($N$2:$N762)&lt;=COUNT('Per Invoice'!$P$2:$P$801),MATCH(ROWS($N$2:$N762),'Per Invoice'!$P$2:$P$801,0),"")</f>
        <v/>
      </c>
    </row>
    <row r="763">
      <c r="A763">
        <f>IF($N763="","",IF(INDEX('Per Invoice'!$A$2:$A$801,$N763)="","",INDEX('Per Invoice'!$A$2:$A$801,$N763)))</f>
        <v/>
      </c>
      <c r="B763">
        <f>IF($N763="","",IF(INDEX('Per Invoice'!$B$2:$B$801,$N763)="","",INDEX('Per Invoice'!$B$2:$B$801,$N763)))</f>
        <v/>
      </c>
      <c r="C763">
        <f>IF($N763="","",IF(INDEX('Per Invoice'!$C$2:$C$801,$N763)="","",INDEX('Per Invoice'!$C$2:$C$801,$N763)))</f>
        <v/>
      </c>
      <c r="D763">
        <f>IF($N763="","",IF(INDEX('Per Invoice'!$D$2:$D$801,$N763)="","",INDEX('Per Invoice'!$D$2:$D$801,$N763)))</f>
        <v/>
      </c>
      <c r="E763">
        <f>IF($N763="","",IF(INDEX('Per Invoice'!$E$2:$E$801,$N763)="","",INDEX('Per Invoice'!$E$2:$E$801,$N763)))</f>
        <v/>
      </c>
      <c r="F763">
        <f>IF($N763="","",IF(INDEX('Per Invoice'!$F$2:$F$801,$N763)="","",INDEX('Per Invoice'!$F$2:$F$801,$N763)))</f>
        <v/>
      </c>
      <c r="G763">
        <f>IF($N763="","",IF(INDEX('Per Invoice'!$G$2:$G$801,$N763)="","",INDEX('Per Invoice'!$G$2:$G$801,$N763)))</f>
        <v/>
      </c>
      <c r="H763">
        <f>IF($N763="","",IF(INDEX('Per Invoice'!$H$2:$H$801,$N763)="","",INDEX('Per Invoice'!$H$2:$H$801,$N763)))</f>
        <v/>
      </c>
      <c r="I763" s="5">
        <f>IF($N763="","",IF(INDEX('Per Invoice'!$I$2:$I$801,$N763)="","",INDEX('Per Invoice'!$I$2:$I$801,$N763)))</f>
        <v/>
      </c>
      <c r="J763" s="5">
        <f>IF($N763="","",IF(INDEX('Per Invoice'!$J$2:$J$801,$N763)="","",INDEX('Per Invoice'!$J$2:$J$801,$N763)))</f>
        <v/>
      </c>
      <c r="K763" s="5">
        <f>IF($N763="","",IF(INDEX('Per Invoice'!$K$2:$K$801,$N763)="","",INDEX('Per Invoice'!$K$2:$K$801,$N763)))</f>
        <v/>
      </c>
      <c r="L763" s="5">
        <f>IF($N763="","",IF(INDEX('Per Invoice'!$L$2:$L$801,$N763)="","",INDEX('Per Invoice'!$L$2:$L$801,$N763)))</f>
        <v/>
      </c>
      <c r="M763" s="5">
        <f>IF($N763="","",IF(INDEX('Per Invoice'!$M$2:$M$801,$N763)="","",INDEX('Per Invoice'!$M$2:$M$801,$N763)))</f>
        <v/>
      </c>
      <c r="N763">
        <f>IF(ROWS($N$2:$N763)&lt;=COUNT('Per Invoice'!$P$2:$P$801),MATCH(ROWS($N$2:$N763),'Per Invoice'!$P$2:$P$801,0),"")</f>
        <v/>
      </c>
    </row>
    <row r="764">
      <c r="A764">
        <f>IF($N764="","",IF(INDEX('Per Invoice'!$A$2:$A$801,$N764)="","",INDEX('Per Invoice'!$A$2:$A$801,$N764)))</f>
        <v/>
      </c>
      <c r="B764">
        <f>IF($N764="","",IF(INDEX('Per Invoice'!$B$2:$B$801,$N764)="","",INDEX('Per Invoice'!$B$2:$B$801,$N764)))</f>
        <v/>
      </c>
      <c r="C764">
        <f>IF($N764="","",IF(INDEX('Per Invoice'!$C$2:$C$801,$N764)="","",INDEX('Per Invoice'!$C$2:$C$801,$N764)))</f>
        <v/>
      </c>
      <c r="D764">
        <f>IF($N764="","",IF(INDEX('Per Invoice'!$D$2:$D$801,$N764)="","",INDEX('Per Invoice'!$D$2:$D$801,$N764)))</f>
        <v/>
      </c>
      <c r="E764">
        <f>IF($N764="","",IF(INDEX('Per Invoice'!$E$2:$E$801,$N764)="","",INDEX('Per Invoice'!$E$2:$E$801,$N764)))</f>
        <v/>
      </c>
      <c r="F764">
        <f>IF($N764="","",IF(INDEX('Per Invoice'!$F$2:$F$801,$N764)="","",INDEX('Per Invoice'!$F$2:$F$801,$N764)))</f>
        <v/>
      </c>
      <c r="G764">
        <f>IF($N764="","",IF(INDEX('Per Invoice'!$G$2:$G$801,$N764)="","",INDEX('Per Invoice'!$G$2:$G$801,$N764)))</f>
        <v/>
      </c>
      <c r="H764">
        <f>IF($N764="","",IF(INDEX('Per Invoice'!$H$2:$H$801,$N764)="","",INDEX('Per Invoice'!$H$2:$H$801,$N764)))</f>
        <v/>
      </c>
      <c r="I764" s="5">
        <f>IF($N764="","",IF(INDEX('Per Invoice'!$I$2:$I$801,$N764)="","",INDEX('Per Invoice'!$I$2:$I$801,$N764)))</f>
        <v/>
      </c>
      <c r="J764" s="5">
        <f>IF($N764="","",IF(INDEX('Per Invoice'!$J$2:$J$801,$N764)="","",INDEX('Per Invoice'!$J$2:$J$801,$N764)))</f>
        <v/>
      </c>
      <c r="K764" s="5">
        <f>IF($N764="","",IF(INDEX('Per Invoice'!$K$2:$K$801,$N764)="","",INDEX('Per Invoice'!$K$2:$K$801,$N764)))</f>
        <v/>
      </c>
      <c r="L764" s="5">
        <f>IF($N764="","",IF(INDEX('Per Invoice'!$L$2:$L$801,$N764)="","",INDEX('Per Invoice'!$L$2:$L$801,$N764)))</f>
        <v/>
      </c>
      <c r="M764" s="5">
        <f>IF($N764="","",IF(INDEX('Per Invoice'!$M$2:$M$801,$N764)="","",INDEX('Per Invoice'!$M$2:$M$801,$N764)))</f>
        <v/>
      </c>
      <c r="N764">
        <f>IF(ROWS($N$2:$N764)&lt;=COUNT('Per Invoice'!$P$2:$P$801),MATCH(ROWS($N$2:$N764),'Per Invoice'!$P$2:$P$801,0),"")</f>
        <v/>
      </c>
    </row>
    <row r="765">
      <c r="A765">
        <f>IF($N765="","",IF(INDEX('Per Invoice'!$A$2:$A$801,$N765)="","",INDEX('Per Invoice'!$A$2:$A$801,$N765)))</f>
        <v/>
      </c>
      <c r="B765">
        <f>IF($N765="","",IF(INDEX('Per Invoice'!$B$2:$B$801,$N765)="","",INDEX('Per Invoice'!$B$2:$B$801,$N765)))</f>
        <v/>
      </c>
      <c r="C765">
        <f>IF($N765="","",IF(INDEX('Per Invoice'!$C$2:$C$801,$N765)="","",INDEX('Per Invoice'!$C$2:$C$801,$N765)))</f>
        <v/>
      </c>
      <c r="D765">
        <f>IF($N765="","",IF(INDEX('Per Invoice'!$D$2:$D$801,$N765)="","",INDEX('Per Invoice'!$D$2:$D$801,$N765)))</f>
        <v/>
      </c>
      <c r="E765">
        <f>IF($N765="","",IF(INDEX('Per Invoice'!$E$2:$E$801,$N765)="","",INDEX('Per Invoice'!$E$2:$E$801,$N765)))</f>
        <v/>
      </c>
      <c r="F765">
        <f>IF($N765="","",IF(INDEX('Per Invoice'!$F$2:$F$801,$N765)="","",INDEX('Per Invoice'!$F$2:$F$801,$N765)))</f>
        <v/>
      </c>
      <c r="G765">
        <f>IF($N765="","",IF(INDEX('Per Invoice'!$G$2:$G$801,$N765)="","",INDEX('Per Invoice'!$G$2:$G$801,$N765)))</f>
        <v/>
      </c>
      <c r="H765">
        <f>IF($N765="","",IF(INDEX('Per Invoice'!$H$2:$H$801,$N765)="","",INDEX('Per Invoice'!$H$2:$H$801,$N765)))</f>
        <v/>
      </c>
      <c r="I765" s="5">
        <f>IF($N765="","",IF(INDEX('Per Invoice'!$I$2:$I$801,$N765)="","",INDEX('Per Invoice'!$I$2:$I$801,$N765)))</f>
        <v/>
      </c>
      <c r="J765" s="5">
        <f>IF($N765="","",IF(INDEX('Per Invoice'!$J$2:$J$801,$N765)="","",INDEX('Per Invoice'!$J$2:$J$801,$N765)))</f>
        <v/>
      </c>
      <c r="K765" s="5">
        <f>IF($N765="","",IF(INDEX('Per Invoice'!$K$2:$K$801,$N765)="","",INDEX('Per Invoice'!$K$2:$K$801,$N765)))</f>
        <v/>
      </c>
      <c r="L765" s="5">
        <f>IF($N765="","",IF(INDEX('Per Invoice'!$L$2:$L$801,$N765)="","",INDEX('Per Invoice'!$L$2:$L$801,$N765)))</f>
        <v/>
      </c>
      <c r="M765" s="5">
        <f>IF($N765="","",IF(INDEX('Per Invoice'!$M$2:$M$801,$N765)="","",INDEX('Per Invoice'!$M$2:$M$801,$N765)))</f>
        <v/>
      </c>
      <c r="N765">
        <f>IF(ROWS($N$2:$N765)&lt;=COUNT('Per Invoice'!$P$2:$P$801),MATCH(ROWS($N$2:$N765),'Per Invoice'!$P$2:$P$801,0),"")</f>
        <v/>
      </c>
    </row>
    <row r="766">
      <c r="A766">
        <f>IF($N766="","",IF(INDEX('Per Invoice'!$A$2:$A$801,$N766)="","",INDEX('Per Invoice'!$A$2:$A$801,$N766)))</f>
        <v/>
      </c>
      <c r="B766">
        <f>IF($N766="","",IF(INDEX('Per Invoice'!$B$2:$B$801,$N766)="","",INDEX('Per Invoice'!$B$2:$B$801,$N766)))</f>
        <v/>
      </c>
      <c r="C766">
        <f>IF($N766="","",IF(INDEX('Per Invoice'!$C$2:$C$801,$N766)="","",INDEX('Per Invoice'!$C$2:$C$801,$N766)))</f>
        <v/>
      </c>
      <c r="D766">
        <f>IF($N766="","",IF(INDEX('Per Invoice'!$D$2:$D$801,$N766)="","",INDEX('Per Invoice'!$D$2:$D$801,$N766)))</f>
        <v/>
      </c>
      <c r="E766">
        <f>IF($N766="","",IF(INDEX('Per Invoice'!$E$2:$E$801,$N766)="","",INDEX('Per Invoice'!$E$2:$E$801,$N766)))</f>
        <v/>
      </c>
      <c r="F766">
        <f>IF($N766="","",IF(INDEX('Per Invoice'!$F$2:$F$801,$N766)="","",INDEX('Per Invoice'!$F$2:$F$801,$N766)))</f>
        <v/>
      </c>
      <c r="G766">
        <f>IF($N766="","",IF(INDEX('Per Invoice'!$G$2:$G$801,$N766)="","",INDEX('Per Invoice'!$G$2:$G$801,$N766)))</f>
        <v/>
      </c>
      <c r="H766">
        <f>IF($N766="","",IF(INDEX('Per Invoice'!$H$2:$H$801,$N766)="","",INDEX('Per Invoice'!$H$2:$H$801,$N766)))</f>
        <v/>
      </c>
      <c r="I766" s="5">
        <f>IF($N766="","",IF(INDEX('Per Invoice'!$I$2:$I$801,$N766)="","",INDEX('Per Invoice'!$I$2:$I$801,$N766)))</f>
        <v/>
      </c>
      <c r="J766" s="5">
        <f>IF($N766="","",IF(INDEX('Per Invoice'!$J$2:$J$801,$N766)="","",INDEX('Per Invoice'!$J$2:$J$801,$N766)))</f>
        <v/>
      </c>
      <c r="K766" s="5">
        <f>IF($N766="","",IF(INDEX('Per Invoice'!$K$2:$K$801,$N766)="","",INDEX('Per Invoice'!$K$2:$K$801,$N766)))</f>
        <v/>
      </c>
      <c r="L766" s="5">
        <f>IF($N766="","",IF(INDEX('Per Invoice'!$L$2:$L$801,$N766)="","",INDEX('Per Invoice'!$L$2:$L$801,$N766)))</f>
        <v/>
      </c>
      <c r="M766" s="5">
        <f>IF($N766="","",IF(INDEX('Per Invoice'!$M$2:$M$801,$N766)="","",INDEX('Per Invoice'!$M$2:$M$801,$N766)))</f>
        <v/>
      </c>
      <c r="N766">
        <f>IF(ROWS($N$2:$N766)&lt;=COUNT('Per Invoice'!$P$2:$P$801),MATCH(ROWS($N$2:$N766),'Per Invoice'!$P$2:$P$801,0),"")</f>
        <v/>
      </c>
    </row>
    <row r="767">
      <c r="A767">
        <f>IF($N767="","",IF(INDEX('Per Invoice'!$A$2:$A$801,$N767)="","",INDEX('Per Invoice'!$A$2:$A$801,$N767)))</f>
        <v/>
      </c>
      <c r="B767">
        <f>IF($N767="","",IF(INDEX('Per Invoice'!$B$2:$B$801,$N767)="","",INDEX('Per Invoice'!$B$2:$B$801,$N767)))</f>
        <v/>
      </c>
      <c r="C767">
        <f>IF($N767="","",IF(INDEX('Per Invoice'!$C$2:$C$801,$N767)="","",INDEX('Per Invoice'!$C$2:$C$801,$N767)))</f>
        <v/>
      </c>
      <c r="D767">
        <f>IF($N767="","",IF(INDEX('Per Invoice'!$D$2:$D$801,$N767)="","",INDEX('Per Invoice'!$D$2:$D$801,$N767)))</f>
        <v/>
      </c>
      <c r="E767">
        <f>IF($N767="","",IF(INDEX('Per Invoice'!$E$2:$E$801,$N767)="","",INDEX('Per Invoice'!$E$2:$E$801,$N767)))</f>
        <v/>
      </c>
      <c r="F767">
        <f>IF($N767="","",IF(INDEX('Per Invoice'!$F$2:$F$801,$N767)="","",INDEX('Per Invoice'!$F$2:$F$801,$N767)))</f>
        <v/>
      </c>
      <c r="G767">
        <f>IF($N767="","",IF(INDEX('Per Invoice'!$G$2:$G$801,$N767)="","",INDEX('Per Invoice'!$G$2:$G$801,$N767)))</f>
        <v/>
      </c>
      <c r="H767">
        <f>IF($N767="","",IF(INDEX('Per Invoice'!$H$2:$H$801,$N767)="","",INDEX('Per Invoice'!$H$2:$H$801,$N767)))</f>
        <v/>
      </c>
      <c r="I767" s="5">
        <f>IF($N767="","",IF(INDEX('Per Invoice'!$I$2:$I$801,$N767)="","",INDEX('Per Invoice'!$I$2:$I$801,$N767)))</f>
        <v/>
      </c>
      <c r="J767" s="5">
        <f>IF($N767="","",IF(INDEX('Per Invoice'!$J$2:$J$801,$N767)="","",INDEX('Per Invoice'!$J$2:$J$801,$N767)))</f>
        <v/>
      </c>
      <c r="K767" s="5">
        <f>IF($N767="","",IF(INDEX('Per Invoice'!$K$2:$K$801,$N767)="","",INDEX('Per Invoice'!$K$2:$K$801,$N767)))</f>
        <v/>
      </c>
      <c r="L767" s="5">
        <f>IF($N767="","",IF(INDEX('Per Invoice'!$L$2:$L$801,$N767)="","",INDEX('Per Invoice'!$L$2:$L$801,$N767)))</f>
        <v/>
      </c>
      <c r="M767" s="5">
        <f>IF($N767="","",IF(INDEX('Per Invoice'!$M$2:$M$801,$N767)="","",INDEX('Per Invoice'!$M$2:$M$801,$N767)))</f>
        <v/>
      </c>
      <c r="N767">
        <f>IF(ROWS($N$2:$N767)&lt;=COUNT('Per Invoice'!$P$2:$P$801),MATCH(ROWS($N$2:$N767),'Per Invoice'!$P$2:$P$801,0),"")</f>
        <v/>
      </c>
    </row>
    <row r="768">
      <c r="A768">
        <f>IF($N768="","",IF(INDEX('Per Invoice'!$A$2:$A$801,$N768)="","",INDEX('Per Invoice'!$A$2:$A$801,$N768)))</f>
        <v/>
      </c>
      <c r="B768">
        <f>IF($N768="","",IF(INDEX('Per Invoice'!$B$2:$B$801,$N768)="","",INDEX('Per Invoice'!$B$2:$B$801,$N768)))</f>
        <v/>
      </c>
      <c r="C768">
        <f>IF($N768="","",IF(INDEX('Per Invoice'!$C$2:$C$801,$N768)="","",INDEX('Per Invoice'!$C$2:$C$801,$N768)))</f>
        <v/>
      </c>
      <c r="D768">
        <f>IF($N768="","",IF(INDEX('Per Invoice'!$D$2:$D$801,$N768)="","",INDEX('Per Invoice'!$D$2:$D$801,$N768)))</f>
        <v/>
      </c>
      <c r="E768">
        <f>IF($N768="","",IF(INDEX('Per Invoice'!$E$2:$E$801,$N768)="","",INDEX('Per Invoice'!$E$2:$E$801,$N768)))</f>
        <v/>
      </c>
      <c r="F768">
        <f>IF($N768="","",IF(INDEX('Per Invoice'!$F$2:$F$801,$N768)="","",INDEX('Per Invoice'!$F$2:$F$801,$N768)))</f>
        <v/>
      </c>
      <c r="G768">
        <f>IF($N768="","",IF(INDEX('Per Invoice'!$G$2:$G$801,$N768)="","",INDEX('Per Invoice'!$G$2:$G$801,$N768)))</f>
        <v/>
      </c>
      <c r="H768">
        <f>IF($N768="","",IF(INDEX('Per Invoice'!$H$2:$H$801,$N768)="","",INDEX('Per Invoice'!$H$2:$H$801,$N768)))</f>
        <v/>
      </c>
      <c r="I768" s="5">
        <f>IF($N768="","",IF(INDEX('Per Invoice'!$I$2:$I$801,$N768)="","",INDEX('Per Invoice'!$I$2:$I$801,$N768)))</f>
        <v/>
      </c>
      <c r="J768" s="5">
        <f>IF($N768="","",IF(INDEX('Per Invoice'!$J$2:$J$801,$N768)="","",INDEX('Per Invoice'!$J$2:$J$801,$N768)))</f>
        <v/>
      </c>
      <c r="K768" s="5">
        <f>IF($N768="","",IF(INDEX('Per Invoice'!$K$2:$K$801,$N768)="","",INDEX('Per Invoice'!$K$2:$K$801,$N768)))</f>
        <v/>
      </c>
      <c r="L768" s="5">
        <f>IF($N768="","",IF(INDEX('Per Invoice'!$L$2:$L$801,$N768)="","",INDEX('Per Invoice'!$L$2:$L$801,$N768)))</f>
        <v/>
      </c>
      <c r="M768" s="5">
        <f>IF($N768="","",IF(INDEX('Per Invoice'!$M$2:$M$801,$N768)="","",INDEX('Per Invoice'!$M$2:$M$801,$N768)))</f>
        <v/>
      </c>
      <c r="N768">
        <f>IF(ROWS($N$2:$N768)&lt;=COUNT('Per Invoice'!$P$2:$P$801),MATCH(ROWS($N$2:$N768),'Per Invoice'!$P$2:$P$801,0),"")</f>
        <v/>
      </c>
    </row>
    <row r="769">
      <c r="A769">
        <f>IF($N769="","",IF(INDEX('Per Invoice'!$A$2:$A$801,$N769)="","",INDEX('Per Invoice'!$A$2:$A$801,$N769)))</f>
        <v/>
      </c>
      <c r="B769">
        <f>IF($N769="","",IF(INDEX('Per Invoice'!$B$2:$B$801,$N769)="","",INDEX('Per Invoice'!$B$2:$B$801,$N769)))</f>
        <v/>
      </c>
      <c r="C769">
        <f>IF($N769="","",IF(INDEX('Per Invoice'!$C$2:$C$801,$N769)="","",INDEX('Per Invoice'!$C$2:$C$801,$N769)))</f>
        <v/>
      </c>
      <c r="D769">
        <f>IF($N769="","",IF(INDEX('Per Invoice'!$D$2:$D$801,$N769)="","",INDEX('Per Invoice'!$D$2:$D$801,$N769)))</f>
        <v/>
      </c>
      <c r="E769">
        <f>IF($N769="","",IF(INDEX('Per Invoice'!$E$2:$E$801,$N769)="","",INDEX('Per Invoice'!$E$2:$E$801,$N769)))</f>
        <v/>
      </c>
      <c r="F769">
        <f>IF($N769="","",IF(INDEX('Per Invoice'!$F$2:$F$801,$N769)="","",INDEX('Per Invoice'!$F$2:$F$801,$N769)))</f>
        <v/>
      </c>
      <c r="G769">
        <f>IF($N769="","",IF(INDEX('Per Invoice'!$G$2:$G$801,$N769)="","",INDEX('Per Invoice'!$G$2:$G$801,$N769)))</f>
        <v/>
      </c>
      <c r="H769">
        <f>IF($N769="","",IF(INDEX('Per Invoice'!$H$2:$H$801,$N769)="","",INDEX('Per Invoice'!$H$2:$H$801,$N769)))</f>
        <v/>
      </c>
      <c r="I769" s="5">
        <f>IF($N769="","",IF(INDEX('Per Invoice'!$I$2:$I$801,$N769)="","",INDEX('Per Invoice'!$I$2:$I$801,$N769)))</f>
        <v/>
      </c>
      <c r="J769" s="5">
        <f>IF($N769="","",IF(INDEX('Per Invoice'!$J$2:$J$801,$N769)="","",INDEX('Per Invoice'!$J$2:$J$801,$N769)))</f>
        <v/>
      </c>
      <c r="K769" s="5">
        <f>IF($N769="","",IF(INDEX('Per Invoice'!$K$2:$K$801,$N769)="","",INDEX('Per Invoice'!$K$2:$K$801,$N769)))</f>
        <v/>
      </c>
      <c r="L769" s="5">
        <f>IF($N769="","",IF(INDEX('Per Invoice'!$L$2:$L$801,$N769)="","",INDEX('Per Invoice'!$L$2:$L$801,$N769)))</f>
        <v/>
      </c>
      <c r="M769" s="5">
        <f>IF($N769="","",IF(INDEX('Per Invoice'!$M$2:$M$801,$N769)="","",INDEX('Per Invoice'!$M$2:$M$801,$N769)))</f>
        <v/>
      </c>
      <c r="N769">
        <f>IF(ROWS($N$2:$N769)&lt;=COUNT('Per Invoice'!$P$2:$P$801),MATCH(ROWS($N$2:$N769),'Per Invoice'!$P$2:$P$801,0),"")</f>
        <v/>
      </c>
    </row>
    <row r="770">
      <c r="A770">
        <f>IF($N770="","",IF(INDEX('Per Invoice'!$A$2:$A$801,$N770)="","",INDEX('Per Invoice'!$A$2:$A$801,$N770)))</f>
        <v/>
      </c>
      <c r="B770">
        <f>IF($N770="","",IF(INDEX('Per Invoice'!$B$2:$B$801,$N770)="","",INDEX('Per Invoice'!$B$2:$B$801,$N770)))</f>
        <v/>
      </c>
      <c r="C770">
        <f>IF($N770="","",IF(INDEX('Per Invoice'!$C$2:$C$801,$N770)="","",INDEX('Per Invoice'!$C$2:$C$801,$N770)))</f>
        <v/>
      </c>
      <c r="D770">
        <f>IF($N770="","",IF(INDEX('Per Invoice'!$D$2:$D$801,$N770)="","",INDEX('Per Invoice'!$D$2:$D$801,$N770)))</f>
        <v/>
      </c>
      <c r="E770">
        <f>IF($N770="","",IF(INDEX('Per Invoice'!$E$2:$E$801,$N770)="","",INDEX('Per Invoice'!$E$2:$E$801,$N770)))</f>
        <v/>
      </c>
      <c r="F770">
        <f>IF($N770="","",IF(INDEX('Per Invoice'!$F$2:$F$801,$N770)="","",INDEX('Per Invoice'!$F$2:$F$801,$N770)))</f>
        <v/>
      </c>
      <c r="G770">
        <f>IF($N770="","",IF(INDEX('Per Invoice'!$G$2:$G$801,$N770)="","",INDEX('Per Invoice'!$G$2:$G$801,$N770)))</f>
        <v/>
      </c>
      <c r="H770">
        <f>IF($N770="","",IF(INDEX('Per Invoice'!$H$2:$H$801,$N770)="","",INDEX('Per Invoice'!$H$2:$H$801,$N770)))</f>
        <v/>
      </c>
      <c r="I770" s="5">
        <f>IF($N770="","",IF(INDEX('Per Invoice'!$I$2:$I$801,$N770)="","",INDEX('Per Invoice'!$I$2:$I$801,$N770)))</f>
        <v/>
      </c>
      <c r="J770" s="5">
        <f>IF($N770="","",IF(INDEX('Per Invoice'!$J$2:$J$801,$N770)="","",INDEX('Per Invoice'!$J$2:$J$801,$N770)))</f>
        <v/>
      </c>
      <c r="K770" s="5">
        <f>IF($N770="","",IF(INDEX('Per Invoice'!$K$2:$K$801,$N770)="","",INDEX('Per Invoice'!$K$2:$K$801,$N770)))</f>
        <v/>
      </c>
      <c r="L770" s="5">
        <f>IF($N770="","",IF(INDEX('Per Invoice'!$L$2:$L$801,$N770)="","",INDEX('Per Invoice'!$L$2:$L$801,$N770)))</f>
        <v/>
      </c>
      <c r="M770" s="5">
        <f>IF($N770="","",IF(INDEX('Per Invoice'!$M$2:$M$801,$N770)="","",INDEX('Per Invoice'!$M$2:$M$801,$N770)))</f>
        <v/>
      </c>
      <c r="N770">
        <f>IF(ROWS($N$2:$N770)&lt;=COUNT('Per Invoice'!$P$2:$P$801),MATCH(ROWS($N$2:$N770),'Per Invoice'!$P$2:$P$801,0),"")</f>
        <v/>
      </c>
    </row>
    <row r="771">
      <c r="A771">
        <f>IF($N771="","",IF(INDEX('Per Invoice'!$A$2:$A$801,$N771)="","",INDEX('Per Invoice'!$A$2:$A$801,$N771)))</f>
        <v/>
      </c>
      <c r="B771">
        <f>IF($N771="","",IF(INDEX('Per Invoice'!$B$2:$B$801,$N771)="","",INDEX('Per Invoice'!$B$2:$B$801,$N771)))</f>
        <v/>
      </c>
      <c r="C771">
        <f>IF($N771="","",IF(INDEX('Per Invoice'!$C$2:$C$801,$N771)="","",INDEX('Per Invoice'!$C$2:$C$801,$N771)))</f>
        <v/>
      </c>
      <c r="D771">
        <f>IF($N771="","",IF(INDEX('Per Invoice'!$D$2:$D$801,$N771)="","",INDEX('Per Invoice'!$D$2:$D$801,$N771)))</f>
        <v/>
      </c>
      <c r="E771">
        <f>IF($N771="","",IF(INDEX('Per Invoice'!$E$2:$E$801,$N771)="","",INDEX('Per Invoice'!$E$2:$E$801,$N771)))</f>
        <v/>
      </c>
      <c r="F771">
        <f>IF($N771="","",IF(INDEX('Per Invoice'!$F$2:$F$801,$N771)="","",INDEX('Per Invoice'!$F$2:$F$801,$N771)))</f>
        <v/>
      </c>
      <c r="G771">
        <f>IF($N771="","",IF(INDEX('Per Invoice'!$G$2:$G$801,$N771)="","",INDEX('Per Invoice'!$G$2:$G$801,$N771)))</f>
        <v/>
      </c>
      <c r="H771">
        <f>IF($N771="","",IF(INDEX('Per Invoice'!$H$2:$H$801,$N771)="","",INDEX('Per Invoice'!$H$2:$H$801,$N771)))</f>
        <v/>
      </c>
      <c r="I771" s="5">
        <f>IF($N771="","",IF(INDEX('Per Invoice'!$I$2:$I$801,$N771)="","",INDEX('Per Invoice'!$I$2:$I$801,$N771)))</f>
        <v/>
      </c>
      <c r="J771" s="5">
        <f>IF($N771="","",IF(INDEX('Per Invoice'!$J$2:$J$801,$N771)="","",INDEX('Per Invoice'!$J$2:$J$801,$N771)))</f>
        <v/>
      </c>
      <c r="K771" s="5">
        <f>IF($N771="","",IF(INDEX('Per Invoice'!$K$2:$K$801,$N771)="","",INDEX('Per Invoice'!$K$2:$K$801,$N771)))</f>
        <v/>
      </c>
      <c r="L771" s="5">
        <f>IF($N771="","",IF(INDEX('Per Invoice'!$L$2:$L$801,$N771)="","",INDEX('Per Invoice'!$L$2:$L$801,$N771)))</f>
        <v/>
      </c>
      <c r="M771" s="5">
        <f>IF($N771="","",IF(INDEX('Per Invoice'!$M$2:$M$801,$N771)="","",INDEX('Per Invoice'!$M$2:$M$801,$N771)))</f>
        <v/>
      </c>
      <c r="N771">
        <f>IF(ROWS($N$2:$N771)&lt;=COUNT('Per Invoice'!$P$2:$P$801),MATCH(ROWS($N$2:$N771),'Per Invoice'!$P$2:$P$801,0),"")</f>
        <v/>
      </c>
    </row>
    <row r="772">
      <c r="A772">
        <f>IF($N772="","",IF(INDEX('Per Invoice'!$A$2:$A$801,$N772)="","",INDEX('Per Invoice'!$A$2:$A$801,$N772)))</f>
        <v/>
      </c>
      <c r="B772">
        <f>IF($N772="","",IF(INDEX('Per Invoice'!$B$2:$B$801,$N772)="","",INDEX('Per Invoice'!$B$2:$B$801,$N772)))</f>
        <v/>
      </c>
      <c r="C772">
        <f>IF($N772="","",IF(INDEX('Per Invoice'!$C$2:$C$801,$N772)="","",INDEX('Per Invoice'!$C$2:$C$801,$N772)))</f>
        <v/>
      </c>
      <c r="D772">
        <f>IF($N772="","",IF(INDEX('Per Invoice'!$D$2:$D$801,$N772)="","",INDEX('Per Invoice'!$D$2:$D$801,$N772)))</f>
        <v/>
      </c>
      <c r="E772">
        <f>IF($N772="","",IF(INDEX('Per Invoice'!$E$2:$E$801,$N772)="","",INDEX('Per Invoice'!$E$2:$E$801,$N772)))</f>
        <v/>
      </c>
      <c r="F772">
        <f>IF($N772="","",IF(INDEX('Per Invoice'!$F$2:$F$801,$N772)="","",INDEX('Per Invoice'!$F$2:$F$801,$N772)))</f>
        <v/>
      </c>
      <c r="G772">
        <f>IF($N772="","",IF(INDEX('Per Invoice'!$G$2:$G$801,$N772)="","",INDEX('Per Invoice'!$G$2:$G$801,$N772)))</f>
        <v/>
      </c>
      <c r="H772">
        <f>IF($N772="","",IF(INDEX('Per Invoice'!$H$2:$H$801,$N772)="","",INDEX('Per Invoice'!$H$2:$H$801,$N772)))</f>
        <v/>
      </c>
      <c r="I772" s="5">
        <f>IF($N772="","",IF(INDEX('Per Invoice'!$I$2:$I$801,$N772)="","",INDEX('Per Invoice'!$I$2:$I$801,$N772)))</f>
        <v/>
      </c>
      <c r="J772" s="5">
        <f>IF($N772="","",IF(INDEX('Per Invoice'!$J$2:$J$801,$N772)="","",INDEX('Per Invoice'!$J$2:$J$801,$N772)))</f>
        <v/>
      </c>
      <c r="K772" s="5">
        <f>IF($N772="","",IF(INDEX('Per Invoice'!$K$2:$K$801,$N772)="","",INDEX('Per Invoice'!$K$2:$K$801,$N772)))</f>
        <v/>
      </c>
      <c r="L772" s="5">
        <f>IF($N772="","",IF(INDEX('Per Invoice'!$L$2:$L$801,$N772)="","",INDEX('Per Invoice'!$L$2:$L$801,$N772)))</f>
        <v/>
      </c>
      <c r="M772" s="5">
        <f>IF($N772="","",IF(INDEX('Per Invoice'!$M$2:$M$801,$N772)="","",INDEX('Per Invoice'!$M$2:$M$801,$N772)))</f>
        <v/>
      </c>
      <c r="N772">
        <f>IF(ROWS($N$2:$N772)&lt;=COUNT('Per Invoice'!$P$2:$P$801),MATCH(ROWS($N$2:$N772),'Per Invoice'!$P$2:$P$801,0),"")</f>
        <v/>
      </c>
    </row>
    <row r="773">
      <c r="A773">
        <f>IF($N773="","",IF(INDEX('Per Invoice'!$A$2:$A$801,$N773)="","",INDEX('Per Invoice'!$A$2:$A$801,$N773)))</f>
        <v/>
      </c>
      <c r="B773">
        <f>IF($N773="","",IF(INDEX('Per Invoice'!$B$2:$B$801,$N773)="","",INDEX('Per Invoice'!$B$2:$B$801,$N773)))</f>
        <v/>
      </c>
      <c r="C773">
        <f>IF($N773="","",IF(INDEX('Per Invoice'!$C$2:$C$801,$N773)="","",INDEX('Per Invoice'!$C$2:$C$801,$N773)))</f>
        <v/>
      </c>
      <c r="D773">
        <f>IF($N773="","",IF(INDEX('Per Invoice'!$D$2:$D$801,$N773)="","",INDEX('Per Invoice'!$D$2:$D$801,$N773)))</f>
        <v/>
      </c>
      <c r="E773">
        <f>IF($N773="","",IF(INDEX('Per Invoice'!$E$2:$E$801,$N773)="","",INDEX('Per Invoice'!$E$2:$E$801,$N773)))</f>
        <v/>
      </c>
      <c r="F773">
        <f>IF($N773="","",IF(INDEX('Per Invoice'!$F$2:$F$801,$N773)="","",INDEX('Per Invoice'!$F$2:$F$801,$N773)))</f>
        <v/>
      </c>
      <c r="G773">
        <f>IF($N773="","",IF(INDEX('Per Invoice'!$G$2:$G$801,$N773)="","",INDEX('Per Invoice'!$G$2:$G$801,$N773)))</f>
        <v/>
      </c>
      <c r="H773">
        <f>IF($N773="","",IF(INDEX('Per Invoice'!$H$2:$H$801,$N773)="","",INDEX('Per Invoice'!$H$2:$H$801,$N773)))</f>
        <v/>
      </c>
      <c r="I773" s="5">
        <f>IF($N773="","",IF(INDEX('Per Invoice'!$I$2:$I$801,$N773)="","",INDEX('Per Invoice'!$I$2:$I$801,$N773)))</f>
        <v/>
      </c>
      <c r="J773" s="5">
        <f>IF($N773="","",IF(INDEX('Per Invoice'!$J$2:$J$801,$N773)="","",INDEX('Per Invoice'!$J$2:$J$801,$N773)))</f>
        <v/>
      </c>
      <c r="K773" s="5">
        <f>IF($N773="","",IF(INDEX('Per Invoice'!$K$2:$K$801,$N773)="","",INDEX('Per Invoice'!$K$2:$K$801,$N773)))</f>
        <v/>
      </c>
      <c r="L773" s="5">
        <f>IF($N773="","",IF(INDEX('Per Invoice'!$L$2:$L$801,$N773)="","",INDEX('Per Invoice'!$L$2:$L$801,$N773)))</f>
        <v/>
      </c>
      <c r="M773" s="5">
        <f>IF($N773="","",IF(INDEX('Per Invoice'!$M$2:$M$801,$N773)="","",INDEX('Per Invoice'!$M$2:$M$801,$N773)))</f>
        <v/>
      </c>
      <c r="N773">
        <f>IF(ROWS($N$2:$N773)&lt;=COUNT('Per Invoice'!$P$2:$P$801),MATCH(ROWS($N$2:$N773),'Per Invoice'!$P$2:$P$801,0),"")</f>
        <v/>
      </c>
    </row>
    <row r="774">
      <c r="A774">
        <f>IF($N774="","",IF(INDEX('Per Invoice'!$A$2:$A$801,$N774)="","",INDEX('Per Invoice'!$A$2:$A$801,$N774)))</f>
        <v/>
      </c>
      <c r="B774">
        <f>IF($N774="","",IF(INDEX('Per Invoice'!$B$2:$B$801,$N774)="","",INDEX('Per Invoice'!$B$2:$B$801,$N774)))</f>
        <v/>
      </c>
      <c r="C774">
        <f>IF($N774="","",IF(INDEX('Per Invoice'!$C$2:$C$801,$N774)="","",INDEX('Per Invoice'!$C$2:$C$801,$N774)))</f>
        <v/>
      </c>
      <c r="D774">
        <f>IF($N774="","",IF(INDEX('Per Invoice'!$D$2:$D$801,$N774)="","",INDEX('Per Invoice'!$D$2:$D$801,$N774)))</f>
        <v/>
      </c>
      <c r="E774">
        <f>IF($N774="","",IF(INDEX('Per Invoice'!$E$2:$E$801,$N774)="","",INDEX('Per Invoice'!$E$2:$E$801,$N774)))</f>
        <v/>
      </c>
      <c r="F774">
        <f>IF($N774="","",IF(INDEX('Per Invoice'!$F$2:$F$801,$N774)="","",INDEX('Per Invoice'!$F$2:$F$801,$N774)))</f>
        <v/>
      </c>
      <c r="G774">
        <f>IF($N774="","",IF(INDEX('Per Invoice'!$G$2:$G$801,$N774)="","",INDEX('Per Invoice'!$G$2:$G$801,$N774)))</f>
        <v/>
      </c>
      <c r="H774">
        <f>IF($N774="","",IF(INDEX('Per Invoice'!$H$2:$H$801,$N774)="","",INDEX('Per Invoice'!$H$2:$H$801,$N774)))</f>
        <v/>
      </c>
      <c r="I774" s="5">
        <f>IF($N774="","",IF(INDEX('Per Invoice'!$I$2:$I$801,$N774)="","",INDEX('Per Invoice'!$I$2:$I$801,$N774)))</f>
        <v/>
      </c>
      <c r="J774" s="5">
        <f>IF($N774="","",IF(INDEX('Per Invoice'!$J$2:$J$801,$N774)="","",INDEX('Per Invoice'!$J$2:$J$801,$N774)))</f>
        <v/>
      </c>
      <c r="K774" s="5">
        <f>IF($N774="","",IF(INDEX('Per Invoice'!$K$2:$K$801,$N774)="","",INDEX('Per Invoice'!$K$2:$K$801,$N774)))</f>
        <v/>
      </c>
      <c r="L774" s="5">
        <f>IF($N774="","",IF(INDEX('Per Invoice'!$L$2:$L$801,$N774)="","",INDEX('Per Invoice'!$L$2:$L$801,$N774)))</f>
        <v/>
      </c>
      <c r="M774" s="5">
        <f>IF($N774="","",IF(INDEX('Per Invoice'!$M$2:$M$801,$N774)="","",INDEX('Per Invoice'!$M$2:$M$801,$N774)))</f>
        <v/>
      </c>
      <c r="N774">
        <f>IF(ROWS($N$2:$N774)&lt;=COUNT('Per Invoice'!$P$2:$P$801),MATCH(ROWS($N$2:$N774),'Per Invoice'!$P$2:$P$801,0),"")</f>
        <v/>
      </c>
    </row>
    <row r="775">
      <c r="A775">
        <f>IF($N775="","",IF(INDEX('Per Invoice'!$A$2:$A$801,$N775)="","",INDEX('Per Invoice'!$A$2:$A$801,$N775)))</f>
        <v/>
      </c>
      <c r="B775">
        <f>IF($N775="","",IF(INDEX('Per Invoice'!$B$2:$B$801,$N775)="","",INDEX('Per Invoice'!$B$2:$B$801,$N775)))</f>
        <v/>
      </c>
      <c r="C775">
        <f>IF($N775="","",IF(INDEX('Per Invoice'!$C$2:$C$801,$N775)="","",INDEX('Per Invoice'!$C$2:$C$801,$N775)))</f>
        <v/>
      </c>
      <c r="D775">
        <f>IF($N775="","",IF(INDEX('Per Invoice'!$D$2:$D$801,$N775)="","",INDEX('Per Invoice'!$D$2:$D$801,$N775)))</f>
        <v/>
      </c>
      <c r="E775">
        <f>IF($N775="","",IF(INDEX('Per Invoice'!$E$2:$E$801,$N775)="","",INDEX('Per Invoice'!$E$2:$E$801,$N775)))</f>
        <v/>
      </c>
      <c r="F775">
        <f>IF($N775="","",IF(INDEX('Per Invoice'!$F$2:$F$801,$N775)="","",INDEX('Per Invoice'!$F$2:$F$801,$N775)))</f>
        <v/>
      </c>
      <c r="G775">
        <f>IF($N775="","",IF(INDEX('Per Invoice'!$G$2:$G$801,$N775)="","",INDEX('Per Invoice'!$G$2:$G$801,$N775)))</f>
        <v/>
      </c>
      <c r="H775">
        <f>IF($N775="","",IF(INDEX('Per Invoice'!$H$2:$H$801,$N775)="","",INDEX('Per Invoice'!$H$2:$H$801,$N775)))</f>
        <v/>
      </c>
      <c r="I775" s="5">
        <f>IF($N775="","",IF(INDEX('Per Invoice'!$I$2:$I$801,$N775)="","",INDEX('Per Invoice'!$I$2:$I$801,$N775)))</f>
        <v/>
      </c>
      <c r="J775" s="5">
        <f>IF($N775="","",IF(INDEX('Per Invoice'!$J$2:$J$801,$N775)="","",INDEX('Per Invoice'!$J$2:$J$801,$N775)))</f>
        <v/>
      </c>
      <c r="K775" s="5">
        <f>IF($N775="","",IF(INDEX('Per Invoice'!$K$2:$K$801,$N775)="","",INDEX('Per Invoice'!$K$2:$K$801,$N775)))</f>
        <v/>
      </c>
      <c r="L775" s="5">
        <f>IF($N775="","",IF(INDEX('Per Invoice'!$L$2:$L$801,$N775)="","",INDEX('Per Invoice'!$L$2:$L$801,$N775)))</f>
        <v/>
      </c>
      <c r="M775" s="5">
        <f>IF($N775="","",IF(INDEX('Per Invoice'!$M$2:$M$801,$N775)="","",INDEX('Per Invoice'!$M$2:$M$801,$N775)))</f>
        <v/>
      </c>
      <c r="N775">
        <f>IF(ROWS($N$2:$N775)&lt;=COUNT('Per Invoice'!$P$2:$P$801),MATCH(ROWS($N$2:$N775),'Per Invoice'!$P$2:$P$801,0),"")</f>
        <v/>
      </c>
    </row>
    <row r="776">
      <c r="A776">
        <f>IF($N776="","",IF(INDEX('Per Invoice'!$A$2:$A$801,$N776)="","",INDEX('Per Invoice'!$A$2:$A$801,$N776)))</f>
        <v/>
      </c>
      <c r="B776">
        <f>IF($N776="","",IF(INDEX('Per Invoice'!$B$2:$B$801,$N776)="","",INDEX('Per Invoice'!$B$2:$B$801,$N776)))</f>
        <v/>
      </c>
      <c r="C776">
        <f>IF($N776="","",IF(INDEX('Per Invoice'!$C$2:$C$801,$N776)="","",INDEX('Per Invoice'!$C$2:$C$801,$N776)))</f>
        <v/>
      </c>
      <c r="D776">
        <f>IF($N776="","",IF(INDEX('Per Invoice'!$D$2:$D$801,$N776)="","",INDEX('Per Invoice'!$D$2:$D$801,$N776)))</f>
        <v/>
      </c>
      <c r="E776">
        <f>IF($N776="","",IF(INDEX('Per Invoice'!$E$2:$E$801,$N776)="","",INDEX('Per Invoice'!$E$2:$E$801,$N776)))</f>
        <v/>
      </c>
      <c r="F776">
        <f>IF($N776="","",IF(INDEX('Per Invoice'!$F$2:$F$801,$N776)="","",INDEX('Per Invoice'!$F$2:$F$801,$N776)))</f>
        <v/>
      </c>
      <c r="G776">
        <f>IF($N776="","",IF(INDEX('Per Invoice'!$G$2:$G$801,$N776)="","",INDEX('Per Invoice'!$G$2:$G$801,$N776)))</f>
        <v/>
      </c>
      <c r="H776">
        <f>IF($N776="","",IF(INDEX('Per Invoice'!$H$2:$H$801,$N776)="","",INDEX('Per Invoice'!$H$2:$H$801,$N776)))</f>
        <v/>
      </c>
      <c r="I776" s="5">
        <f>IF($N776="","",IF(INDEX('Per Invoice'!$I$2:$I$801,$N776)="","",INDEX('Per Invoice'!$I$2:$I$801,$N776)))</f>
        <v/>
      </c>
      <c r="J776" s="5">
        <f>IF($N776="","",IF(INDEX('Per Invoice'!$J$2:$J$801,$N776)="","",INDEX('Per Invoice'!$J$2:$J$801,$N776)))</f>
        <v/>
      </c>
      <c r="K776" s="5">
        <f>IF($N776="","",IF(INDEX('Per Invoice'!$K$2:$K$801,$N776)="","",INDEX('Per Invoice'!$K$2:$K$801,$N776)))</f>
        <v/>
      </c>
      <c r="L776" s="5">
        <f>IF($N776="","",IF(INDEX('Per Invoice'!$L$2:$L$801,$N776)="","",INDEX('Per Invoice'!$L$2:$L$801,$N776)))</f>
        <v/>
      </c>
      <c r="M776" s="5">
        <f>IF($N776="","",IF(INDEX('Per Invoice'!$M$2:$M$801,$N776)="","",INDEX('Per Invoice'!$M$2:$M$801,$N776)))</f>
        <v/>
      </c>
      <c r="N776">
        <f>IF(ROWS($N$2:$N776)&lt;=COUNT('Per Invoice'!$P$2:$P$801),MATCH(ROWS($N$2:$N776),'Per Invoice'!$P$2:$P$801,0),"")</f>
        <v/>
      </c>
    </row>
    <row r="777">
      <c r="A777">
        <f>IF($N777="","",IF(INDEX('Per Invoice'!$A$2:$A$801,$N777)="","",INDEX('Per Invoice'!$A$2:$A$801,$N777)))</f>
        <v/>
      </c>
      <c r="B777">
        <f>IF($N777="","",IF(INDEX('Per Invoice'!$B$2:$B$801,$N777)="","",INDEX('Per Invoice'!$B$2:$B$801,$N777)))</f>
        <v/>
      </c>
      <c r="C777">
        <f>IF($N777="","",IF(INDEX('Per Invoice'!$C$2:$C$801,$N777)="","",INDEX('Per Invoice'!$C$2:$C$801,$N777)))</f>
        <v/>
      </c>
      <c r="D777">
        <f>IF($N777="","",IF(INDEX('Per Invoice'!$D$2:$D$801,$N777)="","",INDEX('Per Invoice'!$D$2:$D$801,$N777)))</f>
        <v/>
      </c>
      <c r="E777">
        <f>IF($N777="","",IF(INDEX('Per Invoice'!$E$2:$E$801,$N777)="","",INDEX('Per Invoice'!$E$2:$E$801,$N777)))</f>
        <v/>
      </c>
      <c r="F777">
        <f>IF($N777="","",IF(INDEX('Per Invoice'!$F$2:$F$801,$N777)="","",INDEX('Per Invoice'!$F$2:$F$801,$N777)))</f>
        <v/>
      </c>
      <c r="G777">
        <f>IF($N777="","",IF(INDEX('Per Invoice'!$G$2:$G$801,$N777)="","",INDEX('Per Invoice'!$G$2:$G$801,$N777)))</f>
        <v/>
      </c>
      <c r="H777">
        <f>IF($N777="","",IF(INDEX('Per Invoice'!$H$2:$H$801,$N777)="","",INDEX('Per Invoice'!$H$2:$H$801,$N777)))</f>
        <v/>
      </c>
      <c r="I777" s="5">
        <f>IF($N777="","",IF(INDEX('Per Invoice'!$I$2:$I$801,$N777)="","",INDEX('Per Invoice'!$I$2:$I$801,$N777)))</f>
        <v/>
      </c>
      <c r="J777" s="5">
        <f>IF($N777="","",IF(INDEX('Per Invoice'!$J$2:$J$801,$N777)="","",INDEX('Per Invoice'!$J$2:$J$801,$N777)))</f>
        <v/>
      </c>
      <c r="K777" s="5">
        <f>IF($N777="","",IF(INDEX('Per Invoice'!$K$2:$K$801,$N777)="","",INDEX('Per Invoice'!$K$2:$K$801,$N777)))</f>
        <v/>
      </c>
      <c r="L777" s="5">
        <f>IF($N777="","",IF(INDEX('Per Invoice'!$L$2:$L$801,$N777)="","",INDEX('Per Invoice'!$L$2:$L$801,$N777)))</f>
        <v/>
      </c>
      <c r="M777" s="5">
        <f>IF($N777="","",IF(INDEX('Per Invoice'!$M$2:$M$801,$N777)="","",INDEX('Per Invoice'!$M$2:$M$801,$N777)))</f>
        <v/>
      </c>
      <c r="N777">
        <f>IF(ROWS($N$2:$N777)&lt;=COUNT('Per Invoice'!$P$2:$P$801),MATCH(ROWS($N$2:$N777),'Per Invoice'!$P$2:$P$801,0),"")</f>
        <v/>
      </c>
    </row>
    <row r="778">
      <c r="A778">
        <f>IF($N778="","",IF(INDEX('Per Invoice'!$A$2:$A$801,$N778)="","",INDEX('Per Invoice'!$A$2:$A$801,$N778)))</f>
        <v/>
      </c>
      <c r="B778">
        <f>IF($N778="","",IF(INDEX('Per Invoice'!$B$2:$B$801,$N778)="","",INDEX('Per Invoice'!$B$2:$B$801,$N778)))</f>
        <v/>
      </c>
      <c r="C778">
        <f>IF($N778="","",IF(INDEX('Per Invoice'!$C$2:$C$801,$N778)="","",INDEX('Per Invoice'!$C$2:$C$801,$N778)))</f>
        <v/>
      </c>
      <c r="D778">
        <f>IF($N778="","",IF(INDEX('Per Invoice'!$D$2:$D$801,$N778)="","",INDEX('Per Invoice'!$D$2:$D$801,$N778)))</f>
        <v/>
      </c>
      <c r="E778">
        <f>IF($N778="","",IF(INDEX('Per Invoice'!$E$2:$E$801,$N778)="","",INDEX('Per Invoice'!$E$2:$E$801,$N778)))</f>
        <v/>
      </c>
      <c r="F778">
        <f>IF($N778="","",IF(INDEX('Per Invoice'!$F$2:$F$801,$N778)="","",INDEX('Per Invoice'!$F$2:$F$801,$N778)))</f>
        <v/>
      </c>
      <c r="G778">
        <f>IF($N778="","",IF(INDEX('Per Invoice'!$G$2:$G$801,$N778)="","",INDEX('Per Invoice'!$G$2:$G$801,$N778)))</f>
        <v/>
      </c>
      <c r="H778">
        <f>IF($N778="","",IF(INDEX('Per Invoice'!$H$2:$H$801,$N778)="","",INDEX('Per Invoice'!$H$2:$H$801,$N778)))</f>
        <v/>
      </c>
      <c r="I778" s="5">
        <f>IF($N778="","",IF(INDEX('Per Invoice'!$I$2:$I$801,$N778)="","",INDEX('Per Invoice'!$I$2:$I$801,$N778)))</f>
        <v/>
      </c>
      <c r="J778" s="5">
        <f>IF($N778="","",IF(INDEX('Per Invoice'!$J$2:$J$801,$N778)="","",INDEX('Per Invoice'!$J$2:$J$801,$N778)))</f>
        <v/>
      </c>
      <c r="K778" s="5">
        <f>IF($N778="","",IF(INDEX('Per Invoice'!$K$2:$K$801,$N778)="","",INDEX('Per Invoice'!$K$2:$K$801,$N778)))</f>
        <v/>
      </c>
      <c r="L778" s="5">
        <f>IF($N778="","",IF(INDEX('Per Invoice'!$L$2:$L$801,$N778)="","",INDEX('Per Invoice'!$L$2:$L$801,$N778)))</f>
        <v/>
      </c>
      <c r="M778" s="5">
        <f>IF($N778="","",IF(INDEX('Per Invoice'!$M$2:$M$801,$N778)="","",INDEX('Per Invoice'!$M$2:$M$801,$N778)))</f>
        <v/>
      </c>
      <c r="N778">
        <f>IF(ROWS($N$2:$N778)&lt;=COUNT('Per Invoice'!$P$2:$P$801),MATCH(ROWS($N$2:$N778),'Per Invoice'!$P$2:$P$801,0),"")</f>
        <v/>
      </c>
    </row>
    <row r="779">
      <c r="A779">
        <f>IF($N779="","",IF(INDEX('Per Invoice'!$A$2:$A$801,$N779)="","",INDEX('Per Invoice'!$A$2:$A$801,$N779)))</f>
        <v/>
      </c>
      <c r="B779">
        <f>IF($N779="","",IF(INDEX('Per Invoice'!$B$2:$B$801,$N779)="","",INDEX('Per Invoice'!$B$2:$B$801,$N779)))</f>
        <v/>
      </c>
      <c r="C779">
        <f>IF($N779="","",IF(INDEX('Per Invoice'!$C$2:$C$801,$N779)="","",INDEX('Per Invoice'!$C$2:$C$801,$N779)))</f>
        <v/>
      </c>
      <c r="D779">
        <f>IF($N779="","",IF(INDEX('Per Invoice'!$D$2:$D$801,$N779)="","",INDEX('Per Invoice'!$D$2:$D$801,$N779)))</f>
        <v/>
      </c>
      <c r="E779">
        <f>IF($N779="","",IF(INDEX('Per Invoice'!$E$2:$E$801,$N779)="","",INDEX('Per Invoice'!$E$2:$E$801,$N779)))</f>
        <v/>
      </c>
      <c r="F779">
        <f>IF($N779="","",IF(INDEX('Per Invoice'!$F$2:$F$801,$N779)="","",INDEX('Per Invoice'!$F$2:$F$801,$N779)))</f>
        <v/>
      </c>
      <c r="G779">
        <f>IF($N779="","",IF(INDEX('Per Invoice'!$G$2:$G$801,$N779)="","",INDEX('Per Invoice'!$G$2:$G$801,$N779)))</f>
        <v/>
      </c>
      <c r="H779">
        <f>IF($N779="","",IF(INDEX('Per Invoice'!$H$2:$H$801,$N779)="","",INDEX('Per Invoice'!$H$2:$H$801,$N779)))</f>
        <v/>
      </c>
      <c r="I779" s="5">
        <f>IF($N779="","",IF(INDEX('Per Invoice'!$I$2:$I$801,$N779)="","",INDEX('Per Invoice'!$I$2:$I$801,$N779)))</f>
        <v/>
      </c>
      <c r="J779" s="5">
        <f>IF($N779="","",IF(INDEX('Per Invoice'!$J$2:$J$801,$N779)="","",INDEX('Per Invoice'!$J$2:$J$801,$N779)))</f>
        <v/>
      </c>
      <c r="K779" s="5">
        <f>IF($N779="","",IF(INDEX('Per Invoice'!$K$2:$K$801,$N779)="","",INDEX('Per Invoice'!$K$2:$K$801,$N779)))</f>
        <v/>
      </c>
      <c r="L779" s="5">
        <f>IF($N779="","",IF(INDEX('Per Invoice'!$L$2:$L$801,$N779)="","",INDEX('Per Invoice'!$L$2:$L$801,$N779)))</f>
        <v/>
      </c>
      <c r="M779" s="5">
        <f>IF($N779="","",IF(INDEX('Per Invoice'!$M$2:$M$801,$N779)="","",INDEX('Per Invoice'!$M$2:$M$801,$N779)))</f>
        <v/>
      </c>
      <c r="N779">
        <f>IF(ROWS($N$2:$N779)&lt;=COUNT('Per Invoice'!$P$2:$P$801),MATCH(ROWS($N$2:$N779),'Per Invoice'!$P$2:$P$801,0),"")</f>
        <v/>
      </c>
    </row>
    <row r="780">
      <c r="A780">
        <f>IF($N780="","",IF(INDEX('Per Invoice'!$A$2:$A$801,$N780)="","",INDEX('Per Invoice'!$A$2:$A$801,$N780)))</f>
        <v/>
      </c>
      <c r="B780">
        <f>IF($N780="","",IF(INDEX('Per Invoice'!$B$2:$B$801,$N780)="","",INDEX('Per Invoice'!$B$2:$B$801,$N780)))</f>
        <v/>
      </c>
      <c r="C780">
        <f>IF($N780="","",IF(INDEX('Per Invoice'!$C$2:$C$801,$N780)="","",INDEX('Per Invoice'!$C$2:$C$801,$N780)))</f>
        <v/>
      </c>
      <c r="D780">
        <f>IF($N780="","",IF(INDEX('Per Invoice'!$D$2:$D$801,$N780)="","",INDEX('Per Invoice'!$D$2:$D$801,$N780)))</f>
        <v/>
      </c>
      <c r="E780">
        <f>IF($N780="","",IF(INDEX('Per Invoice'!$E$2:$E$801,$N780)="","",INDEX('Per Invoice'!$E$2:$E$801,$N780)))</f>
        <v/>
      </c>
      <c r="F780">
        <f>IF($N780="","",IF(INDEX('Per Invoice'!$F$2:$F$801,$N780)="","",INDEX('Per Invoice'!$F$2:$F$801,$N780)))</f>
        <v/>
      </c>
      <c r="G780">
        <f>IF($N780="","",IF(INDEX('Per Invoice'!$G$2:$G$801,$N780)="","",INDEX('Per Invoice'!$G$2:$G$801,$N780)))</f>
        <v/>
      </c>
      <c r="H780">
        <f>IF($N780="","",IF(INDEX('Per Invoice'!$H$2:$H$801,$N780)="","",INDEX('Per Invoice'!$H$2:$H$801,$N780)))</f>
        <v/>
      </c>
      <c r="I780" s="5">
        <f>IF($N780="","",IF(INDEX('Per Invoice'!$I$2:$I$801,$N780)="","",INDEX('Per Invoice'!$I$2:$I$801,$N780)))</f>
        <v/>
      </c>
      <c r="J780" s="5">
        <f>IF($N780="","",IF(INDEX('Per Invoice'!$J$2:$J$801,$N780)="","",INDEX('Per Invoice'!$J$2:$J$801,$N780)))</f>
        <v/>
      </c>
      <c r="K780" s="5">
        <f>IF($N780="","",IF(INDEX('Per Invoice'!$K$2:$K$801,$N780)="","",INDEX('Per Invoice'!$K$2:$K$801,$N780)))</f>
        <v/>
      </c>
      <c r="L780" s="5">
        <f>IF($N780="","",IF(INDEX('Per Invoice'!$L$2:$L$801,$N780)="","",INDEX('Per Invoice'!$L$2:$L$801,$N780)))</f>
        <v/>
      </c>
      <c r="M780" s="5">
        <f>IF($N780="","",IF(INDEX('Per Invoice'!$M$2:$M$801,$N780)="","",INDEX('Per Invoice'!$M$2:$M$801,$N780)))</f>
        <v/>
      </c>
      <c r="N780">
        <f>IF(ROWS($N$2:$N780)&lt;=COUNT('Per Invoice'!$P$2:$P$801),MATCH(ROWS($N$2:$N780),'Per Invoice'!$P$2:$P$801,0),"")</f>
        <v/>
      </c>
    </row>
    <row r="781">
      <c r="A781">
        <f>IF($N781="","",IF(INDEX('Per Invoice'!$A$2:$A$801,$N781)="","",INDEX('Per Invoice'!$A$2:$A$801,$N781)))</f>
        <v/>
      </c>
      <c r="B781">
        <f>IF($N781="","",IF(INDEX('Per Invoice'!$B$2:$B$801,$N781)="","",INDEX('Per Invoice'!$B$2:$B$801,$N781)))</f>
        <v/>
      </c>
      <c r="C781">
        <f>IF($N781="","",IF(INDEX('Per Invoice'!$C$2:$C$801,$N781)="","",INDEX('Per Invoice'!$C$2:$C$801,$N781)))</f>
        <v/>
      </c>
      <c r="D781">
        <f>IF($N781="","",IF(INDEX('Per Invoice'!$D$2:$D$801,$N781)="","",INDEX('Per Invoice'!$D$2:$D$801,$N781)))</f>
        <v/>
      </c>
      <c r="E781">
        <f>IF($N781="","",IF(INDEX('Per Invoice'!$E$2:$E$801,$N781)="","",INDEX('Per Invoice'!$E$2:$E$801,$N781)))</f>
        <v/>
      </c>
      <c r="F781">
        <f>IF($N781="","",IF(INDEX('Per Invoice'!$F$2:$F$801,$N781)="","",INDEX('Per Invoice'!$F$2:$F$801,$N781)))</f>
        <v/>
      </c>
      <c r="G781">
        <f>IF($N781="","",IF(INDEX('Per Invoice'!$G$2:$G$801,$N781)="","",INDEX('Per Invoice'!$G$2:$G$801,$N781)))</f>
        <v/>
      </c>
      <c r="H781">
        <f>IF($N781="","",IF(INDEX('Per Invoice'!$H$2:$H$801,$N781)="","",INDEX('Per Invoice'!$H$2:$H$801,$N781)))</f>
        <v/>
      </c>
      <c r="I781" s="5">
        <f>IF($N781="","",IF(INDEX('Per Invoice'!$I$2:$I$801,$N781)="","",INDEX('Per Invoice'!$I$2:$I$801,$N781)))</f>
        <v/>
      </c>
      <c r="J781" s="5">
        <f>IF($N781="","",IF(INDEX('Per Invoice'!$J$2:$J$801,$N781)="","",INDEX('Per Invoice'!$J$2:$J$801,$N781)))</f>
        <v/>
      </c>
      <c r="K781" s="5">
        <f>IF($N781="","",IF(INDEX('Per Invoice'!$K$2:$K$801,$N781)="","",INDEX('Per Invoice'!$K$2:$K$801,$N781)))</f>
        <v/>
      </c>
      <c r="L781" s="5">
        <f>IF($N781="","",IF(INDEX('Per Invoice'!$L$2:$L$801,$N781)="","",INDEX('Per Invoice'!$L$2:$L$801,$N781)))</f>
        <v/>
      </c>
      <c r="M781" s="5">
        <f>IF($N781="","",IF(INDEX('Per Invoice'!$M$2:$M$801,$N781)="","",INDEX('Per Invoice'!$M$2:$M$801,$N781)))</f>
        <v/>
      </c>
      <c r="N781">
        <f>IF(ROWS($N$2:$N781)&lt;=COUNT('Per Invoice'!$P$2:$P$801),MATCH(ROWS($N$2:$N781),'Per Invoice'!$P$2:$P$801,0),"")</f>
        <v/>
      </c>
    </row>
    <row r="782">
      <c r="A782">
        <f>IF($N782="","",IF(INDEX('Per Invoice'!$A$2:$A$801,$N782)="","",INDEX('Per Invoice'!$A$2:$A$801,$N782)))</f>
        <v/>
      </c>
      <c r="B782">
        <f>IF($N782="","",IF(INDEX('Per Invoice'!$B$2:$B$801,$N782)="","",INDEX('Per Invoice'!$B$2:$B$801,$N782)))</f>
        <v/>
      </c>
      <c r="C782">
        <f>IF($N782="","",IF(INDEX('Per Invoice'!$C$2:$C$801,$N782)="","",INDEX('Per Invoice'!$C$2:$C$801,$N782)))</f>
        <v/>
      </c>
      <c r="D782">
        <f>IF($N782="","",IF(INDEX('Per Invoice'!$D$2:$D$801,$N782)="","",INDEX('Per Invoice'!$D$2:$D$801,$N782)))</f>
        <v/>
      </c>
      <c r="E782">
        <f>IF($N782="","",IF(INDEX('Per Invoice'!$E$2:$E$801,$N782)="","",INDEX('Per Invoice'!$E$2:$E$801,$N782)))</f>
        <v/>
      </c>
      <c r="F782">
        <f>IF($N782="","",IF(INDEX('Per Invoice'!$F$2:$F$801,$N782)="","",INDEX('Per Invoice'!$F$2:$F$801,$N782)))</f>
        <v/>
      </c>
      <c r="G782">
        <f>IF($N782="","",IF(INDEX('Per Invoice'!$G$2:$G$801,$N782)="","",INDEX('Per Invoice'!$G$2:$G$801,$N782)))</f>
        <v/>
      </c>
      <c r="H782">
        <f>IF($N782="","",IF(INDEX('Per Invoice'!$H$2:$H$801,$N782)="","",INDEX('Per Invoice'!$H$2:$H$801,$N782)))</f>
        <v/>
      </c>
      <c r="I782" s="5">
        <f>IF($N782="","",IF(INDEX('Per Invoice'!$I$2:$I$801,$N782)="","",INDEX('Per Invoice'!$I$2:$I$801,$N782)))</f>
        <v/>
      </c>
      <c r="J782" s="5">
        <f>IF($N782="","",IF(INDEX('Per Invoice'!$J$2:$J$801,$N782)="","",INDEX('Per Invoice'!$J$2:$J$801,$N782)))</f>
        <v/>
      </c>
      <c r="K782" s="5">
        <f>IF($N782="","",IF(INDEX('Per Invoice'!$K$2:$K$801,$N782)="","",INDEX('Per Invoice'!$K$2:$K$801,$N782)))</f>
        <v/>
      </c>
      <c r="L782" s="5">
        <f>IF($N782="","",IF(INDEX('Per Invoice'!$L$2:$L$801,$N782)="","",INDEX('Per Invoice'!$L$2:$L$801,$N782)))</f>
        <v/>
      </c>
      <c r="M782" s="5">
        <f>IF($N782="","",IF(INDEX('Per Invoice'!$M$2:$M$801,$N782)="","",INDEX('Per Invoice'!$M$2:$M$801,$N782)))</f>
        <v/>
      </c>
      <c r="N782">
        <f>IF(ROWS($N$2:$N782)&lt;=COUNT('Per Invoice'!$P$2:$P$801),MATCH(ROWS($N$2:$N782),'Per Invoice'!$P$2:$P$801,0),"")</f>
        <v/>
      </c>
    </row>
    <row r="783">
      <c r="A783">
        <f>IF($N783="","",IF(INDEX('Per Invoice'!$A$2:$A$801,$N783)="","",INDEX('Per Invoice'!$A$2:$A$801,$N783)))</f>
        <v/>
      </c>
      <c r="B783">
        <f>IF($N783="","",IF(INDEX('Per Invoice'!$B$2:$B$801,$N783)="","",INDEX('Per Invoice'!$B$2:$B$801,$N783)))</f>
        <v/>
      </c>
      <c r="C783">
        <f>IF($N783="","",IF(INDEX('Per Invoice'!$C$2:$C$801,$N783)="","",INDEX('Per Invoice'!$C$2:$C$801,$N783)))</f>
        <v/>
      </c>
      <c r="D783">
        <f>IF($N783="","",IF(INDEX('Per Invoice'!$D$2:$D$801,$N783)="","",INDEX('Per Invoice'!$D$2:$D$801,$N783)))</f>
        <v/>
      </c>
      <c r="E783">
        <f>IF($N783="","",IF(INDEX('Per Invoice'!$E$2:$E$801,$N783)="","",INDEX('Per Invoice'!$E$2:$E$801,$N783)))</f>
        <v/>
      </c>
      <c r="F783">
        <f>IF($N783="","",IF(INDEX('Per Invoice'!$F$2:$F$801,$N783)="","",INDEX('Per Invoice'!$F$2:$F$801,$N783)))</f>
        <v/>
      </c>
      <c r="G783">
        <f>IF($N783="","",IF(INDEX('Per Invoice'!$G$2:$G$801,$N783)="","",INDEX('Per Invoice'!$G$2:$G$801,$N783)))</f>
        <v/>
      </c>
      <c r="H783">
        <f>IF($N783="","",IF(INDEX('Per Invoice'!$H$2:$H$801,$N783)="","",INDEX('Per Invoice'!$H$2:$H$801,$N783)))</f>
        <v/>
      </c>
      <c r="I783" s="5">
        <f>IF($N783="","",IF(INDEX('Per Invoice'!$I$2:$I$801,$N783)="","",INDEX('Per Invoice'!$I$2:$I$801,$N783)))</f>
        <v/>
      </c>
      <c r="J783" s="5">
        <f>IF($N783="","",IF(INDEX('Per Invoice'!$J$2:$J$801,$N783)="","",INDEX('Per Invoice'!$J$2:$J$801,$N783)))</f>
        <v/>
      </c>
      <c r="K783" s="5">
        <f>IF($N783="","",IF(INDEX('Per Invoice'!$K$2:$K$801,$N783)="","",INDEX('Per Invoice'!$K$2:$K$801,$N783)))</f>
        <v/>
      </c>
      <c r="L783" s="5">
        <f>IF($N783="","",IF(INDEX('Per Invoice'!$L$2:$L$801,$N783)="","",INDEX('Per Invoice'!$L$2:$L$801,$N783)))</f>
        <v/>
      </c>
      <c r="M783" s="5">
        <f>IF($N783="","",IF(INDEX('Per Invoice'!$M$2:$M$801,$N783)="","",INDEX('Per Invoice'!$M$2:$M$801,$N783)))</f>
        <v/>
      </c>
      <c r="N783">
        <f>IF(ROWS($N$2:$N783)&lt;=COUNT('Per Invoice'!$P$2:$P$801),MATCH(ROWS($N$2:$N783),'Per Invoice'!$P$2:$P$801,0),"")</f>
        <v/>
      </c>
    </row>
    <row r="784">
      <c r="A784">
        <f>IF($N784="","",IF(INDEX('Per Invoice'!$A$2:$A$801,$N784)="","",INDEX('Per Invoice'!$A$2:$A$801,$N784)))</f>
        <v/>
      </c>
      <c r="B784">
        <f>IF($N784="","",IF(INDEX('Per Invoice'!$B$2:$B$801,$N784)="","",INDEX('Per Invoice'!$B$2:$B$801,$N784)))</f>
        <v/>
      </c>
      <c r="C784">
        <f>IF($N784="","",IF(INDEX('Per Invoice'!$C$2:$C$801,$N784)="","",INDEX('Per Invoice'!$C$2:$C$801,$N784)))</f>
        <v/>
      </c>
      <c r="D784">
        <f>IF($N784="","",IF(INDEX('Per Invoice'!$D$2:$D$801,$N784)="","",INDEX('Per Invoice'!$D$2:$D$801,$N784)))</f>
        <v/>
      </c>
      <c r="E784">
        <f>IF($N784="","",IF(INDEX('Per Invoice'!$E$2:$E$801,$N784)="","",INDEX('Per Invoice'!$E$2:$E$801,$N784)))</f>
        <v/>
      </c>
      <c r="F784">
        <f>IF($N784="","",IF(INDEX('Per Invoice'!$F$2:$F$801,$N784)="","",INDEX('Per Invoice'!$F$2:$F$801,$N784)))</f>
        <v/>
      </c>
      <c r="G784">
        <f>IF($N784="","",IF(INDEX('Per Invoice'!$G$2:$G$801,$N784)="","",INDEX('Per Invoice'!$G$2:$G$801,$N784)))</f>
        <v/>
      </c>
      <c r="H784">
        <f>IF($N784="","",IF(INDEX('Per Invoice'!$H$2:$H$801,$N784)="","",INDEX('Per Invoice'!$H$2:$H$801,$N784)))</f>
        <v/>
      </c>
      <c r="I784" s="5">
        <f>IF($N784="","",IF(INDEX('Per Invoice'!$I$2:$I$801,$N784)="","",INDEX('Per Invoice'!$I$2:$I$801,$N784)))</f>
        <v/>
      </c>
      <c r="J784" s="5">
        <f>IF($N784="","",IF(INDEX('Per Invoice'!$J$2:$J$801,$N784)="","",INDEX('Per Invoice'!$J$2:$J$801,$N784)))</f>
        <v/>
      </c>
      <c r="K784" s="5">
        <f>IF($N784="","",IF(INDEX('Per Invoice'!$K$2:$K$801,$N784)="","",INDEX('Per Invoice'!$K$2:$K$801,$N784)))</f>
        <v/>
      </c>
      <c r="L784" s="5">
        <f>IF($N784="","",IF(INDEX('Per Invoice'!$L$2:$L$801,$N784)="","",INDEX('Per Invoice'!$L$2:$L$801,$N784)))</f>
        <v/>
      </c>
      <c r="M784" s="5">
        <f>IF($N784="","",IF(INDEX('Per Invoice'!$M$2:$M$801,$N784)="","",INDEX('Per Invoice'!$M$2:$M$801,$N784)))</f>
        <v/>
      </c>
      <c r="N784">
        <f>IF(ROWS($N$2:$N784)&lt;=COUNT('Per Invoice'!$P$2:$P$801),MATCH(ROWS($N$2:$N784),'Per Invoice'!$P$2:$P$801,0),"")</f>
        <v/>
      </c>
    </row>
    <row r="785">
      <c r="A785">
        <f>IF($N785="","",IF(INDEX('Per Invoice'!$A$2:$A$801,$N785)="","",INDEX('Per Invoice'!$A$2:$A$801,$N785)))</f>
        <v/>
      </c>
      <c r="B785">
        <f>IF($N785="","",IF(INDEX('Per Invoice'!$B$2:$B$801,$N785)="","",INDEX('Per Invoice'!$B$2:$B$801,$N785)))</f>
        <v/>
      </c>
      <c r="C785">
        <f>IF($N785="","",IF(INDEX('Per Invoice'!$C$2:$C$801,$N785)="","",INDEX('Per Invoice'!$C$2:$C$801,$N785)))</f>
        <v/>
      </c>
      <c r="D785">
        <f>IF($N785="","",IF(INDEX('Per Invoice'!$D$2:$D$801,$N785)="","",INDEX('Per Invoice'!$D$2:$D$801,$N785)))</f>
        <v/>
      </c>
      <c r="E785">
        <f>IF($N785="","",IF(INDEX('Per Invoice'!$E$2:$E$801,$N785)="","",INDEX('Per Invoice'!$E$2:$E$801,$N785)))</f>
        <v/>
      </c>
      <c r="F785">
        <f>IF($N785="","",IF(INDEX('Per Invoice'!$F$2:$F$801,$N785)="","",INDEX('Per Invoice'!$F$2:$F$801,$N785)))</f>
        <v/>
      </c>
      <c r="G785">
        <f>IF($N785="","",IF(INDEX('Per Invoice'!$G$2:$G$801,$N785)="","",INDEX('Per Invoice'!$G$2:$G$801,$N785)))</f>
        <v/>
      </c>
      <c r="H785">
        <f>IF($N785="","",IF(INDEX('Per Invoice'!$H$2:$H$801,$N785)="","",INDEX('Per Invoice'!$H$2:$H$801,$N785)))</f>
        <v/>
      </c>
      <c r="I785" s="5">
        <f>IF($N785="","",IF(INDEX('Per Invoice'!$I$2:$I$801,$N785)="","",INDEX('Per Invoice'!$I$2:$I$801,$N785)))</f>
        <v/>
      </c>
      <c r="J785" s="5">
        <f>IF($N785="","",IF(INDEX('Per Invoice'!$J$2:$J$801,$N785)="","",INDEX('Per Invoice'!$J$2:$J$801,$N785)))</f>
        <v/>
      </c>
      <c r="K785" s="5">
        <f>IF($N785="","",IF(INDEX('Per Invoice'!$K$2:$K$801,$N785)="","",INDEX('Per Invoice'!$K$2:$K$801,$N785)))</f>
        <v/>
      </c>
      <c r="L785" s="5">
        <f>IF($N785="","",IF(INDEX('Per Invoice'!$L$2:$L$801,$N785)="","",INDEX('Per Invoice'!$L$2:$L$801,$N785)))</f>
        <v/>
      </c>
      <c r="M785" s="5">
        <f>IF($N785="","",IF(INDEX('Per Invoice'!$M$2:$M$801,$N785)="","",INDEX('Per Invoice'!$M$2:$M$801,$N785)))</f>
        <v/>
      </c>
      <c r="N785">
        <f>IF(ROWS($N$2:$N785)&lt;=COUNT('Per Invoice'!$P$2:$P$801),MATCH(ROWS($N$2:$N785),'Per Invoice'!$P$2:$P$801,0),"")</f>
        <v/>
      </c>
    </row>
    <row r="786">
      <c r="A786">
        <f>IF($N786="","",IF(INDEX('Per Invoice'!$A$2:$A$801,$N786)="","",INDEX('Per Invoice'!$A$2:$A$801,$N786)))</f>
        <v/>
      </c>
      <c r="B786">
        <f>IF($N786="","",IF(INDEX('Per Invoice'!$B$2:$B$801,$N786)="","",INDEX('Per Invoice'!$B$2:$B$801,$N786)))</f>
        <v/>
      </c>
      <c r="C786">
        <f>IF($N786="","",IF(INDEX('Per Invoice'!$C$2:$C$801,$N786)="","",INDEX('Per Invoice'!$C$2:$C$801,$N786)))</f>
        <v/>
      </c>
      <c r="D786">
        <f>IF($N786="","",IF(INDEX('Per Invoice'!$D$2:$D$801,$N786)="","",INDEX('Per Invoice'!$D$2:$D$801,$N786)))</f>
        <v/>
      </c>
      <c r="E786">
        <f>IF($N786="","",IF(INDEX('Per Invoice'!$E$2:$E$801,$N786)="","",INDEX('Per Invoice'!$E$2:$E$801,$N786)))</f>
        <v/>
      </c>
      <c r="F786">
        <f>IF($N786="","",IF(INDEX('Per Invoice'!$F$2:$F$801,$N786)="","",INDEX('Per Invoice'!$F$2:$F$801,$N786)))</f>
        <v/>
      </c>
      <c r="G786">
        <f>IF($N786="","",IF(INDEX('Per Invoice'!$G$2:$G$801,$N786)="","",INDEX('Per Invoice'!$G$2:$G$801,$N786)))</f>
        <v/>
      </c>
      <c r="H786">
        <f>IF($N786="","",IF(INDEX('Per Invoice'!$H$2:$H$801,$N786)="","",INDEX('Per Invoice'!$H$2:$H$801,$N786)))</f>
        <v/>
      </c>
      <c r="I786" s="5">
        <f>IF($N786="","",IF(INDEX('Per Invoice'!$I$2:$I$801,$N786)="","",INDEX('Per Invoice'!$I$2:$I$801,$N786)))</f>
        <v/>
      </c>
      <c r="J786" s="5">
        <f>IF($N786="","",IF(INDEX('Per Invoice'!$J$2:$J$801,$N786)="","",INDEX('Per Invoice'!$J$2:$J$801,$N786)))</f>
        <v/>
      </c>
      <c r="K786" s="5">
        <f>IF($N786="","",IF(INDEX('Per Invoice'!$K$2:$K$801,$N786)="","",INDEX('Per Invoice'!$K$2:$K$801,$N786)))</f>
        <v/>
      </c>
      <c r="L786" s="5">
        <f>IF($N786="","",IF(INDEX('Per Invoice'!$L$2:$L$801,$N786)="","",INDEX('Per Invoice'!$L$2:$L$801,$N786)))</f>
        <v/>
      </c>
      <c r="M786" s="5">
        <f>IF($N786="","",IF(INDEX('Per Invoice'!$M$2:$M$801,$N786)="","",INDEX('Per Invoice'!$M$2:$M$801,$N786)))</f>
        <v/>
      </c>
      <c r="N786">
        <f>IF(ROWS($N$2:$N786)&lt;=COUNT('Per Invoice'!$P$2:$P$801),MATCH(ROWS($N$2:$N786),'Per Invoice'!$P$2:$P$801,0),"")</f>
        <v/>
      </c>
    </row>
    <row r="787">
      <c r="A787">
        <f>IF($N787="","",IF(INDEX('Per Invoice'!$A$2:$A$801,$N787)="","",INDEX('Per Invoice'!$A$2:$A$801,$N787)))</f>
        <v/>
      </c>
      <c r="B787">
        <f>IF($N787="","",IF(INDEX('Per Invoice'!$B$2:$B$801,$N787)="","",INDEX('Per Invoice'!$B$2:$B$801,$N787)))</f>
        <v/>
      </c>
      <c r="C787">
        <f>IF($N787="","",IF(INDEX('Per Invoice'!$C$2:$C$801,$N787)="","",INDEX('Per Invoice'!$C$2:$C$801,$N787)))</f>
        <v/>
      </c>
      <c r="D787">
        <f>IF($N787="","",IF(INDEX('Per Invoice'!$D$2:$D$801,$N787)="","",INDEX('Per Invoice'!$D$2:$D$801,$N787)))</f>
        <v/>
      </c>
      <c r="E787">
        <f>IF($N787="","",IF(INDEX('Per Invoice'!$E$2:$E$801,$N787)="","",INDEX('Per Invoice'!$E$2:$E$801,$N787)))</f>
        <v/>
      </c>
      <c r="F787">
        <f>IF($N787="","",IF(INDEX('Per Invoice'!$F$2:$F$801,$N787)="","",INDEX('Per Invoice'!$F$2:$F$801,$N787)))</f>
        <v/>
      </c>
      <c r="G787">
        <f>IF($N787="","",IF(INDEX('Per Invoice'!$G$2:$G$801,$N787)="","",INDEX('Per Invoice'!$G$2:$G$801,$N787)))</f>
        <v/>
      </c>
      <c r="H787">
        <f>IF($N787="","",IF(INDEX('Per Invoice'!$H$2:$H$801,$N787)="","",INDEX('Per Invoice'!$H$2:$H$801,$N787)))</f>
        <v/>
      </c>
      <c r="I787" s="5">
        <f>IF($N787="","",IF(INDEX('Per Invoice'!$I$2:$I$801,$N787)="","",INDEX('Per Invoice'!$I$2:$I$801,$N787)))</f>
        <v/>
      </c>
      <c r="J787" s="5">
        <f>IF($N787="","",IF(INDEX('Per Invoice'!$J$2:$J$801,$N787)="","",INDEX('Per Invoice'!$J$2:$J$801,$N787)))</f>
        <v/>
      </c>
      <c r="K787" s="5">
        <f>IF($N787="","",IF(INDEX('Per Invoice'!$K$2:$K$801,$N787)="","",INDEX('Per Invoice'!$K$2:$K$801,$N787)))</f>
        <v/>
      </c>
      <c r="L787" s="5">
        <f>IF($N787="","",IF(INDEX('Per Invoice'!$L$2:$L$801,$N787)="","",INDEX('Per Invoice'!$L$2:$L$801,$N787)))</f>
        <v/>
      </c>
      <c r="M787" s="5">
        <f>IF($N787="","",IF(INDEX('Per Invoice'!$M$2:$M$801,$N787)="","",INDEX('Per Invoice'!$M$2:$M$801,$N787)))</f>
        <v/>
      </c>
      <c r="N787">
        <f>IF(ROWS($N$2:$N787)&lt;=COUNT('Per Invoice'!$P$2:$P$801),MATCH(ROWS($N$2:$N787),'Per Invoice'!$P$2:$P$801,0),"")</f>
        <v/>
      </c>
    </row>
    <row r="788">
      <c r="A788">
        <f>IF($N788="","",IF(INDEX('Per Invoice'!$A$2:$A$801,$N788)="","",INDEX('Per Invoice'!$A$2:$A$801,$N788)))</f>
        <v/>
      </c>
      <c r="B788">
        <f>IF($N788="","",IF(INDEX('Per Invoice'!$B$2:$B$801,$N788)="","",INDEX('Per Invoice'!$B$2:$B$801,$N788)))</f>
        <v/>
      </c>
      <c r="C788">
        <f>IF($N788="","",IF(INDEX('Per Invoice'!$C$2:$C$801,$N788)="","",INDEX('Per Invoice'!$C$2:$C$801,$N788)))</f>
        <v/>
      </c>
      <c r="D788">
        <f>IF($N788="","",IF(INDEX('Per Invoice'!$D$2:$D$801,$N788)="","",INDEX('Per Invoice'!$D$2:$D$801,$N788)))</f>
        <v/>
      </c>
      <c r="E788">
        <f>IF($N788="","",IF(INDEX('Per Invoice'!$E$2:$E$801,$N788)="","",INDEX('Per Invoice'!$E$2:$E$801,$N788)))</f>
        <v/>
      </c>
      <c r="F788">
        <f>IF($N788="","",IF(INDEX('Per Invoice'!$F$2:$F$801,$N788)="","",INDEX('Per Invoice'!$F$2:$F$801,$N788)))</f>
        <v/>
      </c>
      <c r="G788">
        <f>IF($N788="","",IF(INDEX('Per Invoice'!$G$2:$G$801,$N788)="","",INDEX('Per Invoice'!$G$2:$G$801,$N788)))</f>
        <v/>
      </c>
      <c r="H788">
        <f>IF($N788="","",IF(INDEX('Per Invoice'!$H$2:$H$801,$N788)="","",INDEX('Per Invoice'!$H$2:$H$801,$N788)))</f>
        <v/>
      </c>
      <c r="I788" s="5">
        <f>IF($N788="","",IF(INDEX('Per Invoice'!$I$2:$I$801,$N788)="","",INDEX('Per Invoice'!$I$2:$I$801,$N788)))</f>
        <v/>
      </c>
      <c r="J788" s="5">
        <f>IF($N788="","",IF(INDEX('Per Invoice'!$J$2:$J$801,$N788)="","",INDEX('Per Invoice'!$J$2:$J$801,$N788)))</f>
        <v/>
      </c>
      <c r="K788" s="5">
        <f>IF($N788="","",IF(INDEX('Per Invoice'!$K$2:$K$801,$N788)="","",INDEX('Per Invoice'!$K$2:$K$801,$N788)))</f>
        <v/>
      </c>
      <c r="L788" s="5">
        <f>IF($N788="","",IF(INDEX('Per Invoice'!$L$2:$L$801,$N788)="","",INDEX('Per Invoice'!$L$2:$L$801,$N788)))</f>
        <v/>
      </c>
      <c r="M788" s="5">
        <f>IF($N788="","",IF(INDEX('Per Invoice'!$M$2:$M$801,$N788)="","",INDEX('Per Invoice'!$M$2:$M$801,$N788)))</f>
        <v/>
      </c>
      <c r="N788">
        <f>IF(ROWS($N$2:$N788)&lt;=COUNT('Per Invoice'!$P$2:$P$801),MATCH(ROWS($N$2:$N788),'Per Invoice'!$P$2:$P$801,0),"")</f>
        <v/>
      </c>
    </row>
    <row r="789">
      <c r="A789">
        <f>IF($N789="","",IF(INDEX('Per Invoice'!$A$2:$A$801,$N789)="","",INDEX('Per Invoice'!$A$2:$A$801,$N789)))</f>
        <v/>
      </c>
      <c r="B789">
        <f>IF($N789="","",IF(INDEX('Per Invoice'!$B$2:$B$801,$N789)="","",INDEX('Per Invoice'!$B$2:$B$801,$N789)))</f>
        <v/>
      </c>
      <c r="C789">
        <f>IF($N789="","",IF(INDEX('Per Invoice'!$C$2:$C$801,$N789)="","",INDEX('Per Invoice'!$C$2:$C$801,$N789)))</f>
        <v/>
      </c>
      <c r="D789">
        <f>IF($N789="","",IF(INDEX('Per Invoice'!$D$2:$D$801,$N789)="","",INDEX('Per Invoice'!$D$2:$D$801,$N789)))</f>
        <v/>
      </c>
      <c r="E789">
        <f>IF($N789="","",IF(INDEX('Per Invoice'!$E$2:$E$801,$N789)="","",INDEX('Per Invoice'!$E$2:$E$801,$N789)))</f>
        <v/>
      </c>
      <c r="F789">
        <f>IF($N789="","",IF(INDEX('Per Invoice'!$F$2:$F$801,$N789)="","",INDEX('Per Invoice'!$F$2:$F$801,$N789)))</f>
        <v/>
      </c>
      <c r="G789">
        <f>IF($N789="","",IF(INDEX('Per Invoice'!$G$2:$G$801,$N789)="","",INDEX('Per Invoice'!$G$2:$G$801,$N789)))</f>
        <v/>
      </c>
      <c r="H789">
        <f>IF($N789="","",IF(INDEX('Per Invoice'!$H$2:$H$801,$N789)="","",INDEX('Per Invoice'!$H$2:$H$801,$N789)))</f>
        <v/>
      </c>
      <c r="I789" s="5">
        <f>IF($N789="","",IF(INDEX('Per Invoice'!$I$2:$I$801,$N789)="","",INDEX('Per Invoice'!$I$2:$I$801,$N789)))</f>
        <v/>
      </c>
      <c r="J789" s="5">
        <f>IF($N789="","",IF(INDEX('Per Invoice'!$J$2:$J$801,$N789)="","",INDEX('Per Invoice'!$J$2:$J$801,$N789)))</f>
        <v/>
      </c>
      <c r="K789" s="5">
        <f>IF($N789="","",IF(INDEX('Per Invoice'!$K$2:$K$801,$N789)="","",INDEX('Per Invoice'!$K$2:$K$801,$N789)))</f>
        <v/>
      </c>
      <c r="L789" s="5">
        <f>IF($N789="","",IF(INDEX('Per Invoice'!$L$2:$L$801,$N789)="","",INDEX('Per Invoice'!$L$2:$L$801,$N789)))</f>
        <v/>
      </c>
      <c r="M789" s="5">
        <f>IF($N789="","",IF(INDEX('Per Invoice'!$M$2:$M$801,$N789)="","",INDEX('Per Invoice'!$M$2:$M$801,$N789)))</f>
        <v/>
      </c>
      <c r="N789">
        <f>IF(ROWS($N$2:$N789)&lt;=COUNT('Per Invoice'!$P$2:$P$801),MATCH(ROWS($N$2:$N789),'Per Invoice'!$P$2:$P$801,0),"")</f>
        <v/>
      </c>
    </row>
    <row r="790">
      <c r="A790">
        <f>IF($N790="","",IF(INDEX('Per Invoice'!$A$2:$A$801,$N790)="","",INDEX('Per Invoice'!$A$2:$A$801,$N790)))</f>
        <v/>
      </c>
      <c r="B790">
        <f>IF($N790="","",IF(INDEX('Per Invoice'!$B$2:$B$801,$N790)="","",INDEX('Per Invoice'!$B$2:$B$801,$N790)))</f>
        <v/>
      </c>
      <c r="C790">
        <f>IF($N790="","",IF(INDEX('Per Invoice'!$C$2:$C$801,$N790)="","",INDEX('Per Invoice'!$C$2:$C$801,$N790)))</f>
        <v/>
      </c>
      <c r="D790">
        <f>IF($N790="","",IF(INDEX('Per Invoice'!$D$2:$D$801,$N790)="","",INDEX('Per Invoice'!$D$2:$D$801,$N790)))</f>
        <v/>
      </c>
      <c r="E790">
        <f>IF($N790="","",IF(INDEX('Per Invoice'!$E$2:$E$801,$N790)="","",INDEX('Per Invoice'!$E$2:$E$801,$N790)))</f>
        <v/>
      </c>
      <c r="F790">
        <f>IF($N790="","",IF(INDEX('Per Invoice'!$F$2:$F$801,$N790)="","",INDEX('Per Invoice'!$F$2:$F$801,$N790)))</f>
        <v/>
      </c>
      <c r="G790">
        <f>IF($N790="","",IF(INDEX('Per Invoice'!$G$2:$G$801,$N790)="","",INDEX('Per Invoice'!$G$2:$G$801,$N790)))</f>
        <v/>
      </c>
      <c r="H790">
        <f>IF($N790="","",IF(INDEX('Per Invoice'!$H$2:$H$801,$N790)="","",INDEX('Per Invoice'!$H$2:$H$801,$N790)))</f>
        <v/>
      </c>
      <c r="I790" s="5">
        <f>IF($N790="","",IF(INDEX('Per Invoice'!$I$2:$I$801,$N790)="","",INDEX('Per Invoice'!$I$2:$I$801,$N790)))</f>
        <v/>
      </c>
      <c r="J790" s="5">
        <f>IF($N790="","",IF(INDEX('Per Invoice'!$J$2:$J$801,$N790)="","",INDEX('Per Invoice'!$J$2:$J$801,$N790)))</f>
        <v/>
      </c>
      <c r="K790" s="5">
        <f>IF($N790="","",IF(INDEX('Per Invoice'!$K$2:$K$801,$N790)="","",INDEX('Per Invoice'!$K$2:$K$801,$N790)))</f>
        <v/>
      </c>
      <c r="L790" s="5">
        <f>IF($N790="","",IF(INDEX('Per Invoice'!$L$2:$L$801,$N790)="","",INDEX('Per Invoice'!$L$2:$L$801,$N790)))</f>
        <v/>
      </c>
      <c r="M790" s="5">
        <f>IF($N790="","",IF(INDEX('Per Invoice'!$M$2:$M$801,$N790)="","",INDEX('Per Invoice'!$M$2:$M$801,$N790)))</f>
        <v/>
      </c>
      <c r="N790">
        <f>IF(ROWS($N$2:$N790)&lt;=COUNT('Per Invoice'!$P$2:$P$801),MATCH(ROWS($N$2:$N790),'Per Invoice'!$P$2:$P$801,0),"")</f>
        <v/>
      </c>
    </row>
    <row r="791">
      <c r="A791">
        <f>IF($N791="","",IF(INDEX('Per Invoice'!$A$2:$A$801,$N791)="","",INDEX('Per Invoice'!$A$2:$A$801,$N791)))</f>
        <v/>
      </c>
      <c r="B791">
        <f>IF($N791="","",IF(INDEX('Per Invoice'!$B$2:$B$801,$N791)="","",INDEX('Per Invoice'!$B$2:$B$801,$N791)))</f>
        <v/>
      </c>
      <c r="C791">
        <f>IF($N791="","",IF(INDEX('Per Invoice'!$C$2:$C$801,$N791)="","",INDEX('Per Invoice'!$C$2:$C$801,$N791)))</f>
        <v/>
      </c>
      <c r="D791">
        <f>IF($N791="","",IF(INDEX('Per Invoice'!$D$2:$D$801,$N791)="","",INDEX('Per Invoice'!$D$2:$D$801,$N791)))</f>
        <v/>
      </c>
      <c r="E791">
        <f>IF($N791="","",IF(INDEX('Per Invoice'!$E$2:$E$801,$N791)="","",INDEX('Per Invoice'!$E$2:$E$801,$N791)))</f>
        <v/>
      </c>
      <c r="F791">
        <f>IF($N791="","",IF(INDEX('Per Invoice'!$F$2:$F$801,$N791)="","",INDEX('Per Invoice'!$F$2:$F$801,$N791)))</f>
        <v/>
      </c>
      <c r="G791">
        <f>IF($N791="","",IF(INDEX('Per Invoice'!$G$2:$G$801,$N791)="","",INDEX('Per Invoice'!$G$2:$G$801,$N791)))</f>
        <v/>
      </c>
      <c r="H791">
        <f>IF($N791="","",IF(INDEX('Per Invoice'!$H$2:$H$801,$N791)="","",INDEX('Per Invoice'!$H$2:$H$801,$N791)))</f>
        <v/>
      </c>
      <c r="I791" s="5">
        <f>IF($N791="","",IF(INDEX('Per Invoice'!$I$2:$I$801,$N791)="","",INDEX('Per Invoice'!$I$2:$I$801,$N791)))</f>
        <v/>
      </c>
      <c r="J791" s="5">
        <f>IF($N791="","",IF(INDEX('Per Invoice'!$J$2:$J$801,$N791)="","",INDEX('Per Invoice'!$J$2:$J$801,$N791)))</f>
        <v/>
      </c>
      <c r="K791" s="5">
        <f>IF($N791="","",IF(INDEX('Per Invoice'!$K$2:$K$801,$N791)="","",INDEX('Per Invoice'!$K$2:$K$801,$N791)))</f>
        <v/>
      </c>
      <c r="L791" s="5">
        <f>IF($N791="","",IF(INDEX('Per Invoice'!$L$2:$L$801,$N791)="","",INDEX('Per Invoice'!$L$2:$L$801,$N791)))</f>
        <v/>
      </c>
      <c r="M791" s="5">
        <f>IF($N791="","",IF(INDEX('Per Invoice'!$M$2:$M$801,$N791)="","",INDEX('Per Invoice'!$M$2:$M$801,$N791)))</f>
        <v/>
      </c>
      <c r="N791">
        <f>IF(ROWS($N$2:$N791)&lt;=COUNT('Per Invoice'!$P$2:$P$801),MATCH(ROWS($N$2:$N791),'Per Invoice'!$P$2:$P$801,0),"")</f>
        <v/>
      </c>
    </row>
    <row r="792">
      <c r="A792">
        <f>IF($N792="","",IF(INDEX('Per Invoice'!$A$2:$A$801,$N792)="","",INDEX('Per Invoice'!$A$2:$A$801,$N792)))</f>
        <v/>
      </c>
      <c r="B792">
        <f>IF($N792="","",IF(INDEX('Per Invoice'!$B$2:$B$801,$N792)="","",INDEX('Per Invoice'!$B$2:$B$801,$N792)))</f>
        <v/>
      </c>
      <c r="C792">
        <f>IF($N792="","",IF(INDEX('Per Invoice'!$C$2:$C$801,$N792)="","",INDEX('Per Invoice'!$C$2:$C$801,$N792)))</f>
        <v/>
      </c>
      <c r="D792">
        <f>IF($N792="","",IF(INDEX('Per Invoice'!$D$2:$D$801,$N792)="","",INDEX('Per Invoice'!$D$2:$D$801,$N792)))</f>
        <v/>
      </c>
      <c r="E792">
        <f>IF($N792="","",IF(INDEX('Per Invoice'!$E$2:$E$801,$N792)="","",INDEX('Per Invoice'!$E$2:$E$801,$N792)))</f>
        <v/>
      </c>
      <c r="F792">
        <f>IF($N792="","",IF(INDEX('Per Invoice'!$F$2:$F$801,$N792)="","",INDEX('Per Invoice'!$F$2:$F$801,$N792)))</f>
        <v/>
      </c>
      <c r="G792">
        <f>IF($N792="","",IF(INDEX('Per Invoice'!$G$2:$G$801,$N792)="","",INDEX('Per Invoice'!$G$2:$G$801,$N792)))</f>
        <v/>
      </c>
      <c r="H792">
        <f>IF($N792="","",IF(INDEX('Per Invoice'!$H$2:$H$801,$N792)="","",INDEX('Per Invoice'!$H$2:$H$801,$N792)))</f>
        <v/>
      </c>
      <c r="I792" s="5">
        <f>IF($N792="","",IF(INDEX('Per Invoice'!$I$2:$I$801,$N792)="","",INDEX('Per Invoice'!$I$2:$I$801,$N792)))</f>
        <v/>
      </c>
      <c r="J792" s="5">
        <f>IF($N792="","",IF(INDEX('Per Invoice'!$J$2:$J$801,$N792)="","",INDEX('Per Invoice'!$J$2:$J$801,$N792)))</f>
        <v/>
      </c>
      <c r="K792" s="5">
        <f>IF($N792="","",IF(INDEX('Per Invoice'!$K$2:$K$801,$N792)="","",INDEX('Per Invoice'!$K$2:$K$801,$N792)))</f>
        <v/>
      </c>
      <c r="L792" s="5">
        <f>IF($N792="","",IF(INDEX('Per Invoice'!$L$2:$L$801,$N792)="","",INDEX('Per Invoice'!$L$2:$L$801,$N792)))</f>
        <v/>
      </c>
      <c r="M792" s="5">
        <f>IF($N792="","",IF(INDEX('Per Invoice'!$M$2:$M$801,$N792)="","",INDEX('Per Invoice'!$M$2:$M$801,$N792)))</f>
        <v/>
      </c>
      <c r="N792">
        <f>IF(ROWS($N$2:$N792)&lt;=COUNT('Per Invoice'!$P$2:$P$801),MATCH(ROWS($N$2:$N792),'Per Invoice'!$P$2:$P$801,0),"")</f>
        <v/>
      </c>
    </row>
    <row r="793">
      <c r="A793">
        <f>IF($N793="","",IF(INDEX('Per Invoice'!$A$2:$A$801,$N793)="","",INDEX('Per Invoice'!$A$2:$A$801,$N793)))</f>
        <v/>
      </c>
      <c r="B793">
        <f>IF($N793="","",IF(INDEX('Per Invoice'!$B$2:$B$801,$N793)="","",INDEX('Per Invoice'!$B$2:$B$801,$N793)))</f>
        <v/>
      </c>
      <c r="C793">
        <f>IF($N793="","",IF(INDEX('Per Invoice'!$C$2:$C$801,$N793)="","",INDEX('Per Invoice'!$C$2:$C$801,$N793)))</f>
        <v/>
      </c>
      <c r="D793">
        <f>IF($N793="","",IF(INDEX('Per Invoice'!$D$2:$D$801,$N793)="","",INDEX('Per Invoice'!$D$2:$D$801,$N793)))</f>
        <v/>
      </c>
      <c r="E793">
        <f>IF($N793="","",IF(INDEX('Per Invoice'!$E$2:$E$801,$N793)="","",INDEX('Per Invoice'!$E$2:$E$801,$N793)))</f>
        <v/>
      </c>
      <c r="F793">
        <f>IF($N793="","",IF(INDEX('Per Invoice'!$F$2:$F$801,$N793)="","",INDEX('Per Invoice'!$F$2:$F$801,$N793)))</f>
        <v/>
      </c>
      <c r="G793">
        <f>IF($N793="","",IF(INDEX('Per Invoice'!$G$2:$G$801,$N793)="","",INDEX('Per Invoice'!$G$2:$G$801,$N793)))</f>
        <v/>
      </c>
      <c r="H793">
        <f>IF($N793="","",IF(INDEX('Per Invoice'!$H$2:$H$801,$N793)="","",INDEX('Per Invoice'!$H$2:$H$801,$N793)))</f>
        <v/>
      </c>
      <c r="I793" s="5">
        <f>IF($N793="","",IF(INDEX('Per Invoice'!$I$2:$I$801,$N793)="","",INDEX('Per Invoice'!$I$2:$I$801,$N793)))</f>
        <v/>
      </c>
      <c r="J793" s="5">
        <f>IF($N793="","",IF(INDEX('Per Invoice'!$J$2:$J$801,$N793)="","",INDEX('Per Invoice'!$J$2:$J$801,$N793)))</f>
        <v/>
      </c>
      <c r="K793" s="5">
        <f>IF($N793="","",IF(INDEX('Per Invoice'!$K$2:$K$801,$N793)="","",INDEX('Per Invoice'!$K$2:$K$801,$N793)))</f>
        <v/>
      </c>
      <c r="L793" s="5">
        <f>IF($N793="","",IF(INDEX('Per Invoice'!$L$2:$L$801,$N793)="","",INDEX('Per Invoice'!$L$2:$L$801,$N793)))</f>
        <v/>
      </c>
      <c r="M793" s="5">
        <f>IF($N793="","",IF(INDEX('Per Invoice'!$M$2:$M$801,$N793)="","",INDEX('Per Invoice'!$M$2:$M$801,$N793)))</f>
        <v/>
      </c>
      <c r="N793">
        <f>IF(ROWS($N$2:$N793)&lt;=COUNT('Per Invoice'!$P$2:$P$801),MATCH(ROWS($N$2:$N793),'Per Invoice'!$P$2:$P$801,0),"")</f>
        <v/>
      </c>
    </row>
    <row r="794">
      <c r="A794">
        <f>IF($N794="","",IF(INDEX('Per Invoice'!$A$2:$A$801,$N794)="","",INDEX('Per Invoice'!$A$2:$A$801,$N794)))</f>
        <v/>
      </c>
      <c r="B794">
        <f>IF($N794="","",IF(INDEX('Per Invoice'!$B$2:$B$801,$N794)="","",INDEX('Per Invoice'!$B$2:$B$801,$N794)))</f>
        <v/>
      </c>
      <c r="C794">
        <f>IF($N794="","",IF(INDEX('Per Invoice'!$C$2:$C$801,$N794)="","",INDEX('Per Invoice'!$C$2:$C$801,$N794)))</f>
        <v/>
      </c>
      <c r="D794">
        <f>IF($N794="","",IF(INDEX('Per Invoice'!$D$2:$D$801,$N794)="","",INDEX('Per Invoice'!$D$2:$D$801,$N794)))</f>
        <v/>
      </c>
      <c r="E794">
        <f>IF($N794="","",IF(INDEX('Per Invoice'!$E$2:$E$801,$N794)="","",INDEX('Per Invoice'!$E$2:$E$801,$N794)))</f>
        <v/>
      </c>
      <c r="F794">
        <f>IF($N794="","",IF(INDEX('Per Invoice'!$F$2:$F$801,$N794)="","",INDEX('Per Invoice'!$F$2:$F$801,$N794)))</f>
        <v/>
      </c>
      <c r="G794">
        <f>IF($N794="","",IF(INDEX('Per Invoice'!$G$2:$G$801,$N794)="","",INDEX('Per Invoice'!$G$2:$G$801,$N794)))</f>
        <v/>
      </c>
      <c r="H794">
        <f>IF($N794="","",IF(INDEX('Per Invoice'!$H$2:$H$801,$N794)="","",INDEX('Per Invoice'!$H$2:$H$801,$N794)))</f>
        <v/>
      </c>
      <c r="I794" s="5">
        <f>IF($N794="","",IF(INDEX('Per Invoice'!$I$2:$I$801,$N794)="","",INDEX('Per Invoice'!$I$2:$I$801,$N794)))</f>
        <v/>
      </c>
      <c r="J794" s="5">
        <f>IF($N794="","",IF(INDEX('Per Invoice'!$J$2:$J$801,$N794)="","",INDEX('Per Invoice'!$J$2:$J$801,$N794)))</f>
        <v/>
      </c>
      <c r="K794" s="5">
        <f>IF($N794="","",IF(INDEX('Per Invoice'!$K$2:$K$801,$N794)="","",INDEX('Per Invoice'!$K$2:$K$801,$N794)))</f>
        <v/>
      </c>
      <c r="L794" s="5">
        <f>IF($N794="","",IF(INDEX('Per Invoice'!$L$2:$L$801,$N794)="","",INDEX('Per Invoice'!$L$2:$L$801,$N794)))</f>
        <v/>
      </c>
      <c r="M794" s="5">
        <f>IF($N794="","",IF(INDEX('Per Invoice'!$M$2:$M$801,$N794)="","",INDEX('Per Invoice'!$M$2:$M$801,$N794)))</f>
        <v/>
      </c>
      <c r="N794">
        <f>IF(ROWS($N$2:$N794)&lt;=COUNT('Per Invoice'!$P$2:$P$801),MATCH(ROWS($N$2:$N794),'Per Invoice'!$P$2:$P$801,0),"")</f>
        <v/>
      </c>
    </row>
    <row r="795">
      <c r="A795">
        <f>IF($N795="","",IF(INDEX('Per Invoice'!$A$2:$A$801,$N795)="","",INDEX('Per Invoice'!$A$2:$A$801,$N795)))</f>
        <v/>
      </c>
      <c r="B795">
        <f>IF($N795="","",IF(INDEX('Per Invoice'!$B$2:$B$801,$N795)="","",INDEX('Per Invoice'!$B$2:$B$801,$N795)))</f>
        <v/>
      </c>
      <c r="C795">
        <f>IF($N795="","",IF(INDEX('Per Invoice'!$C$2:$C$801,$N795)="","",INDEX('Per Invoice'!$C$2:$C$801,$N795)))</f>
        <v/>
      </c>
      <c r="D795">
        <f>IF($N795="","",IF(INDEX('Per Invoice'!$D$2:$D$801,$N795)="","",INDEX('Per Invoice'!$D$2:$D$801,$N795)))</f>
        <v/>
      </c>
      <c r="E795">
        <f>IF($N795="","",IF(INDEX('Per Invoice'!$E$2:$E$801,$N795)="","",INDEX('Per Invoice'!$E$2:$E$801,$N795)))</f>
        <v/>
      </c>
      <c r="F795">
        <f>IF($N795="","",IF(INDEX('Per Invoice'!$F$2:$F$801,$N795)="","",INDEX('Per Invoice'!$F$2:$F$801,$N795)))</f>
        <v/>
      </c>
      <c r="G795">
        <f>IF($N795="","",IF(INDEX('Per Invoice'!$G$2:$G$801,$N795)="","",INDEX('Per Invoice'!$G$2:$G$801,$N795)))</f>
        <v/>
      </c>
      <c r="H795">
        <f>IF($N795="","",IF(INDEX('Per Invoice'!$H$2:$H$801,$N795)="","",INDEX('Per Invoice'!$H$2:$H$801,$N795)))</f>
        <v/>
      </c>
      <c r="I795" s="5">
        <f>IF($N795="","",IF(INDEX('Per Invoice'!$I$2:$I$801,$N795)="","",INDEX('Per Invoice'!$I$2:$I$801,$N795)))</f>
        <v/>
      </c>
      <c r="J795" s="5">
        <f>IF($N795="","",IF(INDEX('Per Invoice'!$J$2:$J$801,$N795)="","",INDEX('Per Invoice'!$J$2:$J$801,$N795)))</f>
        <v/>
      </c>
      <c r="K795" s="5">
        <f>IF($N795="","",IF(INDEX('Per Invoice'!$K$2:$K$801,$N795)="","",INDEX('Per Invoice'!$K$2:$K$801,$N795)))</f>
        <v/>
      </c>
      <c r="L795" s="5">
        <f>IF($N795="","",IF(INDEX('Per Invoice'!$L$2:$L$801,$N795)="","",INDEX('Per Invoice'!$L$2:$L$801,$N795)))</f>
        <v/>
      </c>
      <c r="M795" s="5">
        <f>IF($N795="","",IF(INDEX('Per Invoice'!$M$2:$M$801,$N795)="","",INDEX('Per Invoice'!$M$2:$M$801,$N795)))</f>
        <v/>
      </c>
      <c r="N795">
        <f>IF(ROWS($N$2:$N795)&lt;=COUNT('Per Invoice'!$P$2:$P$801),MATCH(ROWS($N$2:$N795),'Per Invoice'!$P$2:$P$801,0),"")</f>
        <v/>
      </c>
    </row>
    <row r="796">
      <c r="A796">
        <f>IF($N796="","",IF(INDEX('Per Invoice'!$A$2:$A$801,$N796)="","",INDEX('Per Invoice'!$A$2:$A$801,$N796)))</f>
        <v/>
      </c>
      <c r="B796">
        <f>IF($N796="","",IF(INDEX('Per Invoice'!$B$2:$B$801,$N796)="","",INDEX('Per Invoice'!$B$2:$B$801,$N796)))</f>
        <v/>
      </c>
      <c r="C796">
        <f>IF($N796="","",IF(INDEX('Per Invoice'!$C$2:$C$801,$N796)="","",INDEX('Per Invoice'!$C$2:$C$801,$N796)))</f>
        <v/>
      </c>
      <c r="D796">
        <f>IF($N796="","",IF(INDEX('Per Invoice'!$D$2:$D$801,$N796)="","",INDEX('Per Invoice'!$D$2:$D$801,$N796)))</f>
        <v/>
      </c>
      <c r="E796">
        <f>IF($N796="","",IF(INDEX('Per Invoice'!$E$2:$E$801,$N796)="","",INDEX('Per Invoice'!$E$2:$E$801,$N796)))</f>
        <v/>
      </c>
      <c r="F796">
        <f>IF($N796="","",IF(INDEX('Per Invoice'!$F$2:$F$801,$N796)="","",INDEX('Per Invoice'!$F$2:$F$801,$N796)))</f>
        <v/>
      </c>
      <c r="G796">
        <f>IF($N796="","",IF(INDEX('Per Invoice'!$G$2:$G$801,$N796)="","",INDEX('Per Invoice'!$G$2:$G$801,$N796)))</f>
        <v/>
      </c>
      <c r="H796">
        <f>IF($N796="","",IF(INDEX('Per Invoice'!$H$2:$H$801,$N796)="","",INDEX('Per Invoice'!$H$2:$H$801,$N796)))</f>
        <v/>
      </c>
      <c r="I796" s="5">
        <f>IF($N796="","",IF(INDEX('Per Invoice'!$I$2:$I$801,$N796)="","",INDEX('Per Invoice'!$I$2:$I$801,$N796)))</f>
        <v/>
      </c>
      <c r="J796" s="5">
        <f>IF($N796="","",IF(INDEX('Per Invoice'!$J$2:$J$801,$N796)="","",INDEX('Per Invoice'!$J$2:$J$801,$N796)))</f>
        <v/>
      </c>
      <c r="K796" s="5">
        <f>IF($N796="","",IF(INDEX('Per Invoice'!$K$2:$K$801,$N796)="","",INDEX('Per Invoice'!$K$2:$K$801,$N796)))</f>
        <v/>
      </c>
      <c r="L796" s="5">
        <f>IF($N796="","",IF(INDEX('Per Invoice'!$L$2:$L$801,$N796)="","",INDEX('Per Invoice'!$L$2:$L$801,$N796)))</f>
        <v/>
      </c>
      <c r="M796" s="5">
        <f>IF($N796="","",IF(INDEX('Per Invoice'!$M$2:$M$801,$N796)="","",INDEX('Per Invoice'!$M$2:$M$801,$N796)))</f>
        <v/>
      </c>
      <c r="N796">
        <f>IF(ROWS($N$2:$N796)&lt;=COUNT('Per Invoice'!$P$2:$P$801),MATCH(ROWS($N$2:$N796),'Per Invoice'!$P$2:$P$801,0),"")</f>
        <v/>
      </c>
    </row>
    <row r="797">
      <c r="A797">
        <f>IF($N797="","",IF(INDEX('Per Invoice'!$A$2:$A$801,$N797)="","",INDEX('Per Invoice'!$A$2:$A$801,$N797)))</f>
        <v/>
      </c>
      <c r="B797">
        <f>IF($N797="","",IF(INDEX('Per Invoice'!$B$2:$B$801,$N797)="","",INDEX('Per Invoice'!$B$2:$B$801,$N797)))</f>
        <v/>
      </c>
      <c r="C797">
        <f>IF($N797="","",IF(INDEX('Per Invoice'!$C$2:$C$801,$N797)="","",INDEX('Per Invoice'!$C$2:$C$801,$N797)))</f>
        <v/>
      </c>
      <c r="D797">
        <f>IF($N797="","",IF(INDEX('Per Invoice'!$D$2:$D$801,$N797)="","",INDEX('Per Invoice'!$D$2:$D$801,$N797)))</f>
        <v/>
      </c>
      <c r="E797">
        <f>IF($N797="","",IF(INDEX('Per Invoice'!$E$2:$E$801,$N797)="","",INDEX('Per Invoice'!$E$2:$E$801,$N797)))</f>
        <v/>
      </c>
      <c r="F797">
        <f>IF($N797="","",IF(INDEX('Per Invoice'!$F$2:$F$801,$N797)="","",INDEX('Per Invoice'!$F$2:$F$801,$N797)))</f>
        <v/>
      </c>
      <c r="G797">
        <f>IF($N797="","",IF(INDEX('Per Invoice'!$G$2:$G$801,$N797)="","",INDEX('Per Invoice'!$G$2:$G$801,$N797)))</f>
        <v/>
      </c>
      <c r="H797">
        <f>IF($N797="","",IF(INDEX('Per Invoice'!$H$2:$H$801,$N797)="","",INDEX('Per Invoice'!$H$2:$H$801,$N797)))</f>
        <v/>
      </c>
      <c r="I797" s="5">
        <f>IF($N797="","",IF(INDEX('Per Invoice'!$I$2:$I$801,$N797)="","",INDEX('Per Invoice'!$I$2:$I$801,$N797)))</f>
        <v/>
      </c>
      <c r="J797" s="5">
        <f>IF($N797="","",IF(INDEX('Per Invoice'!$J$2:$J$801,$N797)="","",INDEX('Per Invoice'!$J$2:$J$801,$N797)))</f>
        <v/>
      </c>
      <c r="K797" s="5">
        <f>IF($N797="","",IF(INDEX('Per Invoice'!$K$2:$K$801,$N797)="","",INDEX('Per Invoice'!$K$2:$K$801,$N797)))</f>
        <v/>
      </c>
      <c r="L797" s="5">
        <f>IF($N797="","",IF(INDEX('Per Invoice'!$L$2:$L$801,$N797)="","",INDEX('Per Invoice'!$L$2:$L$801,$N797)))</f>
        <v/>
      </c>
      <c r="M797" s="5">
        <f>IF($N797="","",IF(INDEX('Per Invoice'!$M$2:$M$801,$N797)="","",INDEX('Per Invoice'!$M$2:$M$801,$N797)))</f>
        <v/>
      </c>
      <c r="N797">
        <f>IF(ROWS($N$2:$N797)&lt;=COUNT('Per Invoice'!$P$2:$P$801),MATCH(ROWS($N$2:$N797),'Per Invoice'!$P$2:$P$801,0),"")</f>
        <v/>
      </c>
    </row>
    <row r="798">
      <c r="A798">
        <f>IF($N798="","",IF(INDEX('Per Invoice'!$A$2:$A$801,$N798)="","",INDEX('Per Invoice'!$A$2:$A$801,$N798)))</f>
        <v/>
      </c>
      <c r="B798">
        <f>IF($N798="","",IF(INDEX('Per Invoice'!$B$2:$B$801,$N798)="","",INDEX('Per Invoice'!$B$2:$B$801,$N798)))</f>
        <v/>
      </c>
      <c r="C798">
        <f>IF($N798="","",IF(INDEX('Per Invoice'!$C$2:$C$801,$N798)="","",INDEX('Per Invoice'!$C$2:$C$801,$N798)))</f>
        <v/>
      </c>
      <c r="D798">
        <f>IF($N798="","",IF(INDEX('Per Invoice'!$D$2:$D$801,$N798)="","",INDEX('Per Invoice'!$D$2:$D$801,$N798)))</f>
        <v/>
      </c>
      <c r="E798">
        <f>IF($N798="","",IF(INDEX('Per Invoice'!$E$2:$E$801,$N798)="","",INDEX('Per Invoice'!$E$2:$E$801,$N798)))</f>
        <v/>
      </c>
      <c r="F798">
        <f>IF($N798="","",IF(INDEX('Per Invoice'!$F$2:$F$801,$N798)="","",INDEX('Per Invoice'!$F$2:$F$801,$N798)))</f>
        <v/>
      </c>
      <c r="G798">
        <f>IF($N798="","",IF(INDEX('Per Invoice'!$G$2:$G$801,$N798)="","",INDEX('Per Invoice'!$G$2:$G$801,$N798)))</f>
        <v/>
      </c>
      <c r="H798">
        <f>IF($N798="","",IF(INDEX('Per Invoice'!$H$2:$H$801,$N798)="","",INDEX('Per Invoice'!$H$2:$H$801,$N798)))</f>
        <v/>
      </c>
      <c r="I798" s="5">
        <f>IF($N798="","",IF(INDEX('Per Invoice'!$I$2:$I$801,$N798)="","",INDEX('Per Invoice'!$I$2:$I$801,$N798)))</f>
        <v/>
      </c>
      <c r="J798" s="5">
        <f>IF($N798="","",IF(INDEX('Per Invoice'!$J$2:$J$801,$N798)="","",INDEX('Per Invoice'!$J$2:$J$801,$N798)))</f>
        <v/>
      </c>
      <c r="K798" s="5">
        <f>IF($N798="","",IF(INDEX('Per Invoice'!$K$2:$K$801,$N798)="","",INDEX('Per Invoice'!$K$2:$K$801,$N798)))</f>
        <v/>
      </c>
      <c r="L798" s="5">
        <f>IF($N798="","",IF(INDEX('Per Invoice'!$L$2:$L$801,$N798)="","",INDEX('Per Invoice'!$L$2:$L$801,$N798)))</f>
        <v/>
      </c>
      <c r="M798" s="5">
        <f>IF($N798="","",IF(INDEX('Per Invoice'!$M$2:$M$801,$N798)="","",INDEX('Per Invoice'!$M$2:$M$801,$N798)))</f>
        <v/>
      </c>
      <c r="N798">
        <f>IF(ROWS($N$2:$N798)&lt;=COUNT('Per Invoice'!$P$2:$P$801),MATCH(ROWS($N$2:$N798),'Per Invoice'!$P$2:$P$801,0),"")</f>
        <v/>
      </c>
    </row>
    <row r="799">
      <c r="A799">
        <f>IF($N799="","",IF(INDEX('Per Invoice'!$A$2:$A$801,$N799)="","",INDEX('Per Invoice'!$A$2:$A$801,$N799)))</f>
        <v/>
      </c>
      <c r="B799">
        <f>IF($N799="","",IF(INDEX('Per Invoice'!$B$2:$B$801,$N799)="","",INDEX('Per Invoice'!$B$2:$B$801,$N799)))</f>
        <v/>
      </c>
      <c r="C799">
        <f>IF($N799="","",IF(INDEX('Per Invoice'!$C$2:$C$801,$N799)="","",INDEX('Per Invoice'!$C$2:$C$801,$N799)))</f>
        <v/>
      </c>
      <c r="D799">
        <f>IF($N799="","",IF(INDEX('Per Invoice'!$D$2:$D$801,$N799)="","",INDEX('Per Invoice'!$D$2:$D$801,$N799)))</f>
        <v/>
      </c>
      <c r="E799">
        <f>IF($N799="","",IF(INDEX('Per Invoice'!$E$2:$E$801,$N799)="","",INDEX('Per Invoice'!$E$2:$E$801,$N799)))</f>
        <v/>
      </c>
      <c r="F799">
        <f>IF($N799="","",IF(INDEX('Per Invoice'!$F$2:$F$801,$N799)="","",INDEX('Per Invoice'!$F$2:$F$801,$N799)))</f>
        <v/>
      </c>
      <c r="G799">
        <f>IF($N799="","",IF(INDEX('Per Invoice'!$G$2:$G$801,$N799)="","",INDEX('Per Invoice'!$G$2:$G$801,$N799)))</f>
        <v/>
      </c>
      <c r="H799">
        <f>IF($N799="","",IF(INDEX('Per Invoice'!$H$2:$H$801,$N799)="","",INDEX('Per Invoice'!$H$2:$H$801,$N799)))</f>
        <v/>
      </c>
      <c r="I799" s="5">
        <f>IF($N799="","",IF(INDEX('Per Invoice'!$I$2:$I$801,$N799)="","",INDEX('Per Invoice'!$I$2:$I$801,$N799)))</f>
        <v/>
      </c>
      <c r="J799" s="5">
        <f>IF($N799="","",IF(INDEX('Per Invoice'!$J$2:$J$801,$N799)="","",INDEX('Per Invoice'!$J$2:$J$801,$N799)))</f>
        <v/>
      </c>
      <c r="K799" s="5">
        <f>IF($N799="","",IF(INDEX('Per Invoice'!$K$2:$K$801,$N799)="","",INDEX('Per Invoice'!$K$2:$K$801,$N799)))</f>
        <v/>
      </c>
      <c r="L799" s="5">
        <f>IF($N799="","",IF(INDEX('Per Invoice'!$L$2:$L$801,$N799)="","",INDEX('Per Invoice'!$L$2:$L$801,$N799)))</f>
        <v/>
      </c>
      <c r="M799" s="5">
        <f>IF($N799="","",IF(INDEX('Per Invoice'!$M$2:$M$801,$N799)="","",INDEX('Per Invoice'!$M$2:$M$801,$N799)))</f>
        <v/>
      </c>
      <c r="N799">
        <f>IF(ROWS($N$2:$N799)&lt;=COUNT('Per Invoice'!$P$2:$P$801),MATCH(ROWS($N$2:$N799),'Per Invoice'!$P$2:$P$801,0),"")</f>
        <v/>
      </c>
    </row>
    <row r="800">
      <c r="A800">
        <f>IF($N800="","",IF(INDEX('Per Invoice'!$A$2:$A$801,$N800)="","",INDEX('Per Invoice'!$A$2:$A$801,$N800)))</f>
        <v/>
      </c>
      <c r="B800">
        <f>IF($N800="","",IF(INDEX('Per Invoice'!$B$2:$B$801,$N800)="","",INDEX('Per Invoice'!$B$2:$B$801,$N800)))</f>
        <v/>
      </c>
      <c r="C800">
        <f>IF($N800="","",IF(INDEX('Per Invoice'!$C$2:$C$801,$N800)="","",INDEX('Per Invoice'!$C$2:$C$801,$N800)))</f>
        <v/>
      </c>
      <c r="D800">
        <f>IF($N800="","",IF(INDEX('Per Invoice'!$D$2:$D$801,$N800)="","",INDEX('Per Invoice'!$D$2:$D$801,$N800)))</f>
        <v/>
      </c>
      <c r="E800">
        <f>IF($N800="","",IF(INDEX('Per Invoice'!$E$2:$E$801,$N800)="","",INDEX('Per Invoice'!$E$2:$E$801,$N800)))</f>
        <v/>
      </c>
      <c r="F800">
        <f>IF($N800="","",IF(INDEX('Per Invoice'!$F$2:$F$801,$N800)="","",INDEX('Per Invoice'!$F$2:$F$801,$N800)))</f>
        <v/>
      </c>
      <c r="G800">
        <f>IF($N800="","",IF(INDEX('Per Invoice'!$G$2:$G$801,$N800)="","",INDEX('Per Invoice'!$G$2:$G$801,$N800)))</f>
        <v/>
      </c>
      <c r="H800">
        <f>IF($N800="","",IF(INDEX('Per Invoice'!$H$2:$H$801,$N800)="","",INDEX('Per Invoice'!$H$2:$H$801,$N800)))</f>
        <v/>
      </c>
      <c r="I800" s="5">
        <f>IF($N800="","",IF(INDEX('Per Invoice'!$I$2:$I$801,$N800)="","",INDEX('Per Invoice'!$I$2:$I$801,$N800)))</f>
        <v/>
      </c>
      <c r="J800" s="5">
        <f>IF($N800="","",IF(INDEX('Per Invoice'!$J$2:$J$801,$N800)="","",INDEX('Per Invoice'!$J$2:$J$801,$N800)))</f>
        <v/>
      </c>
      <c r="K800" s="5">
        <f>IF($N800="","",IF(INDEX('Per Invoice'!$K$2:$K$801,$N800)="","",INDEX('Per Invoice'!$K$2:$K$801,$N800)))</f>
        <v/>
      </c>
      <c r="L800" s="5">
        <f>IF($N800="","",IF(INDEX('Per Invoice'!$L$2:$L$801,$N800)="","",INDEX('Per Invoice'!$L$2:$L$801,$N800)))</f>
        <v/>
      </c>
      <c r="M800" s="5">
        <f>IF($N800="","",IF(INDEX('Per Invoice'!$M$2:$M$801,$N800)="","",INDEX('Per Invoice'!$M$2:$M$801,$N800)))</f>
        <v/>
      </c>
      <c r="N800">
        <f>IF(ROWS($N$2:$N800)&lt;=COUNT('Per Invoice'!$P$2:$P$801),MATCH(ROWS($N$2:$N800),'Per Invoice'!$P$2:$P$801,0),"")</f>
        <v/>
      </c>
    </row>
    <row r="801">
      <c r="A801">
        <f>IF($N801="","",IF(INDEX('Per Invoice'!$A$2:$A$801,$N801)="","",INDEX('Per Invoice'!$A$2:$A$801,$N801)))</f>
        <v/>
      </c>
      <c r="B801">
        <f>IF($N801="","",IF(INDEX('Per Invoice'!$B$2:$B$801,$N801)="","",INDEX('Per Invoice'!$B$2:$B$801,$N801)))</f>
        <v/>
      </c>
      <c r="C801">
        <f>IF($N801="","",IF(INDEX('Per Invoice'!$C$2:$C$801,$N801)="","",INDEX('Per Invoice'!$C$2:$C$801,$N801)))</f>
        <v/>
      </c>
      <c r="D801">
        <f>IF($N801="","",IF(INDEX('Per Invoice'!$D$2:$D$801,$N801)="","",INDEX('Per Invoice'!$D$2:$D$801,$N801)))</f>
        <v/>
      </c>
      <c r="E801">
        <f>IF($N801="","",IF(INDEX('Per Invoice'!$E$2:$E$801,$N801)="","",INDEX('Per Invoice'!$E$2:$E$801,$N801)))</f>
        <v/>
      </c>
      <c r="F801">
        <f>IF($N801="","",IF(INDEX('Per Invoice'!$F$2:$F$801,$N801)="","",INDEX('Per Invoice'!$F$2:$F$801,$N801)))</f>
        <v/>
      </c>
      <c r="G801">
        <f>IF($N801="","",IF(INDEX('Per Invoice'!$G$2:$G$801,$N801)="","",INDEX('Per Invoice'!$G$2:$G$801,$N801)))</f>
        <v/>
      </c>
      <c r="H801">
        <f>IF($N801="","",IF(INDEX('Per Invoice'!$H$2:$H$801,$N801)="","",INDEX('Per Invoice'!$H$2:$H$801,$N801)))</f>
        <v/>
      </c>
      <c r="I801" s="5">
        <f>IF($N801="","",IF(INDEX('Per Invoice'!$I$2:$I$801,$N801)="","",INDEX('Per Invoice'!$I$2:$I$801,$N801)))</f>
        <v/>
      </c>
      <c r="J801" s="5">
        <f>IF($N801="","",IF(INDEX('Per Invoice'!$J$2:$J$801,$N801)="","",INDEX('Per Invoice'!$J$2:$J$801,$N801)))</f>
        <v/>
      </c>
      <c r="K801" s="5">
        <f>IF($N801="","",IF(INDEX('Per Invoice'!$K$2:$K$801,$N801)="","",INDEX('Per Invoice'!$K$2:$K$801,$N801)))</f>
        <v/>
      </c>
      <c r="L801" s="5">
        <f>IF($N801="","",IF(INDEX('Per Invoice'!$L$2:$L$801,$N801)="","",INDEX('Per Invoice'!$L$2:$L$801,$N801)))</f>
        <v/>
      </c>
      <c r="M801" s="5">
        <f>IF($N801="","",IF(INDEX('Per Invoice'!$M$2:$M$801,$N801)="","",INDEX('Per Invoice'!$M$2:$M$801,$N801)))</f>
        <v/>
      </c>
      <c r="N801">
        <f>IF(ROWS($N$2:$N801)&lt;=COUNT('Per Invoice'!$P$2:$P$801),MATCH(ROWS($N$2:$N801),'Per Invoice'!$P$2:$P$801,0),"")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2026-10-12T12:41:41Z</dcterms:created>
  <dcterms:modified xmlns:dcterms="http://purl.org/dc/terms/" xmlns:xsi="http://www.w3.org/2001/XMLSchema-instance" xsi:type="dcterms:W3CDTF">2026-10-12T12:41:41Z</dcterms:modified>
</cp:coreProperties>
</file>